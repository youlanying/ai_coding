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slot_excel\Excel\02excel2024.4\1112\"/>
    </mc:Choice>
  </mc:AlternateContent>
  <xr:revisionPtr revIDLastSave="0" documentId="13_ncr:1_{C45E52DB-A00B-46BA-A428-10986BF03C37}" xr6:coauthVersionLast="47" xr6:coauthVersionMax="47" xr10:uidLastSave="{00000000-0000-0000-0000-000000000000}"/>
  <bookViews>
    <workbookView xWindow="-120" yWindow="-120" windowWidth="29040" windowHeight="15840" tabRatio="888" activeTab="14" xr2:uid="{00000000-000D-0000-FFFF-FFFF00000000}"/>
  </bookViews>
  <sheets>
    <sheet name="rule" sheetId="31" r:id="rId1"/>
    <sheet name="#&lt;pay_table&gt;" sheetId="26" r:id="rId2"/>
    <sheet name="#&lt;prize&gt;" sheetId="27" r:id="rId3"/>
    <sheet name="#&lt;base_reel_strip&gt;" sheetId="25" r:id="rId4"/>
    <sheet name="#&lt;free_reel_strip&gt;" sheetId="29" r:id="rId5"/>
    <sheet name="#&lt;config&gt;" sheetId="28" r:id="rId6"/>
    <sheet name="Summary" sheetId="30" r:id="rId7"/>
    <sheet name="Pay Line" sheetId="85" r:id="rId8"/>
    <sheet name="Pay Table" sheetId="1" r:id="rId9"/>
    <sheet name="Base Game " sheetId="33" r:id="rId10"/>
    <sheet name="Free Game" sheetId="18" r:id="rId11"/>
    <sheet name="Respin" sheetId="43" r:id="rId12"/>
    <sheet name="竞品数据统计" sheetId="80" r:id="rId13"/>
    <sheet name="luaConfig" sheetId="32" r:id="rId14"/>
    <sheet name="Roll Reel" sheetId="81" r:id="rId15"/>
    <sheet name="beeifen" sheetId="83" r:id="rId16"/>
  </sheets>
  <externalReferences>
    <externalReference r:id="rId17"/>
  </externalReferences>
  <definedNames>
    <definedName name="BasegameCycle">#REF!</definedName>
    <definedName name="JackpotHitFrequency">#REF!</definedName>
    <definedName name="JackpotTurnOver">#REF!</definedName>
    <definedName name="RTP">#REF!</definedName>
  </definedNames>
  <calcPr calcId="191029"/>
  <fileRecoveryPr repairLoad="1"/>
</workbook>
</file>

<file path=xl/calcChain.xml><?xml version="1.0" encoding="utf-8"?>
<calcChain xmlns="http://schemas.openxmlformats.org/spreadsheetml/2006/main">
  <c r="P5" i="43" l="1" a="1"/>
  <c r="P5" i="43" s="1"/>
  <c r="D71" i="28" l="1"/>
  <c r="D39" i="28" a="1"/>
  <c r="D39" i="28" s="1"/>
  <c r="J76" i="43" l="1"/>
  <c r="J77" i="43"/>
  <c r="J78" i="43"/>
  <c r="J82" i="43" s="1"/>
  <c r="J79" i="43"/>
  <c r="J80" i="43"/>
  <c r="J75" i="43"/>
  <c r="Y86" i="43" l="1"/>
  <c r="Y85" i="43"/>
  <c r="Z83" i="43"/>
  <c r="Z82" i="43"/>
  <c r="AA79" i="43"/>
  <c r="AA80" i="43"/>
  <c r="AA78" i="43"/>
  <c r="AB75" i="43"/>
  <c r="AB76" i="43"/>
  <c r="AB74" i="43"/>
  <c r="C22" i="1" l="1"/>
  <c r="D22" i="1"/>
  <c r="E22" i="1"/>
  <c r="F22" i="1"/>
  <c r="G22" i="1"/>
  <c r="H22" i="1"/>
  <c r="I22" i="1"/>
  <c r="J22" i="1"/>
  <c r="K22" i="1"/>
  <c r="C23" i="1"/>
  <c r="D23" i="1"/>
  <c r="E23" i="1"/>
  <c r="F23" i="1"/>
  <c r="G23" i="1"/>
  <c r="H23" i="1"/>
  <c r="I23" i="1"/>
  <c r="J23" i="1"/>
  <c r="K23" i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/>
  <c r="I25" i="1"/>
  <c r="J25" i="1"/>
  <c r="K25" i="1"/>
  <c r="C26" i="1"/>
  <c r="D26" i="1"/>
  <c r="E26" i="1"/>
  <c r="F26" i="1"/>
  <c r="G26" i="1"/>
  <c r="H26" i="1"/>
  <c r="I26" i="1"/>
  <c r="J26" i="1"/>
  <c r="K26" i="1"/>
  <c r="C27" i="1"/>
  <c r="D27" i="1"/>
  <c r="E27" i="1"/>
  <c r="F27" i="1"/>
  <c r="G27" i="1"/>
  <c r="H27" i="1"/>
  <c r="I27" i="1"/>
  <c r="J27" i="1"/>
  <c r="K27" i="1"/>
  <c r="D21" i="1"/>
  <c r="E21" i="1"/>
  <c r="F21" i="1"/>
  <c r="G21" i="1"/>
  <c r="H21" i="1"/>
  <c r="I21" i="1"/>
  <c r="J21" i="1"/>
  <c r="K21" i="1"/>
  <c r="C21" i="1"/>
  <c r="EJ43" i="85"/>
  <c r="EI43" i="85"/>
  <c r="EH43" i="85"/>
  <c r="EG43" i="85"/>
  <c r="EF43" i="85"/>
  <c r="EE43" i="85"/>
  <c r="ED43" i="85"/>
  <c r="EC43" i="85"/>
  <c r="EB43" i="85"/>
  <c r="EA43" i="85"/>
  <c r="DZ43" i="85"/>
  <c r="DY43" i="85"/>
  <c r="DX43" i="85"/>
  <c r="DW43" i="85"/>
  <c r="DV14" i="85" a="1"/>
  <c r="DV14" i="85" s="1"/>
  <c r="DU14" i="85" a="1"/>
  <c r="DU14" i="85" s="1"/>
  <c r="DT14" i="85" a="1"/>
  <c r="DT14" i="85" s="1"/>
  <c r="DS14" i="85" a="1"/>
  <c r="DS14" i="85" s="1"/>
  <c r="DR14" i="85"/>
  <c r="DR14" i="85" a="1"/>
  <c r="DQ14" i="85" a="1"/>
  <c r="DQ14" i="85" s="1"/>
  <c r="DP14" i="85" a="1"/>
  <c r="DP14" i="85" s="1"/>
  <c r="DO14" i="85" a="1"/>
  <c r="DO14" i="85" s="1"/>
  <c r="DN14" i="85" a="1"/>
  <c r="DN14" i="85" s="1"/>
  <c r="DM14" i="85" a="1"/>
  <c r="DM14" i="85" s="1"/>
  <c r="DL14" i="85" a="1"/>
  <c r="DL14" i="85" s="1"/>
  <c r="DK14" i="85" a="1"/>
  <c r="DK14" i="85" s="1"/>
  <c r="DJ14" i="85" a="1"/>
  <c r="DJ14" i="85" s="1"/>
  <c r="DI14" i="85" a="1"/>
  <c r="DI14" i="85" s="1"/>
  <c r="DH14" i="85" a="1"/>
  <c r="DH14" i="85" s="1"/>
  <c r="DG14" i="85" a="1"/>
  <c r="DG14" i="85" s="1"/>
  <c r="DF14" i="85" a="1"/>
  <c r="DF14" i="85" s="1"/>
  <c r="DE14" i="85" a="1"/>
  <c r="DE14" i="85" s="1"/>
  <c r="DD14" i="85" a="1"/>
  <c r="DD14" i="85" s="1"/>
  <c r="DC14" i="85" a="1"/>
  <c r="DC14" i="85" s="1"/>
  <c r="DB14" i="85" a="1"/>
  <c r="DB14" i="85" s="1"/>
  <c r="DA14" i="85" a="1"/>
  <c r="DA14" i="85" s="1"/>
  <c r="CZ14" i="85" a="1"/>
  <c r="CZ14" i="85" s="1"/>
  <c r="CY14" i="85" a="1"/>
  <c r="CY14" i="85" s="1"/>
  <c r="CX14" i="85" a="1"/>
  <c r="CX14" i="85" s="1"/>
  <c r="CW14" i="85" a="1"/>
  <c r="CW14" i="85" s="1"/>
  <c r="CV14" i="85" a="1"/>
  <c r="CV14" i="85" s="1"/>
  <c r="CU14" i="85" a="1"/>
  <c r="CU14" i="85" s="1"/>
  <c r="CT14" i="85" a="1"/>
  <c r="CT14" i="85" s="1"/>
  <c r="CS14" i="85" a="1"/>
  <c r="CS14" i="85" s="1"/>
  <c r="CR14" i="85" a="1"/>
  <c r="CR14" i="85" s="1"/>
  <c r="CQ14" i="85" a="1"/>
  <c r="CQ14" i="85" s="1"/>
  <c r="CP14" i="85" a="1"/>
  <c r="CP14" i="85" s="1"/>
  <c r="CO14" i="85" a="1"/>
  <c r="CO14" i="85" s="1"/>
  <c r="CN14" i="85"/>
  <c r="CN14" i="85" a="1"/>
  <c r="CM14" i="85" a="1"/>
  <c r="CM14" i="85" s="1"/>
  <c r="CL14" i="85" a="1"/>
  <c r="CL14" i="85" s="1"/>
  <c r="CK14" i="85" a="1"/>
  <c r="CK14" i="85" s="1"/>
  <c r="CJ14" i="85" a="1"/>
  <c r="CJ14" i="85" s="1"/>
  <c r="CI14" i="85" a="1"/>
  <c r="CI14" i="85" s="1"/>
  <c r="CH14" i="85" a="1"/>
  <c r="CH14" i="85" s="1"/>
  <c r="CG14" i="85" a="1"/>
  <c r="CG14" i="85" s="1"/>
  <c r="CF14" i="85" a="1"/>
  <c r="CF14" i="85" s="1"/>
  <c r="CE14" i="85" a="1"/>
  <c r="CE14" i="85" s="1"/>
  <c r="CD14" i="85" a="1"/>
  <c r="CD14" i="85" s="1"/>
  <c r="CC14" i="85" a="1"/>
  <c r="CC14" i="85" s="1"/>
  <c r="CB14" i="85"/>
  <c r="CB14" i="85" a="1"/>
  <c r="CA14" i="85" a="1"/>
  <c r="CA14" i="85" s="1"/>
  <c r="BZ14" i="85" a="1"/>
  <c r="BZ14" i="85" s="1"/>
  <c r="BY14" i="85" a="1"/>
  <c r="BY14" i="85" s="1"/>
  <c r="BX14" i="85" a="1"/>
  <c r="BX14" i="85" s="1"/>
  <c r="BW14" i="85" a="1"/>
  <c r="BW14" i="85" s="1"/>
  <c r="BV14" i="85" a="1"/>
  <c r="BV14" i="85" s="1"/>
  <c r="BU14" i="85" a="1"/>
  <c r="BU14" i="85" s="1"/>
  <c r="BT14" i="85" a="1"/>
  <c r="BT14" i="85" s="1"/>
  <c r="BS14" i="85" a="1"/>
  <c r="BS14" i="85" s="1"/>
  <c r="BR14" i="85" a="1"/>
  <c r="BR14" i="85" s="1"/>
  <c r="BQ14" i="85" a="1"/>
  <c r="BQ14" i="85" s="1"/>
  <c r="BP14" i="85" a="1"/>
  <c r="BP14" i="85" s="1"/>
  <c r="DV13" i="85" a="1"/>
  <c r="DV13" i="85" s="1"/>
  <c r="DU13" i="85" a="1"/>
  <c r="DU13" i="85" s="1"/>
  <c r="DT13" i="85" a="1"/>
  <c r="DT13" i="85" s="1"/>
  <c r="DS13" i="85" a="1"/>
  <c r="DS13" i="85" s="1"/>
  <c r="DR13" i="85" a="1"/>
  <c r="DR13" i="85" s="1"/>
  <c r="DQ13" i="85" a="1"/>
  <c r="DQ13" i="85" s="1"/>
  <c r="DP13" i="85" a="1"/>
  <c r="DP13" i="85" s="1"/>
  <c r="DO13" i="85" a="1"/>
  <c r="DO13" i="85" s="1"/>
  <c r="DN13" i="85" a="1"/>
  <c r="DN13" i="85" s="1"/>
  <c r="DM13" i="85" a="1"/>
  <c r="DM13" i="85" s="1"/>
  <c r="DL13" i="85" a="1"/>
  <c r="DL13" i="85" s="1"/>
  <c r="DK13" i="85"/>
  <c r="DK13" i="85" a="1"/>
  <c r="DJ13" i="85" a="1"/>
  <c r="DJ13" i="85" s="1"/>
  <c r="DI13" i="85" a="1"/>
  <c r="DI13" i="85" s="1"/>
  <c r="DH13" i="85" a="1"/>
  <c r="DH13" i="85" s="1"/>
  <c r="DG13" i="85" a="1"/>
  <c r="DG13" i="85" s="1"/>
  <c r="DF13" i="85" a="1"/>
  <c r="DF13" i="85" s="1"/>
  <c r="DE13" i="85" a="1"/>
  <c r="DE13" i="85" s="1"/>
  <c r="DD13" i="85" a="1"/>
  <c r="DD13" i="85" s="1"/>
  <c r="DC13" i="85" a="1"/>
  <c r="DC13" i="85" s="1"/>
  <c r="DB13" i="85" a="1"/>
  <c r="DB13" i="85" s="1"/>
  <c r="DA13" i="85" a="1"/>
  <c r="DA13" i="85" s="1"/>
  <c r="CZ13" i="85" a="1"/>
  <c r="CZ13" i="85" s="1"/>
  <c r="CY13" i="85" a="1"/>
  <c r="CY13" i="85" s="1"/>
  <c r="CX13" i="85" a="1"/>
  <c r="CX13" i="85" s="1"/>
  <c r="CW13" i="85" a="1"/>
  <c r="CW13" i="85" s="1"/>
  <c r="CV13" i="85" a="1"/>
  <c r="CV13" i="85" s="1"/>
  <c r="CU13" i="85" a="1"/>
  <c r="CU13" i="85" s="1"/>
  <c r="CT13" i="85" a="1"/>
  <c r="CT13" i="85" s="1"/>
  <c r="CS13" i="85"/>
  <c r="CS13" i="85" a="1"/>
  <c r="CR13" i="85" a="1"/>
  <c r="CR13" i="85" s="1"/>
  <c r="CQ13" i="85" a="1"/>
  <c r="CQ13" i="85" s="1"/>
  <c r="CP13" i="85" a="1"/>
  <c r="CP13" i="85" s="1"/>
  <c r="CO13" i="85" a="1"/>
  <c r="CO13" i="85" s="1"/>
  <c r="CN13" i="85" a="1"/>
  <c r="CN13" i="85" s="1"/>
  <c r="CM13" i="85" a="1"/>
  <c r="CM13" i="85" s="1"/>
  <c r="CL13" i="85" a="1"/>
  <c r="CL13" i="85" s="1"/>
  <c r="CK13" i="85" a="1"/>
  <c r="CK13" i="85" s="1"/>
  <c r="CJ13" i="85" a="1"/>
  <c r="CJ13" i="85" s="1"/>
  <c r="CI13" i="85" a="1"/>
  <c r="CI13" i="85" s="1"/>
  <c r="CH13" i="85" a="1"/>
  <c r="CH13" i="85" s="1"/>
  <c r="CG13" i="85" a="1"/>
  <c r="CG13" i="85" s="1"/>
  <c r="CF13" i="85" a="1"/>
  <c r="CF13" i="85" s="1"/>
  <c r="CE13" i="85" a="1"/>
  <c r="CE13" i="85" s="1"/>
  <c r="CD13" i="85" a="1"/>
  <c r="CD13" i="85" s="1"/>
  <c r="CC13" i="85" a="1"/>
  <c r="CC13" i="85" s="1"/>
  <c r="CB13" i="85" a="1"/>
  <c r="CB13" i="85" s="1"/>
  <c r="CA13" i="85"/>
  <c r="CA13" i="85" a="1"/>
  <c r="BZ13" i="85" a="1"/>
  <c r="BZ13" i="85" s="1"/>
  <c r="BY13" i="85" a="1"/>
  <c r="BY13" i="85" s="1"/>
  <c r="BX13" i="85" a="1"/>
  <c r="BX13" i="85" s="1"/>
  <c r="BW13" i="85" a="1"/>
  <c r="BW13" i="85" s="1"/>
  <c r="BV13" i="85" a="1"/>
  <c r="BV13" i="85" s="1"/>
  <c r="BU13" i="85" a="1"/>
  <c r="BU13" i="85" s="1"/>
  <c r="BT13" i="85" a="1"/>
  <c r="BT13" i="85" s="1"/>
  <c r="BS13" i="85" a="1"/>
  <c r="BS13" i="85" s="1"/>
  <c r="BR13" i="85" a="1"/>
  <c r="BR13" i="85" s="1"/>
  <c r="BQ13" i="85" a="1"/>
  <c r="BQ13" i="85" s="1"/>
  <c r="BP13" i="85" a="1"/>
  <c r="BP13" i="85" s="1"/>
  <c r="DV12" i="85" a="1"/>
  <c r="DV12" i="85" s="1"/>
  <c r="DU12" i="85" a="1"/>
  <c r="DU12" i="85" s="1"/>
  <c r="DT12" i="85" a="1"/>
  <c r="DT12" i="85" s="1"/>
  <c r="DS12" i="85" a="1"/>
  <c r="DS12" i="85" s="1"/>
  <c r="DR12" i="85" a="1"/>
  <c r="DR12" i="85" s="1"/>
  <c r="DQ12" i="85" a="1"/>
  <c r="DQ12" i="85" s="1"/>
  <c r="DP12" i="85"/>
  <c r="DP12" i="85" a="1"/>
  <c r="DO12" i="85" a="1"/>
  <c r="DO12" i="85" s="1"/>
  <c r="DN12" i="85" a="1"/>
  <c r="DN12" i="85" s="1"/>
  <c r="DM12" i="85" a="1"/>
  <c r="DM12" i="85" s="1"/>
  <c r="DL12" i="85" a="1"/>
  <c r="DL12" i="85" s="1"/>
  <c r="DK12" i="85" a="1"/>
  <c r="DK12" i="85" s="1"/>
  <c r="DJ12" i="85" a="1"/>
  <c r="DJ12" i="85" s="1"/>
  <c r="DI12" i="85" a="1"/>
  <c r="DI12" i="85" s="1"/>
  <c r="DH12" i="85" a="1"/>
  <c r="DH12" i="85" s="1"/>
  <c r="DG12" i="85" a="1"/>
  <c r="DG12" i="85" s="1"/>
  <c r="DF12" i="85" a="1"/>
  <c r="DF12" i="85" s="1"/>
  <c r="DE12" i="85" a="1"/>
  <c r="DE12" i="85" s="1"/>
  <c r="DD12" i="85" a="1"/>
  <c r="DD12" i="85" s="1"/>
  <c r="DC12" i="85" a="1"/>
  <c r="DC12" i="85" s="1"/>
  <c r="DB12" i="85" a="1"/>
  <c r="DB12" i="85" s="1"/>
  <c r="DA12" i="85" a="1"/>
  <c r="DA12" i="85" s="1"/>
  <c r="CZ12" i="85" a="1"/>
  <c r="CZ12" i="85" s="1"/>
  <c r="CY12" i="85" a="1"/>
  <c r="CY12" i="85" s="1"/>
  <c r="CX12" i="85" a="1"/>
  <c r="CX12" i="85" s="1"/>
  <c r="CW12" i="85" a="1"/>
  <c r="CW12" i="85" s="1"/>
  <c r="CV12" i="85" a="1"/>
  <c r="CV12" i="85" s="1"/>
  <c r="CU12" i="85" a="1"/>
  <c r="CU12" i="85" s="1"/>
  <c r="CT12" i="85" a="1"/>
  <c r="CT12" i="85" s="1"/>
  <c r="CS12" i="85" a="1"/>
  <c r="CS12" i="85" s="1"/>
  <c r="CR12" i="85" a="1"/>
  <c r="CR12" i="85" s="1"/>
  <c r="CQ12" i="85" a="1"/>
  <c r="CQ12" i="85" s="1"/>
  <c r="CP12" i="85" a="1"/>
  <c r="CP12" i="85" s="1"/>
  <c r="CO12" i="85" a="1"/>
  <c r="CO12" i="85" s="1"/>
  <c r="CN12" i="85" a="1"/>
  <c r="CN12" i="85" s="1"/>
  <c r="CM12" i="85" a="1"/>
  <c r="CM12" i="85" s="1"/>
  <c r="CL12" i="85" a="1"/>
  <c r="CL12" i="85" s="1"/>
  <c r="CK12" i="85" a="1"/>
  <c r="CK12" i="85" s="1"/>
  <c r="CJ12" i="85" a="1"/>
  <c r="CJ12" i="85" s="1"/>
  <c r="CI12" i="85" a="1"/>
  <c r="CI12" i="85" s="1"/>
  <c r="CH12" i="85" a="1"/>
  <c r="CH12" i="85" s="1"/>
  <c r="CG12" i="85" a="1"/>
  <c r="CG12" i="85" s="1"/>
  <c r="CF12" i="85" a="1"/>
  <c r="CF12" i="85" s="1"/>
  <c r="CE12" i="85" a="1"/>
  <c r="CE12" i="85" s="1"/>
  <c r="CD12" i="85" a="1"/>
  <c r="CD12" i="85" s="1"/>
  <c r="CC12" i="85" a="1"/>
  <c r="CC12" i="85" s="1"/>
  <c r="CB12" i="85" a="1"/>
  <c r="CB12" i="85" s="1"/>
  <c r="CA12" i="85" a="1"/>
  <c r="CA12" i="85" s="1"/>
  <c r="BZ12" i="85" a="1"/>
  <c r="BZ12" i="85" s="1"/>
  <c r="BY12" i="85" a="1"/>
  <c r="BY12" i="85" s="1"/>
  <c r="BX12" i="85" a="1"/>
  <c r="BX12" i="85" s="1"/>
  <c r="BW12" i="85" a="1"/>
  <c r="BW12" i="85" s="1"/>
  <c r="BV12" i="85" a="1"/>
  <c r="BV12" i="85" s="1"/>
  <c r="BU12" i="85" a="1"/>
  <c r="BU12" i="85" s="1"/>
  <c r="BT12" i="85" a="1"/>
  <c r="BT12" i="85" s="1"/>
  <c r="BS12" i="85" a="1"/>
  <c r="BS12" i="85" s="1"/>
  <c r="BR12" i="85" a="1"/>
  <c r="BR12" i="85" s="1"/>
  <c r="BQ12" i="85" a="1"/>
  <c r="BQ12" i="85" s="1"/>
  <c r="BP12" i="85" a="1"/>
  <c r="BP12" i="85" s="1"/>
  <c r="DV11" i="85" a="1"/>
  <c r="DV11" i="85" s="1"/>
  <c r="DU11" i="85" a="1"/>
  <c r="DU11" i="85" s="1"/>
  <c r="DT11" i="85" a="1"/>
  <c r="DT11" i="85" s="1"/>
  <c r="DS11" i="85" a="1"/>
  <c r="DS11" i="85" s="1"/>
  <c r="DR11" i="85" a="1"/>
  <c r="DR11" i="85" s="1"/>
  <c r="DQ11" i="85" a="1"/>
  <c r="DQ11" i="85" s="1"/>
  <c r="DP11" i="85" a="1"/>
  <c r="DP11" i="85" s="1"/>
  <c r="DO11" i="85" a="1"/>
  <c r="DO11" i="85" s="1"/>
  <c r="DN11" i="85" a="1"/>
  <c r="DN11" i="85" s="1"/>
  <c r="DM11" i="85" a="1"/>
  <c r="DM11" i="85" s="1"/>
  <c r="DL11" i="85" a="1"/>
  <c r="DL11" i="85" s="1"/>
  <c r="DK11" i="85" a="1"/>
  <c r="DK11" i="85" s="1"/>
  <c r="DJ11" i="85" a="1"/>
  <c r="DJ11" i="85" s="1"/>
  <c r="DI11" i="85" a="1"/>
  <c r="DI11" i="85" s="1"/>
  <c r="DH11" i="85" a="1"/>
  <c r="DH11" i="85" s="1"/>
  <c r="DG11" i="85" a="1"/>
  <c r="DG11" i="85" s="1"/>
  <c r="DF11" i="85" a="1"/>
  <c r="DF11" i="85" s="1"/>
  <c r="DE11" i="85" a="1"/>
  <c r="DE11" i="85" s="1"/>
  <c r="DD11" i="85" a="1"/>
  <c r="DD11" i="85" s="1"/>
  <c r="DC11" i="85" a="1"/>
  <c r="DC11" i="85" s="1"/>
  <c r="DB11" i="85" a="1"/>
  <c r="DB11" i="85" s="1"/>
  <c r="DA11" i="85" a="1"/>
  <c r="DA11" i="85" s="1"/>
  <c r="CZ11" i="85" a="1"/>
  <c r="CZ11" i="85" s="1"/>
  <c r="CY11" i="85" a="1"/>
  <c r="CY11" i="85" s="1"/>
  <c r="CX11" i="85" a="1"/>
  <c r="CX11" i="85" s="1"/>
  <c r="CW11" i="85" a="1"/>
  <c r="CW11" i="85" s="1"/>
  <c r="CV11" i="85" a="1"/>
  <c r="CV11" i="85" s="1"/>
  <c r="CU11" i="85" a="1"/>
  <c r="CU11" i="85" s="1"/>
  <c r="CT11" i="85" a="1"/>
  <c r="CT11" i="85" s="1"/>
  <c r="CS11" i="85" a="1"/>
  <c r="CS11" i="85" s="1"/>
  <c r="CR11" i="85" a="1"/>
  <c r="CR11" i="85" s="1"/>
  <c r="CQ11" i="85" a="1"/>
  <c r="CQ11" i="85" s="1"/>
  <c r="CP11" i="85" a="1"/>
  <c r="CP11" i="85" s="1"/>
  <c r="CO11" i="85" a="1"/>
  <c r="CO11" i="85" s="1"/>
  <c r="CN11" i="85" a="1"/>
  <c r="CN11" i="85" s="1"/>
  <c r="CM11" i="85" a="1"/>
  <c r="CM11" i="85" s="1"/>
  <c r="CL11" i="85" a="1"/>
  <c r="CL11" i="85" s="1"/>
  <c r="CK11" i="85" a="1"/>
  <c r="CK11" i="85" s="1"/>
  <c r="CJ11" i="85" a="1"/>
  <c r="CJ11" i="85" s="1"/>
  <c r="CI11" i="85" a="1"/>
  <c r="CI11" i="85" s="1"/>
  <c r="CH11" i="85" a="1"/>
  <c r="CH11" i="85" s="1"/>
  <c r="CG11" i="85" a="1"/>
  <c r="CG11" i="85" s="1"/>
  <c r="CF11" i="85" a="1"/>
  <c r="CF11" i="85" s="1"/>
  <c r="CE11" i="85" a="1"/>
  <c r="CE11" i="85" s="1"/>
  <c r="CD11" i="85" a="1"/>
  <c r="CD11" i="85" s="1"/>
  <c r="CC11" i="85" a="1"/>
  <c r="CC11" i="85" s="1"/>
  <c r="CB11" i="85" a="1"/>
  <c r="CB11" i="85" s="1"/>
  <c r="CA11" i="85" a="1"/>
  <c r="CA11" i="85" s="1"/>
  <c r="BZ11" i="85" a="1"/>
  <c r="BZ11" i="85" s="1"/>
  <c r="BY11" i="85" a="1"/>
  <c r="BY11" i="85" s="1"/>
  <c r="BX11" i="85" a="1"/>
  <c r="BX11" i="85" s="1"/>
  <c r="BW11" i="85" a="1"/>
  <c r="BW11" i="85" s="1"/>
  <c r="BV11" i="85" a="1"/>
  <c r="BV11" i="85" s="1"/>
  <c r="BU11" i="85" a="1"/>
  <c r="BU11" i="85" s="1"/>
  <c r="BT11" i="85" a="1"/>
  <c r="BT11" i="85" s="1"/>
  <c r="BS11" i="85" a="1"/>
  <c r="BS11" i="85" s="1"/>
  <c r="BR11" i="85" a="1"/>
  <c r="BR11" i="85" s="1"/>
  <c r="BQ11" i="85" a="1"/>
  <c r="BQ11" i="85" s="1"/>
  <c r="BP11" i="85" a="1"/>
  <c r="BP11" i="85" s="1"/>
  <c r="DV10" i="85" a="1"/>
  <c r="DV10" i="85" s="1"/>
  <c r="DU10" i="85" a="1"/>
  <c r="DU10" i="85" s="1"/>
  <c r="DT10" i="85" a="1"/>
  <c r="DT10" i="85" s="1"/>
  <c r="DS10" i="85" a="1"/>
  <c r="DS10" i="85" s="1"/>
  <c r="DR10" i="85" a="1"/>
  <c r="DR10" i="85" s="1"/>
  <c r="DQ10" i="85" a="1"/>
  <c r="DQ10" i="85" s="1"/>
  <c r="DP10" i="85" a="1"/>
  <c r="DP10" i="85" s="1"/>
  <c r="DO10" i="85" a="1"/>
  <c r="DO10" i="85" s="1"/>
  <c r="DN10" i="85" a="1"/>
  <c r="DN10" i="85" s="1"/>
  <c r="DM10" i="85" a="1"/>
  <c r="DM10" i="85" s="1"/>
  <c r="DL10" i="85" a="1"/>
  <c r="DL10" i="85" s="1"/>
  <c r="DK10" i="85" a="1"/>
  <c r="DK10" i="85" s="1"/>
  <c r="DJ10" i="85" a="1"/>
  <c r="DJ10" i="85" s="1"/>
  <c r="DI10" i="85" a="1"/>
  <c r="DI10" i="85" s="1"/>
  <c r="DH10" i="85"/>
  <c r="DH10" i="85" a="1"/>
  <c r="DG10" i="85" a="1"/>
  <c r="DG10" i="85" s="1"/>
  <c r="DF10" i="85" a="1"/>
  <c r="DF10" i="85" s="1"/>
  <c r="DE10" i="85" a="1"/>
  <c r="DE10" i="85" s="1"/>
  <c r="DD10" i="85" a="1"/>
  <c r="DD10" i="85" s="1"/>
  <c r="DC10" i="85" a="1"/>
  <c r="DC10" i="85" s="1"/>
  <c r="DB10" i="85" a="1"/>
  <c r="DB10" i="85" s="1"/>
  <c r="DA10" i="85" a="1"/>
  <c r="DA10" i="85" s="1"/>
  <c r="CZ10" i="85" a="1"/>
  <c r="CZ10" i="85" s="1"/>
  <c r="CY10" i="85" a="1"/>
  <c r="CY10" i="85" s="1"/>
  <c r="CX10" i="85" a="1"/>
  <c r="CX10" i="85" s="1"/>
  <c r="CW10" i="85" a="1"/>
  <c r="CW10" i="85" s="1"/>
  <c r="CV10" i="85" a="1"/>
  <c r="CV10" i="85" s="1"/>
  <c r="CU10" i="85" a="1"/>
  <c r="CU10" i="85" s="1"/>
  <c r="CT10" i="85" a="1"/>
  <c r="CT10" i="85" s="1"/>
  <c r="CS10" i="85" a="1"/>
  <c r="CS10" i="85" s="1"/>
  <c r="CR10" i="85" a="1"/>
  <c r="CR10" i="85" s="1"/>
  <c r="CQ10" i="85" a="1"/>
  <c r="CQ10" i="85" s="1"/>
  <c r="CP10" i="85"/>
  <c r="CP10" i="85" a="1"/>
  <c r="CO10" i="85" a="1"/>
  <c r="CO10" i="85" s="1"/>
  <c r="CN10" i="85" a="1"/>
  <c r="CN10" i="85" s="1"/>
  <c r="CM10" i="85" a="1"/>
  <c r="CM10" i="85" s="1"/>
  <c r="CL10" i="85" a="1"/>
  <c r="CL10" i="85" s="1"/>
  <c r="CK10" i="85" a="1"/>
  <c r="CK10" i="85" s="1"/>
  <c r="CJ10" i="85" a="1"/>
  <c r="CJ10" i="85" s="1"/>
  <c r="CI10" i="85" a="1"/>
  <c r="CI10" i="85" s="1"/>
  <c r="CH10" i="85" a="1"/>
  <c r="CH10" i="85" s="1"/>
  <c r="CG10" i="85" a="1"/>
  <c r="CG10" i="85" s="1"/>
  <c r="CF10" i="85" a="1"/>
  <c r="CF10" i="85" s="1"/>
  <c r="CE10" i="85" a="1"/>
  <c r="CE10" i="85" s="1"/>
  <c r="CD10" i="85" a="1"/>
  <c r="CD10" i="85" s="1"/>
  <c r="CC10" i="85" a="1"/>
  <c r="CC10" i="85" s="1"/>
  <c r="CB10" i="85" a="1"/>
  <c r="CB10" i="85" s="1"/>
  <c r="CA10" i="85" a="1"/>
  <c r="CA10" i="85" s="1"/>
  <c r="BZ10" i="85" a="1"/>
  <c r="BZ10" i="85" s="1"/>
  <c r="BY10" i="85" a="1"/>
  <c r="BY10" i="85" s="1"/>
  <c r="BX10" i="85" a="1"/>
  <c r="BX10" i="85" s="1"/>
  <c r="BW10" i="85" a="1"/>
  <c r="BW10" i="85" s="1"/>
  <c r="BV10" i="85" a="1"/>
  <c r="BV10" i="85" s="1"/>
  <c r="BU10" i="85" a="1"/>
  <c r="BU10" i="85" s="1"/>
  <c r="BT10" i="85" a="1"/>
  <c r="BT10" i="85" s="1"/>
  <c r="BS10" i="85" a="1"/>
  <c r="BS10" i="85" s="1"/>
  <c r="BR10" i="85" a="1"/>
  <c r="BR10" i="85" s="1"/>
  <c r="BQ10" i="85" a="1"/>
  <c r="BQ10" i="85" s="1"/>
  <c r="BP10" i="85" a="1"/>
  <c r="BP10" i="85" s="1"/>
  <c r="DV9" i="85" a="1"/>
  <c r="DV9" i="85" s="1"/>
  <c r="DU9" i="85" a="1"/>
  <c r="DU9" i="85" s="1"/>
  <c r="DT9" i="85" a="1"/>
  <c r="DT9" i="85" s="1"/>
  <c r="DS9" i="85" a="1"/>
  <c r="DS9" i="85" s="1"/>
  <c r="DR9" i="85" a="1"/>
  <c r="DR9" i="85" s="1"/>
  <c r="DQ9" i="85" a="1"/>
  <c r="DQ9" i="85" s="1"/>
  <c r="DP9" i="85" a="1"/>
  <c r="DP9" i="85" s="1"/>
  <c r="DO9" i="85" a="1"/>
  <c r="DO9" i="85" s="1"/>
  <c r="DN9" i="85" a="1"/>
  <c r="DN9" i="85" s="1"/>
  <c r="DM9" i="85" a="1"/>
  <c r="DM9" i="85" s="1"/>
  <c r="DL9" i="85" a="1"/>
  <c r="DL9" i="85" s="1"/>
  <c r="DK9" i="85" a="1"/>
  <c r="DK9" i="85" s="1"/>
  <c r="DJ9" i="85" a="1"/>
  <c r="DJ9" i="85" s="1"/>
  <c r="DI9" i="85" a="1"/>
  <c r="DI9" i="85" s="1"/>
  <c r="DH9" i="85" a="1"/>
  <c r="DH9" i="85" s="1"/>
  <c r="DG9" i="85" a="1"/>
  <c r="DG9" i="85" s="1"/>
  <c r="DF9" i="85" a="1"/>
  <c r="DF9" i="85" s="1"/>
  <c r="DE9" i="85" a="1"/>
  <c r="DE9" i="85" s="1"/>
  <c r="DD9" i="85" a="1"/>
  <c r="DD9" i="85" s="1"/>
  <c r="DC9" i="85" a="1"/>
  <c r="DC9" i="85" s="1"/>
  <c r="DB9" i="85" a="1"/>
  <c r="DB9" i="85" s="1"/>
  <c r="DA9" i="85" a="1"/>
  <c r="DA9" i="85" s="1"/>
  <c r="CZ9" i="85" a="1"/>
  <c r="CZ9" i="85" s="1"/>
  <c r="CY9" i="85" a="1"/>
  <c r="CY9" i="85" s="1"/>
  <c r="CX9" i="85" a="1"/>
  <c r="CX9" i="85" s="1"/>
  <c r="CW9" i="85" a="1"/>
  <c r="CW9" i="85" s="1"/>
  <c r="CV9" i="85" a="1"/>
  <c r="CV9" i="85" s="1"/>
  <c r="CU9" i="85"/>
  <c r="CU9" i="85" a="1"/>
  <c r="CT9" i="85" a="1"/>
  <c r="CT9" i="85" s="1"/>
  <c r="CS9" i="85" a="1"/>
  <c r="CS9" i="85" s="1"/>
  <c r="CR9" i="85" a="1"/>
  <c r="CR9" i="85" s="1"/>
  <c r="CQ9" i="85" a="1"/>
  <c r="CQ9" i="85" s="1"/>
  <c r="CP9" i="85" a="1"/>
  <c r="CP9" i="85" s="1"/>
  <c r="CO9" i="85" a="1"/>
  <c r="CO9" i="85" s="1"/>
  <c r="CN9" i="85" a="1"/>
  <c r="CN9" i="85" s="1"/>
  <c r="CM9" i="85" a="1"/>
  <c r="CM9" i="85" s="1"/>
  <c r="CL9" i="85" a="1"/>
  <c r="CL9" i="85" s="1"/>
  <c r="CK9" i="85" a="1"/>
  <c r="CK9" i="85" s="1"/>
  <c r="CJ9" i="85" a="1"/>
  <c r="CJ9" i="85" s="1"/>
  <c r="CI9" i="85" a="1"/>
  <c r="CI9" i="85" s="1"/>
  <c r="CH9" i="85" a="1"/>
  <c r="CH9" i="85" s="1"/>
  <c r="CG9" i="85" a="1"/>
  <c r="CG9" i="85" s="1"/>
  <c r="CF9" i="85" a="1"/>
  <c r="CF9" i="85" s="1"/>
  <c r="CE9" i="85" a="1"/>
  <c r="CE9" i="85" s="1"/>
  <c r="CD9" i="85" a="1"/>
  <c r="CD9" i="85" s="1"/>
  <c r="CC9" i="85"/>
  <c r="CC9" i="85" a="1"/>
  <c r="CB9" i="85" a="1"/>
  <c r="CB9" i="85" s="1"/>
  <c r="CA9" i="85" a="1"/>
  <c r="CA9" i="85" s="1"/>
  <c r="BZ9" i="85" a="1"/>
  <c r="BZ9" i="85" s="1"/>
  <c r="BY9" i="85" a="1"/>
  <c r="BY9" i="85" s="1"/>
  <c r="BX9" i="85" a="1"/>
  <c r="BX9" i="85" s="1"/>
  <c r="BW9" i="85" a="1"/>
  <c r="BW9" i="85" s="1"/>
  <c r="BV9" i="85" a="1"/>
  <c r="BV9" i="85" s="1"/>
  <c r="BU9" i="85" a="1"/>
  <c r="BU9" i="85" s="1"/>
  <c r="BT9" i="85" a="1"/>
  <c r="BT9" i="85" s="1"/>
  <c r="BS9" i="85" a="1"/>
  <c r="BS9" i="85" s="1"/>
  <c r="BR9" i="85" a="1"/>
  <c r="BR9" i="85" s="1"/>
  <c r="BQ9" i="85" a="1"/>
  <c r="BQ9" i="85" s="1"/>
  <c r="BP9" i="85" a="1"/>
  <c r="BP9" i="85" s="1"/>
  <c r="DV8" i="85" a="1"/>
  <c r="DV8" i="85" s="1"/>
  <c r="DU8" i="85" a="1"/>
  <c r="DU8" i="85" s="1"/>
  <c r="DT8" i="85" a="1"/>
  <c r="DT8" i="85" s="1"/>
  <c r="DS8" i="85" a="1"/>
  <c r="DS8" i="85" s="1"/>
  <c r="DR8" i="85" a="1"/>
  <c r="DR8" i="85" s="1"/>
  <c r="DQ8" i="85" a="1"/>
  <c r="DQ8" i="85" s="1"/>
  <c r="DP8" i="85" a="1"/>
  <c r="DP8" i="85" s="1"/>
  <c r="DO8" i="85" a="1"/>
  <c r="DO8" i="85" s="1"/>
  <c r="DN8" i="85"/>
  <c r="DN8" i="85" a="1"/>
  <c r="DM8" i="85" a="1"/>
  <c r="DM8" i="85" s="1"/>
  <c r="DL8" i="85" a="1"/>
  <c r="DL8" i="85" s="1"/>
  <c r="DK8" i="85" a="1"/>
  <c r="DK8" i="85" s="1"/>
  <c r="DJ8" i="85" a="1"/>
  <c r="DJ8" i="85" s="1"/>
  <c r="DI8" i="85" a="1"/>
  <c r="DI8" i="85" s="1"/>
  <c r="DH8" i="85" a="1"/>
  <c r="DH8" i="85" s="1"/>
  <c r="DG8" i="85" a="1"/>
  <c r="DG8" i="85" s="1"/>
  <c r="DF8" i="85" a="1"/>
  <c r="DF8" i="85" s="1"/>
  <c r="DE8" i="85" a="1"/>
  <c r="DE8" i="85" s="1"/>
  <c r="DD8" i="85" a="1"/>
  <c r="DD8" i="85" s="1"/>
  <c r="DC8" i="85" a="1"/>
  <c r="DC8" i="85" s="1"/>
  <c r="DB8" i="85" a="1"/>
  <c r="DB8" i="85" s="1"/>
  <c r="DA8" i="85" a="1"/>
  <c r="DA8" i="85" s="1"/>
  <c r="CZ8" i="85" a="1"/>
  <c r="CZ8" i="85" s="1"/>
  <c r="CY8" i="85" a="1"/>
  <c r="CY8" i="85" s="1"/>
  <c r="CX8" i="85" a="1"/>
  <c r="CX8" i="85" s="1"/>
  <c r="CW8" i="85" a="1"/>
  <c r="CW8" i="85" s="1"/>
  <c r="CV8" i="85" a="1"/>
  <c r="CV8" i="85" s="1"/>
  <c r="CU8" i="85" a="1"/>
  <c r="CU8" i="85" s="1"/>
  <c r="CT8" i="85" a="1"/>
  <c r="CT8" i="85" s="1"/>
  <c r="CS8" i="85" a="1"/>
  <c r="CS8" i="85" s="1"/>
  <c r="CR8" i="85" a="1"/>
  <c r="CR8" i="85" s="1"/>
  <c r="CQ8" i="85" a="1"/>
  <c r="CQ8" i="85" s="1"/>
  <c r="CP8" i="85" a="1"/>
  <c r="CP8" i="85" s="1"/>
  <c r="CO8" i="85" a="1"/>
  <c r="CO8" i="85" s="1"/>
  <c r="CN8" i="85" a="1"/>
  <c r="CN8" i="85" s="1"/>
  <c r="CM8" i="85" a="1"/>
  <c r="CM8" i="85" s="1"/>
  <c r="CL8" i="85" a="1"/>
  <c r="CL8" i="85" s="1"/>
  <c r="CK8" i="85" a="1"/>
  <c r="CK8" i="85" s="1"/>
  <c r="CJ8" i="85" a="1"/>
  <c r="CJ8" i="85" s="1"/>
  <c r="CI8" i="85" a="1"/>
  <c r="CI8" i="85" s="1"/>
  <c r="CH8" i="85" a="1"/>
  <c r="CH8" i="85" s="1"/>
  <c r="CG8" i="85" a="1"/>
  <c r="CG8" i="85" s="1"/>
  <c r="CF8" i="85" a="1"/>
  <c r="CF8" i="85" s="1"/>
  <c r="CE8" i="85" a="1"/>
  <c r="CE8" i="85" s="1"/>
  <c r="CD8" i="85" a="1"/>
  <c r="CD8" i="85" s="1"/>
  <c r="CC8" i="85" a="1"/>
  <c r="CC8" i="85" s="1"/>
  <c r="CB8" i="85" a="1"/>
  <c r="CB8" i="85" s="1"/>
  <c r="CA8" i="85" a="1"/>
  <c r="CA8" i="85" s="1"/>
  <c r="BZ8" i="85" a="1"/>
  <c r="BZ8" i="85" s="1"/>
  <c r="BY8" i="85" a="1"/>
  <c r="BY8" i="85" s="1"/>
  <c r="BX8" i="85" a="1"/>
  <c r="BX8" i="85" s="1"/>
  <c r="BW8" i="85" a="1"/>
  <c r="BW8" i="85" s="1"/>
  <c r="BV8" i="85" a="1"/>
  <c r="BV8" i="85" s="1"/>
  <c r="BU8" i="85" a="1"/>
  <c r="BU8" i="85" s="1"/>
  <c r="BT8" i="85" a="1"/>
  <c r="BT8" i="85" s="1"/>
  <c r="BS8" i="85" a="1"/>
  <c r="BS8" i="85" s="1"/>
  <c r="BR8" i="85" a="1"/>
  <c r="BR8" i="85" s="1"/>
  <c r="BQ8" i="85"/>
  <c r="BQ8" i="85" a="1"/>
  <c r="BP8" i="85" a="1"/>
  <c r="BP8" i="85" s="1"/>
  <c r="DV7" i="85" a="1"/>
  <c r="DV7" i="85" s="1"/>
  <c r="DU7" i="85" a="1"/>
  <c r="DU7" i="85" s="1"/>
  <c r="DT7" i="85" a="1"/>
  <c r="DT7" i="85" s="1"/>
  <c r="DS7" i="85" a="1"/>
  <c r="DS7" i="85" s="1"/>
  <c r="DR7" i="85" a="1"/>
  <c r="DR7" i="85" s="1"/>
  <c r="DQ7" i="85" a="1"/>
  <c r="DQ7" i="85" s="1"/>
  <c r="DP7" i="85" a="1"/>
  <c r="DP7" i="85" s="1"/>
  <c r="DO7" i="85" a="1"/>
  <c r="DO7" i="85" s="1"/>
  <c r="DN7" i="85" a="1"/>
  <c r="DN7" i="85" s="1"/>
  <c r="DM7" i="85" a="1"/>
  <c r="DM7" i="85" s="1"/>
  <c r="DL7" i="85" a="1"/>
  <c r="DL7" i="85" s="1"/>
  <c r="DK7" i="85"/>
  <c r="DK7" i="85" a="1"/>
  <c r="DJ7" i="85" a="1"/>
  <c r="DJ7" i="85" s="1"/>
  <c r="DI7" i="85" a="1"/>
  <c r="DI7" i="85" s="1"/>
  <c r="DH7" i="85" a="1"/>
  <c r="DH7" i="85" s="1"/>
  <c r="DG7" i="85" a="1"/>
  <c r="DG7" i="85" s="1"/>
  <c r="DF7" i="85" a="1"/>
  <c r="DF7" i="85" s="1"/>
  <c r="DE7" i="85"/>
  <c r="DE7" i="85" a="1"/>
  <c r="DD7" i="85" a="1"/>
  <c r="DD7" i="85" s="1"/>
  <c r="DC7" i="85" a="1"/>
  <c r="DC7" i="85" s="1"/>
  <c r="DB7" i="85" a="1"/>
  <c r="DB7" i="85" s="1"/>
  <c r="DA7" i="85" a="1"/>
  <c r="DA7" i="85" s="1"/>
  <c r="CZ7" i="85"/>
  <c r="CZ7" i="85" a="1"/>
  <c r="CY7" i="85"/>
  <c r="CY7" i="85" a="1"/>
  <c r="CX7" i="85" a="1"/>
  <c r="CX7" i="85" s="1"/>
  <c r="CW7" i="85" a="1"/>
  <c r="CW7" i="85" s="1"/>
  <c r="CV7" i="85" a="1"/>
  <c r="CV7" i="85" s="1"/>
  <c r="CU7" i="85" a="1"/>
  <c r="CU7" i="85" s="1"/>
  <c r="CT7" i="85" a="1"/>
  <c r="CT7" i="85" s="1"/>
  <c r="CS7" i="85" a="1"/>
  <c r="CS7" i="85" s="1"/>
  <c r="CR7" i="85" a="1"/>
  <c r="CR7" i="85" s="1"/>
  <c r="CQ7" i="85" a="1"/>
  <c r="CQ7" i="85" s="1"/>
  <c r="CP7" i="85" a="1"/>
  <c r="CP7" i="85" s="1"/>
  <c r="CO7" i="85" a="1"/>
  <c r="CO7" i="85" s="1"/>
  <c r="CN7" i="85" a="1"/>
  <c r="CN7" i="85" s="1"/>
  <c r="CM7" i="85"/>
  <c r="CM7" i="85" a="1"/>
  <c r="CL7" i="85" a="1"/>
  <c r="CL7" i="85" s="1"/>
  <c r="CK7" i="85" a="1"/>
  <c r="CK7" i="85" s="1"/>
  <c r="CJ7" i="85" a="1"/>
  <c r="CJ7" i="85" s="1"/>
  <c r="CI7" i="85" a="1"/>
  <c r="CI7" i="85" s="1"/>
  <c r="CH7" i="85" a="1"/>
  <c r="CH7" i="85" s="1"/>
  <c r="CG7" i="85"/>
  <c r="CG7" i="85" a="1"/>
  <c r="CF7" i="85" a="1"/>
  <c r="CF7" i="85" s="1"/>
  <c r="CE7" i="85" a="1"/>
  <c r="CE7" i="85" s="1"/>
  <c r="CD7" i="85" a="1"/>
  <c r="CD7" i="85" s="1"/>
  <c r="CC7" i="85" a="1"/>
  <c r="CC7" i="85" s="1"/>
  <c r="CB7" i="85"/>
  <c r="CB7" i="85" a="1"/>
  <c r="CA7" i="85"/>
  <c r="CA7" i="85" a="1"/>
  <c r="BZ7" i="85" a="1"/>
  <c r="BZ7" i="85" s="1"/>
  <c r="BY7" i="85" a="1"/>
  <c r="BY7" i="85" s="1"/>
  <c r="BX7" i="85" a="1"/>
  <c r="BX7" i="85" s="1"/>
  <c r="BW7" i="85" a="1"/>
  <c r="BW7" i="85" s="1"/>
  <c r="BV7" i="85" a="1"/>
  <c r="BV7" i="85" s="1"/>
  <c r="BU7" i="85" a="1"/>
  <c r="BU7" i="85" s="1"/>
  <c r="BT7" i="85" a="1"/>
  <c r="BT7" i="85" s="1"/>
  <c r="BS7" i="85" a="1"/>
  <c r="BS7" i="85" s="1"/>
  <c r="BR7" i="85" a="1"/>
  <c r="BR7" i="85" s="1"/>
  <c r="BQ7" i="85" a="1"/>
  <c r="BQ7" i="85" s="1"/>
  <c r="BP7" i="85"/>
  <c r="BP7" i="85" a="1"/>
  <c r="DV6" i="85"/>
  <c r="DU6" i="85"/>
  <c r="DT6" i="85"/>
  <c r="DS6" i="85"/>
  <c r="DR6" i="85"/>
  <c r="DQ6" i="85"/>
  <c r="DP6" i="85"/>
  <c r="DO6" i="85"/>
  <c r="DN6" i="85"/>
  <c r="DM6" i="85"/>
  <c r="DL6" i="85"/>
  <c r="DK6" i="85"/>
  <c r="DJ6" i="85"/>
  <c r="DI6" i="85"/>
  <c r="DH6" i="85"/>
  <c r="DG6" i="85"/>
  <c r="DF6" i="85"/>
  <c r="DE6" i="85"/>
  <c r="DD6" i="85"/>
  <c r="DC6" i="85"/>
  <c r="DB6" i="85"/>
  <c r="DA6" i="85"/>
  <c r="CZ6" i="85"/>
  <c r="CY6" i="85"/>
  <c r="CX6" i="85"/>
  <c r="CW6" i="85"/>
  <c r="CV6" i="85"/>
  <c r="CU6" i="85"/>
  <c r="CT6" i="85"/>
  <c r="CS6" i="85"/>
  <c r="CR6" i="85"/>
  <c r="CQ6" i="85"/>
  <c r="CP6" i="85"/>
  <c r="CO6" i="85"/>
  <c r="CN6" i="85"/>
  <c r="CM6" i="85"/>
  <c r="CL6" i="85"/>
  <c r="CK6" i="85"/>
  <c r="CJ6" i="85"/>
  <c r="CI6" i="85"/>
  <c r="CH6" i="85"/>
  <c r="CG6" i="85"/>
  <c r="CF6" i="85"/>
  <c r="CE6" i="85"/>
  <c r="CD6" i="85"/>
  <c r="CC6" i="85"/>
  <c r="CB6" i="85"/>
  <c r="CA6" i="85"/>
  <c r="BZ6" i="85"/>
  <c r="BY6" i="85"/>
  <c r="BX6" i="85"/>
  <c r="BW6" i="85"/>
  <c r="BV6" i="85"/>
  <c r="BU6" i="85"/>
  <c r="BT6" i="85"/>
  <c r="BS6" i="85"/>
  <c r="BR6" i="85"/>
  <c r="BQ6" i="85"/>
  <c r="BP6" i="85"/>
  <c r="DV5" i="85"/>
  <c r="DU5" i="85"/>
  <c r="DT5" i="85"/>
  <c r="DS5" i="85"/>
  <c r="DR5" i="85"/>
  <c r="DQ5" i="85"/>
  <c r="DP5" i="85"/>
  <c r="DO5" i="85"/>
  <c r="DN5" i="85"/>
  <c r="DM5" i="85"/>
  <c r="DL5" i="85"/>
  <c r="DK5" i="85"/>
  <c r="DJ5" i="85"/>
  <c r="DI5" i="85"/>
  <c r="DH5" i="85"/>
  <c r="DG5" i="85"/>
  <c r="DF5" i="85"/>
  <c r="DE5" i="85"/>
  <c r="DD5" i="85"/>
  <c r="DC5" i="85"/>
  <c r="DB5" i="85"/>
  <c r="DA5" i="85"/>
  <c r="CZ5" i="85"/>
  <c r="CY5" i="85"/>
  <c r="CX5" i="85"/>
  <c r="CW5" i="85"/>
  <c r="CV5" i="85"/>
  <c r="CU5" i="85"/>
  <c r="CT5" i="85"/>
  <c r="CS5" i="85"/>
  <c r="CR5" i="85"/>
  <c r="CQ5" i="85"/>
  <c r="CP5" i="85"/>
  <c r="CO5" i="85"/>
  <c r="CN5" i="85"/>
  <c r="CM5" i="85"/>
  <c r="CL5" i="85"/>
  <c r="CK5" i="85"/>
  <c r="CJ5" i="85"/>
  <c r="CI5" i="85"/>
  <c r="CH5" i="85"/>
  <c r="CG5" i="85"/>
  <c r="CF5" i="85"/>
  <c r="CE5" i="85"/>
  <c r="CD5" i="85"/>
  <c r="CC5" i="85"/>
  <c r="CB5" i="85"/>
  <c r="CA5" i="85"/>
  <c r="BZ5" i="85"/>
  <c r="BY5" i="85"/>
  <c r="BX5" i="85"/>
  <c r="BW5" i="85"/>
  <c r="BV5" i="85"/>
  <c r="BU5" i="85"/>
  <c r="BT5" i="85"/>
  <c r="BS5" i="85"/>
  <c r="BR5" i="85"/>
  <c r="BQ5" i="85"/>
  <c r="BP5" i="85"/>
  <c r="DV4" i="85" a="1"/>
  <c r="DV4" i="85" s="1"/>
  <c r="DU4" i="85" a="1"/>
  <c r="DU4" i="85" s="1"/>
  <c r="DT4" i="85" a="1"/>
  <c r="DT4" i="85" s="1"/>
  <c r="DS4" i="85" a="1"/>
  <c r="DS4" i="85" s="1"/>
  <c r="DR4" i="85" a="1"/>
  <c r="DR4" i="85" s="1"/>
  <c r="DQ4" i="85" a="1"/>
  <c r="DQ4" i="85" s="1"/>
  <c r="DP4" i="85" a="1"/>
  <c r="DP4" i="85" s="1"/>
  <c r="DO4" i="85" a="1"/>
  <c r="DO4" i="85" s="1"/>
  <c r="DN4" i="85" a="1"/>
  <c r="DN4" i="85" s="1"/>
  <c r="DM4" i="85" a="1"/>
  <c r="DM4" i="85" s="1"/>
  <c r="DL4" i="85" a="1"/>
  <c r="DL4" i="85" s="1"/>
  <c r="DK4" i="85" a="1"/>
  <c r="DK4" i="85" s="1"/>
  <c r="DJ4" i="85" a="1"/>
  <c r="DJ4" i="85" s="1"/>
  <c r="DI4" i="85" a="1"/>
  <c r="DI4" i="85" s="1"/>
  <c r="DH4" i="85" a="1"/>
  <c r="DH4" i="85" s="1"/>
  <c r="DG4" i="85" a="1"/>
  <c r="DG4" i="85" s="1"/>
  <c r="DF4" i="85" a="1"/>
  <c r="DF4" i="85" s="1"/>
  <c r="DE4" i="85" a="1"/>
  <c r="DE4" i="85" s="1"/>
  <c r="DD4" i="85" a="1"/>
  <c r="DD4" i="85" s="1"/>
  <c r="DC4" i="85" a="1"/>
  <c r="DC4" i="85" s="1"/>
  <c r="DB4" i="85" a="1"/>
  <c r="DB4" i="85" s="1"/>
  <c r="DA4" i="85" a="1"/>
  <c r="DA4" i="85" s="1"/>
  <c r="CZ4" i="85" a="1"/>
  <c r="CZ4" i="85" s="1"/>
  <c r="CY4" i="85" a="1"/>
  <c r="CY4" i="85" s="1"/>
  <c r="CX4" i="85" a="1"/>
  <c r="CX4" i="85" s="1"/>
  <c r="CW4" i="85" a="1"/>
  <c r="CW4" i="85" s="1"/>
  <c r="CV4" i="85" a="1"/>
  <c r="CV4" i="85" s="1"/>
  <c r="CU4" i="85" a="1"/>
  <c r="CU4" i="85" s="1"/>
  <c r="CT4" i="85" a="1"/>
  <c r="CT4" i="85" s="1"/>
  <c r="CS4" i="85" a="1"/>
  <c r="CS4" i="85" s="1"/>
  <c r="CR4" i="85" a="1"/>
  <c r="CR4" i="85" s="1"/>
  <c r="CQ4" i="85" a="1"/>
  <c r="CQ4" i="85" s="1"/>
  <c r="CP4" i="85" a="1"/>
  <c r="CP4" i="85" s="1"/>
  <c r="CO4" i="85" a="1"/>
  <c r="CO4" i="85" s="1"/>
  <c r="CN4" i="85" a="1"/>
  <c r="CN4" i="85" s="1"/>
  <c r="CM4" i="85" a="1"/>
  <c r="CM4" i="85" s="1"/>
  <c r="CL4" i="85" a="1"/>
  <c r="CL4" i="85" s="1"/>
  <c r="CK4" i="85" a="1"/>
  <c r="CK4" i="85" s="1"/>
  <c r="CJ4" i="85" a="1"/>
  <c r="CJ4" i="85" s="1"/>
  <c r="CI4" i="85" a="1"/>
  <c r="CI4" i="85" s="1"/>
  <c r="CH4" i="85" a="1"/>
  <c r="CH4" i="85" s="1"/>
  <c r="CG4" i="85" a="1"/>
  <c r="CG4" i="85" s="1"/>
  <c r="CF4" i="85" a="1"/>
  <c r="CF4" i="85" s="1"/>
  <c r="CE4" i="85" a="1"/>
  <c r="CE4" i="85" s="1"/>
  <c r="CD4" i="85" a="1"/>
  <c r="CD4" i="85" s="1"/>
  <c r="CC4" i="85" a="1"/>
  <c r="CC4" i="85" s="1"/>
  <c r="CB4" i="85" a="1"/>
  <c r="CB4" i="85" s="1"/>
  <c r="CA4" i="85" a="1"/>
  <c r="CA4" i="85" s="1"/>
  <c r="BZ4" i="85" a="1"/>
  <c r="BZ4" i="85" s="1"/>
  <c r="BY4" i="85" a="1"/>
  <c r="BY4" i="85" s="1"/>
  <c r="BX4" i="85" a="1"/>
  <c r="BX4" i="85" s="1"/>
  <c r="BW4" i="85" a="1"/>
  <c r="BW4" i="85" s="1"/>
  <c r="BV4" i="85" a="1"/>
  <c r="BV4" i="85" s="1"/>
  <c r="BU4" i="85" a="1"/>
  <c r="BU4" i="85" s="1"/>
  <c r="BT4" i="85" a="1"/>
  <c r="BT4" i="85" s="1"/>
  <c r="BS4" i="85" a="1"/>
  <c r="BS4" i="85" s="1"/>
  <c r="BR4" i="85" a="1"/>
  <c r="BR4" i="85" s="1"/>
  <c r="BQ4" i="85" a="1"/>
  <c r="BQ4" i="85" s="1"/>
  <c r="BP4" i="85" a="1"/>
  <c r="BP4" i="85" s="1"/>
  <c r="DV3" i="85" a="1"/>
  <c r="DV3" i="85" s="1"/>
  <c r="DU3" i="85" a="1"/>
  <c r="DU3" i="85" s="1"/>
  <c r="DT3" i="85" a="1"/>
  <c r="DT3" i="85" s="1"/>
  <c r="DS3" i="85" a="1"/>
  <c r="DS3" i="85" s="1"/>
  <c r="DR3" i="85" a="1"/>
  <c r="DR3" i="85" s="1"/>
  <c r="DQ3" i="85" a="1"/>
  <c r="DQ3" i="85" s="1"/>
  <c r="DP3" i="85" a="1"/>
  <c r="DP3" i="85" s="1"/>
  <c r="DO3" i="85" a="1"/>
  <c r="DO3" i="85" s="1"/>
  <c r="DN3" i="85" a="1"/>
  <c r="DN3" i="85" s="1"/>
  <c r="DM3" i="85" a="1"/>
  <c r="DM3" i="85" s="1"/>
  <c r="DL3" i="85" a="1"/>
  <c r="DL3" i="85" s="1"/>
  <c r="DK3" i="85" a="1"/>
  <c r="DK3" i="85" s="1"/>
  <c r="DJ3" i="85" a="1"/>
  <c r="DJ3" i="85" s="1"/>
  <c r="DI3" i="85" a="1"/>
  <c r="DI3" i="85" s="1"/>
  <c r="DH3" i="85" a="1"/>
  <c r="DH3" i="85" s="1"/>
  <c r="DG3" i="85" a="1"/>
  <c r="DG3" i="85" s="1"/>
  <c r="DF3" i="85" a="1"/>
  <c r="DF3" i="85" s="1"/>
  <c r="DE3" i="85" a="1"/>
  <c r="DE3" i="85" s="1"/>
  <c r="DD3" i="85" a="1"/>
  <c r="DD3" i="85" s="1"/>
  <c r="DC3" i="85" a="1"/>
  <c r="DC3" i="85" s="1"/>
  <c r="DB3" i="85" a="1"/>
  <c r="DB3" i="85" s="1"/>
  <c r="DA3" i="85" a="1"/>
  <c r="DA3" i="85" s="1"/>
  <c r="CZ3" i="85" a="1"/>
  <c r="CZ3" i="85" s="1"/>
  <c r="CY3" i="85" a="1"/>
  <c r="CY3" i="85" s="1"/>
  <c r="CX3" i="85" a="1"/>
  <c r="CX3" i="85" s="1"/>
  <c r="CW3" i="85" a="1"/>
  <c r="CW3" i="85" s="1"/>
  <c r="CV3" i="85" a="1"/>
  <c r="CV3" i="85" s="1"/>
  <c r="CU3" i="85" a="1"/>
  <c r="CU3" i="85" s="1"/>
  <c r="CT3" i="85" a="1"/>
  <c r="CT3" i="85" s="1"/>
  <c r="CS3" i="85" a="1"/>
  <c r="CS3" i="85" s="1"/>
  <c r="CR3" i="85" a="1"/>
  <c r="CR3" i="85" s="1"/>
  <c r="CQ3" i="85" a="1"/>
  <c r="CQ3" i="85" s="1"/>
  <c r="CP3" i="85" a="1"/>
  <c r="CP3" i="85" s="1"/>
  <c r="CO3" i="85" a="1"/>
  <c r="CO3" i="85" s="1"/>
  <c r="CN3" i="85" a="1"/>
  <c r="CN3" i="85" s="1"/>
  <c r="CM3" i="85" a="1"/>
  <c r="CM3" i="85" s="1"/>
  <c r="CL3" i="85" a="1"/>
  <c r="CL3" i="85" s="1"/>
  <c r="CK3" i="85" a="1"/>
  <c r="CK3" i="85" s="1"/>
  <c r="CJ3" i="85" a="1"/>
  <c r="CJ3" i="85" s="1"/>
  <c r="CI3" i="85" a="1"/>
  <c r="CI3" i="85" s="1"/>
  <c r="CH3" i="85" a="1"/>
  <c r="CH3" i="85" s="1"/>
  <c r="CG3" i="85" a="1"/>
  <c r="CG3" i="85" s="1"/>
  <c r="CF3" i="85" a="1"/>
  <c r="CF3" i="85" s="1"/>
  <c r="CE3" i="85" a="1"/>
  <c r="CE3" i="85" s="1"/>
  <c r="CD3" i="85" a="1"/>
  <c r="CD3" i="85" s="1"/>
  <c r="CC3" i="85" a="1"/>
  <c r="CC3" i="85" s="1"/>
  <c r="CB3" i="85" a="1"/>
  <c r="CB3" i="85" s="1"/>
  <c r="CA3" i="85" a="1"/>
  <c r="CA3" i="85" s="1"/>
  <c r="BZ3" i="85" a="1"/>
  <c r="BZ3" i="85" s="1"/>
  <c r="BY3" i="85" a="1"/>
  <c r="BY3" i="85" s="1"/>
  <c r="BX3" i="85" a="1"/>
  <c r="BX3" i="85" s="1"/>
  <c r="BW3" i="85" a="1"/>
  <c r="BW3" i="85" s="1"/>
  <c r="BV3" i="85" a="1"/>
  <c r="BV3" i="85" s="1"/>
  <c r="BU3" i="85" a="1"/>
  <c r="BU3" i="85" s="1"/>
  <c r="BT3" i="85" a="1"/>
  <c r="BT3" i="85" s="1"/>
  <c r="BS3" i="85" a="1"/>
  <c r="BS3" i="85" s="1"/>
  <c r="BR3" i="85" a="1"/>
  <c r="BR3" i="85" s="1"/>
  <c r="BQ3" i="85" a="1"/>
  <c r="BQ3" i="85" s="1"/>
  <c r="BP3" i="85" a="1"/>
  <c r="BP3" i="85" s="1"/>
  <c r="P7" i="80" l="1"/>
  <c r="E614" i="80"/>
  <c r="D28" i="28" a="1"/>
  <c r="D28" i="28" s="1"/>
  <c r="D27" i="28" a="1"/>
  <c r="D27" i="28" s="1"/>
  <c r="D26" i="28" a="1"/>
  <c r="D26" i="28" s="1"/>
  <c r="D25" i="28" a="1"/>
  <c r="D25" i="28" s="1"/>
  <c r="D24" i="28" a="1"/>
  <c r="D24" i="28" s="1"/>
  <c r="D23" i="28" a="1"/>
  <c r="D23" i="28" s="1"/>
  <c r="D18" i="30"/>
  <c r="Q10" i="32" l="1" a="1"/>
  <c r="Q10" i="32" s="1"/>
  <c r="R10" i="32"/>
  <c r="S10" i="32"/>
  <c r="T10" i="32"/>
  <c r="U10" i="32"/>
  <c r="Q11" i="32" a="1"/>
  <c r="Q11" i="32" s="1"/>
  <c r="R11" i="32"/>
  <c r="S11" i="32"/>
  <c r="T11" i="32"/>
  <c r="U11" i="32"/>
  <c r="Q12" i="32" a="1"/>
  <c r="Q12" i="32" s="1"/>
  <c r="R12" i="32"/>
  <c r="S12" i="32"/>
  <c r="T12" i="32"/>
  <c r="U12" i="32"/>
  <c r="Q13" i="32" a="1"/>
  <c r="Q13" i="32" s="1"/>
  <c r="R13" i="32"/>
  <c r="S13" i="32"/>
  <c r="T13" i="32"/>
  <c r="U13" i="32"/>
  <c r="Q14" i="32" a="1"/>
  <c r="Q14" i="32" s="1"/>
  <c r="R14" i="32"/>
  <c r="S14" i="32"/>
  <c r="T14" i="32"/>
  <c r="U14" i="32"/>
  <c r="Q15" i="32" a="1"/>
  <c r="Q15" i="32" s="1"/>
  <c r="R15" i="32"/>
  <c r="S15" i="32"/>
  <c r="T15" i="32"/>
  <c r="U15" i="32"/>
  <c r="Q16" i="32" a="1"/>
  <c r="Q16" i="32" s="1"/>
  <c r="R16" i="32"/>
  <c r="S16" i="32"/>
  <c r="T16" i="32"/>
  <c r="U16" i="32"/>
  <c r="Q17" i="32" a="1"/>
  <c r="Q17" i="32" s="1"/>
  <c r="R17" i="32"/>
  <c r="S17" i="32"/>
  <c r="T17" i="32"/>
  <c r="U17" i="32"/>
  <c r="Q18" i="32" a="1"/>
  <c r="Q18" i="32" s="1"/>
  <c r="R18" i="32"/>
  <c r="S18" i="32"/>
  <c r="T18" i="32"/>
  <c r="U18" i="32"/>
  <c r="Q19" i="32" a="1"/>
  <c r="Q19" i="32" s="1"/>
  <c r="R19" i="32"/>
  <c r="S19" i="32"/>
  <c r="T19" i="32"/>
  <c r="U19" i="32"/>
  <c r="Q20" i="32" a="1"/>
  <c r="Q20" i="32" s="1"/>
  <c r="R20" i="32"/>
  <c r="S20" i="32"/>
  <c r="T20" i="32"/>
  <c r="U20" i="32"/>
  <c r="Q21" i="32" a="1"/>
  <c r="Q21" i="32" s="1"/>
  <c r="R21" i="32"/>
  <c r="S21" i="32"/>
  <c r="T21" i="32"/>
  <c r="U21" i="32"/>
  <c r="Q22" i="32" a="1"/>
  <c r="Q22" i="32" s="1"/>
  <c r="R22" i="32"/>
  <c r="S22" i="32"/>
  <c r="T22" i="32"/>
  <c r="U22" i="32"/>
  <c r="Q23" i="32" a="1"/>
  <c r="Q23" i="32" s="1"/>
  <c r="R23" i="32"/>
  <c r="S23" i="32"/>
  <c r="T23" i="32"/>
  <c r="U23" i="32"/>
  <c r="Q24" i="32" a="1"/>
  <c r="Q24" i="32" s="1"/>
  <c r="R24" i="32"/>
  <c r="S24" i="32"/>
  <c r="T24" i="32"/>
  <c r="U24" i="32"/>
  <c r="Q25" i="32" a="1"/>
  <c r="Q25" i="32" s="1"/>
  <c r="R25" i="32"/>
  <c r="S25" i="32"/>
  <c r="T25" i="32"/>
  <c r="U25" i="32"/>
  <c r="Q26" i="32" a="1"/>
  <c r="Q26" i="32" s="1"/>
  <c r="R26" i="32"/>
  <c r="S26" i="32"/>
  <c r="T26" i="32"/>
  <c r="U26" i="32"/>
  <c r="Q27" i="32" a="1"/>
  <c r="Q27" i="32" s="1"/>
  <c r="R27" i="32"/>
  <c r="S27" i="32"/>
  <c r="T27" i="32"/>
  <c r="U27" i="32"/>
  <c r="Q28" i="32" a="1"/>
  <c r="Q28" i="32" s="1"/>
  <c r="R28" i="32"/>
  <c r="S28" i="32"/>
  <c r="T28" i="32"/>
  <c r="U28" i="32"/>
  <c r="Q29" i="32" a="1"/>
  <c r="Q29" i="32" s="1"/>
  <c r="R29" i="32"/>
  <c r="S29" i="32"/>
  <c r="T29" i="32"/>
  <c r="U29" i="32"/>
  <c r="Q30" i="32" a="1"/>
  <c r="Q30" i="32" s="1"/>
  <c r="R30" i="32"/>
  <c r="S30" i="32"/>
  <c r="T30" i="32"/>
  <c r="U30" i="32"/>
  <c r="Q31" i="32" a="1"/>
  <c r="Q31" i="32" s="1"/>
  <c r="R31" i="32"/>
  <c r="S31" i="32"/>
  <c r="T31" i="32"/>
  <c r="U31" i="32"/>
  <c r="Q32" i="32" a="1"/>
  <c r="Q32" i="32" s="1"/>
  <c r="R32" i="32"/>
  <c r="S32" i="32"/>
  <c r="T32" i="32"/>
  <c r="U32" i="32"/>
  <c r="Q33" i="32" a="1"/>
  <c r="Q33" i="32" s="1"/>
  <c r="R33" i="32"/>
  <c r="S33" i="32"/>
  <c r="T33" i="32"/>
  <c r="U33" i="32"/>
  <c r="Q34" i="32" a="1"/>
  <c r="Q34" i="32" s="1"/>
  <c r="R34" i="32"/>
  <c r="S34" i="32"/>
  <c r="T34" i="32"/>
  <c r="U34" i="32"/>
  <c r="Q35" i="32" a="1"/>
  <c r="Q35" i="32" s="1"/>
  <c r="R35" i="32"/>
  <c r="S35" i="32"/>
  <c r="T35" i="32"/>
  <c r="U35" i="32"/>
  <c r="Q36" i="32" a="1"/>
  <c r="Q36" i="32" s="1"/>
  <c r="R36" i="32"/>
  <c r="S36" i="32"/>
  <c r="T36" i="32"/>
  <c r="U36" i="32"/>
  <c r="Q37" i="32" a="1"/>
  <c r="Q37" i="32" s="1"/>
  <c r="R37" i="32"/>
  <c r="S37" i="32"/>
  <c r="T37" i="32"/>
  <c r="U37" i="32"/>
  <c r="Q38" i="32" a="1"/>
  <c r="Q38" i="32" s="1"/>
  <c r="R38" i="32"/>
  <c r="S38" i="32"/>
  <c r="T38" i="32"/>
  <c r="U38" i="32"/>
  <c r="Q39" i="32" a="1"/>
  <c r="Q39" i="32" s="1"/>
  <c r="R39" i="32"/>
  <c r="S39" i="32"/>
  <c r="T39" i="32"/>
  <c r="U39" i="32"/>
  <c r="Q40" i="32" a="1"/>
  <c r="Q40" i="32" s="1"/>
  <c r="R40" i="32"/>
  <c r="S40" i="32"/>
  <c r="T40" i="32"/>
  <c r="U40" i="32"/>
  <c r="Q41" i="32" a="1"/>
  <c r="Q41" i="32" s="1"/>
  <c r="R41" i="32"/>
  <c r="S41" i="32"/>
  <c r="T41" i="32"/>
  <c r="U41" i="32"/>
  <c r="Q42" i="32" a="1"/>
  <c r="Q42" i="32" s="1"/>
  <c r="R42" i="32"/>
  <c r="S42" i="32"/>
  <c r="T42" i="32"/>
  <c r="U42" i="32"/>
  <c r="Q43" i="32" a="1"/>
  <c r="Q43" i="32" s="1"/>
  <c r="R43" i="32"/>
  <c r="S43" i="32"/>
  <c r="T43" i="32"/>
  <c r="U43" i="32"/>
  <c r="Q44" i="32" a="1"/>
  <c r="Q44" i="32" s="1"/>
  <c r="R44" i="32"/>
  <c r="S44" i="32"/>
  <c r="T44" i="32"/>
  <c r="U44" i="32"/>
  <c r="Q45" i="32" a="1"/>
  <c r="Q45" i="32" s="1"/>
  <c r="R45" i="32"/>
  <c r="S45" i="32"/>
  <c r="T45" i="32"/>
  <c r="U45" i="32"/>
  <c r="Q46" i="32" a="1"/>
  <c r="Q46" i="32" s="1"/>
  <c r="R46" i="32"/>
  <c r="S46" i="32"/>
  <c r="T46" i="32"/>
  <c r="U46" i="32"/>
  <c r="Q47" i="32" a="1"/>
  <c r="Q47" i="32" s="1"/>
  <c r="R47" i="32"/>
  <c r="S47" i="32"/>
  <c r="T47" i="32"/>
  <c r="U47" i="32"/>
  <c r="Q48" i="32" a="1"/>
  <c r="Q48" i="32" s="1"/>
  <c r="R48" i="32"/>
  <c r="S48" i="32"/>
  <c r="T48" i="32"/>
  <c r="U48" i="32"/>
  <c r="Q49" i="32" a="1"/>
  <c r="Q49" i="32" s="1"/>
  <c r="R49" i="32"/>
  <c r="S49" i="32"/>
  <c r="T49" i="32"/>
  <c r="U49" i="32"/>
  <c r="Q50" i="32" a="1"/>
  <c r="Q50" i="32" s="1"/>
  <c r="R50" i="32"/>
  <c r="S50" i="32"/>
  <c r="T50" i="32"/>
  <c r="U50" i="32"/>
  <c r="Q51" i="32" a="1"/>
  <c r="Q51" i="32" s="1"/>
  <c r="R51" i="32"/>
  <c r="S51" i="32"/>
  <c r="T51" i="32"/>
  <c r="U51" i="32"/>
  <c r="Q52" i="32" a="1"/>
  <c r="Q52" i="32" s="1"/>
  <c r="R52" i="32"/>
  <c r="S52" i="32"/>
  <c r="T52" i="32"/>
  <c r="U52" i="32"/>
  <c r="Q53" i="32" a="1"/>
  <c r="Q53" i="32" s="1"/>
  <c r="R53" i="32"/>
  <c r="S53" i="32"/>
  <c r="T53" i="32"/>
  <c r="U53" i="32"/>
  <c r="Q54" i="32" a="1"/>
  <c r="Q54" i="32" s="1"/>
  <c r="R54" i="32"/>
  <c r="S54" i="32"/>
  <c r="T54" i="32"/>
  <c r="U54" i="32"/>
  <c r="Q55" i="32" a="1"/>
  <c r="Q55" i="32" s="1"/>
  <c r="R55" i="32"/>
  <c r="S55" i="32"/>
  <c r="T55" i="32"/>
  <c r="U55" i="32"/>
  <c r="Q56" i="32" a="1"/>
  <c r="Q56" i="32" s="1"/>
  <c r="R56" i="32"/>
  <c r="S56" i="32"/>
  <c r="T56" i="32"/>
  <c r="U56" i="32"/>
  <c r="Q57" i="32" a="1"/>
  <c r="Q57" i="32" s="1"/>
  <c r="R57" i="32"/>
  <c r="S57" i="32"/>
  <c r="T57" i="32"/>
  <c r="U57" i="32"/>
  <c r="Q58" i="32" a="1"/>
  <c r="Q58" i="32" s="1"/>
  <c r="R58" i="32"/>
  <c r="S58" i="32"/>
  <c r="T58" i="32"/>
  <c r="U58" i="32"/>
  <c r="Q59" i="32" a="1"/>
  <c r="Q59" i="32" s="1"/>
  <c r="R59" i="32"/>
  <c r="S59" i="32"/>
  <c r="T59" i="32"/>
  <c r="U59" i="32"/>
  <c r="Q60" i="32" a="1"/>
  <c r="Q60" i="32" s="1"/>
  <c r="R60" i="32"/>
  <c r="S60" i="32"/>
  <c r="T60" i="32"/>
  <c r="U60" i="32"/>
  <c r="Q61" i="32" a="1"/>
  <c r="Q61" i="32" s="1"/>
  <c r="R61" i="32"/>
  <c r="S61" i="32"/>
  <c r="T61" i="32"/>
  <c r="U61" i="32"/>
  <c r="Q62" i="32" a="1"/>
  <c r="Q62" i="32" s="1"/>
  <c r="R62" i="32"/>
  <c r="S62" i="32"/>
  <c r="T62" i="32"/>
  <c r="U62" i="32"/>
  <c r="Q63" i="32" a="1"/>
  <c r="Q63" i="32" s="1"/>
  <c r="R63" i="32"/>
  <c r="S63" i="32"/>
  <c r="T63" i="32"/>
  <c r="U63" i="32"/>
  <c r="Q64" i="32" a="1"/>
  <c r="Q64" i="32" s="1"/>
  <c r="R64" i="32"/>
  <c r="S64" i="32"/>
  <c r="T64" i="32"/>
  <c r="U64" i="32"/>
  <c r="Q65" i="32" a="1"/>
  <c r="Q65" i="32" s="1"/>
  <c r="R65" i="32"/>
  <c r="S65" i="32"/>
  <c r="T65" i="32"/>
  <c r="U65" i="32"/>
  <c r="Q66" i="32" a="1"/>
  <c r="Q66" i="32" s="1"/>
  <c r="R66" i="32"/>
  <c r="S66" i="32"/>
  <c r="T66" i="32"/>
  <c r="U66" i="32"/>
  <c r="Q67" i="32" a="1"/>
  <c r="Q67" i="32" s="1"/>
  <c r="R67" i="32"/>
  <c r="S67" i="32"/>
  <c r="T67" i="32"/>
  <c r="U67" i="32"/>
  <c r="Q68" i="32" a="1"/>
  <c r="Q68" i="32" s="1"/>
  <c r="R68" i="32"/>
  <c r="S68" i="32"/>
  <c r="T68" i="32"/>
  <c r="U68" i="32"/>
  <c r="Q69" i="32" a="1"/>
  <c r="Q69" i="32" s="1"/>
  <c r="R69" i="32"/>
  <c r="S69" i="32"/>
  <c r="T69" i="32"/>
  <c r="U69" i="32"/>
  <c r="Q70" i="32" a="1"/>
  <c r="Q70" i="32" s="1"/>
  <c r="R70" i="32"/>
  <c r="S70" i="32"/>
  <c r="T70" i="32"/>
  <c r="U70" i="32"/>
  <c r="Q71" i="32" a="1"/>
  <c r="Q71" i="32" s="1"/>
  <c r="R71" i="32"/>
  <c r="S71" i="32"/>
  <c r="T71" i="32"/>
  <c r="U71" i="32"/>
  <c r="Q72" i="32" a="1"/>
  <c r="Q72" i="32" s="1"/>
  <c r="R72" i="32"/>
  <c r="S72" i="32"/>
  <c r="T72" i="32"/>
  <c r="U72" i="32"/>
  <c r="Q73" i="32" a="1"/>
  <c r="Q73" i="32" s="1"/>
  <c r="R73" i="32"/>
  <c r="S73" i="32"/>
  <c r="T73" i="32"/>
  <c r="U73" i="32"/>
  <c r="Q74" i="32" a="1"/>
  <c r="Q74" i="32" s="1"/>
  <c r="R74" i="32"/>
  <c r="S74" i="32"/>
  <c r="T74" i="32"/>
  <c r="U74" i="32"/>
  <c r="Q75" i="32" a="1"/>
  <c r="Q75" i="32" s="1"/>
  <c r="R75" i="32"/>
  <c r="S75" i="32"/>
  <c r="T75" i="32"/>
  <c r="U75" i="32"/>
  <c r="Q76" i="32" a="1"/>
  <c r="Q76" i="32" s="1"/>
  <c r="R76" i="32"/>
  <c r="S76" i="32"/>
  <c r="T76" i="32"/>
  <c r="U76" i="32"/>
  <c r="Q77" i="32" a="1"/>
  <c r="Q77" i="32" s="1"/>
  <c r="R77" i="32"/>
  <c r="S77" i="32"/>
  <c r="T77" i="32"/>
  <c r="U77" i="32"/>
  <c r="Q78" i="32" a="1"/>
  <c r="Q78" i="32" s="1"/>
  <c r="R78" i="32"/>
  <c r="S78" i="32"/>
  <c r="T78" i="32"/>
  <c r="U78" i="32"/>
  <c r="Q79" i="32" a="1"/>
  <c r="Q79" i="32" s="1"/>
  <c r="R79" i="32"/>
  <c r="S79" i="32"/>
  <c r="T79" i="32"/>
  <c r="U79" i="32"/>
  <c r="Q80" i="32" a="1"/>
  <c r="Q80" i="32" s="1"/>
  <c r="R80" i="32"/>
  <c r="S80" i="32"/>
  <c r="T80" i="32"/>
  <c r="U80" i="32"/>
  <c r="Q81" i="32" a="1"/>
  <c r="Q81" i="32" s="1"/>
  <c r="R81" i="32"/>
  <c r="S81" i="32"/>
  <c r="T81" i="32"/>
  <c r="U81" i="32"/>
  <c r="Q82" i="32" a="1"/>
  <c r="Q82" i="32" s="1"/>
  <c r="R82" i="32"/>
  <c r="S82" i="32"/>
  <c r="T82" i="32"/>
  <c r="U82" i="32"/>
  <c r="Q83" i="32" a="1"/>
  <c r="Q83" i="32" s="1"/>
  <c r="R83" i="32"/>
  <c r="S83" i="32"/>
  <c r="T83" i="32"/>
  <c r="U83" i="32"/>
  <c r="Q84" i="32" a="1"/>
  <c r="Q84" i="32" s="1"/>
  <c r="R84" i="32"/>
  <c r="S84" i="32"/>
  <c r="T84" i="32"/>
  <c r="U84" i="32"/>
  <c r="Q85" i="32" a="1"/>
  <c r="Q85" i="32" s="1"/>
  <c r="R85" i="32"/>
  <c r="S85" i="32"/>
  <c r="T85" i="32"/>
  <c r="U85" i="32"/>
  <c r="Q86" i="32" a="1"/>
  <c r="Q86" i="32" s="1"/>
  <c r="R86" i="32"/>
  <c r="S86" i="32"/>
  <c r="T86" i="32"/>
  <c r="U86" i="32"/>
  <c r="Q87" i="32" a="1"/>
  <c r="Q87" i="32" s="1"/>
  <c r="R87" i="32"/>
  <c r="S87" i="32"/>
  <c r="T87" i="32"/>
  <c r="U87" i="32"/>
  <c r="Q88" i="32" a="1"/>
  <c r="Q88" i="32" s="1"/>
  <c r="R88" i="32"/>
  <c r="S88" i="32"/>
  <c r="T88" i="32"/>
  <c r="U88" i="32"/>
  <c r="Q89" i="32" a="1"/>
  <c r="Q89" i="32" s="1"/>
  <c r="R89" i="32"/>
  <c r="S89" i="32"/>
  <c r="T89" i="32"/>
  <c r="U89" i="32"/>
  <c r="Q90" i="32" a="1"/>
  <c r="Q90" i="32" s="1"/>
  <c r="R90" i="32"/>
  <c r="S90" i="32"/>
  <c r="T90" i="32"/>
  <c r="U90" i="32"/>
  <c r="Q91" i="32" a="1"/>
  <c r="Q91" i="32" s="1"/>
  <c r="R91" i="32"/>
  <c r="S91" i="32"/>
  <c r="T91" i="32"/>
  <c r="U91" i="32"/>
  <c r="Q92" i="32" a="1"/>
  <c r="Q92" i="32" s="1"/>
  <c r="R92" i="32"/>
  <c r="S92" i="32"/>
  <c r="T92" i="32"/>
  <c r="U92" i="32"/>
  <c r="Q93" i="32" a="1"/>
  <c r="Q93" i="32" s="1"/>
  <c r="R93" i="32"/>
  <c r="S93" i="32"/>
  <c r="T93" i="32"/>
  <c r="U93" i="32"/>
  <c r="Q94" i="32" a="1"/>
  <c r="Q94" i="32" s="1"/>
  <c r="R94" i="32"/>
  <c r="S94" i="32"/>
  <c r="T94" i="32"/>
  <c r="U94" i="32"/>
  <c r="Q95" i="32" a="1"/>
  <c r="Q95" i="32" s="1"/>
  <c r="R95" i="32"/>
  <c r="S95" i="32"/>
  <c r="T95" i="32"/>
  <c r="U95" i="32"/>
  <c r="Q96" i="32" a="1"/>
  <c r="Q96" i="32" s="1"/>
  <c r="R96" i="32"/>
  <c r="S96" i="32"/>
  <c r="T96" i="32"/>
  <c r="U96" i="32"/>
  <c r="Q97" i="32" a="1"/>
  <c r="Q97" i="32" s="1"/>
  <c r="R97" i="32"/>
  <c r="S97" i="32"/>
  <c r="T97" i="32"/>
  <c r="U97" i="32"/>
  <c r="Q98" i="32" a="1"/>
  <c r="Q98" i="32" s="1"/>
  <c r="R98" i="32"/>
  <c r="S98" i="32"/>
  <c r="T98" i="32"/>
  <c r="U98" i="32"/>
  <c r="Q99" i="32" a="1"/>
  <c r="Q99" i="32" s="1"/>
  <c r="R99" i="32"/>
  <c r="S99" i="32"/>
  <c r="T99" i="32"/>
  <c r="U99" i="32"/>
  <c r="Q100" i="32" a="1"/>
  <c r="Q100" i="32" s="1"/>
  <c r="R100" i="32"/>
  <c r="S100" i="32"/>
  <c r="T100" i="32"/>
  <c r="U100" i="32"/>
  <c r="Q101" i="32" a="1"/>
  <c r="Q101" i="32" s="1"/>
  <c r="R101" i="32"/>
  <c r="S101" i="32"/>
  <c r="T101" i="32"/>
  <c r="U101" i="32"/>
  <c r="Q102" i="32" a="1"/>
  <c r="Q102" i="32" s="1"/>
  <c r="R102" i="32"/>
  <c r="S102" i="32"/>
  <c r="T102" i="32"/>
  <c r="U102" i="32"/>
  <c r="Q103" i="32" a="1"/>
  <c r="Q103" i="32" s="1"/>
  <c r="R103" i="32"/>
  <c r="S103" i="32"/>
  <c r="T103" i="32"/>
  <c r="U103" i="32"/>
  <c r="Q104" i="32" a="1"/>
  <c r="Q104" i="32" s="1"/>
  <c r="R104" i="32"/>
  <c r="S104" i="32"/>
  <c r="T104" i="32"/>
  <c r="U104" i="32"/>
  <c r="Q105" i="32" a="1"/>
  <c r="Q105" i="32" s="1"/>
  <c r="R105" i="32"/>
  <c r="S105" i="32"/>
  <c r="T105" i="32"/>
  <c r="U105" i="32"/>
  <c r="Q106" i="32" a="1"/>
  <c r="Q106" i="32" s="1"/>
  <c r="R106" i="32"/>
  <c r="S106" i="32"/>
  <c r="T106" i="32"/>
  <c r="U106" i="32"/>
  <c r="Q107" i="32" a="1"/>
  <c r="Q107" i="32" s="1"/>
  <c r="R107" i="32"/>
  <c r="S107" i="32"/>
  <c r="T107" i="32"/>
  <c r="U107" i="32"/>
  <c r="Q108" i="32" a="1"/>
  <c r="Q108" i="32" s="1"/>
  <c r="R108" i="32"/>
  <c r="S108" i="32"/>
  <c r="T108" i="32"/>
  <c r="U108" i="32"/>
  <c r="Q109" i="32" a="1"/>
  <c r="Q109" i="32" s="1"/>
  <c r="R109" i="32"/>
  <c r="S109" i="32"/>
  <c r="T109" i="32"/>
  <c r="U109" i="32"/>
  <c r="Q110" i="32" a="1"/>
  <c r="Q110" i="32" s="1"/>
  <c r="R110" i="32"/>
  <c r="S110" i="32"/>
  <c r="T110" i="32"/>
  <c r="U110" i="32"/>
  <c r="Q111" i="32" a="1"/>
  <c r="Q111" i="32" s="1"/>
  <c r="R111" i="32"/>
  <c r="S111" i="32"/>
  <c r="T111" i="32"/>
  <c r="U111" i="32"/>
  <c r="Q112" i="32" a="1"/>
  <c r="Q112" i="32" s="1"/>
  <c r="R112" i="32"/>
  <c r="S112" i="32"/>
  <c r="T112" i="32"/>
  <c r="U112" i="32"/>
  <c r="Q113" i="32" a="1"/>
  <c r="Q113" i="32" s="1"/>
  <c r="R113" i="32"/>
  <c r="S113" i="32"/>
  <c r="T113" i="32"/>
  <c r="U113" i="32"/>
  <c r="Q114" i="32" a="1"/>
  <c r="Q114" i="32" s="1"/>
  <c r="R114" i="32"/>
  <c r="S114" i="32"/>
  <c r="T114" i="32"/>
  <c r="U114" i="32"/>
  <c r="Q115" i="32" a="1"/>
  <c r="Q115" i="32" s="1"/>
  <c r="R115" i="32"/>
  <c r="S115" i="32"/>
  <c r="T115" i="32"/>
  <c r="U115" i="32"/>
  <c r="Q116" i="32" a="1"/>
  <c r="Q116" i="32" s="1"/>
  <c r="R116" i="32"/>
  <c r="S116" i="32"/>
  <c r="T116" i="32"/>
  <c r="U116" i="32"/>
  <c r="Q117" i="32" a="1"/>
  <c r="Q117" i="32" s="1"/>
  <c r="R117" i="32"/>
  <c r="S117" i="32"/>
  <c r="T117" i="32"/>
  <c r="U117" i="32"/>
  <c r="Q118" i="32" a="1"/>
  <c r="Q118" i="32" s="1"/>
  <c r="R118" i="32"/>
  <c r="S118" i="32"/>
  <c r="T118" i="32"/>
  <c r="U118" i="32"/>
  <c r="Q119" i="32" a="1"/>
  <c r="Q119" i="32" s="1"/>
  <c r="R119" i="32"/>
  <c r="S119" i="32"/>
  <c r="T119" i="32"/>
  <c r="U119" i="32"/>
  <c r="Q120" i="32" a="1"/>
  <c r="Q120" i="32" s="1"/>
  <c r="R120" i="32"/>
  <c r="S120" i="32"/>
  <c r="T120" i="32"/>
  <c r="U120" i="32"/>
  <c r="Q121" i="32" a="1"/>
  <c r="Q121" i="32" s="1"/>
  <c r="R121" i="32"/>
  <c r="S121" i="32"/>
  <c r="T121" i="32"/>
  <c r="U121" i="32"/>
  <c r="Q122" i="32" a="1"/>
  <c r="Q122" i="32" s="1"/>
  <c r="R122" i="32"/>
  <c r="S122" i="32"/>
  <c r="T122" i="32"/>
  <c r="U122" i="32"/>
  <c r="Q123" i="32" a="1"/>
  <c r="Q123" i="32" s="1"/>
  <c r="R123" i="32"/>
  <c r="S123" i="32"/>
  <c r="T123" i="32"/>
  <c r="U123" i="32"/>
  <c r="Q124" i="32" a="1"/>
  <c r="Q124" i="32" s="1"/>
  <c r="R124" i="32"/>
  <c r="S124" i="32"/>
  <c r="T124" i="32"/>
  <c r="U124" i="32"/>
  <c r="Q125" i="32" a="1"/>
  <c r="Q125" i="32" s="1"/>
  <c r="R125" i="32"/>
  <c r="S125" i="32"/>
  <c r="T125" i="32"/>
  <c r="U125" i="32"/>
  <c r="Q126" i="32" a="1"/>
  <c r="Q126" i="32" s="1"/>
  <c r="R126" i="32"/>
  <c r="S126" i="32"/>
  <c r="T126" i="32"/>
  <c r="U126" i="32"/>
  <c r="Q127" i="32" a="1"/>
  <c r="Q127" i="32" s="1"/>
  <c r="R127" i="32"/>
  <c r="S127" i="32"/>
  <c r="T127" i="32"/>
  <c r="U127" i="32"/>
  <c r="Q128" i="32" a="1"/>
  <c r="Q128" i="32" s="1"/>
  <c r="R128" i="32"/>
  <c r="S128" i="32"/>
  <c r="T128" i="32"/>
  <c r="U128" i="32"/>
  <c r="Q129" i="32" a="1"/>
  <c r="Q129" i="32" s="1"/>
  <c r="R129" i="32"/>
  <c r="S129" i="32"/>
  <c r="T129" i="32"/>
  <c r="U129" i="32"/>
  <c r="Q130" i="32" a="1"/>
  <c r="Q130" i="32" s="1"/>
  <c r="R130" i="32"/>
  <c r="S130" i="32"/>
  <c r="T130" i="32"/>
  <c r="U130" i="32"/>
  <c r="Q131" i="32" a="1"/>
  <c r="Q131" i="32" s="1"/>
  <c r="R131" i="32"/>
  <c r="S131" i="32"/>
  <c r="T131" i="32"/>
  <c r="U131" i="32"/>
  <c r="Q132" i="32" a="1"/>
  <c r="Q132" i="32" s="1"/>
  <c r="R132" i="32"/>
  <c r="S132" i="32"/>
  <c r="T132" i="32"/>
  <c r="U132" i="32"/>
  <c r="Q133" i="32" a="1"/>
  <c r="Q133" i="32" s="1"/>
  <c r="R133" i="32"/>
  <c r="S133" i="32"/>
  <c r="T133" i="32"/>
  <c r="U133" i="32"/>
  <c r="Q134" i="32" a="1"/>
  <c r="Q134" i="32" s="1"/>
  <c r="R134" i="32"/>
  <c r="S134" i="32"/>
  <c r="T134" i="32"/>
  <c r="U134" i="32"/>
  <c r="Q135" i="32" a="1"/>
  <c r="Q135" i="32" s="1"/>
  <c r="R135" i="32"/>
  <c r="S135" i="32"/>
  <c r="T135" i="32"/>
  <c r="U135" i="32"/>
  <c r="Q136" i="32" a="1"/>
  <c r="Q136" i="32" s="1"/>
  <c r="R136" i="32"/>
  <c r="S136" i="32"/>
  <c r="T136" i="32"/>
  <c r="U136" i="32"/>
  <c r="Q137" i="32" a="1"/>
  <c r="Q137" i="32" s="1"/>
  <c r="R137" i="32"/>
  <c r="S137" i="32"/>
  <c r="T137" i="32"/>
  <c r="U137" i="32"/>
  <c r="Q138" i="32" a="1"/>
  <c r="Q138" i="32" s="1"/>
  <c r="R138" i="32"/>
  <c r="S138" i="32"/>
  <c r="T138" i="32"/>
  <c r="U138" i="32"/>
  <c r="Q139" i="32" a="1"/>
  <c r="Q139" i="32" s="1"/>
  <c r="R139" i="32"/>
  <c r="S139" i="32"/>
  <c r="T139" i="32"/>
  <c r="U139" i="32"/>
  <c r="Q140" i="32" a="1"/>
  <c r="Q140" i="32" s="1"/>
  <c r="R140" i="32"/>
  <c r="S140" i="32"/>
  <c r="T140" i="32"/>
  <c r="U140" i="32"/>
  <c r="Q141" i="32" a="1"/>
  <c r="Q141" i="32" s="1"/>
  <c r="R141" i="32"/>
  <c r="S141" i="32"/>
  <c r="T141" i="32"/>
  <c r="U141" i="32"/>
  <c r="Q142" i="32" a="1"/>
  <c r="Q142" i="32" s="1"/>
  <c r="R142" i="32"/>
  <c r="S142" i="32"/>
  <c r="T142" i="32"/>
  <c r="U142" i="32"/>
  <c r="Q143" i="32" a="1"/>
  <c r="Q143" i="32" s="1"/>
  <c r="R143" i="32"/>
  <c r="S143" i="32"/>
  <c r="T143" i="32"/>
  <c r="U143" i="32"/>
  <c r="Q144" i="32" a="1"/>
  <c r="Q144" i="32" s="1"/>
  <c r="R144" i="32"/>
  <c r="S144" i="32"/>
  <c r="T144" i="32"/>
  <c r="U144" i="32"/>
  <c r="Q145" i="32" a="1"/>
  <c r="Q145" i="32" s="1"/>
  <c r="R145" i="32"/>
  <c r="S145" i="32"/>
  <c r="T145" i="32"/>
  <c r="U145" i="32"/>
  <c r="Q146" i="32" a="1"/>
  <c r="Q146" i="32" s="1"/>
  <c r="R146" i="32"/>
  <c r="S146" i="32"/>
  <c r="T146" i="32"/>
  <c r="U146" i="32"/>
  <c r="Q147" i="32" a="1"/>
  <c r="Q147" i="32" s="1"/>
  <c r="R147" i="32"/>
  <c r="S147" i="32"/>
  <c r="T147" i="32"/>
  <c r="U147" i="32"/>
  <c r="Q148" i="32" a="1"/>
  <c r="Q148" i="32" s="1"/>
  <c r="R148" i="32"/>
  <c r="S148" i="32"/>
  <c r="T148" i="32"/>
  <c r="U148" i="32"/>
  <c r="Q149" i="32" a="1"/>
  <c r="Q149" i="32" s="1"/>
  <c r="R149" i="32"/>
  <c r="S149" i="32"/>
  <c r="T149" i="32"/>
  <c r="U149" i="32"/>
  <c r="K10" i="32"/>
  <c r="L10" i="32"/>
  <c r="M10" i="32" a="1"/>
  <c r="M10" i="32" s="1"/>
  <c r="N10" i="32" a="1"/>
  <c r="N10" i="32" s="1"/>
  <c r="O10" i="32" a="1"/>
  <c r="O10" i="32" s="1"/>
  <c r="K11" i="32"/>
  <c r="L11" i="32"/>
  <c r="M11" i="32" a="1"/>
  <c r="M11" i="32" s="1"/>
  <c r="N11" i="32" a="1"/>
  <c r="N11" i="32" s="1"/>
  <c r="O11" i="32" a="1"/>
  <c r="O11" i="32" s="1"/>
  <c r="K12" i="32"/>
  <c r="L12" i="32"/>
  <c r="M12" i="32" a="1"/>
  <c r="M12" i="32" s="1"/>
  <c r="N12" i="32" a="1"/>
  <c r="N12" i="32" s="1"/>
  <c r="O12" i="32" a="1"/>
  <c r="O12" i="32" s="1"/>
  <c r="K13" i="32"/>
  <c r="L13" i="32"/>
  <c r="M13" i="32" a="1"/>
  <c r="M13" i="32" s="1"/>
  <c r="N13" i="32" a="1"/>
  <c r="N13" i="32" s="1"/>
  <c r="O13" i="32" a="1"/>
  <c r="O13" i="32" s="1"/>
  <c r="K14" i="32"/>
  <c r="L14" i="32"/>
  <c r="M14" i="32" a="1"/>
  <c r="M14" i="32" s="1"/>
  <c r="N14" i="32" a="1"/>
  <c r="N14" i="32" s="1"/>
  <c r="O14" i="32" a="1"/>
  <c r="O14" i="32" s="1"/>
  <c r="K15" i="32"/>
  <c r="L15" i="32"/>
  <c r="M15" i="32" a="1"/>
  <c r="M15" i="32" s="1"/>
  <c r="N15" i="32" a="1"/>
  <c r="N15" i="32" s="1"/>
  <c r="O15" i="32" a="1"/>
  <c r="O15" i="32" s="1"/>
  <c r="K16" i="32"/>
  <c r="L16" i="32"/>
  <c r="M16" i="32" a="1"/>
  <c r="M16" i="32" s="1"/>
  <c r="N16" i="32" a="1"/>
  <c r="N16" i="32" s="1"/>
  <c r="O16" i="32" a="1"/>
  <c r="O16" i="32" s="1"/>
  <c r="K17" i="32"/>
  <c r="L17" i="32"/>
  <c r="M17" i="32" a="1"/>
  <c r="M17" i="32" s="1"/>
  <c r="N17" i="32" a="1"/>
  <c r="N17" i="32" s="1"/>
  <c r="O17" i="32" a="1"/>
  <c r="O17" i="32" s="1"/>
  <c r="K18" i="32"/>
  <c r="L18" i="32"/>
  <c r="M18" i="32" a="1"/>
  <c r="M18" i="32" s="1"/>
  <c r="N18" i="32" a="1"/>
  <c r="N18" i="32" s="1"/>
  <c r="O18" i="32" a="1"/>
  <c r="O18" i="32" s="1"/>
  <c r="K19" i="32"/>
  <c r="L19" i="32"/>
  <c r="M19" i="32" a="1"/>
  <c r="M19" i="32" s="1"/>
  <c r="N19" i="32" a="1"/>
  <c r="N19" i="32" s="1"/>
  <c r="O19" i="32" a="1"/>
  <c r="O19" i="32" s="1"/>
  <c r="K20" i="32"/>
  <c r="L20" i="32"/>
  <c r="M20" i="32" a="1"/>
  <c r="M20" i="32" s="1"/>
  <c r="N20" i="32" a="1"/>
  <c r="N20" i="32" s="1"/>
  <c r="O20" i="32" a="1"/>
  <c r="O20" i="32" s="1"/>
  <c r="K21" i="32"/>
  <c r="L21" i="32"/>
  <c r="M21" i="32" a="1"/>
  <c r="M21" i="32" s="1"/>
  <c r="N21" i="32" a="1"/>
  <c r="N21" i="32" s="1"/>
  <c r="O21" i="32" a="1"/>
  <c r="O21" i="32" s="1"/>
  <c r="K22" i="32"/>
  <c r="L22" i="32"/>
  <c r="M22" i="32" a="1"/>
  <c r="M22" i="32" s="1"/>
  <c r="N22" i="32" a="1"/>
  <c r="N22" i="32" s="1"/>
  <c r="O22" i="32" a="1"/>
  <c r="O22" i="32" s="1"/>
  <c r="K23" i="32"/>
  <c r="L23" i="32"/>
  <c r="M23" i="32" a="1"/>
  <c r="M23" i="32" s="1"/>
  <c r="N23" i="32" a="1"/>
  <c r="N23" i="32" s="1"/>
  <c r="O23" i="32" a="1"/>
  <c r="O23" i="32" s="1"/>
  <c r="K24" i="32"/>
  <c r="L24" i="32"/>
  <c r="M24" i="32" a="1"/>
  <c r="M24" i="32" s="1"/>
  <c r="N24" i="32" a="1"/>
  <c r="N24" i="32" s="1"/>
  <c r="O24" i="32" a="1"/>
  <c r="O24" i="32" s="1"/>
  <c r="K25" i="32"/>
  <c r="L25" i="32"/>
  <c r="M25" i="32" a="1"/>
  <c r="M25" i="32" s="1"/>
  <c r="N25" i="32" a="1"/>
  <c r="N25" i="32" s="1"/>
  <c r="O25" i="32" a="1"/>
  <c r="O25" i="32" s="1"/>
  <c r="K26" i="32"/>
  <c r="L26" i="32"/>
  <c r="M26" i="32" a="1"/>
  <c r="M26" i="32" s="1"/>
  <c r="N26" i="32" a="1"/>
  <c r="N26" i="32" s="1"/>
  <c r="O26" i="32" a="1"/>
  <c r="O26" i="32" s="1"/>
  <c r="K27" i="32"/>
  <c r="L27" i="32"/>
  <c r="M27" i="32" a="1"/>
  <c r="M27" i="32" s="1"/>
  <c r="N27" i="32" a="1"/>
  <c r="N27" i="32" s="1"/>
  <c r="O27" i="32" a="1"/>
  <c r="O27" i="32" s="1"/>
  <c r="K28" i="32"/>
  <c r="L28" i="32"/>
  <c r="M28" i="32" a="1"/>
  <c r="M28" i="32" s="1"/>
  <c r="N28" i="32" a="1"/>
  <c r="N28" i="32" s="1"/>
  <c r="O28" i="32" a="1"/>
  <c r="O28" i="32" s="1"/>
  <c r="K29" i="32"/>
  <c r="L29" i="32"/>
  <c r="M29" i="32" a="1"/>
  <c r="M29" i="32" s="1"/>
  <c r="N29" i="32" a="1"/>
  <c r="N29" i="32" s="1"/>
  <c r="O29" i="32" a="1"/>
  <c r="O29" i="32" s="1"/>
  <c r="K30" i="32"/>
  <c r="L30" i="32"/>
  <c r="M30" i="32" a="1"/>
  <c r="M30" i="32" s="1"/>
  <c r="N30" i="32" a="1"/>
  <c r="N30" i="32" s="1"/>
  <c r="O30" i="32" a="1"/>
  <c r="O30" i="32"/>
  <c r="K31" i="32"/>
  <c r="L31" i="32"/>
  <c r="M31" i="32" a="1"/>
  <c r="M31" i="32" s="1"/>
  <c r="N31" i="32" a="1"/>
  <c r="N31" i="32" s="1"/>
  <c r="O31" i="32" a="1"/>
  <c r="O31" i="32" s="1"/>
  <c r="K32" i="32"/>
  <c r="L32" i="32"/>
  <c r="M32" i="32" a="1"/>
  <c r="M32" i="32" s="1"/>
  <c r="N32" i="32" a="1"/>
  <c r="N32" i="32" s="1"/>
  <c r="O32" i="32" a="1"/>
  <c r="O32" i="32" s="1"/>
  <c r="K33" i="32"/>
  <c r="L33" i="32"/>
  <c r="M33" i="32" a="1"/>
  <c r="M33" i="32" s="1"/>
  <c r="N33" i="32" a="1"/>
  <c r="N33" i="32" s="1"/>
  <c r="O33" i="32" a="1"/>
  <c r="O33" i="32" s="1"/>
  <c r="K34" i="32"/>
  <c r="L34" i="32"/>
  <c r="M34" i="32" a="1"/>
  <c r="M34" i="32" s="1"/>
  <c r="N34" i="32" a="1"/>
  <c r="N34" i="32" s="1"/>
  <c r="O34" i="32" a="1"/>
  <c r="O34" i="32" s="1"/>
  <c r="K35" i="32"/>
  <c r="L35" i="32"/>
  <c r="M35" i="32" a="1"/>
  <c r="M35" i="32" s="1"/>
  <c r="N35" i="32" a="1"/>
  <c r="N35" i="32" s="1"/>
  <c r="O35" i="32" a="1"/>
  <c r="O35" i="32" s="1"/>
  <c r="K36" i="32"/>
  <c r="L36" i="32"/>
  <c r="M36" i="32" a="1"/>
  <c r="M36" i="32" s="1"/>
  <c r="N36" i="32" a="1"/>
  <c r="N36" i="32" s="1"/>
  <c r="O36" i="32" a="1"/>
  <c r="O36" i="32" s="1"/>
  <c r="K37" i="32"/>
  <c r="L37" i="32"/>
  <c r="M37" i="32" a="1"/>
  <c r="M37" i="32" s="1"/>
  <c r="N37" i="32" a="1"/>
  <c r="N37" i="32" s="1"/>
  <c r="O37" i="32" a="1"/>
  <c r="O37" i="32" s="1"/>
  <c r="K38" i="32"/>
  <c r="L38" i="32"/>
  <c r="M38" i="32" a="1"/>
  <c r="M38" i="32" s="1"/>
  <c r="N38" i="32" a="1"/>
  <c r="N38" i="32" s="1"/>
  <c r="O38" i="32" a="1"/>
  <c r="O38" i="32" s="1"/>
  <c r="K39" i="32"/>
  <c r="L39" i="32"/>
  <c r="M39" i="32" a="1"/>
  <c r="M39" i="32" s="1"/>
  <c r="N39" i="32" a="1"/>
  <c r="N39" i="32" s="1"/>
  <c r="O39" i="32" a="1"/>
  <c r="O39" i="32" s="1"/>
  <c r="K40" i="32"/>
  <c r="L40" i="32"/>
  <c r="M40" i="32" a="1"/>
  <c r="M40" i="32" s="1"/>
  <c r="N40" i="32" a="1"/>
  <c r="N40" i="32" s="1"/>
  <c r="O40" i="32" a="1"/>
  <c r="O40" i="32" s="1"/>
  <c r="K41" i="32"/>
  <c r="L41" i="32"/>
  <c r="M41" i="32" a="1"/>
  <c r="M41" i="32" s="1"/>
  <c r="N41" i="32" a="1"/>
  <c r="N41" i="32" s="1"/>
  <c r="O41" i="32" a="1"/>
  <c r="O41" i="32" s="1"/>
  <c r="K42" i="32"/>
  <c r="L42" i="32"/>
  <c r="M42" i="32" a="1"/>
  <c r="M42" i="32" s="1"/>
  <c r="N42" i="32" a="1"/>
  <c r="N42" i="32" s="1"/>
  <c r="O42" i="32" a="1"/>
  <c r="O42" i="32" s="1"/>
  <c r="K43" i="32"/>
  <c r="L43" i="32"/>
  <c r="M43" i="32" a="1"/>
  <c r="M43" i="32" s="1"/>
  <c r="N43" i="32" a="1"/>
  <c r="N43" i="32" s="1"/>
  <c r="O43" i="32" a="1"/>
  <c r="O43" i="32" s="1"/>
  <c r="K44" i="32"/>
  <c r="L44" i="32"/>
  <c r="M44" i="32" a="1"/>
  <c r="M44" i="32" s="1"/>
  <c r="N44" i="32" a="1"/>
  <c r="N44" i="32" s="1"/>
  <c r="O44" i="32" a="1"/>
  <c r="O44" i="32" s="1"/>
  <c r="K45" i="32"/>
  <c r="L45" i="32"/>
  <c r="M45" i="32" a="1"/>
  <c r="M45" i="32" s="1"/>
  <c r="N45" i="32" a="1"/>
  <c r="N45" i="32" s="1"/>
  <c r="O45" i="32" a="1"/>
  <c r="O45" i="32" s="1"/>
  <c r="K46" i="32"/>
  <c r="L46" i="32"/>
  <c r="M46" i="32" a="1"/>
  <c r="M46" i="32" s="1"/>
  <c r="N46" i="32" a="1"/>
  <c r="N46" i="32" s="1"/>
  <c r="O46" i="32" a="1"/>
  <c r="O46" i="32" s="1"/>
  <c r="K47" i="32"/>
  <c r="L47" i="32"/>
  <c r="M47" i="32" a="1"/>
  <c r="M47" i="32" s="1"/>
  <c r="N47" i="32" a="1"/>
  <c r="N47" i="32" s="1"/>
  <c r="O47" i="32" a="1"/>
  <c r="O47" i="32" s="1"/>
  <c r="K48" i="32"/>
  <c r="L48" i="32"/>
  <c r="M48" i="32" a="1"/>
  <c r="M48" i="32" s="1"/>
  <c r="N48" i="32" a="1"/>
  <c r="N48" i="32" s="1"/>
  <c r="O48" i="32" a="1"/>
  <c r="O48" i="32" s="1"/>
  <c r="K49" i="32"/>
  <c r="L49" i="32"/>
  <c r="M49" i="32" a="1"/>
  <c r="M49" i="32" s="1"/>
  <c r="N49" i="32" a="1"/>
  <c r="N49" i="32" s="1"/>
  <c r="O49" i="32" a="1"/>
  <c r="O49" i="32" s="1"/>
  <c r="K50" i="32"/>
  <c r="L50" i="32"/>
  <c r="M50" i="32" a="1"/>
  <c r="M50" i="32" s="1"/>
  <c r="N50" i="32" a="1"/>
  <c r="N50" i="32" s="1"/>
  <c r="O50" i="32" a="1"/>
  <c r="O50" i="32" s="1"/>
  <c r="K51" i="32"/>
  <c r="L51" i="32"/>
  <c r="M51" i="32" a="1"/>
  <c r="M51" i="32" s="1"/>
  <c r="N51" i="32" a="1"/>
  <c r="N51" i="32" s="1"/>
  <c r="O51" i="32" a="1"/>
  <c r="O51" i="32" s="1"/>
  <c r="K52" i="32"/>
  <c r="L52" i="32"/>
  <c r="M52" i="32" a="1"/>
  <c r="M52" i="32" s="1"/>
  <c r="N52" i="32" a="1"/>
  <c r="N52" i="32" s="1"/>
  <c r="O52" i="32" a="1"/>
  <c r="O52" i="32" s="1"/>
  <c r="K53" i="32"/>
  <c r="L53" i="32"/>
  <c r="M53" i="32" a="1"/>
  <c r="M53" i="32" s="1"/>
  <c r="N53" i="32" a="1"/>
  <c r="N53" i="32" s="1"/>
  <c r="O53" i="32" a="1"/>
  <c r="O53" i="32" s="1"/>
  <c r="K54" i="32"/>
  <c r="L54" i="32"/>
  <c r="M54" i="32" a="1"/>
  <c r="M54" i="32" s="1"/>
  <c r="N54" i="32" a="1"/>
  <c r="N54" i="32" s="1"/>
  <c r="O54" i="32" a="1"/>
  <c r="O54" i="32" s="1"/>
  <c r="K55" i="32"/>
  <c r="L55" i="32"/>
  <c r="M55" i="32" a="1"/>
  <c r="M55" i="32" s="1"/>
  <c r="N55" i="32" a="1"/>
  <c r="N55" i="32" s="1"/>
  <c r="O55" i="32" a="1"/>
  <c r="O55" i="32" s="1"/>
  <c r="K56" i="32"/>
  <c r="L56" i="32"/>
  <c r="M56" i="32" a="1"/>
  <c r="M56" i="32" s="1"/>
  <c r="N56" i="32" a="1"/>
  <c r="N56" i="32" s="1"/>
  <c r="O56" i="32" a="1"/>
  <c r="O56" i="32" s="1"/>
  <c r="K57" i="32"/>
  <c r="L57" i="32"/>
  <c r="M57" i="32" a="1"/>
  <c r="M57" i="32" s="1"/>
  <c r="N57" i="32" a="1"/>
  <c r="N57" i="32" s="1"/>
  <c r="O57" i="32" a="1"/>
  <c r="O57" i="32" s="1"/>
  <c r="K58" i="32"/>
  <c r="L58" i="32"/>
  <c r="M58" i="32" a="1"/>
  <c r="M58" i="32" s="1"/>
  <c r="N58" i="32" a="1"/>
  <c r="N58" i="32" s="1"/>
  <c r="O58" i="32" a="1"/>
  <c r="O58" i="32" s="1"/>
  <c r="K59" i="32"/>
  <c r="L59" i="32"/>
  <c r="M59" i="32" a="1"/>
  <c r="M59" i="32" s="1"/>
  <c r="N59" i="32" a="1"/>
  <c r="N59" i="32" s="1"/>
  <c r="O59" i="32" a="1"/>
  <c r="O59" i="32" s="1"/>
  <c r="K60" i="32"/>
  <c r="L60" i="32"/>
  <c r="M60" i="32" a="1"/>
  <c r="M60" i="32" s="1"/>
  <c r="N60" i="32" a="1"/>
  <c r="N60" i="32" s="1"/>
  <c r="O60" i="32" a="1"/>
  <c r="O60" i="32" s="1"/>
  <c r="K61" i="32"/>
  <c r="L61" i="32"/>
  <c r="M61" i="32" a="1"/>
  <c r="M61" i="32" s="1"/>
  <c r="N61" i="32" a="1"/>
  <c r="N61" i="32" s="1"/>
  <c r="O61" i="32" a="1"/>
  <c r="O61" i="32" s="1"/>
  <c r="K62" i="32"/>
  <c r="L62" i="32"/>
  <c r="M62" i="32" a="1"/>
  <c r="M62" i="32" s="1"/>
  <c r="N62" i="32" a="1"/>
  <c r="N62" i="32" s="1"/>
  <c r="O62" i="32" a="1"/>
  <c r="O62" i="32" s="1"/>
  <c r="K63" i="32"/>
  <c r="L63" i="32"/>
  <c r="M63" i="32" a="1"/>
  <c r="M63" i="32"/>
  <c r="N63" i="32" a="1"/>
  <c r="N63" i="32" s="1"/>
  <c r="O63" i="32" a="1"/>
  <c r="O63" i="32" s="1"/>
  <c r="K64" i="32"/>
  <c r="L64" i="32"/>
  <c r="M64" i="32" a="1"/>
  <c r="M64" i="32" s="1"/>
  <c r="N64" i="32" a="1"/>
  <c r="N64" i="32" s="1"/>
  <c r="O64" i="32" a="1"/>
  <c r="O64" i="32" s="1"/>
  <c r="K65" i="32"/>
  <c r="L65" i="32"/>
  <c r="M65" i="32" a="1"/>
  <c r="M65" i="32" s="1"/>
  <c r="N65" i="32" a="1"/>
  <c r="N65" i="32" s="1"/>
  <c r="O65" i="32" a="1"/>
  <c r="O65" i="32" s="1"/>
  <c r="K66" i="32"/>
  <c r="L66" i="32"/>
  <c r="M66" i="32" a="1"/>
  <c r="M66" i="32" s="1"/>
  <c r="N66" i="32" a="1"/>
  <c r="N66" i="32"/>
  <c r="O66" i="32" a="1"/>
  <c r="O66" i="32" s="1"/>
  <c r="K67" i="32"/>
  <c r="L67" i="32"/>
  <c r="M67" i="32" a="1"/>
  <c r="M67" i="32" s="1"/>
  <c r="N67" i="32" a="1"/>
  <c r="N67" i="32" s="1"/>
  <c r="O67" i="32" a="1"/>
  <c r="O67" i="32" s="1"/>
  <c r="K68" i="32"/>
  <c r="L68" i="32"/>
  <c r="M68" i="32" a="1"/>
  <c r="M68" i="32" s="1"/>
  <c r="N68" i="32" a="1"/>
  <c r="N68" i="32" s="1"/>
  <c r="O68" i="32" a="1"/>
  <c r="O68" i="32" s="1"/>
  <c r="K69" i="32"/>
  <c r="L69" i="32"/>
  <c r="M69" i="32" a="1"/>
  <c r="M69" i="32" s="1"/>
  <c r="N69" i="32" a="1"/>
  <c r="N69" i="32" s="1"/>
  <c r="O69" i="32" a="1"/>
  <c r="O69" i="32" s="1"/>
  <c r="K70" i="32"/>
  <c r="L70" i="32"/>
  <c r="M70" i="32" a="1"/>
  <c r="M70" i="32" s="1"/>
  <c r="N70" i="32" a="1"/>
  <c r="N70" i="32" s="1"/>
  <c r="O70" i="32" a="1"/>
  <c r="O70" i="32" s="1"/>
  <c r="K71" i="32"/>
  <c r="L71" i="32"/>
  <c r="M71" i="32" a="1"/>
  <c r="M71" i="32" s="1"/>
  <c r="N71" i="32" a="1"/>
  <c r="N71" i="32" s="1"/>
  <c r="O71" i="32" a="1"/>
  <c r="O71" i="32" s="1"/>
  <c r="K72" i="32"/>
  <c r="L72" i="32"/>
  <c r="M72" i="32" a="1"/>
  <c r="M72" i="32" s="1"/>
  <c r="N72" i="32" a="1"/>
  <c r="N72" i="32" s="1"/>
  <c r="O72" i="32" a="1"/>
  <c r="O72" i="32" s="1"/>
  <c r="K73" i="32"/>
  <c r="L73" i="32"/>
  <c r="M73" i="32" a="1"/>
  <c r="M73" i="32" s="1"/>
  <c r="N73" i="32" a="1"/>
  <c r="N73" i="32" s="1"/>
  <c r="O73" i="32" a="1"/>
  <c r="O73" i="32" s="1"/>
  <c r="K74" i="32"/>
  <c r="L74" i="32"/>
  <c r="M74" i="32" a="1"/>
  <c r="M74" i="32"/>
  <c r="N74" i="32" a="1"/>
  <c r="N74" i="32" s="1"/>
  <c r="O74" i="32" a="1"/>
  <c r="O74" i="32" s="1"/>
  <c r="K75" i="32"/>
  <c r="L75" i="32"/>
  <c r="M75" i="32" a="1"/>
  <c r="M75" i="32" s="1"/>
  <c r="N75" i="32" a="1"/>
  <c r="N75" i="32" s="1"/>
  <c r="O75" i="32" a="1"/>
  <c r="O75" i="32" s="1"/>
  <c r="K76" i="32"/>
  <c r="L76" i="32"/>
  <c r="M76" i="32" a="1"/>
  <c r="M76" i="32" s="1"/>
  <c r="N76" i="32" a="1"/>
  <c r="N76" i="32" s="1"/>
  <c r="O76" i="32" a="1"/>
  <c r="O76" i="32" s="1"/>
  <c r="K77" i="32"/>
  <c r="L77" i="32"/>
  <c r="M77" i="32" a="1"/>
  <c r="M77" i="32" s="1"/>
  <c r="N77" i="32" a="1"/>
  <c r="N77" i="32"/>
  <c r="O77" i="32" a="1"/>
  <c r="O77" i="32" s="1"/>
  <c r="K78" i="32"/>
  <c r="L78" i="32"/>
  <c r="M78" i="32" a="1"/>
  <c r="M78" i="32" s="1"/>
  <c r="N78" i="32" a="1"/>
  <c r="N78" i="32" s="1"/>
  <c r="O78" i="32" a="1"/>
  <c r="O78" i="32" s="1"/>
  <c r="K79" i="32"/>
  <c r="L79" i="32"/>
  <c r="M79" i="32" a="1"/>
  <c r="M79" i="32" s="1"/>
  <c r="N79" i="32" a="1"/>
  <c r="N79" i="32" s="1"/>
  <c r="O79" i="32" a="1"/>
  <c r="O79" i="32" s="1"/>
  <c r="K80" i="32"/>
  <c r="L80" i="32"/>
  <c r="M80" i="32" a="1"/>
  <c r="M80" i="32" s="1"/>
  <c r="N80" i="32" a="1"/>
  <c r="N80" i="32" s="1"/>
  <c r="O80" i="32" a="1"/>
  <c r="O80" i="32" s="1"/>
  <c r="K81" i="32"/>
  <c r="L81" i="32"/>
  <c r="M81" i="32" a="1"/>
  <c r="M81" i="32"/>
  <c r="N81" i="32" a="1"/>
  <c r="N81" i="32" s="1"/>
  <c r="O81" i="32" a="1"/>
  <c r="O81" i="32" s="1"/>
  <c r="K82" i="32"/>
  <c r="L82" i="32"/>
  <c r="M82" i="32" a="1"/>
  <c r="M82" i="32" s="1"/>
  <c r="N82" i="32" a="1"/>
  <c r="N82" i="32" s="1"/>
  <c r="O82" i="32" a="1"/>
  <c r="O82" i="32" s="1"/>
  <c r="K83" i="32"/>
  <c r="L83" i="32"/>
  <c r="M83" i="32" a="1"/>
  <c r="M83" i="32"/>
  <c r="N83" i="32" a="1"/>
  <c r="N83" i="32" s="1"/>
  <c r="O83" i="32" a="1"/>
  <c r="O83" i="32" s="1"/>
  <c r="K84" i="32"/>
  <c r="L84" i="32"/>
  <c r="M84" i="32" a="1"/>
  <c r="M84" i="32" s="1"/>
  <c r="N84" i="32" a="1"/>
  <c r="N84" i="32" s="1"/>
  <c r="O84" i="32" a="1"/>
  <c r="O84" i="32"/>
  <c r="K85" i="32"/>
  <c r="L85" i="32"/>
  <c r="M85" i="32" a="1"/>
  <c r="M85" i="32" s="1"/>
  <c r="N85" i="32" a="1"/>
  <c r="N85" i="32" s="1"/>
  <c r="O85" i="32" a="1"/>
  <c r="O85" i="32" s="1"/>
  <c r="K86" i="32"/>
  <c r="L86" i="32"/>
  <c r="M86" i="32" a="1"/>
  <c r="M86" i="32" s="1"/>
  <c r="N86" i="32" a="1"/>
  <c r="N86" i="32" s="1"/>
  <c r="O86" i="32" a="1"/>
  <c r="O86" i="32" s="1"/>
  <c r="K87" i="32"/>
  <c r="L87" i="32"/>
  <c r="M87" i="32" a="1"/>
  <c r="M87" i="32" s="1"/>
  <c r="N87" i="32" a="1"/>
  <c r="N87" i="32" s="1"/>
  <c r="O87" i="32" a="1"/>
  <c r="O87" i="32" s="1"/>
  <c r="K88" i="32"/>
  <c r="L88" i="32"/>
  <c r="M88" i="32" a="1"/>
  <c r="M88" i="32" s="1"/>
  <c r="N88" i="32" a="1"/>
  <c r="N88" i="32" s="1"/>
  <c r="O88" i="32" a="1"/>
  <c r="O88" i="32" s="1"/>
  <c r="K89" i="32"/>
  <c r="L89" i="32"/>
  <c r="M89" i="32" a="1"/>
  <c r="M89" i="32" s="1"/>
  <c r="N89" i="32" a="1"/>
  <c r="N89" i="32" s="1"/>
  <c r="O89" i="32" a="1"/>
  <c r="O89" i="32" s="1"/>
  <c r="K90" i="32"/>
  <c r="L90" i="32"/>
  <c r="M90" i="32" a="1"/>
  <c r="M90" i="32" s="1"/>
  <c r="N90" i="32" a="1"/>
  <c r="N90" i="32" s="1"/>
  <c r="O90" i="32" a="1"/>
  <c r="O90" i="32" s="1"/>
  <c r="K91" i="32"/>
  <c r="L91" i="32"/>
  <c r="M91" i="32" a="1"/>
  <c r="M91" i="32" s="1"/>
  <c r="N91" i="32" a="1"/>
  <c r="N91" i="32" s="1"/>
  <c r="O91" i="32" a="1"/>
  <c r="O91" i="32" s="1"/>
  <c r="K92" i="32"/>
  <c r="L92" i="32"/>
  <c r="M92" i="32" a="1"/>
  <c r="M92" i="32" s="1"/>
  <c r="N92" i="32" a="1"/>
  <c r="N92" i="32"/>
  <c r="O92" i="32" a="1"/>
  <c r="O92" i="32" s="1"/>
  <c r="K93" i="32"/>
  <c r="L93" i="32"/>
  <c r="M93" i="32" a="1"/>
  <c r="M93" i="32" s="1"/>
  <c r="N93" i="32" a="1"/>
  <c r="N93" i="32" s="1"/>
  <c r="O93" i="32" a="1"/>
  <c r="O93" i="32" s="1"/>
  <c r="K94" i="32"/>
  <c r="L94" i="32"/>
  <c r="M94" i="32" a="1"/>
  <c r="M94" i="32" s="1"/>
  <c r="N94" i="32" a="1"/>
  <c r="N94" i="32" s="1"/>
  <c r="O94" i="32" a="1"/>
  <c r="O94" i="32" s="1"/>
  <c r="K95" i="32"/>
  <c r="L95" i="32"/>
  <c r="M95" i="32" a="1"/>
  <c r="M95" i="32" s="1"/>
  <c r="N95" i="32" a="1"/>
  <c r="N95" i="32" s="1"/>
  <c r="O95" i="32" a="1"/>
  <c r="O95" i="32" s="1"/>
  <c r="K96" i="32"/>
  <c r="L96" i="32"/>
  <c r="M96" i="32" a="1"/>
  <c r="M96" i="32" s="1"/>
  <c r="N96" i="32" a="1"/>
  <c r="N96" i="32" s="1"/>
  <c r="O96" i="32" a="1"/>
  <c r="O96" i="32" s="1"/>
  <c r="K97" i="32"/>
  <c r="L97" i="32"/>
  <c r="M97" i="32" a="1"/>
  <c r="M97" i="32" s="1"/>
  <c r="N97" i="32" a="1"/>
  <c r="N97" i="32" s="1"/>
  <c r="O97" i="32" a="1"/>
  <c r="O97" i="32" s="1"/>
  <c r="K98" i="32"/>
  <c r="L98" i="32"/>
  <c r="M98" i="32" a="1"/>
  <c r="M98" i="32" s="1"/>
  <c r="N98" i="32" a="1"/>
  <c r="N98" i="32" s="1"/>
  <c r="O98" i="32" a="1"/>
  <c r="O98" i="32" s="1"/>
  <c r="K99" i="32"/>
  <c r="L99" i="32"/>
  <c r="M99" i="32" a="1"/>
  <c r="M99" i="32"/>
  <c r="N99" i="32" a="1"/>
  <c r="N99" i="32" s="1"/>
  <c r="O99" i="32" a="1"/>
  <c r="O99" i="32" s="1"/>
  <c r="K100" i="32"/>
  <c r="L100" i="32"/>
  <c r="M100" i="32" a="1"/>
  <c r="M100" i="32" s="1"/>
  <c r="N100" i="32" a="1"/>
  <c r="N100" i="32" s="1"/>
  <c r="O100" i="32" a="1"/>
  <c r="O100" i="32" s="1"/>
  <c r="K101" i="32"/>
  <c r="L101" i="32"/>
  <c r="M101" i="32" a="1"/>
  <c r="M101" i="32"/>
  <c r="N101" i="32" a="1"/>
  <c r="N101" i="32" s="1"/>
  <c r="O101" i="32" a="1"/>
  <c r="O101" i="32" s="1"/>
  <c r="K102" i="32"/>
  <c r="L102" i="32"/>
  <c r="M102" i="32" a="1"/>
  <c r="M102" i="32" s="1"/>
  <c r="N102" i="32" a="1"/>
  <c r="N102" i="32" s="1"/>
  <c r="O102" i="32" a="1"/>
  <c r="O102" i="32" s="1"/>
  <c r="K103" i="32"/>
  <c r="L103" i="32"/>
  <c r="M103" i="32" a="1"/>
  <c r="M103" i="32" s="1"/>
  <c r="N103" i="32" a="1"/>
  <c r="N103" i="32" s="1"/>
  <c r="O103" i="32" a="1"/>
  <c r="O103" i="32" s="1"/>
  <c r="K104" i="32"/>
  <c r="L104" i="32"/>
  <c r="M104" i="32" a="1"/>
  <c r="M104" i="32" s="1"/>
  <c r="N104" i="32" a="1"/>
  <c r="N104" i="32" s="1"/>
  <c r="O104" i="32" a="1"/>
  <c r="O104" i="32" s="1"/>
  <c r="K105" i="32"/>
  <c r="L105" i="32"/>
  <c r="M105" i="32" a="1"/>
  <c r="M105" i="32" s="1"/>
  <c r="N105" i="32" a="1"/>
  <c r="N105" i="32" s="1"/>
  <c r="O105" i="32" a="1"/>
  <c r="O105" i="32" s="1"/>
  <c r="K106" i="32"/>
  <c r="L106" i="32"/>
  <c r="M106" i="32" a="1"/>
  <c r="M106" i="32" s="1"/>
  <c r="N106" i="32" a="1"/>
  <c r="N106" i="32" s="1"/>
  <c r="O106" i="32" a="1"/>
  <c r="O106" i="32" s="1"/>
  <c r="K107" i="32"/>
  <c r="L107" i="32"/>
  <c r="M107" i="32" a="1"/>
  <c r="M107" i="32" s="1"/>
  <c r="N107" i="32" a="1"/>
  <c r="N107" i="32" s="1"/>
  <c r="O107" i="32" a="1"/>
  <c r="O107" i="32" s="1"/>
  <c r="K108" i="32"/>
  <c r="L108" i="32"/>
  <c r="M108" i="32" a="1"/>
  <c r="M108" i="32" s="1"/>
  <c r="N108" i="32" a="1"/>
  <c r="N108" i="32" s="1"/>
  <c r="O108" i="32" a="1"/>
  <c r="O108" i="32" s="1"/>
  <c r="K109" i="32"/>
  <c r="L109" i="32"/>
  <c r="M109" i="32" a="1"/>
  <c r="M109" i="32" s="1"/>
  <c r="N109" i="32" a="1"/>
  <c r="N109" i="32" s="1"/>
  <c r="O109" i="32" a="1"/>
  <c r="O109" i="32" s="1"/>
  <c r="K110" i="32"/>
  <c r="L110" i="32"/>
  <c r="M110" i="32" a="1"/>
  <c r="M110" i="32"/>
  <c r="N110" i="32" a="1"/>
  <c r="N110" i="32" s="1"/>
  <c r="O110" i="32" a="1"/>
  <c r="O110" i="32" s="1"/>
  <c r="K111" i="32"/>
  <c r="L111" i="32"/>
  <c r="M111" i="32" a="1"/>
  <c r="M111" i="32" s="1"/>
  <c r="N111" i="32" a="1"/>
  <c r="N111" i="32" s="1"/>
  <c r="O111" i="32" a="1"/>
  <c r="O111" i="32" s="1"/>
  <c r="K112" i="32"/>
  <c r="L112" i="32"/>
  <c r="M112" i="32" a="1"/>
  <c r="M112" i="32" s="1"/>
  <c r="N112" i="32" a="1"/>
  <c r="N112" i="32" s="1"/>
  <c r="O112" i="32" a="1"/>
  <c r="O112" i="32" s="1"/>
  <c r="K113" i="32"/>
  <c r="L113" i="32"/>
  <c r="M113" i="32" a="1"/>
  <c r="M113" i="32" s="1"/>
  <c r="N113" i="32" a="1"/>
  <c r="N113" i="32"/>
  <c r="O113" i="32" a="1"/>
  <c r="O113" i="32" s="1"/>
  <c r="K114" i="32"/>
  <c r="L114" i="32"/>
  <c r="M114" i="32" a="1"/>
  <c r="M114" i="32" s="1"/>
  <c r="N114" i="32" a="1"/>
  <c r="N114" i="32" s="1"/>
  <c r="O114" i="32" a="1"/>
  <c r="O114" i="32" s="1"/>
  <c r="K115" i="32"/>
  <c r="L115" i="32"/>
  <c r="M115" i="32" a="1"/>
  <c r="M115" i="32" s="1"/>
  <c r="N115" i="32" a="1"/>
  <c r="N115" i="32" s="1"/>
  <c r="O115" i="32" a="1"/>
  <c r="O115" i="32" s="1"/>
  <c r="K116" i="32"/>
  <c r="L116" i="32"/>
  <c r="M116" i="32" a="1"/>
  <c r="M116" i="32" s="1"/>
  <c r="N116" i="32" a="1"/>
  <c r="N116" i="32" s="1"/>
  <c r="O116" i="32" a="1"/>
  <c r="O116" i="32" s="1"/>
  <c r="K117" i="32"/>
  <c r="L117" i="32"/>
  <c r="M117" i="32" a="1"/>
  <c r="M117" i="32"/>
  <c r="N117" i="32" a="1"/>
  <c r="N117" i="32" s="1"/>
  <c r="O117" i="32" a="1"/>
  <c r="O117" i="32" s="1"/>
  <c r="K118" i="32"/>
  <c r="L118" i="32"/>
  <c r="M118" i="32" a="1"/>
  <c r="M118" i="32" s="1"/>
  <c r="N118" i="32" a="1"/>
  <c r="N118" i="32" s="1"/>
  <c r="O118" i="32" a="1"/>
  <c r="O118" i="32" s="1"/>
  <c r="K119" i="32"/>
  <c r="L119" i="32"/>
  <c r="M119" i="32" a="1"/>
  <c r="M119" i="32" s="1"/>
  <c r="N119" i="32" a="1"/>
  <c r="N119" i="32" s="1"/>
  <c r="O119" i="32" a="1"/>
  <c r="O119" i="32" s="1"/>
  <c r="K120" i="32"/>
  <c r="L120" i="32"/>
  <c r="M120" i="32" a="1"/>
  <c r="M120" i="32" s="1"/>
  <c r="N120" i="32" a="1"/>
  <c r="N120" i="32" s="1"/>
  <c r="O120" i="32" a="1"/>
  <c r="O120" i="32"/>
  <c r="K121" i="32"/>
  <c r="L121" i="32"/>
  <c r="M121" i="32" a="1"/>
  <c r="M121" i="32" s="1"/>
  <c r="N121" i="32" a="1"/>
  <c r="N121" i="32" s="1"/>
  <c r="O121" i="32" a="1"/>
  <c r="O121" i="32" s="1"/>
  <c r="K122" i="32"/>
  <c r="L122" i="32"/>
  <c r="M122" i="32" a="1"/>
  <c r="M122" i="32" s="1"/>
  <c r="N122" i="32" a="1"/>
  <c r="N122" i="32" s="1"/>
  <c r="O122" i="32" a="1"/>
  <c r="O122" i="32" s="1"/>
  <c r="K123" i="32"/>
  <c r="L123" i="32"/>
  <c r="M123" i="32" a="1"/>
  <c r="M123" i="32"/>
  <c r="N123" i="32" a="1"/>
  <c r="N123" i="32" s="1"/>
  <c r="O123" i="32" a="1"/>
  <c r="O123" i="32" s="1"/>
  <c r="K124" i="32"/>
  <c r="L124" i="32"/>
  <c r="M124" i="32" a="1"/>
  <c r="M124" i="32" s="1"/>
  <c r="N124" i="32" a="1"/>
  <c r="N124" i="32" s="1"/>
  <c r="O124" i="32" a="1"/>
  <c r="O124" i="32" s="1"/>
  <c r="K125" i="32"/>
  <c r="L125" i="32"/>
  <c r="M125" i="32" a="1"/>
  <c r="M125" i="32" s="1"/>
  <c r="N125" i="32" a="1"/>
  <c r="N125" i="32" s="1"/>
  <c r="O125" i="32" a="1"/>
  <c r="O125" i="32" s="1"/>
  <c r="K126" i="32"/>
  <c r="L126" i="32"/>
  <c r="M126" i="32" a="1"/>
  <c r="M126" i="32" s="1"/>
  <c r="N126" i="32" a="1"/>
  <c r="N126" i="32" s="1"/>
  <c r="O126" i="32" a="1"/>
  <c r="O126" i="32" s="1"/>
  <c r="K127" i="32"/>
  <c r="L127" i="32"/>
  <c r="M127" i="32" a="1"/>
  <c r="M127" i="32" s="1"/>
  <c r="N127" i="32" a="1"/>
  <c r="N127" i="32" s="1"/>
  <c r="O127" i="32" a="1"/>
  <c r="O127" i="32" s="1"/>
  <c r="K128" i="32"/>
  <c r="L128" i="32"/>
  <c r="M128" i="32" a="1"/>
  <c r="M128" i="32" s="1"/>
  <c r="N128" i="32" a="1"/>
  <c r="N128" i="32"/>
  <c r="O128" i="32" a="1"/>
  <c r="O128" i="32" s="1"/>
  <c r="K129" i="32"/>
  <c r="L129" i="32"/>
  <c r="M129" i="32" a="1"/>
  <c r="M129" i="32" s="1"/>
  <c r="N129" i="32" a="1"/>
  <c r="N129" i="32" s="1"/>
  <c r="O129" i="32" a="1"/>
  <c r="O129" i="32" s="1"/>
  <c r="K130" i="32"/>
  <c r="L130" i="32"/>
  <c r="M130" i="32" a="1"/>
  <c r="M130" i="32" s="1"/>
  <c r="N130" i="32" a="1"/>
  <c r="N130" i="32" s="1"/>
  <c r="O130" i="32" a="1"/>
  <c r="O130" i="32" s="1"/>
  <c r="K131" i="32"/>
  <c r="L131" i="32"/>
  <c r="M131" i="32" a="1"/>
  <c r="M131" i="32" s="1"/>
  <c r="N131" i="32" a="1"/>
  <c r="N131" i="32" s="1"/>
  <c r="O131" i="32" a="1"/>
  <c r="O131" i="32" s="1"/>
  <c r="K132" i="32"/>
  <c r="L132" i="32"/>
  <c r="M132" i="32" a="1"/>
  <c r="M132" i="32" s="1"/>
  <c r="N132" i="32" a="1"/>
  <c r="N132" i="32" s="1"/>
  <c r="O132" i="32" a="1"/>
  <c r="O132" i="32" s="1"/>
  <c r="K133" i="32"/>
  <c r="L133" i="32"/>
  <c r="M133" i="32" a="1"/>
  <c r="M133" i="32" s="1"/>
  <c r="N133" i="32" a="1"/>
  <c r="N133" i="32" s="1"/>
  <c r="O133" i="32" a="1"/>
  <c r="O133" i="32" s="1"/>
  <c r="K134" i="32"/>
  <c r="L134" i="32"/>
  <c r="M134" i="32" a="1"/>
  <c r="M134" i="32" s="1"/>
  <c r="N134" i="32" a="1"/>
  <c r="N134" i="32" s="1"/>
  <c r="O134" i="32" a="1"/>
  <c r="O134" i="32" s="1"/>
  <c r="K135" i="32"/>
  <c r="L135" i="32"/>
  <c r="M135" i="32" a="1"/>
  <c r="M135" i="32" s="1"/>
  <c r="N135" i="32" a="1"/>
  <c r="N135" i="32" s="1"/>
  <c r="O135" i="32" a="1"/>
  <c r="O135" i="32" s="1"/>
  <c r="K136" i="32"/>
  <c r="L136" i="32"/>
  <c r="M136" i="32" a="1"/>
  <c r="M136" i="32" s="1"/>
  <c r="N136" i="32" a="1"/>
  <c r="N136" i="32" s="1"/>
  <c r="O136" i="32" a="1"/>
  <c r="O136" i="32" s="1"/>
  <c r="K137" i="32"/>
  <c r="L137" i="32"/>
  <c r="M137" i="32" a="1"/>
  <c r="M137" i="32" s="1"/>
  <c r="N137" i="32" a="1"/>
  <c r="N137" i="32" s="1"/>
  <c r="O137" i="32" a="1"/>
  <c r="O137" i="32" s="1"/>
  <c r="K138" i="32"/>
  <c r="L138" i="32"/>
  <c r="M138" i="32" a="1"/>
  <c r="M138" i="32" s="1"/>
  <c r="N138" i="32" a="1"/>
  <c r="N138" i="32" s="1"/>
  <c r="O138" i="32" a="1"/>
  <c r="O138" i="32"/>
  <c r="K139" i="32"/>
  <c r="L139" i="32"/>
  <c r="M139" i="32" a="1"/>
  <c r="M139" i="32" s="1"/>
  <c r="N139" i="32" a="1"/>
  <c r="N139" i="32"/>
  <c r="O139" i="32" a="1"/>
  <c r="O139" i="32"/>
  <c r="K140" i="32"/>
  <c r="L140" i="32"/>
  <c r="M140" i="32" a="1"/>
  <c r="M140" i="32" s="1"/>
  <c r="N140" i="32" a="1"/>
  <c r="N140" i="32" s="1"/>
  <c r="O140" i="32" a="1"/>
  <c r="O140" i="32" s="1"/>
  <c r="K141" i="32"/>
  <c r="L141" i="32"/>
  <c r="M141" i="32" a="1"/>
  <c r="M141" i="32"/>
  <c r="N141" i="32" a="1"/>
  <c r="N141" i="32" s="1"/>
  <c r="O141" i="32" a="1"/>
  <c r="O141" i="32" s="1"/>
  <c r="K142" i="32"/>
  <c r="L142" i="32"/>
  <c r="M142" i="32" a="1"/>
  <c r="M142" i="32" s="1"/>
  <c r="N142" i="32" a="1"/>
  <c r="N142" i="32" s="1"/>
  <c r="O142" i="32" a="1"/>
  <c r="O142" i="32" s="1"/>
  <c r="K143" i="32"/>
  <c r="L143" i="32"/>
  <c r="M143" i="32" a="1"/>
  <c r="M143" i="32" s="1"/>
  <c r="N143" i="32" a="1"/>
  <c r="N143" i="32" s="1"/>
  <c r="O143" i="32" a="1"/>
  <c r="O143" i="32" s="1"/>
  <c r="D34" i="28" a="1"/>
  <c r="D34" i="28" s="1"/>
  <c r="AL3" i="81" l="1" a="1"/>
  <c r="AL3" i="81" s="1"/>
  <c r="AL4" i="81" a="1"/>
  <c r="AL4" i="81" s="1"/>
  <c r="AL5" i="81" a="1"/>
  <c r="AL5" i="81" s="1"/>
  <c r="AL6" i="81" a="1"/>
  <c r="AL6" i="81" s="1"/>
  <c r="AL7" i="81" a="1"/>
  <c r="AL7" i="81" s="1"/>
  <c r="AL8" i="81" a="1"/>
  <c r="AL8" i="81" s="1"/>
  <c r="AL9" i="81" a="1"/>
  <c r="AL9" i="81" s="1"/>
  <c r="AL10" i="81" a="1"/>
  <c r="AL10" i="81" s="1"/>
  <c r="AL11" i="81" a="1"/>
  <c r="AL11" i="81" s="1"/>
  <c r="AL12" i="81" a="1"/>
  <c r="AL12" i="81" s="1"/>
  <c r="AL13" i="81" a="1"/>
  <c r="AL13" i="81" s="1"/>
  <c r="AL14" i="81" a="1"/>
  <c r="AL14" i="81" s="1"/>
  <c r="AL15" i="81" a="1"/>
  <c r="AL15" i="81" s="1"/>
  <c r="AL16" i="81" a="1"/>
  <c r="AL16" i="81" s="1"/>
  <c r="AL17" i="81" a="1"/>
  <c r="AL17" i="81" s="1"/>
  <c r="AL18" i="81" a="1"/>
  <c r="AL18" i="81" s="1"/>
  <c r="AL19" i="81" a="1"/>
  <c r="AL19" i="81" s="1"/>
  <c r="AL20" i="81" a="1"/>
  <c r="AL20" i="81" s="1"/>
  <c r="AL2" i="81" a="1"/>
  <c r="AL2" i="81" s="1"/>
  <c r="AK3" i="81" a="1"/>
  <c r="AK3" i="81" s="1"/>
  <c r="AK4" i="81" a="1"/>
  <c r="AK4" i="81" s="1"/>
  <c r="AK5" i="81" a="1"/>
  <c r="AK5" i="81" s="1"/>
  <c r="AK6" i="81" a="1"/>
  <c r="AK6" i="81" s="1"/>
  <c r="AK7" i="81" a="1"/>
  <c r="AK7" i="81" s="1"/>
  <c r="AK8" i="81" a="1"/>
  <c r="AK8" i="81" s="1"/>
  <c r="AK9" i="81" a="1"/>
  <c r="AK9" i="81" s="1"/>
  <c r="AK10" i="81" a="1"/>
  <c r="AK10" i="81" s="1"/>
  <c r="AK11" i="81" a="1"/>
  <c r="AK11" i="81" s="1"/>
  <c r="AK12" i="81" a="1"/>
  <c r="AK12" i="81" s="1"/>
  <c r="AK13" i="81" a="1"/>
  <c r="AK13" i="81" s="1"/>
  <c r="AK14" i="81" a="1"/>
  <c r="AK14" i="81" s="1"/>
  <c r="AK15" i="81" a="1"/>
  <c r="AK15" i="81" s="1"/>
  <c r="AK16" i="81" a="1"/>
  <c r="AK16" i="81" s="1"/>
  <c r="AK17" i="81" a="1"/>
  <c r="AK17" i="81" s="1"/>
  <c r="AK18" i="81" a="1"/>
  <c r="AK18" i="81" s="1"/>
  <c r="AK19" i="81" a="1"/>
  <c r="AK19" i="81" s="1"/>
  <c r="AK20" i="81" a="1"/>
  <c r="AK20" i="81" s="1"/>
  <c r="AK2" i="81" a="1"/>
  <c r="AK2" i="81" s="1"/>
  <c r="T26" i="33" l="1"/>
  <c r="R21" i="18" a="1"/>
  <c r="B3" i="18"/>
  <c r="C3" i="18"/>
  <c r="D3" i="18"/>
  <c r="E3" i="18"/>
  <c r="F3" i="18"/>
  <c r="G3" i="18"/>
  <c r="H3" i="18"/>
  <c r="I3" i="18"/>
  <c r="J3" i="18"/>
  <c r="K3" i="18"/>
  <c r="Z84" i="81"/>
  <c r="AA84" i="81"/>
  <c r="AB84" i="81"/>
  <c r="AC84" i="81"/>
  <c r="AD84" i="81"/>
  <c r="Z85" i="81"/>
  <c r="AA85" i="81"/>
  <c r="AB85" i="81"/>
  <c r="AC85" i="81"/>
  <c r="AD85" i="81"/>
  <c r="Z81" i="81"/>
  <c r="AA81" i="81"/>
  <c r="AB81" i="81"/>
  <c r="AC81" i="81"/>
  <c r="AD81" i="81"/>
  <c r="Z82" i="81"/>
  <c r="AA82" i="81"/>
  <c r="AB82" i="81"/>
  <c r="AC82" i="81"/>
  <c r="AD82" i="81"/>
  <c r="Z83" i="81"/>
  <c r="AA83" i="81"/>
  <c r="AB83" i="81"/>
  <c r="AC83" i="81"/>
  <c r="AD83" i="81"/>
  <c r="Z4" i="81"/>
  <c r="AA4" i="81"/>
  <c r="AB4" i="81"/>
  <c r="AC4" i="81"/>
  <c r="AD4" i="81"/>
  <c r="Z5" i="81"/>
  <c r="AA5" i="81"/>
  <c r="AB5" i="81"/>
  <c r="AC5" i="81"/>
  <c r="AD5" i="81"/>
  <c r="Z6" i="81"/>
  <c r="AA6" i="81"/>
  <c r="AB6" i="81"/>
  <c r="AC6" i="81"/>
  <c r="AD6" i="81"/>
  <c r="Z7" i="81"/>
  <c r="AA7" i="81"/>
  <c r="AB7" i="81"/>
  <c r="AC7" i="81"/>
  <c r="AD7" i="81"/>
  <c r="Z8" i="81"/>
  <c r="AA8" i="81"/>
  <c r="AB8" i="81"/>
  <c r="AC8" i="81"/>
  <c r="AD8" i="81"/>
  <c r="Z9" i="81"/>
  <c r="AA9" i="81"/>
  <c r="AB9" i="81"/>
  <c r="AC9" i="81"/>
  <c r="AD9" i="81"/>
  <c r="Z10" i="81"/>
  <c r="AA10" i="81"/>
  <c r="AB10" i="81"/>
  <c r="AC10" i="81"/>
  <c r="AD10" i="81"/>
  <c r="Z11" i="81"/>
  <c r="AA11" i="81"/>
  <c r="AB11" i="81"/>
  <c r="AC11" i="81"/>
  <c r="AD11" i="81"/>
  <c r="Z12" i="81"/>
  <c r="AA12" i="81"/>
  <c r="AB12" i="81"/>
  <c r="AC12" i="81"/>
  <c r="AD12" i="81"/>
  <c r="Z13" i="81"/>
  <c r="AA13" i="81"/>
  <c r="AB13" i="81"/>
  <c r="AC13" i="81"/>
  <c r="AD13" i="81"/>
  <c r="Z14" i="81"/>
  <c r="AA14" i="81"/>
  <c r="AB14" i="81"/>
  <c r="AC14" i="81"/>
  <c r="AD14" i="81"/>
  <c r="Z15" i="81"/>
  <c r="AA15" i="81"/>
  <c r="AB15" i="81"/>
  <c r="AC15" i="81"/>
  <c r="AD15" i="81"/>
  <c r="Z16" i="81"/>
  <c r="AA16" i="81"/>
  <c r="AB16" i="81"/>
  <c r="AC16" i="81"/>
  <c r="AD16" i="81"/>
  <c r="Z17" i="81"/>
  <c r="AA17" i="81"/>
  <c r="AB17" i="81"/>
  <c r="AC17" i="81"/>
  <c r="AD17" i="81"/>
  <c r="Z18" i="81"/>
  <c r="AA18" i="81"/>
  <c r="AB18" i="81"/>
  <c r="AC18" i="81"/>
  <c r="AD18" i="81"/>
  <c r="Z19" i="81"/>
  <c r="AA19" i="81"/>
  <c r="AB19" i="81"/>
  <c r="AC19" i="81"/>
  <c r="AD19" i="81"/>
  <c r="Z20" i="81"/>
  <c r="AA20" i="81"/>
  <c r="AB20" i="81"/>
  <c r="AC20" i="81"/>
  <c r="AD20" i="81"/>
  <c r="Z21" i="81"/>
  <c r="AA21" i="81"/>
  <c r="AB21" i="81"/>
  <c r="AC21" i="81"/>
  <c r="AD21" i="81"/>
  <c r="Z22" i="81"/>
  <c r="AA22" i="81"/>
  <c r="AB22" i="81"/>
  <c r="AC22" i="81"/>
  <c r="AD22" i="81"/>
  <c r="Z23" i="81"/>
  <c r="AA23" i="81"/>
  <c r="AB23" i="81"/>
  <c r="AC23" i="81"/>
  <c r="AD23" i="81"/>
  <c r="Z24" i="81"/>
  <c r="AA24" i="81"/>
  <c r="AB24" i="81"/>
  <c r="AC24" i="81"/>
  <c r="AD24" i="81"/>
  <c r="Z25" i="81"/>
  <c r="AA25" i="81"/>
  <c r="AB25" i="81"/>
  <c r="AC25" i="81"/>
  <c r="AD25" i="81"/>
  <c r="Z26" i="81"/>
  <c r="AA26" i="81"/>
  <c r="AB26" i="81"/>
  <c r="AC26" i="81"/>
  <c r="AD26" i="81"/>
  <c r="Z27" i="81"/>
  <c r="AA27" i="81"/>
  <c r="AB27" i="81"/>
  <c r="AC27" i="81"/>
  <c r="AD27" i="81"/>
  <c r="Z28" i="81"/>
  <c r="AA28" i="81"/>
  <c r="AB28" i="81"/>
  <c r="AC28" i="81"/>
  <c r="AD28" i="81"/>
  <c r="Z29" i="81"/>
  <c r="AA29" i="81"/>
  <c r="AB29" i="81"/>
  <c r="AC29" i="81"/>
  <c r="AD29" i="81"/>
  <c r="Z30" i="81"/>
  <c r="AA30" i="81"/>
  <c r="AB30" i="81"/>
  <c r="AC30" i="81"/>
  <c r="AD30" i="81"/>
  <c r="Z31" i="81"/>
  <c r="AA31" i="81"/>
  <c r="AB31" i="81"/>
  <c r="AC31" i="81"/>
  <c r="AD31" i="81"/>
  <c r="Z32" i="81"/>
  <c r="AA32" i="81"/>
  <c r="AB32" i="81"/>
  <c r="AC32" i="81"/>
  <c r="AD32" i="81"/>
  <c r="Z33" i="81"/>
  <c r="AA33" i="81"/>
  <c r="AB33" i="81"/>
  <c r="AC33" i="81"/>
  <c r="AD33" i="81"/>
  <c r="Z34" i="81"/>
  <c r="AA34" i="81"/>
  <c r="AB34" i="81"/>
  <c r="AC34" i="81"/>
  <c r="AD34" i="81"/>
  <c r="Z35" i="81"/>
  <c r="AA35" i="81"/>
  <c r="AB35" i="81"/>
  <c r="AC35" i="81"/>
  <c r="AD35" i="81"/>
  <c r="Z36" i="81"/>
  <c r="AA36" i="81"/>
  <c r="AB36" i="81"/>
  <c r="AC36" i="81"/>
  <c r="AD36" i="81"/>
  <c r="Z37" i="81"/>
  <c r="AA37" i="81"/>
  <c r="AB37" i="81"/>
  <c r="AC37" i="81"/>
  <c r="AD37" i="81"/>
  <c r="Z38" i="81"/>
  <c r="AA38" i="81"/>
  <c r="AB38" i="81"/>
  <c r="AC38" i="81"/>
  <c r="AD38" i="81"/>
  <c r="Z39" i="81"/>
  <c r="AA39" i="81"/>
  <c r="AB39" i="81"/>
  <c r="AC39" i="81"/>
  <c r="AD39" i="81"/>
  <c r="Z40" i="81"/>
  <c r="AA40" i="81"/>
  <c r="AB40" i="81"/>
  <c r="AC40" i="81"/>
  <c r="AD40" i="81"/>
  <c r="Z41" i="81"/>
  <c r="AA41" i="81"/>
  <c r="AB41" i="81"/>
  <c r="AC41" i="81"/>
  <c r="AD41" i="81"/>
  <c r="Z42" i="81"/>
  <c r="AA42" i="81"/>
  <c r="AB42" i="81"/>
  <c r="AC42" i="81"/>
  <c r="AD42" i="81"/>
  <c r="Z43" i="81"/>
  <c r="AA43" i="81"/>
  <c r="AB43" i="81"/>
  <c r="AC43" i="81"/>
  <c r="AD43" i="81"/>
  <c r="Z44" i="81"/>
  <c r="AA44" i="81"/>
  <c r="AB44" i="81"/>
  <c r="AC44" i="81"/>
  <c r="AD44" i="81"/>
  <c r="Z45" i="81"/>
  <c r="AA45" i="81"/>
  <c r="AB45" i="81"/>
  <c r="AC45" i="81"/>
  <c r="AD45" i="81"/>
  <c r="Z46" i="81"/>
  <c r="AA46" i="81"/>
  <c r="AB46" i="81"/>
  <c r="AC46" i="81"/>
  <c r="AD46" i="81"/>
  <c r="Z47" i="81"/>
  <c r="AA47" i="81"/>
  <c r="AB47" i="81"/>
  <c r="AC47" i="81"/>
  <c r="AD47" i="81"/>
  <c r="Z48" i="81"/>
  <c r="AA48" i="81"/>
  <c r="AB48" i="81"/>
  <c r="AC48" i="81"/>
  <c r="AD48" i="81"/>
  <c r="Z49" i="81"/>
  <c r="AA49" i="81"/>
  <c r="AB49" i="81"/>
  <c r="AC49" i="81"/>
  <c r="AD49" i="81"/>
  <c r="Z50" i="81"/>
  <c r="AA50" i="81"/>
  <c r="AB50" i="81"/>
  <c r="AC50" i="81"/>
  <c r="AD50" i="81"/>
  <c r="Z51" i="81"/>
  <c r="AA51" i="81"/>
  <c r="AB51" i="81"/>
  <c r="AC51" i="81"/>
  <c r="AD51" i="81"/>
  <c r="Z52" i="81"/>
  <c r="AA52" i="81"/>
  <c r="AB52" i="81"/>
  <c r="AC52" i="81"/>
  <c r="AD52" i="81"/>
  <c r="Z53" i="81"/>
  <c r="AA53" i="81"/>
  <c r="AB53" i="81"/>
  <c r="AC53" i="81"/>
  <c r="AD53" i="81"/>
  <c r="Z54" i="81"/>
  <c r="AA54" i="81"/>
  <c r="AB54" i="81"/>
  <c r="AC54" i="81"/>
  <c r="AD54" i="81"/>
  <c r="Z55" i="81"/>
  <c r="AA55" i="81"/>
  <c r="AB55" i="81"/>
  <c r="AC55" i="81"/>
  <c r="AD55" i="81"/>
  <c r="Z56" i="81"/>
  <c r="AA56" i="81"/>
  <c r="AB56" i="81"/>
  <c r="AC56" i="81"/>
  <c r="AD56" i="81"/>
  <c r="Z57" i="81"/>
  <c r="AA57" i="81"/>
  <c r="AB57" i="81"/>
  <c r="AC57" i="81"/>
  <c r="AD57" i="81"/>
  <c r="Z58" i="81"/>
  <c r="AA58" i="81"/>
  <c r="AB58" i="81"/>
  <c r="AC58" i="81"/>
  <c r="AD58" i="81"/>
  <c r="Z59" i="81"/>
  <c r="AA59" i="81"/>
  <c r="AB59" i="81"/>
  <c r="AC59" i="81"/>
  <c r="AD59" i="81"/>
  <c r="Z60" i="81"/>
  <c r="AA60" i="81"/>
  <c r="AB60" i="81"/>
  <c r="AC60" i="81"/>
  <c r="AD60" i="81"/>
  <c r="Z61" i="81"/>
  <c r="AA61" i="81"/>
  <c r="AB61" i="81"/>
  <c r="AC61" i="81"/>
  <c r="AD61" i="81"/>
  <c r="Z62" i="81"/>
  <c r="AA62" i="81"/>
  <c r="AB62" i="81"/>
  <c r="AC62" i="81"/>
  <c r="AD62" i="81"/>
  <c r="Z63" i="81"/>
  <c r="AA63" i="81"/>
  <c r="AB63" i="81"/>
  <c r="AC63" i="81"/>
  <c r="AD63" i="81"/>
  <c r="Z64" i="81"/>
  <c r="AA64" i="81"/>
  <c r="AB64" i="81"/>
  <c r="AC64" i="81"/>
  <c r="AD64" i="81"/>
  <c r="Z65" i="81"/>
  <c r="AA65" i="81"/>
  <c r="AB65" i="81"/>
  <c r="AC65" i="81"/>
  <c r="AD65" i="81"/>
  <c r="Z66" i="81"/>
  <c r="AA66" i="81"/>
  <c r="AB66" i="81"/>
  <c r="AC66" i="81"/>
  <c r="AD66" i="81"/>
  <c r="Z67" i="81"/>
  <c r="AA67" i="81"/>
  <c r="AB67" i="81"/>
  <c r="AC67" i="81"/>
  <c r="AD67" i="81"/>
  <c r="Z68" i="81"/>
  <c r="AA68" i="81"/>
  <c r="AB68" i="81"/>
  <c r="AC68" i="81"/>
  <c r="AD68" i="81"/>
  <c r="Z69" i="81"/>
  <c r="AA69" i="81"/>
  <c r="AB69" i="81"/>
  <c r="AC69" i="81"/>
  <c r="AD69" i="81"/>
  <c r="Z70" i="81"/>
  <c r="AA70" i="81"/>
  <c r="AB70" i="81"/>
  <c r="AC70" i="81"/>
  <c r="AD70" i="81"/>
  <c r="Z71" i="81"/>
  <c r="AA71" i="81"/>
  <c r="AB71" i="81"/>
  <c r="AC71" i="81"/>
  <c r="AD71" i="81"/>
  <c r="Z72" i="81"/>
  <c r="AA72" i="81"/>
  <c r="AB72" i="81"/>
  <c r="AC72" i="81"/>
  <c r="AD72" i="81"/>
  <c r="Z73" i="81"/>
  <c r="AA73" i="81"/>
  <c r="AB73" i="81"/>
  <c r="AC73" i="81"/>
  <c r="AD73" i="81"/>
  <c r="Z74" i="81"/>
  <c r="AA74" i="81"/>
  <c r="AB74" i="81"/>
  <c r="AC74" i="81"/>
  <c r="AD74" i="81"/>
  <c r="Z75" i="81"/>
  <c r="AA75" i="81"/>
  <c r="AB75" i="81"/>
  <c r="AC75" i="81"/>
  <c r="AD75" i="81"/>
  <c r="Z76" i="81"/>
  <c r="AA76" i="81"/>
  <c r="AB76" i="81"/>
  <c r="AC76" i="81"/>
  <c r="AD76" i="81"/>
  <c r="Z77" i="81"/>
  <c r="AA77" i="81"/>
  <c r="AB77" i="81"/>
  <c r="AC77" i="81"/>
  <c r="AD77" i="81"/>
  <c r="Z78" i="81"/>
  <c r="AA78" i="81"/>
  <c r="AB78" i="81"/>
  <c r="AC78" i="81"/>
  <c r="AD78" i="81"/>
  <c r="Z79" i="81"/>
  <c r="AA79" i="81"/>
  <c r="AB79" i="81"/>
  <c r="AC79" i="81"/>
  <c r="AD79" i="81"/>
  <c r="Z80" i="81"/>
  <c r="AA80" i="81"/>
  <c r="AB80" i="81"/>
  <c r="AC80" i="81"/>
  <c r="AD80" i="81"/>
  <c r="AA3" i="81"/>
  <c r="AB3" i="81"/>
  <c r="AC3" i="81"/>
  <c r="AD3" i="81"/>
  <c r="Z3" i="81"/>
  <c r="AH95" i="33"/>
  <c r="AH96" i="33"/>
  <c r="AH97" i="33"/>
  <c r="AH98" i="33"/>
  <c r="AH99" i="33"/>
  <c r="AH94" i="33"/>
  <c r="AG13" i="81" l="1"/>
  <c r="AG12" i="81"/>
  <c r="AG11" i="81"/>
  <c r="AG9" i="81"/>
  <c r="AG10" i="81"/>
  <c r="AG19" i="81"/>
  <c r="O94" i="33" l="1"/>
  <c r="O106" i="33" s="1"/>
  <c r="O95" i="33"/>
  <c r="O107" i="33" s="1"/>
  <c r="O96" i="33"/>
  <c r="O108" i="33" s="1"/>
  <c r="O97" i="33"/>
  <c r="O109" i="33" s="1"/>
  <c r="O98" i="33"/>
  <c r="O110" i="33" s="1"/>
  <c r="O99" i="33"/>
  <c r="O111" i="33" s="1"/>
  <c r="O100" i="33"/>
  <c r="O112" i="33" s="1"/>
  <c r="O101" i="33"/>
  <c r="O113" i="33" s="1"/>
  <c r="O102" i="33"/>
  <c r="O114" i="33" s="1"/>
  <c r="K29" i="1"/>
  <c r="K30" i="1" s="1"/>
  <c r="J30" i="1"/>
  <c r="BF684" i="83"/>
  <c r="BE684" i="83"/>
  <c r="BD684" i="83"/>
  <c r="BC684" i="83"/>
  <c r="BB684" i="83"/>
  <c r="BF683" i="83"/>
  <c r="BE683" i="83"/>
  <c r="BD683" i="83"/>
  <c r="BC683" i="83"/>
  <c r="BB683" i="83"/>
  <c r="BF682" i="83"/>
  <c r="BE682" i="83"/>
  <c r="BD682" i="83"/>
  <c r="BC682" i="83"/>
  <c r="BB682" i="83"/>
  <c r="BF681" i="83"/>
  <c r="BE681" i="83"/>
  <c r="BD681" i="83"/>
  <c r="BC681" i="83"/>
  <c r="BB681" i="83"/>
  <c r="BF680" i="83"/>
  <c r="BE680" i="83"/>
  <c r="BD680" i="83"/>
  <c r="BC680" i="83"/>
  <c r="BB680" i="83"/>
  <c r="BF679" i="83"/>
  <c r="BE679" i="83"/>
  <c r="BD679" i="83"/>
  <c r="BC679" i="83"/>
  <c r="BB679" i="83"/>
  <c r="BF678" i="83"/>
  <c r="BE678" i="83"/>
  <c r="BD678" i="83"/>
  <c r="BC678" i="83"/>
  <c r="BB678" i="83"/>
  <c r="BF677" i="83"/>
  <c r="BE677" i="83"/>
  <c r="BD677" i="83"/>
  <c r="BC677" i="83"/>
  <c r="BB677" i="83"/>
  <c r="BF676" i="83"/>
  <c r="BE676" i="83"/>
  <c r="BD676" i="83"/>
  <c r="BC676" i="83"/>
  <c r="BB676" i="83"/>
  <c r="BF675" i="83"/>
  <c r="BE675" i="83"/>
  <c r="BD675" i="83"/>
  <c r="BC675" i="83"/>
  <c r="BB675" i="83"/>
  <c r="BF674" i="83"/>
  <c r="BE674" i="83"/>
  <c r="BD674" i="83"/>
  <c r="BC674" i="83"/>
  <c r="BB674" i="83"/>
  <c r="BF673" i="83"/>
  <c r="BE673" i="83"/>
  <c r="BD673" i="83"/>
  <c r="BC673" i="83"/>
  <c r="BB673" i="83"/>
  <c r="BF672" i="83"/>
  <c r="BE672" i="83"/>
  <c r="BD672" i="83"/>
  <c r="BC672" i="83"/>
  <c r="BB672" i="83"/>
  <c r="BF671" i="83"/>
  <c r="BE671" i="83"/>
  <c r="BD671" i="83"/>
  <c r="BC671" i="83"/>
  <c r="BB671" i="83"/>
  <c r="BF670" i="83"/>
  <c r="BE670" i="83"/>
  <c r="BD670" i="83"/>
  <c r="BC670" i="83"/>
  <c r="BB670" i="83"/>
  <c r="BF669" i="83"/>
  <c r="BE669" i="83"/>
  <c r="BD669" i="83"/>
  <c r="BC669" i="83"/>
  <c r="BB669" i="83"/>
  <c r="BF668" i="83"/>
  <c r="BE668" i="83"/>
  <c r="BD668" i="83"/>
  <c r="BC668" i="83"/>
  <c r="BB668" i="83"/>
  <c r="BF667" i="83"/>
  <c r="BE667" i="83"/>
  <c r="BD667" i="83"/>
  <c r="BC667" i="83"/>
  <c r="BB667" i="83"/>
  <c r="BF666" i="83"/>
  <c r="BE666" i="83"/>
  <c r="BD666" i="83"/>
  <c r="BC666" i="83"/>
  <c r="BB666" i="83"/>
  <c r="BF665" i="83"/>
  <c r="BE665" i="83"/>
  <c r="BD665" i="83"/>
  <c r="BC665" i="83"/>
  <c r="BB665" i="83"/>
  <c r="BF664" i="83"/>
  <c r="BE664" i="83"/>
  <c r="BD664" i="83"/>
  <c r="BC664" i="83"/>
  <c r="BB664" i="83"/>
  <c r="BF663" i="83"/>
  <c r="BE663" i="83"/>
  <c r="BD663" i="83"/>
  <c r="BC663" i="83"/>
  <c r="BB663" i="83"/>
  <c r="BF662" i="83"/>
  <c r="BE662" i="83"/>
  <c r="BD662" i="83"/>
  <c r="BC662" i="83"/>
  <c r="BB662" i="83"/>
  <c r="BF661" i="83"/>
  <c r="BE661" i="83"/>
  <c r="BD661" i="83"/>
  <c r="BC661" i="83"/>
  <c r="BB661" i="83"/>
  <c r="BF660" i="83"/>
  <c r="BE660" i="83"/>
  <c r="BD660" i="83"/>
  <c r="BC660" i="83"/>
  <c r="BB660" i="83"/>
  <c r="BF659" i="83"/>
  <c r="BE659" i="83"/>
  <c r="BD659" i="83"/>
  <c r="BC659" i="83"/>
  <c r="BB659" i="83"/>
  <c r="BF658" i="83"/>
  <c r="BE658" i="83"/>
  <c r="BD658" i="83"/>
  <c r="BC658" i="83"/>
  <c r="BB658" i="83"/>
  <c r="BF657" i="83"/>
  <c r="BE657" i="83"/>
  <c r="BD657" i="83"/>
  <c r="BC657" i="83"/>
  <c r="BB657" i="83"/>
  <c r="BF656" i="83"/>
  <c r="BE656" i="83"/>
  <c r="BD656" i="83"/>
  <c r="BC656" i="83"/>
  <c r="BB656" i="83"/>
  <c r="BF655" i="83"/>
  <c r="BE655" i="83"/>
  <c r="BD655" i="83"/>
  <c r="BC655" i="83"/>
  <c r="BB655" i="83"/>
  <c r="BF654" i="83"/>
  <c r="BE654" i="83"/>
  <c r="BD654" i="83"/>
  <c r="BC654" i="83"/>
  <c r="BB654" i="83"/>
  <c r="BF653" i="83"/>
  <c r="BE653" i="83"/>
  <c r="BD653" i="83"/>
  <c r="BC653" i="83"/>
  <c r="BB653" i="83"/>
  <c r="BF652" i="83"/>
  <c r="BE652" i="83"/>
  <c r="BD652" i="83"/>
  <c r="BC652" i="83"/>
  <c r="BB652" i="83"/>
  <c r="BF651" i="83"/>
  <c r="BE651" i="83"/>
  <c r="BD651" i="83"/>
  <c r="BC651" i="83"/>
  <c r="BB651" i="83"/>
  <c r="BF650" i="83"/>
  <c r="BE650" i="83"/>
  <c r="BD650" i="83"/>
  <c r="BC650" i="83"/>
  <c r="BB650" i="83"/>
  <c r="BF649" i="83"/>
  <c r="BE649" i="83"/>
  <c r="BD649" i="83"/>
  <c r="BC649" i="83"/>
  <c r="BB649" i="83"/>
  <c r="BF648" i="83"/>
  <c r="BE648" i="83"/>
  <c r="BD648" i="83"/>
  <c r="BC648" i="83"/>
  <c r="BB648" i="83"/>
  <c r="BF647" i="83"/>
  <c r="BE647" i="83"/>
  <c r="BD647" i="83"/>
  <c r="BC647" i="83"/>
  <c r="BB647" i="83"/>
  <c r="BF646" i="83"/>
  <c r="BE646" i="83"/>
  <c r="BD646" i="83"/>
  <c r="BC646" i="83"/>
  <c r="BB646" i="83"/>
  <c r="BF645" i="83"/>
  <c r="BE645" i="83"/>
  <c r="BD645" i="83"/>
  <c r="BC645" i="83"/>
  <c r="BB645" i="83"/>
  <c r="BF644" i="83"/>
  <c r="BE644" i="83"/>
  <c r="BD644" i="83"/>
  <c r="BC644" i="83"/>
  <c r="BB644" i="83"/>
  <c r="BF643" i="83"/>
  <c r="BE643" i="83"/>
  <c r="BD643" i="83"/>
  <c r="BC643" i="83"/>
  <c r="BB643" i="83"/>
  <c r="BF642" i="83"/>
  <c r="BE642" i="83"/>
  <c r="BD642" i="83"/>
  <c r="BC642" i="83"/>
  <c r="BB642" i="83"/>
  <c r="BF641" i="83"/>
  <c r="BE641" i="83"/>
  <c r="BD641" i="83"/>
  <c r="BC641" i="83"/>
  <c r="BB641" i="83"/>
  <c r="BF640" i="83"/>
  <c r="BE640" i="83"/>
  <c r="BD640" i="83"/>
  <c r="BC640" i="83"/>
  <c r="BB640" i="83"/>
  <c r="BF639" i="83"/>
  <c r="BE639" i="83"/>
  <c r="BD639" i="83"/>
  <c r="BC639" i="83"/>
  <c r="BB639" i="83"/>
  <c r="BF638" i="83"/>
  <c r="BE638" i="83"/>
  <c r="BD638" i="83"/>
  <c r="BC638" i="83"/>
  <c r="BB638" i="83"/>
  <c r="BF637" i="83"/>
  <c r="BE637" i="83"/>
  <c r="BD637" i="83"/>
  <c r="BC637" i="83"/>
  <c r="BB637" i="83"/>
  <c r="BF636" i="83"/>
  <c r="BE636" i="83"/>
  <c r="BD636" i="83"/>
  <c r="BC636" i="83"/>
  <c r="BB636" i="83"/>
  <c r="BF635" i="83"/>
  <c r="BE635" i="83"/>
  <c r="BD635" i="83"/>
  <c r="BC635" i="83"/>
  <c r="BB635" i="83"/>
  <c r="BF634" i="83"/>
  <c r="BE634" i="83"/>
  <c r="BD634" i="83"/>
  <c r="BC634" i="83"/>
  <c r="BB634" i="83"/>
  <c r="BF633" i="83"/>
  <c r="BE633" i="83"/>
  <c r="BD633" i="83"/>
  <c r="BC633" i="83"/>
  <c r="BB633" i="83"/>
  <c r="BF632" i="83"/>
  <c r="BE632" i="83"/>
  <c r="BD632" i="83"/>
  <c r="BC632" i="83"/>
  <c r="BB632" i="83"/>
  <c r="BF631" i="83"/>
  <c r="BE631" i="83"/>
  <c r="BD631" i="83"/>
  <c r="BC631" i="83"/>
  <c r="BB631" i="83"/>
  <c r="BF630" i="83"/>
  <c r="BE630" i="83"/>
  <c r="BD630" i="83"/>
  <c r="BC630" i="83"/>
  <c r="BB630" i="83"/>
  <c r="BF629" i="83"/>
  <c r="BE629" i="83"/>
  <c r="BD629" i="83"/>
  <c r="BC629" i="83"/>
  <c r="BB629" i="83"/>
  <c r="BF628" i="83"/>
  <c r="BE628" i="83"/>
  <c r="BD628" i="83"/>
  <c r="BC628" i="83"/>
  <c r="BB628" i="83"/>
  <c r="BF627" i="83"/>
  <c r="BE627" i="83"/>
  <c r="BD627" i="83"/>
  <c r="BC627" i="83"/>
  <c r="BB627" i="83"/>
  <c r="BF626" i="83"/>
  <c r="BE626" i="83"/>
  <c r="BD626" i="83"/>
  <c r="BC626" i="83"/>
  <c r="BB626" i="83"/>
  <c r="BF625" i="83"/>
  <c r="BE625" i="83"/>
  <c r="BD625" i="83"/>
  <c r="BC625" i="83"/>
  <c r="BB625" i="83"/>
  <c r="BF624" i="83"/>
  <c r="BE624" i="83"/>
  <c r="BD624" i="83"/>
  <c r="BC624" i="83"/>
  <c r="BB624" i="83"/>
  <c r="BF623" i="83"/>
  <c r="BE623" i="83"/>
  <c r="BD623" i="83"/>
  <c r="BC623" i="83"/>
  <c r="BB623" i="83"/>
  <c r="BF622" i="83"/>
  <c r="BE622" i="83"/>
  <c r="BD622" i="83"/>
  <c r="BC622" i="83"/>
  <c r="BB622" i="83"/>
  <c r="BF621" i="83"/>
  <c r="BE621" i="83"/>
  <c r="BD621" i="83"/>
  <c r="BC621" i="83"/>
  <c r="BB621" i="83"/>
  <c r="BF620" i="83"/>
  <c r="BE620" i="83"/>
  <c r="BD620" i="83"/>
  <c r="BC620" i="83"/>
  <c r="BB620" i="83"/>
  <c r="BF619" i="83"/>
  <c r="BE619" i="83"/>
  <c r="BD619" i="83"/>
  <c r="BC619" i="83"/>
  <c r="BB619" i="83"/>
  <c r="BF618" i="83"/>
  <c r="BE618" i="83"/>
  <c r="BD618" i="83"/>
  <c r="BC618" i="83"/>
  <c r="BB618" i="83"/>
  <c r="BF617" i="83"/>
  <c r="BE617" i="83"/>
  <c r="BD617" i="83"/>
  <c r="BC617" i="83"/>
  <c r="BB617" i="83"/>
  <c r="BF616" i="83"/>
  <c r="BE616" i="83"/>
  <c r="BD616" i="83"/>
  <c r="BC616" i="83"/>
  <c r="BB616" i="83"/>
  <c r="BF615" i="83"/>
  <c r="BE615" i="83"/>
  <c r="BD615" i="83"/>
  <c r="BC615" i="83"/>
  <c r="BB615" i="83"/>
  <c r="BF614" i="83"/>
  <c r="BE614" i="83"/>
  <c r="BD614" i="83"/>
  <c r="BC614" i="83"/>
  <c r="BB614" i="83"/>
  <c r="BF613" i="83"/>
  <c r="BE613" i="83"/>
  <c r="BD613" i="83"/>
  <c r="BC613" i="83"/>
  <c r="BB613" i="83"/>
  <c r="BF612" i="83"/>
  <c r="BE612" i="83"/>
  <c r="BD612" i="83"/>
  <c r="BC612" i="83"/>
  <c r="BB612" i="83"/>
  <c r="BF611" i="83"/>
  <c r="BE611" i="83"/>
  <c r="BD611" i="83"/>
  <c r="BC611" i="83"/>
  <c r="BB611" i="83"/>
  <c r="BF610" i="83"/>
  <c r="BE610" i="83"/>
  <c r="BD610" i="83"/>
  <c r="BC610" i="83"/>
  <c r="BB610" i="83"/>
  <c r="BF609" i="83"/>
  <c r="BE609" i="83"/>
  <c r="BD609" i="83"/>
  <c r="BC609" i="83"/>
  <c r="BB609" i="83"/>
  <c r="BF608" i="83"/>
  <c r="BE608" i="83"/>
  <c r="BD608" i="83"/>
  <c r="BC608" i="83"/>
  <c r="BB608" i="83"/>
  <c r="BF607" i="83"/>
  <c r="BE607" i="83"/>
  <c r="BD607" i="83"/>
  <c r="BC607" i="83"/>
  <c r="BB607" i="83"/>
  <c r="BF606" i="83"/>
  <c r="BE606" i="83"/>
  <c r="BD606" i="83"/>
  <c r="BC606" i="83"/>
  <c r="BB606" i="83"/>
  <c r="BF605" i="83"/>
  <c r="BE605" i="83"/>
  <c r="BD605" i="83"/>
  <c r="BC605" i="83"/>
  <c r="BB605" i="83"/>
  <c r="BF604" i="83"/>
  <c r="BE604" i="83"/>
  <c r="BD604" i="83"/>
  <c r="BC604" i="83"/>
  <c r="BB604" i="83"/>
  <c r="BF603" i="83"/>
  <c r="BE603" i="83"/>
  <c r="BD603" i="83"/>
  <c r="BC603" i="83"/>
  <c r="BB603" i="83"/>
  <c r="BF602" i="83"/>
  <c r="BE602" i="83"/>
  <c r="BD602" i="83"/>
  <c r="BC602" i="83"/>
  <c r="BB602" i="83"/>
  <c r="BF601" i="83"/>
  <c r="BE601" i="83"/>
  <c r="BD601" i="83"/>
  <c r="BC601" i="83"/>
  <c r="BB601" i="83"/>
  <c r="BF600" i="83"/>
  <c r="BE600" i="83"/>
  <c r="BD600" i="83"/>
  <c r="BC600" i="83"/>
  <c r="BB600" i="83"/>
  <c r="BF599" i="83"/>
  <c r="BE599" i="83"/>
  <c r="BD599" i="83"/>
  <c r="BC599" i="83"/>
  <c r="BB599" i="83"/>
  <c r="BF598" i="83"/>
  <c r="BE598" i="83"/>
  <c r="BD598" i="83"/>
  <c r="BC598" i="83"/>
  <c r="BB598" i="83"/>
  <c r="BF597" i="83"/>
  <c r="BE597" i="83"/>
  <c r="BD597" i="83"/>
  <c r="BC597" i="83"/>
  <c r="BB597" i="83"/>
  <c r="BF596" i="83"/>
  <c r="BE596" i="83"/>
  <c r="BD596" i="83"/>
  <c r="BC596" i="83"/>
  <c r="BB596" i="83"/>
  <c r="BF595" i="83"/>
  <c r="BE595" i="83"/>
  <c r="BD595" i="83"/>
  <c r="BC595" i="83"/>
  <c r="BB595" i="83"/>
  <c r="BF594" i="83"/>
  <c r="BE594" i="83"/>
  <c r="BD594" i="83"/>
  <c r="BC594" i="83"/>
  <c r="BB594" i="83"/>
  <c r="BF593" i="83"/>
  <c r="BE593" i="83"/>
  <c r="BD593" i="83"/>
  <c r="BC593" i="83"/>
  <c r="BB593" i="83"/>
  <c r="BF592" i="83"/>
  <c r="BE592" i="83"/>
  <c r="BD592" i="83"/>
  <c r="BC592" i="83"/>
  <c r="BB592" i="83"/>
  <c r="BF591" i="83"/>
  <c r="BE591" i="83"/>
  <c r="BD591" i="83"/>
  <c r="BC591" i="83"/>
  <c r="BB591" i="83"/>
  <c r="BF590" i="83"/>
  <c r="BE590" i="83"/>
  <c r="BD590" i="83"/>
  <c r="BC590" i="83"/>
  <c r="BB590" i="83"/>
  <c r="BF589" i="83"/>
  <c r="BE589" i="83"/>
  <c r="BD589" i="83"/>
  <c r="BC589" i="83"/>
  <c r="BB589" i="83"/>
  <c r="BF588" i="83"/>
  <c r="BE588" i="83"/>
  <c r="BD588" i="83"/>
  <c r="BC588" i="83"/>
  <c r="BB588" i="83"/>
  <c r="BF587" i="83"/>
  <c r="BE587" i="83"/>
  <c r="BD587" i="83"/>
  <c r="BC587" i="83"/>
  <c r="BB587" i="83"/>
  <c r="BF586" i="83"/>
  <c r="BE586" i="83"/>
  <c r="BD586" i="83"/>
  <c r="BC586" i="83"/>
  <c r="BB586" i="83"/>
  <c r="BF585" i="83"/>
  <c r="BE585" i="83"/>
  <c r="BD585" i="83"/>
  <c r="BC585" i="83"/>
  <c r="BB585" i="83"/>
  <c r="BF584" i="83"/>
  <c r="BE584" i="83"/>
  <c r="BD584" i="83"/>
  <c r="BC584" i="83"/>
  <c r="BB584" i="83"/>
  <c r="BF583" i="83"/>
  <c r="BE583" i="83"/>
  <c r="BD583" i="83"/>
  <c r="BC583" i="83"/>
  <c r="BB583" i="83"/>
  <c r="BF582" i="83"/>
  <c r="BE582" i="83"/>
  <c r="BD582" i="83"/>
  <c r="BC582" i="83"/>
  <c r="BB582" i="83"/>
  <c r="BF581" i="83"/>
  <c r="BE581" i="83"/>
  <c r="BD581" i="83"/>
  <c r="BC581" i="83"/>
  <c r="BB581" i="83"/>
  <c r="BF580" i="83"/>
  <c r="BE580" i="83"/>
  <c r="BD580" i="83"/>
  <c r="BC580" i="83"/>
  <c r="BB580" i="83"/>
  <c r="BF579" i="83"/>
  <c r="BE579" i="83"/>
  <c r="BD579" i="83"/>
  <c r="BC579" i="83"/>
  <c r="BB579" i="83"/>
  <c r="BF578" i="83"/>
  <c r="BE578" i="83"/>
  <c r="BD578" i="83"/>
  <c r="BC578" i="83"/>
  <c r="BB578" i="83"/>
  <c r="BF577" i="83"/>
  <c r="BE577" i="83"/>
  <c r="BD577" i="83"/>
  <c r="BC577" i="83"/>
  <c r="BB577" i="83"/>
  <c r="BF576" i="83"/>
  <c r="BE576" i="83"/>
  <c r="BD576" i="83"/>
  <c r="BC576" i="83"/>
  <c r="BB576" i="83"/>
  <c r="BF575" i="83"/>
  <c r="BE575" i="83"/>
  <c r="BD575" i="83"/>
  <c r="BC575" i="83"/>
  <c r="BB575" i="83"/>
  <c r="BF574" i="83"/>
  <c r="BE574" i="83"/>
  <c r="BD574" i="83"/>
  <c r="BC574" i="83"/>
  <c r="BB574" i="83"/>
  <c r="BF573" i="83"/>
  <c r="BE573" i="83"/>
  <c r="BD573" i="83"/>
  <c r="BC573" i="83"/>
  <c r="BB573" i="83"/>
  <c r="BF572" i="83"/>
  <c r="BE572" i="83"/>
  <c r="BD572" i="83"/>
  <c r="BC572" i="83"/>
  <c r="BB572" i="83"/>
  <c r="BF571" i="83"/>
  <c r="BE571" i="83"/>
  <c r="BD571" i="83"/>
  <c r="BC571" i="83"/>
  <c r="BB571" i="83"/>
  <c r="BF570" i="83"/>
  <c r="BE570" i="83"/>
  <c r="BD570" i="83"/>
  <c r="BC570" i="83"/>
  <c r="BB570" i="83"/>
  <c r="BF569" i="83"/>
  <c r="BE569" i="83"/>
  <c r="BD569" i="83"/>
  <c r="BC569" i="83"/>
  <c r="BB569" i="83"/>
  <c r="BF568" i="83"/>
  <c r="BE568" i="83"/>
  <c r="BD568" i="83"/>
  <c r="BC568" i="83"/>
  <c r="BB568" i="83"/>
  <c r="BF567" i="83"/>
  <c r="BE567" i="83"/>
  <c r="BD567" i="83"/>
  <c r="BC567" i="83"/>
  <c r="BB567" i="83"/>
  <c r="BF566" i="83"/>
  <c r="BE566" i="83"/>
  <c r="BD566" i="83"/>
  <c r="BC566" i="83"/>
  <c r="BB566" i="83"/>
  <c r="BF565" i="83"/>
  <c r="BE565" i="83"/>
  <c r="BD565" i="83"/>
  <c r="BC565" i="83"/>
  <c r="BB565" i="83"/>
  <c r="BF564" i="83"/>
  <c r="BE564" i="83"/>
  <c r="BD564" i="83"/>
  <c r="BC564" i="83"/>
  <c r="BB564" i="83"/>
  <c r="BF563" i="83"/>
  <c r="BE563" i="83"/>
  <c r="BD563" i="83"/>
  <c r="BC563" i="83"/>
  <c r="BB563" i="83"/>
  <c r="BF562" i="83"/>
  <c r="BE562" i="83"/>
  <c r="BD562" i="83"/>
  <c r="BC562" i="83"/>
  <c r="BB562" i="83"/>
  <c r="BF561" i="83"/>
  <c r="BE561" i="83"/>
  <c r="BD561" i="83"/>
  <c r="BC561" i="83"/>
  <c r="BB561" i="83"/>
  <c r="BF560" i="83"/>
  <c r="BE560" i="83"/>
  <c r="BD560" i="83"/>
  <c r="BC560" i="83"/>
  <c r="BB560" i="83"/>
  <c r="BF559" i="83"/>
  <c r="BE559" i="83"/>
  <c r="BD559" i="83"/>
  <c r="BC559" i="83"/>
  <c r="BB559" i="83"/>
  <c r="BF558" i="83"/>
  <c r="BE558" i="83"/>
  <c r="BD558" i="83"/>
  <c r="BC558" i="83"/>
  <c r="BB558" i="83"/>
  <c r="BF557" i="83"/>
  <c r="BE557" i="83"/>
  <c r="BD557" i="83"/>
  <c r="BC557" i="83"/>
  <c r="BB557" i="83"/>
  <c r="BF556" i="83"/>
  <c r="BE556" i="83"/>
  <c r="BD556" i="83"/>
  <c r="BC556" i="83"/>
  <c r="BB556" i="83"/>
  <c r="BF555" i="83"/>
  <c r="BE555" i="83"/>
  <c r="BD555" i="83"/>
  <c r="BC555" i="83"/>
  <c r="BB555" i="83"/>
  <c r="BF554" i="83"/>
  <c r="BE554" i="83"/>
  <c r="BD554" i="83"/>
  <c r="BC554" i="83"/>
  <c r="BB554" i="83"/>
  <c r="BF553" i="83"/>
  <c r="BE553" i="83"/>
  <c r="BD553" i="83"/>
  <c r="BC553" i="83"/>
  <c r="BB553" i="83"/>
  <c r="BF552" i="83"/>
  <c r="BE552" i="83"/>
  <c r="BD552" i="83"/>
  <c r="BC552" i="83"/>
  <c r="BB552" i="83"/>
  <c r="BF551" i="83"/>
  <c r="BE551" i="83"/>
  <c r="BD551" i="83"/>
  <c r="BC551" i="83"/>
  <c r="BB551" i="83"/>
  <c r="BF550" i="83"/>
  <c r="BE550" i="83"/>
  <c r="BD550" i="83"/>
  <c r="BC550" i="83"/>
  <c r="BB550" i="83"/>
  <c r="BF549" i="83"/>
  <c r="BE549" i="83"/>
  <c r="BD549" i="83"/>
  <c r="BC549" i="83"/>
  <c r="BB549" i="83"/>
  <c r="BF548" i="83"/>
  <c r="BE548" i="83"/>
  <c r="BD548" i="83"/>
  <c r="BC548" i="83"/>
  <c r="BB548" i="83"/>
  <c r="BF547" i="83"/>
  <c r="BE547" i="83"/>
  <c r="BD547" i="83"/>
  <c r="BC547" i="83"/>
  <c r="BB547" i="83"/>
  <c r="BF546" i="83"/>
  <c r="BE546" i="83"/>
  <c r="BD546" i="83"/>
  <c r="BC546" i="83"/>
  <c r="BB546" i="83"/>
  <c r="BF545" i="83"/>
  <c r="BE545" i="83"/>
  <c r="BD545" i="83"/>
  <c r="BC545" i="83"/>
  <c r="BB545" i="83"/>
  <c r="BF544" i="83"/>
  <c r="BE544" i="83"/>
  <c r="BD544" i="83"/>
  <c r="BC544" i="83"/>
  <c r="BB544" i="83"/>
  <c r="BF543" i="83"/>
  <c r="BE543" i="83"/>
  <c r="BD543" i="83"/>
  <c r="BC543" i="83"/>
  <c r="BB543" i="83"/>
  <c r="BF542" i="83"/>
  <c r="BE542" i="83"/>
  <c r="BD542" i="83"/>
  <c r="BC542" i="83"/>
  <c r="BB542" i="83"/>
  <c r="BF541" i="83"/>
  <c r="BE541" i="83"/>
  <c r="BD541" i="83"/>
  <c r="BC541" i="83"/>
  <c r="BB541" i="83"/>
  <c r="BF540" i="83"/>
  <c r="BE540" i="83"/>
  <c r="BD540" i="83"/>
  <c r="BC540" i="83"/>
  <c r="BB540" i="83"/>
  <c r="BF539" i="83"/>
  <c r="BE539" i="83"/>
  <c r="BD539" i="83"/>
  <c r="BC539" i="83"/>
  <c r="BB539" i="83"/>
  <c r="BF538" i="83"/>
  <c r="BE538" i="83"/>
  <c r="BD538" i="83"/>
  <c r="BC538" i="83"/>
  <c r="BB538" i="83"/>
  <c r="BF537" i="83"/>
  <c r="BE537" i="83"/>
  <c r="BD537" i="83"/>
  <c r="BC537" i="83"/>
  <c r="BB537" i="83"/>
  <c r="BF536" i="83"/>
  <c r="BE536" i="83"/>
  <c r="BD536" i="83"/>
  <c r="BC536" i="83"/>
  <c r="BB536" i="83"/>
  <c r="BF535" i="83"/>
  <c r="BE535" i="83"/>
  <c r="BD535" i="83"/>
  <c r="BC535" i="83"/>
  <c r="BB535" i="83"/>
  <c r="BF534" i="83"/>
  <c r="BE534" i="83"/>
  <c r="BD534" i="83"/>
  <c r="BC534" i="83"/>
  <c r="BB534" i="83"/>
  <c r="BF533" i="83"/>
  <c r="BE533" i="83"/>
  <c r="BD533" i="83"/>
  <c r="BC533" i="83"/>
  <c r="BB533" i="83"/>
  <c r="BF532" i="83"/>
  <c r="BE532" i="83"/>
  <c r="BD532" i="83"/>
  <c r="BC532" i="83"/>
  <c r="BB532" i="83"/>
  <c r="BF531" i="83"/>
  <c r="BE531" i="83"/>
  <c r="BD531" i="83"/>
  <c r="BC531" i="83"/>
  <c r="BB531" i="83"/>
  <c r="BF530" i="83"/>
  <c r="BE530" i="83"/>
  <c r="BD530" i="83"/>
  <c r="BC530" i="83"/>
  <c r="BB530" i="83"/>
  <c r="BF529" i="83"/>
  <c r="BE529" i="83"/>
  <c r="BD529" i="83"/>
  <c r="BC529" i="83"/>
  <c r="BB529" i="83"/>
  <c r="BF528" i="83"/>
  <c r="BE528" i="83"/>
  <c r="BD528" i="83"/>
  <c r="BC528" i="83"/>
  <c r="BB528" i="83"/>
  <c r="BF527" i="83"/>
  <c r="BE527" i="83"/>
  <c r="BD527" i="83"/>
  <c r="BC527" i="83"/>
  <c r="BB527" i="83"/>
  <c r="BF526" i="83"/>
  <c r="BE526" i="83"/>
  <c r="BD526" i="83"/>
  <c r="BC526" i="83"/>
  <c r="BB526" i="83"/>
  <c r="BF525" i="83"/>
  <c r="BE525" i="83"/>
  <c r="BD525" i="83"/>
  <c r="BC525" i="83"/>
  <c r="BB525" i="83"/>
  <c r="BF524" i="83"/>
  <c r="BE524" i="83"/>
  <c r="BD524" i="83"/>
  <c r="BC524" i="83"/>
  <c r="BB524" i="83"/>
  <c r="BF523" i="83"/>
  <c r="BE523" i="83"/>
  <c r="BD523" i="83"/>
  <c r="BC523" i="83"/>
  <c r="BB523" i="83"/>
  <c r="BF522" i="83"/>
  <c r="BE522" i="83"/>
  <c r="BD522" i="83"/>
  <c r="BC522" i="83"/>
  <c r="BB522" i="83"/>
  <c r="BF521" i="83"/>
  <c r="BE521" i="83"/>
  <c r="BD521" i="83"/>
  <c r="BC521" i="83"/>
  <c r="BB521" i="83"/>
  <c r="BF520" i="83"/>
  <c r="BE520" i="83"/>
  <c r="BD520" i="83"/>
  <c r="BC520" i="83"/>
  <c r="BB520" i="83"/>
  <c r="BF519" i="83"/>
  <c r="BE519" i="83"/>
  <c r="BD519" i="83"/>
  <c r="BC519" i="83"/>
  <c r="BB519" i="83"/>
  <c r="BF518" i="83"/>
  <c r="BE518" i="83"/>
  <c r="BD518" i="83"/>
  <c r="BC518" i="83"/>
  <c r="BB518" i="83"/>
  <c r="BF517" i="83"/>
  <c r="BE517" i="83"/>
  <c r="BD517" i="83"/>
  <c r="BC517" i="83"/>
  <c r="BB517" i="83"/>
  <c r="BF516" i="83"/>
  <c r="BE516" i="83"/>
  <c r="BD516" i="83"/>
  <c r="BC516" i="83"/>
  <c r="BB516" i="83"/>
  <c r="BF515" i="83"/>
  <c r="BE515" i="83"/>
  <c r="BD515" i="83"/>
  <c r="BC515" i="83"/>
  <c r="BB515" i="83"/>
  <c r="BF514" i="83"/>
  <c r="BE514" i="83"/>
  <c r="BD514" i="83"/>
  <c r="BC514" i="83"/>
  <c r="BB514" i="83"/>
  <c r="BF513" i="83"/>
  <c r="BE513" i="83"/>
  <c r="BD513" i="83"/>
  <c r="BC513" i="83"/>
  <c r="BB513" i="83"/>
  <c r="BF512" i="83"/>
  <c r="BE512" i="83"/>
  <c r="BD512" i="83"/>
  <c r="BC512" i="83"/>
  <c r="BB512" i="83"/>
  <c r="BF511" i="83"/>
  <c r="BE511" i="83"/>
  <c r="BD511" i="83"/>
  <c r="BC511" i="83"/>
  <c r="BB511" i="83"/>
  <c r="BF510" i="83"/>
  <c r="BE510" i="83"/>
  <c r="BD510" i="83"/>
  <c r="BC510" i="83"/>
  <c r="BB510" i="83"/>
  <c r="BF509" i="83"/>
  <c r="BE509" i="83"/>
  <c r="BD509" i="83"/>
  <c r="BC509" i="83"/>
  <c r="BB509" i="83"/>
  <c r="BF508" i="83"/>
  <c r="BE508" i="83"/>
  <c r="BD508" i="83"/>
  <c r="BC508" i="83"/>
  <c r="BB508" i="83"/>
  <c r="BF507" i="83"/>
  <c r="BE507" i="83"/>
  <c r="BD507" i="83"/>
  <c r="BC507" i="83"/>
  <c r="BB507" i="83"/>
  <c r="BF506" i="83"/>
  <c r="BE506" i="83"/>
  <c r="BD506" i="83"/>
  <c r="BC506" i="83"/>
  <c r="BB506" i="83"/>
  <c r="BF505" i="83"/>
  <c r="BE505" i="83"/>
  <c r="BD505" i="83"/>
  <c r="BC505" i="83"/>
  <c r="BB505" i="83"/>
  <c r="BF504" i="83"/>
  <c r="BE504" i="83"/>
  <c r="BD504" i="83"/>
  <c r="BC504" i="83"/>
  <c r="BB504" i="83"/>
  <c r="BF503" i="83"/>
  <c r="BE503" i="83"/>
  <c r="BD503" i="83"/>
  <c r="BC503" i="83"/>
  <c r="BB503" i="83"/>
  <c r="BF502" i="83"/>
  <c r="BE502" i="83"/>
  <c r="BD502" i="83"/>
  <c r="BC502" i="83"/>
  <c r="BB502" i="83"/>
  <c r="BF501" i="83"/>
  <c r="BE501" i="83"/>
  <c r="BD501" i="83"/>
  <c r="BC501" i="83"/>
  <c r="BB501" i="83"/>
  <c r="BF500" i="83"/>
  <c r="BE500" i="83"/>
  <c r="BD500" i="83"/>
  <c r="BC500" i="83"/>
  <c r="BB500" i="83"/>
  <c r="BF499" i="83"/>
  <c r="BE499" i="83"/>
  <c r="BD499" i="83"/>
  <c r="BC499" i="83"/>
  <c r="BB499" i="83"/>
  <c r="BF498" i="83"/>
  <c r="BE498" i="83"/>
  <c r="BD498" i="83"/>
  <c r="BC498" i="83"/>
  <c r="BB498" i="83"/>
  <c r="BF497" i="83"/>
  <c r="BE497" i="83"/>
  <c r="BD497" i="83"/>
  <c r="BC497" i="83"/>
  <c r="BB497" i="83"/>
  <c r="BF496" i="83"/>
  <c r="BE496" i="83"/>
  <c r="BD496" i="83"/>
  <c r="BC496" i="83"/>
  <c r="BB496" i="83"/>
  <c r="BF495" i="83"/>
  <c r="BE495" i="83"/>
  <c r="BD495" i="83"/>
  <c r="BC495" i="83"/>
  <c r="BB495" i="83"/>
  <c r="BF494" i="83"/>
  <c r="BE494" i="83"/>
  <c r="BD494" i="83"/>
  <c r="BC494" i="83"/>
  <c r="BB494" i="83"/>
  <c r="BF493" i="83"/>
  <c r="BE493" i="83"/>
  <c r="BD493" i="83"/>
  <c r="BC493" i="83"/>
  <c r="BB493" i="83"/>
  <c r="BF492" i="83"/>
  <c r="BE492" i="83"/>
  <c r="BD492" i="83"/>
  <c r="BC492" i="83"/>
  <c r="BB492" i="83"/>
  <c r="BF491" i="83"/>
  <c r="BE491" i="83"/>
  <c r="BD491" i="83"/>
  <c r="BC491" i="83"/>
  <c r="BB491" i="83"/>
  <c r="BF490" i="83"/>
  <c r="BE490" i="83"/>
  <c r="BD490" i="83"/>
  <c r="BC490" i="83"/>
  <c r="BB490" i="83"/>
  <c r="BF489" i="83"/>
  <c r="BE489" i="83"/>
  <c r="BD489" i="83"/>
  <c r="BC489" i="83"/>
  <c r="BB489" i="83"/>
  <c r="BF488" i="83"/>
  <c r="BE488" i="83"/>
  <c r="BD488" i="83"/>
  <c r="BC488" i="83"/>
  <c r="BB488" i="83"/>
  <c r="BF487" i="83"/>
  <c r="BE487" i="83"/>
  <c r="BD487" i="83"/>
  <c r="BC487" i="83"/>
  <c r="BB487" i="83"/>
  <c r="BF486" i="83"/>
  <c r="BE486" i="83"/>
  <c r="BD486" i="83"/>
  <c r="BC486" i="83"/>
  <c r="BB486" i="83"/>
  <c r="BF485" i="83"/>
  <c r="BE485" i="83"/>
  <c r="BD485" i="83"/>
  <c r="BC485" i="83"/>
  <c r="BB485" i="83"/>
  <c r="BF484" i="83"/>
  <c r="BE484" i="83"/>
  <c r="BD484" i="83"/>
  <c r="BC484" i="83"/>
  <c r="BB484" i="83"/>
  <c r="BF483" i="83"/>
  <c r="BE483" i="83"/>
  <c r="BD483" i="83"/>
  <c r="BC483" i="83"/>
  <c r="BB483" i="83"/>
  <c r="BF482" i="83"/>
  <c r="BE482" i="83"/>
  <c r="BD482" i="83"/>
  <c r="BC482" i="83"/>
  <c r="BB482" i="83"/>
  <c r="BF481" i="83"/>
  <c r="BE481" i="83"/>
  <c r="BD481" i="83"/>
  <c r="BC481" i="83"/>
  <c r="BB481" i="83"/>
  <c r="BF480" i="83"/>
  <c r="BE480" i="83"/>
  <c r="BD480" i="83"/>
  <c r="BC480" i="83"/>
  <c r="BB480" i="83"/>
  <c r="BF479" i="83"/>
  <c r="BE479" i="83"/>
  <c r="BD479" i="83"/>
  <c r="BC479" i="83"/>
  <c r="BB479" i="83"/>
  <c r="BF478" i="83"/>
  <c r="BE478" i="83"/>
  <c r="BD478" i="83"/>
  <c r="BC478" i="83"/>
  <c r="BB478" i="83"/>
  <c r="BF477" i="83"/>
  <c r="BE477" i="83"/>
  <c r="BD477" i="83"/>
  <c r="BC477" i="83"/>
  <c r="BB477" i="83"/>
  <c r="BF476" i="83"/>
  <c r="BE476" i="83"/>
  <c r="BD476" i="83"/>
  <c r="BC476" i="83"/>
  <c r="BB476" i="83"/>
  <c r="BF475" i="83"/>
  <c r="BE475" i="83"/>
  <c r="BD475" i="83"/>
  <c r="BC475" i="83"/>
  <c r="BB475" i="83"/>
  <c r="BF474" i="83"/>
  <c r="BE474" i="83"/>
  <c r="BD474" i="83"/>
  <c r="BC474" i="83"/>
  <c r="BB474" i="83"/>
  <c r="BF473" i="83"/>
  <c r="BE473" i="83"/>
  <c r="BD473" i="83"/>
  <c r="BC473" i="83"/>
  <c r="BB473" i="83"/>
  <c r="BF472" i="83"/>
  <c r="BE472" i="83"/>
  <c r="BD472" i="83"/>
  <c r="BC472" i="83"/>
  <c r="BB472" i="83"/>
  <c r="BF471" i="83"/>
  <c r="BE471" i="83"/>
  <c r="BD471" i="83"/>
  <c r="BC471" i="83"/>
  <c r="BB471" i="83"/>
  <c r="BF470" i="83"/>
  <c r="BE470" i="83"/>
  <c r="BD470" i="83"/>
  <c r="BC470" i="83"/>
  <c r="BB470" i="83"/>
  <c r="BF469" i="83"/>
  <c r="BE469" i="83"/>
  <c r="BD469" i="83"/>
  <c r="BC469" i="83"/>
  <c r="BB469" i="83"/>
  <c r="BF468" i="83"/>
  <c r="BE468" i="83"/>
  <c r="BD468" i="83"/>
  <c r="BC468" i="83"/>
  <c r="BB468" i="83"/>
  <c r="BF467" i="83"/>
  <c r="BE467" i="83"/>
  <c r="BD467" i="83"/>
  <c r="BC467" i="83"/>
  <c r="BB467" i="83"/>
  <c r="BF466" i="83"/>
  <c r="BE466" i="83"/>
  <c r="BD466" i="83"/>
  <c r="BC466" i="83"/>
  <c r="BB466" i="83"/>
  <c r="BF465" i="83"/>
  <c r="BE465" i="83"/>
  <c r="BD465" i="83"/>
  <c r="BC465" i="83"/>
  <c r="BB465" i="83"/>
  <c r="BF464" i="83"/>
  <c r="BE464" i="83"/>
  <c r="BD464" i="83"/>
  <c r="BC464" i="83"/>
  <c r="BB464" i="83"/>
  <c r="BF463" i="83"/>
  <c r="BE463" i="83"/>
  <c r="BD463" i="83"/>
  <c r="BC463" i="83"/>
  <c r="BB463" i="83"/>
  <c r="BF462" i="83"/>
  <c r="BE462" i="83"/>
  <c r="BD462" i="83"/>
  <c r="BC462" i="83"/>
  <c r="BB462" i="83"/>
  <c r="BF461" i="83"/>
  <c r="BE461" i="83"/>
  <c r="BD461" i="83"/>
  <c r="BC461" i="83"/>
  <c r="BB461" i="83"/>
  <c r="BF460" i="83"/>
  <c r="BE460" i="83"/>
  <c r="BD460" i="83"/>
  <c r="BC460" i="83"/>
  <c r="BB460" i="83"/>
  <c r="BF459" i="83"/>
  <c r="BE459" i="83"/>
  <c r="BD459" i="83"/>
  <c r="BC459" i="83"/>
  <c r="BB459" i="83"/>
  <c r="BF458" i="83"/>
  <c r="BE458" i="83"/>
  <c r="BD458" i="83"/>
  <c r="BC458" i="83"/>
  <c r="BB458" i="83"/>
  <c r="BF457" i="83"/>
  <c r="BE457" i="83"/>
  <c r="BD457" i="83"/>
  <c r="BC457" i="83"/>
  <c r="BB457" i="83"/>
  <c r="BF456" i="83"/>
  <c r="BE456" i="83"/>
  <c r="BD456" i="83"/>
  <c r="BC456" i="83"/>
  <c r="BB456" i="83"/>
  <c r="BF455" i="83"/>
  <c r="BE455" i="83"/>
  <c r="BD455" i="83"/>
  <c r="BC455" i="83"/>
  <c r="BB455" i="83"/>
  <c r="BF454" i="83"/>
  <c r="BE454" i="83"/>
  <c r="BD454" i="83"/>
  <c r="BC454" i="83"/>
  <c r="BB454" i="83"/>
  <c r="BF453" i="83"/>
  <c r="BE453" i="83"/>
  <c r="BD453" i="83"/>
  <c r="BC453" i="83"/>
  <c r="BB453" i="83"/>
  <c r="BF452" i="83"/>
  <c r="BE452" i="83"/>
  <c r="BD452" i="83"/>
  <c r="BC452" i="83"/>
  <c r="BB452" i="83"/>
  <c r="BF451" i="83"/>
  <c r="BE451" i="83"/>
  <c r="BD451" i="83"/>
  <c r="BC451" i="83"/>
  <c r="BB451" i="83"/>
  <c r="BF450" i="83"/>
  <c r="BE450" i="83"/>
  <c r="BD450" i="83"/>
  <c r="BC450" i="83"/>
  <c r="BB450" i="83"/>
  <c r="BF449" i="83"/>
  <c r="BE449" i="83"/>
  <c r="BD449" i="83"/>
  <c r="BC449" i="83"/>
  <c r="BB449" i="83"/>
  <c r="BF448" i="83"/>
  <c r="BE448" i="83"/>
  <c r="BD448" i="83"/>
  <c r="BC448" i="83"/>
  <c r="BB448" i="83"/>
  <c r="BF447" i="83"/>
  <c r="BE447" i="83"/>
  <c r="BD447" i="83"/>
  <c r="BC447" i="83"/>
  <c r="BB447" i="83"/>
  <c r="BF446" i="83"/>
  <c r="BE446" i="83"/>
  <c r="BD446" i="83"/>
  <c r="BC446" i="83"/>
  <c r="BB446" i="83"/>
  <c r="BF445" i="83"/>
  <c r="BE445" i="83"/>
  <c r="BD445" i="83"/>
  <c r="BC445" i="83"/>
  <c r="BB445" i="83"/>
  <c r="BF444" i="83"/>
  <c r="BE444" i="83"/>
  <c r="BD444" i="83"/>
  <c r="BC444" i="83"/>
  <c r="BB444" i="83"/>
  <c r="BF443" i="83"/>
  <c r="BE443" i="83"/>
  <c r="BD443" i="83"/>
  <c r="BC443" i="83"/>
  <c r="BB443" i="83"/>
  <c r="BF442" i="83"/>
  <c r="BE442" i="83"/>
  <c r="BD442" i="83"/>
  <c r="BC442" i="83"/>
  <c r="BB442" i="83"/>
  <c r="BF441" i="83"/>
  <c r="BE441" i="83"/>
  <c r="BD441" i="83"/>
  <c r="BC441" i="83"/>
  <c r="BB441" i="83"/>
  <c r="BF440" i="83"/>
  <c r="BE440" i="83"/>
  <c r="BD440" i="83"/>
  <c r="BC440" i="83"/>
  <c r="BB440" i="83"/>
  <c r="BF439" i="83"/>
  <c r="BE439" i="83"/>
  <c r="BD439" i="83"/>
  <c r="BC439" i="83"/>
  <c r="BB439" i="83"/>
  <c r="BF438" i="83"/>
  <c r="BE438" i="83"/>
  <c r="BD438" i="83"/>
  <c r="BC438" i="83"/>
  <c r="BB438" i="83"/>
  <c r="BF437" i="83"/>
  <c r="BE437" i="83"/>
  <c r="BD437" i="83"/>
  <c r="BC437" i="83"/>
  <c r="BB437" i="83"/>
  <c r="BF436" i="83"/>
  <c r="BE436" i="83"/>
  <c r="BD436" i="83"/>
  <c r="BC436" i="83"/>
  <c r="BB436" i="83"/>
  <c r="BF435" i="83"/>
  <c r="BE435" i="83"/>
  <c r="BD435" i="83"/>
  <c r="BC435" i="83"/>
  <c r="BB435" i="83"/>
  <c r="BF434" i="83"/>
  <c r="BE434" i="83"/>
  <c r="BD434" i="83"/>
  <c r="BC434" i="83"/>
  <c r="BB434" i="83"/>
  <c r="BF433" i="83"/>
  <c r="BE433" i="83"/>
  <c r="BD433" i="83"/>
  <c r="BC433" i="83"/>
  <c r="BB433" i="83"/>
  <c r="BF432" i="83"/>
  <c r="BE432" i="83"/>
  <c r="BD432" i="83"/>
  <c r="BC432" i="83"/>
  <c r="BB432" i="83"/>
  <c r="BF431" i="83"/>
  <c r="BE431" i="83"/>
  <c r="BD431" i="83"/>
  <c r="BC431" i="83"/>
  <c r="BB431" i="83"/>
  <c r="BF430" i="83"/>
  <c r="BE430" i="83"/>
  <c r="BD430" i="83"/>
  <c r="BC430" i="83"/>
  <c r="BB430" i="83"/>
  <c r="BF429" i="83"/>
  <c r="BE429" i="83"/>
  <c r="BD429" i="83"/>
  <c r="BC429" i="83"/>
  <c r="BB429" i="83"/>
  <c r="BF428" i="83"/>
  <c r="BE428" i="83"/>
  <c r="BD428" i="83"/>
  <c r="BC428" i="83"/>
  <c r="BB428" i="83"/>
  <c r="BF427" i="83"/>
  <c r="BE427" i="83"/>
  <c r="BD427" i="83"/>
  <c r="BC427" i="83"/>
  <c r="BB427" i="83"/>
  <c r="BF426" i="83"/>
  <c r="BE426" i="83"/>
  <c r="BD426" i="83"/>
  <c r="BC426" i="83"/>
  <c r="BB426" i="83"/>
  <c r="BF425" i="83"/>
  <c r="BE425" i="83"/>
  <c r="BD425" i="83"/>
  <c r="BC425" i="83"/>
  <c r="BB425" i="83"/>
  <c r="BF424" i="83"/>
  <c r="BE424" i="83"/>
  <c r="BD424" i="83"/>
  <c r="BC424" i="83"/>
  <c r="BB424" i="83"/>
  <c r="BF423" i="83"/>
  <c r="BE423" i="83"/>
  <c r="BD423" i="83"/>
  <c r="BC423" i="83"/>
  <c r="BB423" i="83"/>
  <c r="BF422" i="83"/>
  <c r="BE422" i="83"/>
  <c r="BD422" i="83"/>
  <c r="BC422" i="83"/>
  <c r="BB422" i="83"/>
  <c r="BF421" i="83"/>
  <c r="BE421" i="83"/>
  <c r="BD421" i="83"/>
  <c r="BC421" i="83"/>
  <c r="BB421" i="83"/>
  <c r="BF420" i="83"/>
  <c r="BE420" i="83"/>
  <c r="BD420" i="83"/>
  <c r="BC420" i="83"/>
  <c r="BB420" i="83"/>
  <c r="BF419" i="83"/>
  <c r="BE419" i="83"/>
  <c r="BD419" i="83"/>
  <c r="BC419" i="83"/>
  <c r="BB419" i="83"/>
  <c r="BF418" i="83"/>
  <c r="BE418" i="83"/>
  <c r="BD418" i="83"/>
  <c r="BC418" i="83"/>
  <c r="BB418" i="83"/>
  <c r="BF417" i="83"/>
  <c r="BE417" i="83"/>
  <c r="BD417" i="83"/>
  <c r="BC417" i="83"/>
  <c r="BB417" i="83"/>
  <c r="BF416" i="83"/>
  <c r="BE416" i="83"/>
  <c r="BD416" i="83"/>
  <c r="BC416" i="83"/>
  <c r="BB416" i="83"/>
  <c r="BF415" i="83"/>
  <c r="BE415" i="83"/>
  <c r="BD415" i="83"/>
  <c r="BC415" i="83"/>
  <c r="BB415" i="83"/>
  <c r="BF414" i="83"/>
  <c r="BE414" i="83"/>
  <c r="BD414" i="83"/>
  <c r="BC414" i="83"/>
  <c r="BB414" i="83"/>
  <c r="BF413" i="83"/>
  <c r="BE413" i="83"/>
  <c r="BD413" i="83"/>
  <c r="BC413" i="83"/>
  <c r="BB413" i="83"/>
  <c r="BF412" i="83"/>
  <c r="BE412" i="83"/>
  <c r="BD412" i="83"/>
  <c r="BC412" i="83"/>
  <c r="BB412" i="83"/>
  <c r="BF411" i="83"/>
  <c r="BE411" i="83"/>
  <c r="BD411" i="83"/>
  <c r="BC411" i="83"/>
  <c r="BB411" i="83"/>
  <c r="BF410" i="83"/>
  <c r="BE410" i="83"/>
  <c r="BD410" i="83"/>
  <c r="BC410" i="83"/>
  <c r="BB410" i="83"/>
  <c r="BF409" i="83"/>
  <c r="BE409" i="83"/>
  <c r="BD409" i="83"/>
  <c r="BC409" i="83"/>
  <c r="BB409" i="83"/>
  <c r="BF408" i="83"/>
  <c r="BE408" i="83"/>
  <c r="BD408" i="83"/>
  <c r="BC408" i="83"/>
  <c r="BB408" i="83"/>
  <c r="BF407" i="83"/>
  <c r="BE407" i="83"/>
  <c r="BD407" i="83"/>
  <c r="BC407" i="83"/>
  <c r="BB407" i="83"/>
  <c r="BF406" i="83"/>
  <c r="BE406" i="83"/>
  <c r="BD406" i="83"/>
  <c r="BC406" i="83"/>
  <c r="BB406" i="83"/>
  <c r="BF405" i="83"/>
  <c r="BE405" i="83"/>
  <c r="BD405" i="83"/>
  <c r="BC405" i="83"/>
  <c r="BB405" i="83"/>
  <c r="BF404" i="83"/>
  <c r="BE404" i="83"/>
  <c r="BD404" i="83"/>
  <c r="BC404" i="83"/>
  <c r="BB404" i="83"/>
  <c r="BF403" i="83"/>
  <c r="BE403" i="83"/>
  <c r="BD403" i="83"/>
  <c r="BC403" i="83"/>
  <c r="BB403" i="83"/>
  <c r="BF402" i="83"/>
  <c r="BE402" i="83"/>
  <c r="BD402" i="83"/>
  <c r="BC402" i="83"/>
  <c r="BB402" i="83"/>
  <c r="BF401" i="83"/>
  <c r="BE401" i="83"/>
  <c r="BD401" i="83"/>
  <c r="BC401" i="83"/>
  <c r="BB401" i="83"/>
  <c r="BF400" i="83"/>
  <c r="BE400" i="83"/>
  <c r="BD400" i="83"/>
  <c r="BC400" i="83"/>
  <c r="BB400" i="83"/>
  <c r="BF399" i="83"/>
  <c r="BE399" i="83"/>
  <c r="BD399" i="83"/>
  <c r="BC399" i="83"/>
  <c r="BB399" i="83"/>
  <c r="BF398" i="83"/>
  <c r="BE398" i="83"/>
  <c r="BD398" i="83"/>
  <c r="BC398" i="83"/>
  <c r="BB398" i="83"/>
  <c r="BF397" i="83"/>
  <c r="BE397" i="83"/>
  <c r="BD397" i="83"/>
  <c r="BC397" i="83"/>
  <c r="BB397" i="83"/>
  <c r="BF396" i="83"/>
  <c r="BE396" i="83"/>
  <c r="BD396" i="83"/>
  <c r="BC396" i="83"/>
  <c r="BB396" i="83"/>
  <c r="BF395" i="83"/>
  <c r="BE395" i="83"/>
  <c r="BD395" i="83"/>
  <c r="BC395" i="83"/>
  <c r="BB395" i="83"/>
  <c r="BF394" i="83"/>
  <c r="BE394" i="83"/>
  <c r="BD394" i="83"/>
  <c r="BC394" i="83"/>
  <c r="BB394" i="83"/>
  <c r="BF393" i="83"/>
  <c r="BE393" i="83"/>
  <c r="BD393" i="83"/>
  <c r="BC393" i="83"/>
  <c r="BB393" i="83"/>
  <c r="BF392" i="83"/>
  <c r="BE392" i="83"/>
  <c r="BD392" i="83"/>
  <c r="BC392" i="83"/>
  <c r="BB392" i="83"/>
  <c r="BF391" i="83"/>
  <c r="BE391" i="83"/>
  <c r="BD391" i="83"/>
  <c r="BC391" i="83"/>
  <c r="BB391" i="83"/>
  <c r="BF390" i="83"/>
  <c r="BE390" i="83"/>
  <c r="BD390" i="83"/>
  <c r="BC390" i="83"/>
  <c r="BB390" i="83"/>
  <c r="BF389" i="83"/>
  <c r="BE389" i="83"/>
  <c r="BD389" i="83"/>
  <c r="BC389" i="83"/>
  <c r="BB389" i="83"/>
  <c r="BF388" i="83"/>
  <c r="BE388" i="83"/>
  <c r="BD388" i="83"/>
  <c r="BC388" i="83"/>
  <c r="BB388" i="83"/>
  <c r="BF387" i="83"/>
  <c r="BE387" i="83"/>
  <c r="BD387" i="83"/>
  <c r="BC387" i="83"/>
  <c r="BB387" i="83"/>
  <c r="BF386" i="83"/>
  <c r="BE386" i="83"/>
  <c r="BD386" i="83"/>
  <c r="BC386" i="83"/>
  <c r="BB386" i="83"/>
  <c r="BF385" i="83"/>
  <c r="BE385" i="83"/>
  <c r="BD385" i="83"/>
  <c r="BC385" i="83"/>
  <c r="BB385" i="83"/>
  <c r="BF384" i="83"/>
  <c r="BE384" i="83"/>
  <c r="BD384" i="83"/>
  <c r="BC384" i="83"/>
  <c r="BB384" i="83"/>
  <c r="BF383" i="83"/>
  <c r="BE383" i="83"/>
  <c r="BD383" i="83"/>
  <c r="BC383" i="83"/>
  <c r="BB383" i="83"/>
  <c r="BF382" i="83"/>
  <c r="BE382" i="83"/>
  <c r="BD382" i="83"/>
  <c r="BC382" i="83"/>
  <c r="BB382" i="83"/>
  <c r="BF381" i="83"/>
  <c r="BE381" i="83"/>
  <c r="BD381" i="83"/>
  <c r="BC381" i="83"/>
  <c r="BB381" i="83"/>
  <c r="BF380" i="83"/>
  <c r="BE380" i="83"/>
  <c r="BD380" i="83"/>
  <c r="BC380" i="83"/>
  <c r="BB380" i="83"/>
  <c r="BF379" i="83"/>
  <c r="BE379" i="83"/>
  <c r="BD379" i="83"/>
  <c r="BC379" i="83"/>
  <c r="BB379" i="83"/>
  <c r="BF378" i="83"/>
  <c r="BE378" i="83"/>
  <c r="BD378" i="83"/>
  <c r="BC378" i="83"/>
  <c r="BB378" i="83"/>
  <c r="BF377" i="83"/>
  <c r="BE377" i="83"/>
  <c r="BD377" i="83"/>
  <c r="BC377" i="83"/>
  <c r="BB377" i="83"/>
  <c r="BF376" i="83"/>
  <c r="BE376" i="83"/>
  <c r="BD376" i="83"/>
  <c r="BC376" i="83"/>
  <c r="BB376" i="83"/>
  <c r="BF375" i="83"/>
  <c r="BE375" i="83"/>
  <c r="BD375" i="83"/>
  <c r="BC375" i="83"/>
  <c r="BB375" i="83"/>
  <c r="BF374" i="83"/>
  <c r="BE374" i="83"/>
  <c r="BD374" i="83"/>
  <c r="BC374" i="83"/>
  <c r="BB374" i="83"/>
  <c r="BF373" i="83"/>
  <c r="BE373" i="83"/>
  <c r="BD373" i="83"/>
  <c r="BC373" i="83"/>
  <c r="BB373" i="83"/>
  <c r="BF372" i="83"/>
  <c r="BE372" i="83"/>
  <c r="BD372" i="83"/>
  <c r="BC372" i="83"/>
  <c r="BB372" i="83"/>
  <c r="BF371" i="83"/>
  <c r="BE371" i="83"/>
  <c r="BD371" i="83"/>
  <c r="BC371" i="83"/>
  <c r="BB371" i="83"/>
  <c r="BF370" i="83"/>
  <c r="BE370" i="83"/>
  <c r="BD370" i="83"/>
  <c r="BC370" i="83"/>
  <c r="BB370" i="83"/>
  <c r="BF369" i="83"/>
  <c r="BE369" i="83"/>
  <c r="BD369" i="83"/>
  <c r="BC369" i="83"/>
  <c r="BB369" i="83"/>
  <c r="BF368" i="83"/>
  <c r="BE368" i="83"/>
  <c r="BD368" i="83"/>
  <c r="BC368" i="83"/>
  <c r="BB368" i="83"/>
  <c r="BF367" i="83"/>
  <c r="BE367" i="83"/>
  <c r="BD367" i="83"/>
  <c r="BC367" i="83"/>
  <c r="BB367" i="83"/>
  <c r="BF366" i="83"/>
  <c r="BE366" i="83"/>
  <c r="BD366" i="83"/>
  <c r="BC366" i="83"/>
  <c r="BB366" i="83"/>
  <c r="BF365" i="83"/>
  <c r="BE365" i="83"/>
  <c r="BD365" i="83"/>
  <c r="BC365" i="83"/>
  <c r="BB365" i="83"/>
  <c r="BF364" i="83"/>
  <c r="BE364" i="83"/>
  <c r="BD364" i="83"/>
  <c r="BC364" i="83"/>
  <c r="BB364" i="83"/>
  <c r="BF363" i="83"/>
  <c r="BE363" i="83"/>
  <c r="BD363" i="83"/>
  <c r="BC363" i="83"/>
  <c r="BB363" i="83"/>
  <c r="BF362" i="83"/>
  <c r="BE362" i="83"/>
  <c r="BD362" i="83"/>
  <c r="BC362" i="83"/>
  <c r="BB362" i="83"/>
  <c r="BF361" i="83"/>
  <c r="BE361" i="83"/>
  <c r="BD361" i="83"/>
  <c r="BC361" i="83"/>
  <c r="BB361" i="83"/>
  <c r="BF360" i="83"/>
  <c r="BE360" i="83"/>
  <c r="BD360" i="83"/>
  <c r="BC360" i="83"/>
  <c r="BB360" i="83"/>
  <c r="BF359" i="83"/>
  <c r="BE359" i="83"/>
  <c r="BD359" i="83"/>
  <c r="BC359" i="83"/>
  <c r="BB359" i="83"/>
  <c r="BF358" i="83"/>
  <c r="BE358" i="83"/>
  <c r="BD358" i="83"/>
  <c r="BC358" i="83"/>
  <c r="BB358" i="83"/>
  <c r="BF357" i="83"/>
  <c r="BE357" i="83"/>
  <c r="BD357" i="83"/>
  <c r="BC357" i="83"/>
  <c r="BB357" i="83"/>
  <c r="BF356" i="83"/>
  <c r="BE356" i="83"/>
  <c r="BD356" i="83"/>
  <c r="BC356" i="83"/>
  <c r="BB356" i="83"/>
  <c r="BF355" i="83"/>
  <c r="BE355" i="83"/>
  <c r="BD355" i="83"/>
  <c r="BC355" i="83"/>
  <c r="BB355" i="83"/>
  <c r="BF354" i="83"/>
  <c r="BE354" i="83"/>
  <c r="BD354" i="83"/>
  <c r="BC354" i="83"/>
  <c r="BB354" i="83"/>
  <c r="BF353" i="83"/>
  <c r="BE353" i="83"/>
  <c r="BD353" i="83"/>
  <c r="BC353" i="83"/>
  <c r="BB353" i="83"/>
  <c r="BF352" i="83"/>
  <c r="BE352" i="83"/>
  <c r="BD352" i="83"/>
  <c r="BC352" i="83"/>
  <c r="BB352" i="83"/>
  <c r="BF351" i="83"/>
  <c r="BE351" i="83"/>
  <c r="BD351" i="83"/>
  <c r="BC351" i="83"/>
  <c r="BB351" i="83"/>
  <c r="BF350" i="83"/>
  <c r="BE350" i="83"/>
  <c r="BD350" i="83"/>
  <c r="BC350" i="83"/>
  <c r="BB350" i="83"/>
  <c r="BF349" i="83"/>
  <c r="BE349" i="83"/>
  <c r="BD349" i="83"/>
  <c r="BC349" i="83"/>
  <c r="BB349" i="83"/>
  <c r="BF348" i="83"/>
  <c r="BE348" i="83"/>
  <c r="BD348" i="83"/>
  <c r="BC348" i="83"/>
  <c r="BB348" i="83"/>
  <c r="BF347" i="83"/>
  <c r="BE347" i="83"/>
  <c r="BD347" i="83"/>
  <c r="BC347" i="83"/>
  <c r="BB347" i="83"/>
  <c r="BF346" i="83"/>
  <c r="BE346" i="83"/>
  <c r="BD346" i="83"/>
  <c r="BC346" i="83"/>
  <c r="BB346" i="83"/>
  <c r="BF345" i="83"/>
  <c r="BE345" i="83"/>
  <c r="BD345" i="83"/>
  <c r="BC345" i="83"/>
  <c r="BB345" i="83"/>
  <c r="BF344" i="83"/>
  <c r="BE344" i="83"/>
  <c r="BD344" i="83"/>
  <c r="BC344" i="83"/>
  <c r="BB344" i="83"/>
  <c r="BF343" i="83"/>
  <c r="BE343" i="83"/>
  <c r="BD343" i="83"/>
  <c r="BC343" i="83"/>
  <c r="BB343" i="83"/>
  <c r="BF342" i="83"/>
  <c r="BE342" i="83"/>
  <c r="BD342" i="83"/>
  <c r="BC342" i="83"/>
  <c r="BB342" i="83"/>
  <c r="BF341" i="83"/>
  <c r="BE341" i="83"/>
  <c r="BD341" i="83"/>
  <c r="BC341" i="83"/>
  <c r="BB341" i="83"/>
  <c r="BF340" i="83"/>
  <c r="BE340" i="83"/>
  <c r="BD340" i="83"/>
  <c r="BC340" i="83"/>
  <c r="BB340" i="83"/>
  <c r="BF339" i="83"/>
  <c r="BE339" i="83"/>
  <c r="BD339" i="83"/>
  <c r="BC339" i="83"/>
  <c r="BB339" i="83"/>
  <c r="BF338" i="83"/>
  <c r="BE338" i="83"/>
  <c r="BD338" i="83"/>
  <c r="BC338" i="83"/>
  <c r="BB338" i="83"/>
  <c r="BF337" i="83"/>
  <c r="BE337" i="83"/>
  <c r="BD337" i="83"/>
  <c r="BC337" i="83"/>
  <c r="BB337" i="83"/>
  <c r="BF336" i="83"/>
  <c r="BE336" i="83"/>
  <c r="BD336" i="83"/>
  <c r="BC336" i="83"/>
  <c r="BB336" i="83"/>
  <c r="BF335" i="83"/>
  <c r="BE335" i="83"/>
  <c r="BD335" i="83"/>
  <c r="BC335" i="83"/>
  <c r="BB335" i="83"/>
  <c r="BF334" i="83"/>
  <c r="BE334" i="83"/>
  <c r="BD334" i="83"/>
  <c r="BC334" i="83"/>
  <c r="BB334" i="83"/>
  <c r="BF333" i="83"/>
  <c r="BE333" i="83"/>
  <c r="BD333" i="83"/>
  <c r="BC333" i="83"/>
  <c r="BB333" i="83"/>
  <c r="BF332" i="83"/>
  <c r="BE332" i="83"/>
  <c r="BD332" i="83"/>
  <c r="BC332" i="83"/>
  <c r="BB332" i="83"/>
  <c r="BF331" i="83"/>
  <c r="BE331" i="83"/>
  <c r="BD331" i="83"/>
  <c r="BC331" i="83"/>
  <c r="BB331" i="83"/>
  <c r="BF330" i="83"/>
  <c r="BE330" i="83"/>
  <c r="BD330" i="83"/>
  <c r="BC330" i="83"/>
  <c r="BB330" i="83"/>
  <c r="BF329" i="83"/>
  <c r="BE329" i="83"/>
  <c r="BD329" i="83"/>
  <c r="BC329" i="83"/>
  <c r="BB329" i="83"/>
  <c r="BF328" i="83"/>
  <c r="BE328" i="83"/>
  <c r="BD328" i="83"/>
  <c r="BC328" i="83"/>
  <c r="BB328" i="83"/>
  <c r="BF327" i="83"/>
  <c r="BE327" i="83"/>
  <c r="BD327" i="83"/>
  <c r="BC327" i="83"/>
  <c r="BB327" i="83"/>
  <c r="BF326" i="83"/>
  <c r="BE326" i="83"/>
  <c r="BD326" i="83"/>
  <c r="BC326" i="83"/>
  <c r="BB326" i="83"/>
  <c r="BF325" i="83"/>
  <c r="BE325" i="83"/>
  <c r="BD325" i="83"/>
  <c r="BC325" i="83"/>
  <c r="BB325" i="83"/>
  <c r="BF324" i="83"/>
  <c r="BE324" i="83"/>
  <c r="BD324" i="83"/>
  <c r="BC324" i="83"/>
  <c r="BB324" i="83"/>
  <c r="BF323" i="83"/>
  <c r="BE323" i="83"/>
  <c r="BD323" i="83"/>
  <c r="BC323" i="83"/>
  <c r="BB323" i="83"/>
  <c r="BF322" i="83"/>
  <c r="BE322" i="83"/>
  <c r="BD322" i="83"/>
  <c r="BC322" i="83"/>
  <c r="BB322" i="83"/>
  <c r="BF321" i="83"/>
  <c r="BE321" i="83"/>
  <c r="BD321" i="83"/>
  <c r="BC321" i="83"/>
  <c r="BB321" i="83"/>
  <c r="BF320" i="83"/>
  <c r="BE320" i="83"/>
  <c r="BD320" i="83"/>
  <c r="BC320" i="83"/>
  <c r="BB320" i="83"/>
  <c r="BF319" i="83"/>
  <c r="BE319" i="83"/>
  <c r="BD319" i="83"/>
  <c r="BC319" i="83"/>
  <c r="BB319" i="83"/>
  <c r="BF318" i="83"/>
  <c r="BE318" i="83"/>
  <c r="BD318" i="83"/>
  <c r="BC318" i="83"/>
  <c r="BB318" i="83"/>
  <c r="BF317" i="83"/>
  <c r="BE317" i="83"/>
  <c r="BD317" i="83"/>
  <c r="BC317" i="83"/>
  <c r="BB317" i="83"/>
  <c r="BF316" i="83"/>
  <c r="BE316" i="83"/>
  <c r="BD316" i="83"/>
  <c r="BC316" i="83"/>
  <c r="BB316" i="83"/>
  <c r="BF315" i="83"/>
  <c r="BE315" i="83"/>
  <c r="BD315" i="83"/>
  <c r="BC315" i="83"/>
  <c r="BB315" i="83"/>
  <c r="BF314" i="83"/>
  <c r="BE314" i="83"/>
  <c r="BD314" i="83"/>
  <c r="BC314" i="83"/>
  <c r="BB314" i="83"/>
  <c r="BF313" i="83"/>
  <c r="BE313" i="83"/>
  <c r="BD313" i="83"/>
  <c r="BC313" i="83"/>
  <c r="BB313" i="83"/>
  <c r="BF312" i="83"/>
  <c r="BE312" i="83"/>
  <c r="BD312" i="83"/>
  <c r="BC312" i="83"/>
  <c r="BB312" i="83"/>
  <c r="BF311" i="83"/>
  <c r="BE311" i="83"/>
  <c r="BD311" i="83"/>
  <c r="BC311" i="83"/>
  <c r="BB311" i="83"/>
  <c r="BF310" i="83"/>
  <c r="BE310" i="83"/>
  <c r="BD310" i="83"/>
  <c r="BC310" i="83"/>
  <c r="BB310" i="83"/>
  <c r="BF309" i="83"/>
  <c r="BE309" i="83"/>
  <c r="BD309" i="83"/>
  <c r="BC309" i="83"/>
  <c r="BB309" i="83"/>
  <c r="BF308" i="83"/>
  <c r="BE308" i="83"/>
  <c r="BD308" i="83"/>
  <c r="BC308" i="83"/>
  <c r="BB308" i="83"/>
  <c r="BF307" i="83"/>
  <c r="BE307" i="83"/>
  <c r="BD307" i="83"/>
  <c r="BC307" i="83"/>
  <c r="BB307" i="83"/>
  <c r="BF306" i="83"/>
  <c r="BE306" i="83"/>
  <c r="BD306" i="83"/>
  <c r="BC306" i="83"/>
  <c r="BB306" i="83"/>
  <c r="BF305" i="83"/>
  <c r="BE305" i="83"/>
  <c r="BD305" i="83"/>
  <c r="BC305" i="83"/>
  <c r="BB305" i="83"/>
  <c r="BF304" i="83"/>
  <c r="BE304" i="83"/>
  <c r="BD304" i="83"/>
  <c r="BC304" i="83"/>
  <c r="BB304" i="83"/>
  <c r="BF303" i="83"/>
  <c r="BE303" i="83"/>
  <c r="BD303" i="83"/>
  <c r="BC303" i="83"/>
  <c r="BB303" i="83"/>
  <c r="BF302" i="83"/>
  <c r="BE302" i="83"/>
  <c r="BD302" i="83"/>
  <c r="BC302" i="83"/>
  <c r="BB302" i="83"/>
  <c r="BF301" i="83"/>
  <c r="BE301" i="83"/>
  <c r="BD301" i="83"/>
  <c r="BC301" i="83"/>
  <c r="BB301" i="83"/>
  <c r="BF300" i="83"/>
  <c r="BE300" i="83"/>
  <c r="BD300" i="83"/>
  <c r="BC300" i="83"/>
  <c r="BB300" i="83"/>
  <c r="BF299" i="83"/>
  <c r="BE299" i="83"/>
  <c r="BD299" i="83"/>
  <c r="BC299" i="83"/>
  <c r="BB299" i="83"/>
  <c r="BF298" i="83"/>
  <c r="BE298" i="83"/>
  <c r="BD298" i="83"/>
  <c r="BC298" i="83"/>
  <c r="BB298" i="83"/>
  <c r="BF297" i="83"/>
  <c r="BE297" i="83"/>
  <c r="BD297" i="83"/>
  <c r="BC297" i="83"/>
  <c r="BB297" i="83"/>
  <c r="BF296" i="83"/>
  <c r="BE296" i="83"/>
  <c r="BD296" i="83"/>
  <c r="BC296" i="83"/>
  <c r="BB296" i="83"/>
  <c r="BF295" i="83"/>
  <c r="BE295" i="83"/>
  <c r="BD295" i="83"/>
  <c r="BC295" i="83"/>
  <c r="BB295" i="83"/>
  <c r="BF294" i="83"/>
  <c r="BE294" i="83"/>
  <c r="BD294" i="83"/>
  <c r="BC294" i="83"/>
  <c r="BB294" i="83"/>
  <c r="BF293" i="83"/>
  <c r="BE293" i="83"/>
  <c r="BD293" i="83"/>
  <c r="BC293" i="83"/>
  <c r="BB293" i="83"/>
  <c r="BF292" i="83"/>
  <c r="BE292" i="83"/>
  <c r="BD292" i="83"/>
  <c r="BC292" i="83"/>
  <c r="BB292" i="83"/>
  <c r="BF291" i="83"/>
  <c r="BE291" i="83"/>
  <c r="BD291" i="83"/>
  <c r="BC291" i="83"/>
  <c r="BB291" i="83"/>
  <c r="BF290" i="83"/>
  <c r="BE290" i="83"/>
  <c r="BD290" i="83"/>
  <c r="BC290" i="83"/>
  <c r="BB290" i="83"/>
  <c r="BF289" i="83"/>
  <c r="BE289" i="83"/>
  <c r="BD289" i="83"/>
  <c r="BC289" i="83"/>
  <c r="BB289" i="83"/>
  <c r="BF288" i="83"/>
  <c r="BE288" i="83"/>
  <c r="BD288" i="83"/>
  <c r="BC288" i="83"/>
  <c r="BB288" i="83"/>
  <c r="BF287" i="83"/>
  <c r="BE287" i="83"/>
  <c r="BD287" i="83"/>
  <c r="BC287" i="83"/>
  <c r="BB287" i="83"/>
  <c r="BF286" i="83"/>
  <c r="BE286" i="83"/>
  <c r="BD286" i="83"/>
  <c r="BC286" i="83"/>
  <c r="BB286" i="83"/>
  <c r="BF285" i="83"/>
  <c r="BE285" i="83"/>
  <c r="BD285" i="83"/>
  <c r="BC285" i="83"/>
  <c r="BB285" i="83"/>
  <c r="BF284" i="83"/>
  <c r="BE284" i="83"/>
  <c r="BD284" i="83"/>
  <c r="BC284" i="83"/>
  <c r="BB284" i="83"/>
  <c r="BF283" i="83"/>
  <c r="BE283" i="83"/>
  <c r="BD283" i="83"/>
  <c r="BC283" i="83"/>
  <c r="BB283" i="83"/>
  <c r="BF282" i="83"/>
  <c r="BE282" i="83"/>
  <c r="BD282" i="83"/>
  <c r="BC282" i="83"/>
  <c r="BB282" i="83"/>
  <c r="BF281" i="83"/>
  <c r="BE281" i="83"/>
  <c r="BD281" i="83"/>
  <c r="BC281" i="83"/>
  <c r="BB281" i="83"/>
  <c r="BF280" i="83"/>
  <c r="BE280" i="83"/>
  <c r="BD280" i="83"/>
  <c r="BC280" i="83"/>
  <c r="BB280" i="83"/>
  <c r="BF279" i="83"/>
  <c r="BE279" i="83"/>
  <c r="BD279" i="83"/>
  <c r="BC279" i="83"/>
  <c r="BB279" i="83"/>
  <c r="BF278" i="83"/>
  <c r="BE278" i="83"/>
  <c r="BD278" i="83"/>
  <c r="BC278" i="83"/>
  <c r="BB278" i="83"/>
  <c r="BF277" i="83"/>
  <c r="BE277" i="83"/>
  <c r="BD277" i="83"/>
  <c r="BC277" i="83"/>
  <c r="BB277" i="83"/>
  <c r="BF276" i="83"/>
  <c r="BE276" i="83"/>
  <c r="BD276" i="83"/>
  <c r="BC276" i="83"/>
  <c r="BB276" i="83"/>
  <c r="BF275" i="83"/>
  <c r="BE275" i="83"/>
  <c r="BD275" i="83"/>
  <c r="BC275" i="83"/>
  <c r="BB275" i="83"/>
  <c r="BF274" i="83"/>
  <c r="BE274" i="83"/>
  <c r="BD274" i="83"/>
  <c r="BC274" i="83"/>
  <c r="BB274" i="83"/>
  <c r="BF273" i="83"/>
  <c r="BE273" i="83"/>
  <c r="BD273" i="83"/>
  <c r="BC273" i="83"/>
  <c r="BB273" i="83"/>
  <c r="BF272" i="83"/>
  <c r="BE272" i="83"/>
  <c r="BD272" i="83"/>
  <c r="BC272" i="83"/>
  <c r="BB272" i="83"/>
  <c r="BF271" i="83"/>
  <c r="BE271" i="83"/>
  <c r="BD271" i="83"/>
  <c r="BC271" i="83"/>
  <c r="BB271" i="83"/>
  <c r="BF270" i="83"/>
  <c r="BE270" i="83"/>
  <c r="BD270" i="83"/>
  <c r="BC270" i="83"/>
  <c r="BB270" i="83"/>
  <c r="BF269" i="83"/>
  <c r="BE269" i="83"/>
  <c r="BD269" i="83"/>
  <c r="BC269" i="83"/>
  <c r="BB269" i="83"/>
  <c r="BF268" i="83"/>
  <c r="BE268" i="83"/>
  <c r="BD268" i="83"/>
  <c r="BC268" i="83"/>
  <c r="BB268" i="83"/>
  <c r="BF267" i="83"/>
  <c r="BE267" i="83"/>
  <c r="BD267" i="83"/>
  <c r="BC267" i="83"/>
  <c r="BB267" i="83"/>
  <c r="BF266" i="83"/>
  <c r="BE266" i="83"/>
  <c r="BD266" i="83"/>
  <c r="BC266" i="83"/>
  <c r="BB266" i="83"/>
  <c r="BF265" i="83"/>
  <c r="BE265" i="83"/>
  <c r="BD265" i="83"/>
  <c r="BC265" i="83"/>
  <c r="BB265" i="83"/>
  <c r="BF264" i="83"/>
  <c r="BE264" i="83"/>
  <c r="BD264" i="83"/>
  <c r="BC264" i="83"/>
  <c r="BB264" i="83"/>
  <c r="BF263" i="83"/>
  <c r="BE263" i="83"/>
  <c r="BD263" i="83"/>
  <c r="BC263" i="83"/>
  <c r="BB263" i="83"/>
  <c r="BF262" i="83"/>
  <c r="BE262" i="83"/>
  <c r="BD262" i="83"/>
  <c r="BC262" i="83"/>
  <c r="BB262" i="83"/>
  <c r="BF261" i="83"/>
  <c r="BE261" i="83"/>
  <c r="BD261" i="83"/>
  <c r="BC261" i="83"/>
  <c r="BB261" i="83"/>
  <c r="BF260" i="83"/>
  <c r="BE260" i="83"/>
  <c r="BD260" i="83"/>
  <c r="BC260" i="83"/>
  <c r="BB260" i="83"/>
  <c r="BF259" i="83"/>
  <c r="BE259" i="83"/>
  <c r="BD259" i="83"/>
  <c r="BC259" i="83"/>
  <c r="BB259" i="83"/>
  <c r="BF258" i="83"/>
  <c r="BE258" i="83"/>
  <c r="BD258" i="83"/>
  <c r="BC258" i="83"/>
  <c r="BB258" i="83"/>
  <c r="BF257" i="83"/>
  <c r="BE257" i="83"/>
  <c r="BD257" i="83"/>
  <c r="BC257" i="83"/>
  <c r="BB257" i="83"/>
  <c r="BF256" i="83"/>
  <c r="BE256" i="83"/>
  <c r="BD256" i="83"/>
  <c r="BC256" i="83"/>
  <c r="BB256" i="83"/>
  <c r="BF255" i="83"/>
  <c r="BE255" i="83"/>
  <c r="BD255" i="83"/>
  <c r="BC255" i="83"/>
  <c r="BB255" i="83"/>
  <c r="BF254" i="83"/>
  <c r="BE254" i="83"/>
  <c r="BD254" i="83"/>
  <c r="BC254" i="83"/>
  <c r="BB254" i="83"/>
  <c r="BF253" i="83"/>
  <c r="BE253" i="83"/>
  <c r="BD253" i="83"/>
  <c r="BC253" i="83"/>
  <c r="BB253" i="83"/>
  <c r="BF252" i="83"/>
  <c r="BE252" i="83"/>
  <c r="BD252" i="83"/>
  <c r="BC252" i="83"/>
  <c r="BB252" i="83"/>
  <c r="BF251" i="83"/>
  <c r="BE251" i="83"/>
  <c r="BD251" i="83"/>
  <c r="BC251" i="83"/>
  <c r="BB251" i="83"/>
  <c r="BF250" i="83"/>
  <c r="BE250" i="83"/>
  <c r="BD250" i="83"/>
  <c r="BC250" i="83"/>
  <c r="BB250" i="83"/>
  <c r="BF249" i="83"/>
  <c r="BE249" i="83"/>
  <c r="BD249" i="83"/>
  <c r="BC249" i="83"/>
  <c r="BB249" i="83"/>
  <c r="BF248" i="83"/>
  <c r="BE248" i="83"/>
  <c r="BD248" i="83"/>
  <c r="BC248" i="83"/>
  <c r="BB248" i="83"/>
  <c r="BF247" i="83"/>
  <c r="BE247" i="83"/>
  <c r="BD247" i="83"/>
  <c r="BC247" i="83"/>
  <c r="BB247" i="83"/>
  <c r="BF246" i="83"/>
  <c r="BE246" i="83"/>
  <c r="BD246" i="83"/>
  <c r="BC246" i="83"/>
  <c r="BB246" i="83"/>
  <c r="BF245" i="83"/>
  <c r="BE245" i="83"/>
  <c r="BD245" i="83"/>
  <c r="BC245" i="83"/>
  <c r="BB245" i="83"/>
  <c r="BF244" i="83"/>
  <c r="BE244" i="83"/>
  <c r="BD244" i="83"/>
  <c r="BC244" i="83"/>
  <c r="BB244" i="83"/>
  <c r="BF243" i="83"/>
  <c r="BE243" i="83"/>
  <c r="BD243" i="83"/>
  <c r="BC243" i="83"/>
  <c r="BB243" i="83"/>
  <c r="BF242" i="83"/>
  <c r="BE242" i="83"/>
  <c r="BD242" i="83"/>
  <c r="BC242" i="83"/>
  <c r="BB242" i="83"/>
  <c r="BF241" i="83"/>
  <c r="BE241" i="83"/>
  <c r="BD241" i="83"/>
  <c r="BC241" i="83"/>
  <c r="BB241" i="83"/>
  <c r="BF240" i="83"/>
  <c r="BE240" i="83"/>
  <c r="BD240" i="83"/>
  <c r="BC240" i="83"/>
  <c r="BB240" i="83"/>
  <c r="BF239" i="83"/>
  <c r="BE239" i="83"/>
  <c r="BD239" i="83"/>
  <c r="BC239" i="83"/>
  <c r="BB239" i="83"/>
  <c r="BF238" i="83"/>
  <c r="BE238" i="83"/>
  <c r="BD238" i="83"/>
  <c r="BC238" i="83"/>
  <c r="BB238" i="83"/>
  <c r="BF237" i="83"/>
  <c r="BE237" i="83"/>
  <c r="BD237" i="83"/>
  <c r="BC237" i="83"/>
  <c r="BB237" i="83"/>
  <c r="BF236" i="83"/>
  <c r="BE236" i="83"/>
  <c r="BD236" i="83"/>
  <c r="BC236" i="83"/>
  <c r="BB236" i="83"/>
  <c r="BF235" i="83"/>
  <c r="BE235" i="83"/>
  <c r="BD235" i="83"/>
  <c r="BC235" i="83"/>
  <c r="BB235" i="83"/>
  <c r="BF234" i="83"/>
  <c r="BE234" i="83"/>
  <c r="BD234" i="83"/>
  <c r="BC234" i="83"/>
  <c r="BB234" i="83"/>
  <c r="BF233" i="83"/>
  <c r="BE233" i="83"/>
  <c r="BD233" i="83"/>
  <c r="BC233" i="83"/>
  <c r="BB233" i="83"/>
  <c r="BF232" i="83"/>
  <c r="BE232" i="83"/>
  <c r="BD232" i="83"/>
  <c r="BC232" i="83"/>
  <c r="BB232" i="83"/>
  <c r="BF231" i="83"/>
  <c r="BE231" i="83"/>
  <c r="BD231" i="83"/>
  <c r="BC231" i="83"/>
  <c r="BB231" i="83"/>
  <c r="BF230" i="83"/>
  <c r="BE230" i="83"/>
  <c r="BD230" i="83"/>
  <c r="BC230" i="83"/>
  <c r="BB230" i="83"/>
  <c r="BF229" i="83"/>
  <c r="BE229" i="83"/>
  <c r="BD229" i="83"/>
  <c r="BC229" i="83"/>
  <c r="BB229" i="83"/>
  <c r="BF228" i="83"/>
  <c r="BE228" i="83"/>
  <c r="BD228" i="83"/>
  <c r="BC228" i="83"/>
  <c r="BB228" i="83"/>
  <c r="BF227" i="83"/>
  <c r="BE227" i="83"/>
  <c r="BD227" i="83"/>
  <c r="BC227" i="83"/>
  <c r="BB227" i="83"/>
  <c r="BF226" i="83"/>
  <c r="BE226" i="83"/>
  <c r="BD226" i="83"/>
  <c r="BC226" i="83"/>
  <c r="BB226" i="83"/>
  <c r="BF225" i="83"/>
  <c r="BE225" i="83"/>
  <c r="BD225" i="83"/>
  <c r="BC225" i="83"/>
  <c r="BB225" i="83"/>
  <c r="BF224" i="83"/>
  <c r="BE224" i="83"/>
  <c r="BD224" i="83"/>
  <c r="BC224" i="83"/>
  <c r="BB224" i="83"/>
  <c r="BF223" i="83"/>
  <c r="BE223" i="83"/>
  <c r="BD223" i="83"/>
  <c r="BC223" i="83"/>
  <c r="BB223" i="83"/>
  <c r="BF222" i="83"/>
  <c r="BE222" i="83"/>
  <c r="BD222" i="83"/>
  <c r="BC222" i="83"/>
  <c r="BB222" i="83"/>
  <c r="BF221" i="83"/>
  <c r="BE221" i="83"/>
  <c r="BD221" i="83"/>
  <c r="BC221" i="83"/>
  <c r="BB221" i="83"/>
  <c r="BF220" i="83"/>
  <c r="BE220" i="83"/>
  <c r="BD220" i="83"/>
  <c r="BC220" i="83"/>
  <c r="BB220" i="83"/>
  <c r="BF219" i="83"/>
  <c r="BE219" i="83"/>
  <c r="BD219" i="83"/>
  <c r="BC219" i="83"/>
  <c r="BB219" i="83"/>
  <c r="BF218" i="83"/>
  <c r="BE218" i="83"/>
  <c r="BD218" i="83"/>
  <c r="BC218" i="83"/>
  <c r="BB218" i="83"/>
  <c r="BF217" i="83"/>
  <c r="BE217" i="83"/>
  <c r="BD217" i="83"/>
  <c r="BC217" i="83"/>
  <c r="BB217" i="83"/>
  <c r="BF216" i="83"/>
  <c r="BE216" i="83"/>
  <c r="BD216" i="83"/>
  <c r="BC216" i="83"/>
  <c r="BB216" i="83"/>
  <c r="BF215" i="83"/>
  <c r="BE215" i="83"/>
  <c r="BD215" i="83"/>
  <c r="BC215" i="83"/>
  <c r="BB215" i="83"/>
  <c r="BF214" i="83"/>
  <c r="BE214" i="83"/>
  <c r="BD214" i="83"/>
  <c r="BC214" i="83"/>
  <c r="BB214" i="83"/>
  <c r="BF213" i="83"/>
  <c r="BE213" i="83"/>
  <c r="BD213" i="83"/>
  <c r="BC213" i="83"/>
  <c r="BB213" i="83"/>
  <c r="BF212" i="83"/>
  <c r="BE212" i="83"/>
  <c r="BD212" i="83"/>
  <c r="BC212" i="83"/>
  <c r="BB212" i="83"/>
  <c r="BF211" i="83"/>
  <c r="BE211" i="83"/>
  <c r="BD211" i="83"/>
  <c r="BC211" i="83"/>
  <c r="BB211" i="83"/>
  <c r="BF210" i="83"/>
  <c r="BE210" i="83"/>
  <c r="BD210" i="83"/>
  <c r="BC210" i="83"/>
  <c r="BB210" i="83"/>
  <c r="BF209" i="83"/>
  <c r="BE209" i="83"/>
  <c r="BD209" i="83"/>
  <c r="BC209" i="83"/>
  <c r="BB209" i="83"/>
  <c r="BF208" i="83"/>
  <c r="BE208" i="83"/>
  <c r="BD208" i="83"/>
  <c r="BC208" i="83"/>
  <c r="BB208" i="83"/>
  <c r="BF207" i="83"/>
  <c r="BE207" i="83"/>
  <c r="BD207" i="83"/>
  <c r="BC207" i="83"/>
  <c r="BB207" i="83"/>
  <c r="BF206" i="83"/>
  <c r="BE206" i="83"/>
  <c r="BD206" i="83"/>
  <c r="BC206" i="83"/>
  <c r="BB206" i="83"/>
  <c r="BF205" i="83"/>
  <c r="BE205" i="83"/>
  <c r="BD205" i="83"/>
  <c r="BC205" i="83"/>
  <c r="BB205" i="83"/>
  <c r="BF204" i="83"/>
  <c r="BE204" i="83"/>
  <c r="BD204" i="83"/>
  <c r="BC204" i="83"/>
  <c r="BB204" i="83"/>
  <c r="BF203" i="83"/>
  <c r="BE203" i="83"/>
  <c r="BD203" i="83"/>
  <c r="BC203" i="83"/>
  <c r="BB203" i="83"/>
  <c r="BF202" i="83"/>
  <c r="BE202" i="83"/>
  <c r="BD202" i="83"/>
  <c r="BC202" i="83"/>
  <c r="BB202" i="83"/>
  <c r="BF201" i="83"/>
  <c r="BE201" i="83"/>
  <c r="BD201" i="83"/>
  <c r="BC201" i="83"/>
  <c r="BB201" i="83"/>
  <c r="BF200" i="83"/>
  <c r="BE200" i="83"/>
  <c r="BD200" i="83"/>
  <c r="BC200" i="83"/>
  <c r="BB200" i="83"/>
  <c r="BF199" i="83"/>
  <c r="BE199" i="83"/>
  <c r="BD199" i="83"/>
  <c r="BC199" i="83"/>
  <c r="BB199" i="83"/>
  <c r="BF198" i="83"/>
  <c r="BE198" i="83"/>
  <c r="BD198" i="83"/>
  <c r="BC198" i="83"/>
  <c r="BB198" i="83"/>
  <c r="BF197" i="83"/>
  <c r="BE197" i="83"/>
  <c r="BD197" i="83"/>
  <c r="BC197" i="83"/>
  <c r="BB197" i="83"/>
  <c r="BF196" i="83"/>
  <c r="BE196" i="83"/>
  <c r="BD196" i="83"/>
  <c r="BC196" i="83"/>
  <c r="BB196" i="83"/>
  <c r="BF195" i="83"/>
  <c r="BE195" i="83"/>
  <c r="BD195" i="83"/>
  <c r="BC195" i="83"/>
  <c r="BB195" i="83"/>
  <c r="BF194" i="83"/>
  <c r="BE194" i="83"/>
  <c r="BD194" i="83"/>
  <c r="BC194" i="83"/>
  <c r="BB194" i="83"/>
  <c r="BF193" i="83"/>
  <c r="BE193" i="83"/>
  <c r="BD193" i="83"/>
  <c r="BC193" i="83"/>
  <c r="BB193" i="83"/>
  <c r="BF192" i="83"/>
  <c r="BE192" i="83"/>
  <c r="BD192" i="83"/>
  <c r="BC192" i="83"/>
  <c r="BB192" i="83"/>
  <c r="BF191" i="83"/>
  <c r="BE191" i="83"/>
  <c r="BD191" i="83"/>
  <c r="BC191" i="83"/>
  <c r="BB191" i="83"/>
  <c r="BF190" i="83"/>
  <c r="BE190" i="83"/>
  <c r="BD190" i="83"/>
  <c r="BC190" i="83"/>
  <c r="BB190" i="83"/>
  <c r="BF189" i="83"/>
  <c r="BE189" i="83"/>
  <c r="BD189" i="83"/>
  <c r="BC189" i="83"/>
  <c r="BB189" i="83"/>
  <c r="BF188" i="83"/>
  <c r="BE188" i="83"/>
  <c r="BD188" i="83"/>
  <c r="BC188" i="83"/>
  <c r="BB188" i="83"/>
  <c r="BF187" i="83"/>
  <c r="BE187" i="83"/>
  <c r="BD187" i="83"/>
  <c r="BC187" i="83"/>
  <c r="BB187" i="83"/>
  <c r="BF186" i="83"/>
  <c r="BE186" i="83"/>
  <c r="BD186" i="83"/>
  <c r="BC186" i="83"/>
  <c r="BB186" i="83"/>
  <c r="BF185" i="83"/>
  <c r="BE185" i="83"/>
  <c r="BD185" i="83"/>
  <c r="BC185" i="83"/>
  <c r="BB185" i="83"/>
  <c r="BF184" i="83"/>
  <c r="BE184" i="83"/>
  <c r="BD184" i="83"/>
  <c r="BC184" i="83"/>
  <c r="BB184" i="83"/>
  <c r="BF183" i="83"/>
  <c r="BE183" i="83"/>
  <c r="BD183" i="83"/>
  <c r="BC183" i="83"/>
  <c r="BB183" i="83"/>
  <c r="BF182" i="83"/>
  <c r="BE182" i="83"/>
  <c r="BD182" i="83"/>
  <c r="BC182" i="83"/>
  <c r="BB182" i="83"/>
  <c r="BF181" i="83"/>
  <c r="BE181" i="83"/>
  <c r="BD181" i="83"/>
  <c r="BC181" i="83"/>
  <c r="BB181" i="83"/>
  <c r="BF180" i="83"/>
  <c r="BE180" i="83"/>
  <c r="BD180" i="83"/>
  <c r="BC180" i="83"/>
  <c r="BB180" i="83"/>
  <c r="BF179" i="83"/>
  <c r="BE179" i="83"/>
  <c r="BD179" i="83"/>
  <c r="BC179" i="83"/>
  <c r="BB179" i="83"/>
  <c r="BF178" i="83"/>
  <c r="BE178" i="83"/>
  <c r="BD178" i="83"/>
  <c r="BC178" i="83"/>
  <c r="BB178" i="83"/>
  <c r="BF177" i="83"/>
  <c r="BE177" i="83"/>
  <c r="BD177" i="83"/>
  <c r="BC177" i="83"/>
  <c r="BB177" i="83"/>
  <c r="BF176" i="83"/>
  <c r="BE176" i="83"/>
  <c r="BD176" i="83"/>
  <c r="BC176" i="83"/>
  <c r="BB176" i="83"/>
  <c r="BF175" i="83"/>
  <c r="BE175" i="83"/>
  <c r="BD175" i="83"/>
  <c r="BC175" i="83"/>
  <c r="BB175" i="83"/>
  <c r="BF174" i="83"/>
  <c r="BE174" i="83"/>
  <c r="BD174" i="83"/>
  <c r="BC174" i="83"/>
  <c r="BB174" i="83"/>
  <c r="BF173" i="83"/>
  <c r="BE173" i="83"/>
  <c r="BD173" i="83"/>
  <c r="BC173" i="83"/>
  <c r="BB173" i="83"/>
  <c r="BF172" i="83"/>
  <c r="BE172" i="83"/>
  <c r="BD172" i="83"/>
  <c r="BC172" i="83"/>
  <c r="BB172" i="83"/>
  <c r="BF171" i="83"/>
  <c r="BE171" i="83"/>
  <c r="BD171" i="83"/>
  <c r="BC171" i="83"/>
  <c r="BB171" i="83"/>
  <c r="BF170" i="83"/>
  <c r="BE170" i="83"/>
  <c r="BD170" i="83"/>
  <c r="BC170" i="83"/>
  <c r="BB170" i="83"/>
  <c r="BF169" i="83"/>
  <c r="BE169" i="83"/>
  <c r="BD169" i="83"/>
  <c r="BC169" i="83"/>
  <c r="BB169" i="83"/>
  <c r="BF168" i="83"/>
  <c r="BE168" i="83"/>
  <c r="BD168" i="83"/>
  <c r="BC168" i="83"/>
  <c r="BB168" i="83"/>
  <c r="BF167" i="83"/>
  <c r="BE167" i="83"/>
  <c r="BD167" i="83"/>
  <c r="BC167" i="83"/>
  <c r="BB167" i="83"/>
  <c r="BF166" i="83"/>
  <c r="BE166" i="83"/>
  <c r="BD166" i="83"/>
  <c r="BC166" i="83"/>
  <c r="BB166" i="83"/>
  <c r="BF165" i="83"/>
  <c r="BE165" i="83"/>
  <c r="BD165" i="83"/>
  <c r="BC165" i="83"/>
  <c r="BB165" i="83"/>
  <c r="BF164" i="83"/>
  <c r="BE164" i="83"/>
  <c r="BD164" i="83"/>
  <c r="BC164" i="83"/>
  <c r="BB164" i="83"/>
  <c r="BF163" i="83"/>
  <c r="BE163" i="83"/>
  <c r="BD163" i="83"/>
  <c r="BC163" i="83"/>
  <c r="BB163" i="83"/>
  <c r="BF162" i="83"/>
  <c r="BE162" i="83"/>
  <c r="BD162" i="83"/>
  <c r="BC162" i="83"/>
  <c r="BB162" i="83"/>
  <c r="BF161" i="83"/>
  <c r="BE161" i="83"/>
  <c r="BD161" i="83"/>
  <c r="BC161" i="83"/>
  <c r="BB161" i="83"/>
  <c r="O161" i="83"/>
  <c r="BF160" i="83"/>
  <c r="BE160" i="83"/>
  <c r="BD160" i="83"/>
  <c r="BC160" i="83"/>
  <c r="BB160" i="83"/>
  <c r="BF159" i="83"/>
  <c r="BE159" i="83"/>
  <c r="BD159" i="83"/>
  <c r="BC159" i="83"/>
  <c r="BB159" i="83"/>
  <c r="O159" i="83"/>
  <c r="BF158" i="83"/>
  <c r="BE158" i="83"/>
  <c r="BD158" i="83"/>
  <c r="BC158" i="83"/>
  <c r="BB158" i="83"/>
  <c r="BF157" i="83"/>
  <c r="BE157" i="83"/>
  <c r="BD157" i="83"/>
  <c r="BC157" i="83"/>
  <c r="BB157" i="83"/>
  <c r="BF156" i="83"/>
  <c r="BE156" i="83"/>
  <c r="BD156" i="83"/>
  <c r="BC156" i="83"/>
  <c r="BB156" i="83"/>
  <c r="BF155" i="83"/>
  <c r="BE155" i="83"/>
  <c r="BD155" i="83"/>
  <c r="BC155" i="83"/>
  <c r="BB155" i="83"/>
  <c r="BF154" i="83"/>
  <c r="BE154" i="83"/>
  <c r="BD154" i="83"/>
  <c r="BC154" i="83"/>
  <c r="BB154" i="83"/>
  <c r="BF153" i="83"/>
  <c r="BE153" i="83"/>
  <c r="BD153" i="83"/>
  <c r="BC153" i="83"/>
  <c r="BB153" i="83"/>
  <c r="BF152" i="83"/>
  <c r="BE152" i="83"/>
  <c r="BD152" i="83"/>
  <c r="BC152" i="83"/>
  <c r="BB152" i="83"/>
  <c r="BF151" i="83"/>
  <c r="BE151" i="83"/>
  <c r="BD151" i="83"/>
  <c r="BC151" i="83"/>
  <c r="BB151" i="83"/>
  <c r="BF150" i="83"/>
  <c r="BE150" i="83"/>
  <c r="BD150" i="83"/>
  <c r="BC150" i="83"/>
  <c r="BB150" i="83"/>
  <c r="BF149" i="83"/>
  <c r="BE149" i="83"/>
  <c r="BD149" i="83"/>
  <c r="BC149" i="83"/>
  <c r="BB149" i="83"/>
  <c r="BF148" i="83"/>
  <c r="BE148" i="83"/>
  <c r="BD148" i="83"/>
  <c r="BC148" i="83"/>
  <c r="BB148" i="83"/>
  <c r="BF147" i="83"/>
  <c r="BE147" i="83"/>
  <c r="BD147" i="83"/>
  <c r="BC147" i="83"/>
  <c r="BB147" i="83"/>
  <c r="BF146" i="83"/>
  <c r="BE146" i="83"/>
  <c r="BD146" i="83"/>
  <c r="BC146" i="83"/>
  <c r="BB146" i="83"/>
  <c r="BF145" i="83"/>
  <c r="BE145" i="83"/>
  <c r="BD145" i="83"/>
  <c r="BC145" i="83"/>
  <c r="BB145" i="83"/>
  <c r="N145" i="83"/>
  <c r="BF144" i="83"/>
  <c r="BE144" i="83"/>
  <c r="BD144" i="83"/>
  <c r="BC144" i="83"/>
  <c r="BB144" i="83"/>
  <c r="BF143" i="83"/>
  <c r="BE143" i="83"/>
  <c r="BD143" i="83"/>
  <c r="BC143" i="83"/>
  <c r="BB143" i="83"/>
  <c r="BF142" i="83"/>
  <c r="BE142" i="83"/>
  <c r="BD142" i="83"/>
  <c r="BC142" i="83"/>
  <c r="BB142" i="83"/>
  <c r="BF141" i="83"/>
  <c r="BE141" i="83"/>
  <c r="BD141" i="83"/>
  <c r="BC141" i="83"/>
  <c r="BB141" i="83"/>
  <c r="BF140" i="83"/>
  <c r="BE140" i="83"/>
  <c r="BD140" i="83"/>
  <c r="BC140" i="83"/>
  <c r="BB140" i="83"/>
  <c r="BF139" i="83"/>
  <c r="BE139" i="83"/>
  <c r="BD139" i="83"/>
  <c r="BC139" i="83"/>
  <c r="BB139" i="83"/>
  <c r="BF138" i="83"/>
  <c r="BE138" i="83"/>
  <c r="BD138" i="83"/>
  <c r="BC138" i="83"/>
  <c r="BB138" i="83"/>
  <c r="BF137" i="83"/>
  <c r="BE137" i="83"/>
  <c r="BD137" i="83"/>
  <c r="BC137" i="83"/>
  <c r="BB137" i="83"/>
  <c r="BF136" i="83"/>
  <c r="BE136" i="83"/>
  <c r="BD136" i="83"/>
  <c r="BC136" i="83"/>
  <c r="BB136" i="83"/>
  <c r="BF135" i="83"/>
  <c r="BE135" i="83"/>
  <c r="BD135" i="83"/>
  <c r="BC135" i="83"/>
  <c r="BB135" i="83"/>
  <c r="BF134" i="83"/>
  <c r="BE134" i="83"/>
  <c r="BD134" i="83"/>
  <c r="BC134" i="83"/>
  <c r="BB134" i="83"/>
  <c r="BF133" i="83"/>
  <c r="BE133" i="83"/>
  <c r="BD133" i="83"/>
  <c r="BC133" i="83"/>
  <c r="BB133" i="83"/>
  <c r="BF132" i="83"/>
  <c r="BE132" i="83"/>
  <c r="BD132" i="83"/>
  <c r="BC132" i="83"/>
  <c r="BB132" i="83"/>
  <c r="R132" i="83"/>
  <c r="Q132" i="83"/>
  <c r="P132" i="83"/>
  <c r="O132" i="83"/>
  <c r="BF131" i="83"/>
  <c r="BE131" i="83"/>
  <c r="BD131" i="83"/>
  <c r="BC131" i="83"/>
  <c r="BB131" i="83"/>
  <c r="BF130" i="83"/>
  <c r="BE130" i="83"/>
  <c r="BD130" i="83"/>
  <c r="BC130" i="83"/>
  <c r="BB130" i="83"/>
  <c r="BF129" i="83"/>
  <c r="BE129" i="83"/>
  <c r="BD129" i="83"/>
  <c r="BC129" i="83"/>
  <c r="BB129" i="83"/>
  <c r="BF128" i="83"/>
  <c r="BE128" i="83"/>
  <c r="BD128" i="83"/>
  <c r="BC128" i="83"/>
  <c r="BB128" i="83"/>
  <c r="BF127" i="83"/>
  <c r="BE127" i="83"/>
  <c r="BD127" i="83"/>
  <c r="BC127" i="83"/>
  <c r="BB127" i="83"/>
  <c r="BF126" i="83"/>
  <c r="BE126" i="83"/>
  <c r="BD126" i="83"/>
  <c r="BC126" i="83"/>
  <c r="BB126" i="83"/>
  <c r="N126" i="83"/>
  <c r="N130" i="83" s="1"/>
  <c r="BF125" i="83"/>
  <c r="BE125" i="83"/>
  <c r="BD125" i="83"/>
  <c r="BC125" i="83"/>
  <c r="BB125" i="83"/>
  <c r="BF124" i="83"/>
  <c r="BE124" i="83"/>
  <c r="BD124" i="83"/>
  <c r="BC124" i="83"/>
  <c r="BB124" i="83"/>
  <c r="BF123" i="83"/>
  <c r="BE123" i="83"/>
  <c r="BD123" i="83"/>
  <c r="BC123" i="83"/>
  <c r="BB123" i="83"/>
  <c r="BF122" i="83"/>
  <c r="BE122" i="83"/>
  <c r="BD122" i="83"/>
  <c r="BC122" i="83"/>
  <c r="BB122" i="83"/>
  <c r="W122" i="83"/>
  <c r="BF121" i="83"/>
  <c r="BE121" i="83"/>
  <c r="BD121" i="83"/>
  <c r="BC121" i="83"/>
  <c r="BB121" i="83"/>
  <c r="BF120" i="83"/>
  <c r="BE120" i="83"/>
  <c r="BD120" i="83"/>
  <c r="BC120" i="83"/>
  <c r="BB120" i="83"/>
  <c r="BF119" i="83"/>
  <c r="BE119" i="83"/>
  <c r="BD119" i="83"/>
  <c r="BC119" i="83"/>
  <c r="BB119" i="83"/>
  <c r="BF118" i="83"/>
  <c r="BE118" i="83"/>
  <c r="BD118" i="83"/>
  <c r="BC118" i="83"/>
  <c r="BB118" i="83"/>
  <c r="BF117" i="83"/>
  <c r="BE117" i="83"/>
  <c r="BD117" i="83"/>
  <c r="BC117" i="83"/>
  <c r="BB117" i="83"/>
  <c r="BF116" i="83"/>
  <c r="BE116" i="83"/>
  <c r="BD116" i="83"/>
  <c r="BC116" i="83"/>
  <c r="BB116" i="83"/>
  <c r="BF115" i="83"/>
  <c r="BE115" i="83"/>
  <c r="BD115" i="83"/>
  <c r="BC115" i="83"/>
  <c r="BB115" i="83"/>
  <c r="X115" i="83"/>
  <c r="N115" i="83"/>
  <c r="BF114" i="83"/>
  <c r="BE114" i="83"/>
  <c r="BD114" i="83"/>
  <c r="BC114" i="83"/>
  <c r="BB114" i="83"/>
  <c r="X114" i="83"/>
  <c r="N114" i="83"/>
  <c r="BF113" i="83"/>
  <c r="BE113" i="83"/>
  <c r="BD113" i="83"/>
  <c r="BC113" i="83"/>
  <c r="BB113" i="83"/>
  <c r="X113" i="83"/>
  <c r="N113" i="83"/>
  <c r="BF112" i="83"/>
  <c r="BE112" i="83"/>
  <c r="BD112" i="83"/>
  <c r="BC112" i="83"/>
  <c r="BB112" i="83"/>
  <c r="X112" i="83"/>
  <c r="N112" i="83"/>
  <c r="BF111" i="83"/>
  <c r="BE111" i="83"/>
  <c r="BD111" i="83"/>
  <c r="BC111" i="83"/>
  <c r="BB111" i="83"/>
  <c r="X111" i="83"/>
  <c r="N111" i="83"/>
  <c r="BF110" i="83"/>
  <c r="BE110" i="83"/>
  <c r="BD110" i="83"/>
  <c r="BC110" i="83"/>
  <c r="BB110" i="83"/>
  <c r="X110" i="83"/>
  <c r="N110" i="83"/>
  <c r="BF109" i="83"/>
  <c r="BE109" i="83"/>
  <c r="BD109" i="83"/>
  <c r="BC109" i="83"/>
  <c r="BB109" i="83"/>
  <c r="X109" i="83"/>
  <c r="N109" i="83"/>
  <c r="BF108" i="83"/>
  <c r="BE108" i="83"/>
  <c r="BD108" i="83"/>
  <c r="BC108" i="83"/>
  <c r="BB108" i="83"/>
  <c r="X108" i="83"/>
  <c r="N108" i="83"/>
  <c r="BF107" i="83"/>
  <c r="BE107" i="83"/>
  <c r="BD107" i="83"/>
  <c r="BC107" i="83"/>
  <c r="BB107" i="83"/>
  <c r="X107" i="83"/>
  <c r="N107" i="83"/>
  <c r="BF106" i="83"/>
  <c r="BE106" i="83"/>
  <c r="BD106" i="83"/>
  <c r="BC106" i="83"/>
  <c r="BB106" i="83"/>
  <c r="N106" i="83"/>
  <c r="BF105" i="83"/>
  <c r="BE105" i="83"/>
  <c r="BD105" i="83"/>
  <c r="BC105" i="83"/>
  <c r="BB105" i="83"/>
  <c r="AL105" i="83"/>
  <c r="BF104" i="83"/>
  <c r="BE104" i="83"/>
  <c r="BD104" i="83"/>
  <c r="BC104" i="83"/>
  <c r="BB104" i="83"/>
  <c r="AM104" i="83"/>
  <c r="AL104" i="83"/>
  <c r="AK104" i="83"/>
  <c r="AJ104" i="83"/>
  <c r="BF103" i="83"/>
  <c r="BE103" i="83"/>
  <c r="BD103" i="83"/>
  <c r="BC103" i="83"/>
  <c r="BB103" i="83"/>
  <c r="AL103" i="83"/>
  <c r="AK103" i="83"/>
  <c r="W103" i="83"/>
  <c r="V103" i="83"/>
  <c r="U103" i="83"/>
  <c r="T103" i="83"/>
  <c r="S103" i="83"/>
  <c r="R103" i="83"/>
  <c r="Q103" i="83"/>
  <c r="P103" i="83"/>
  <c r="O103" i="83"/>
  <c r="BF102" i="83"/>
  <c r="BE102" i="83"/>
  <c r="BD102" i="83"/>
  <c r="BC102" i="83"/>
  <c r="BB102" i="83"/>
  <c r="W102" i="83"/>
  <c r="V102" i="83"/>
  <c r="U102" i="83"/>
  <c r="T102" i="83"/>
  <c r="S102" i="83"/>
  <c r="R102" i="83"/>
  <c r="Q102" i="83"/>
  <c r="P102" i="83"/>
  <c r="O102" i="83"/>
  <c r="BF101" i="83"/>
  <c r="BE101" i="83"/>
  <c r="BD101" i="83"/>
  <c r="BC101" i="83"/>
  <c r="BB101" i="83"/>
  <c r="AN101" i="83"/>
  <c r="AL101" i="83"/>
  <c r="AK101" i="83"/>
  <c r="AJ101" i="83"/>
  <c r="W101" i="83"/>
  <c r="V101" i="83"/>
  <c r="U101" i="83"/>
  <c r="T101" i="83"/>
  <c r="S101" i="83"/>
  <c r="R101" i="83"/>
  <c r="Q101" i="83"/>
  <c r="P101" i="83"/>
  <c r="O101" i="83"/>
  <c r="BF100" i="83"/>
  <c r="BE100" i="83"/>
  <c r="BD100" i="83"/>
  <c r="BC100" i="83"/>
  <c r="BB100" i="83"/>
  <c r="W100" i="83"/>
  <c r="V100" i="83"/>
  <c r="U100" i="83"/>
  <c r="T100" i="83"/>
  <c r="S100" i="83"/>
  <c r="R100" i="83"/>
  <c r="Q100" i="83"/>
  <c r="P100" i="83"/>
  <c r="O100" i="83"/>
  <c r="BF99" i="83"/>
  <c r="BE99" i="83"/>
  <c r="BD99" i="83"/>
  <c r="BC99" i="83"/>
  <c r="BB99" i="83"/>
  <c r="AN99" i="83"/>
  <c r="AM99" i="83"/>
  <c r="AL99" i="83"/>
  <c r="AK99" i="83"/>
  <c r="AJ99" i="83"/>
  <c r="W99" i="83"/>
  <c r="V99" i="83"/>
  <c r="U99" i="83"/>
  <c r="T99" i="83"/>
  <c r="S99" i="83"/>
  <c r="R99" i="83"/>
  <c r="Q99" i="83"/>
  <c r="P99" i="83"/>
  <c r="O99" i="83"/>
  <c r="BF98" i="83"/>
  <c r="BE98" i="83"/>
  <c r="BD98" i="83"/>
  <c r="BC98" i="83"/>
  <c r="BB98" i="83"/>
  <c r="AN98" i="83"/>
  <c r="AN105" i="83" s="1"/>
  <c r="AM98" i="83"/>
  <c r="AM105" i="83" s="1"/>
  <c r="AL98" i="83"/>
  <c r="AK98" i="83"/>
  <c r="AK105" i="83" s="1"/>
  <c r="AJ98" i="83"/>
  <c r="AJ105" i="83" s="1"/>
  <c r="W98" i="83"/>
  <c r="V98" i="83"/>
  <c r="U98" i="83"/>
  <c r="T98" i="83"/>
  <c r="S98" i="83"/>
  <c r="R98" i="83"/>
  <c r="Q98" i="83"/>
  <c r="P98" i="83"/>
  <c r="O98" i="83"/>
  <c r="BF97" i="83"/>
  <c r="BE97" i="83"/>
  <c r="BD97" i="83"/>
  <c r="BC97" i="83"/>
  <c r="BB97" i="83"/>
  <c r="AN97" i="83"/>
  <c r="AN104" i="83" s="1"/>
  <c r="AM97" i="83"/>
  <c r="AL97" i="83"/>
  <c r="AK97" i="83"/>
  <c r="AJ97" i="83"/>
  <c r="W97" i="83"/>
  <c r="V97" i="83"/>
  <c r="U97" i="83"/>
  <c r="T97" i="83"/>
  <c r="S97" i="83"/>
  <c r="R97" i="83"/>
  <c r="Q97" i="83"/>
  <c r="X97" i="83" s="1"/>
  <c r="P97" i="83"/>
  <c r="O97" i="83"/>
  <c r="BF96" i="83"/>
  <c r="BE96" i="83"/>
  <c r="BD96" i="83"/>
  <c r="BC96" i="83"/>
  <c r="BB96" i="83"/>
  <c r="AN96" i="83"/>
  <c r="AN103" i="83" s="1"/>
  <c r="AM96" i="83"/>
  <c r="AM103" i="83" s="1"/>
  <c r="AL96" i="83"/>
  <c r="AK96" i="83"/>
  <c r="AJ96" i="83"/>
  <c r="AJ103" i="83" s="1"/>
  <c r="W96" i="83"/>
  <c r="V96" i="83"/>
  <c r="U96" i="83"/>
  <c r="T96" i="83"/>
  <c r="S96" i="83"/>
  <c r="R96" i="83"/>
  <c r="Q96" i="83"/>
  <c r="P96" i="83"/>
  <c r="O96" i="83"/>
  <c r="BF95" i="83"/>
  <c r="BE95" i="83"/>
  <c r="BD95" i="83"/>
  <c r="BC95" i="83"/>
  <c r="BB95" i="83"/>
  <c r="AN95" i="83"/>
  <c r="AN102" i="83" s="1"/>
  <c r="AM95" i="83"/>
  <c r="AM102" i="83" s="1"/>
  <c r="AL95" i="83"/>
  <c r="AL102" i="83" s="1"/>
  <c r="AK95" i="83"/>
  <c r="AK102" i="83" s="1"/>
  <c r="AJ95" i="83"/>
  <c r="AJ102" i="83" s="1"/>
  <c r="W95" i="83"/>
  <c r="V95" i="83"/>
  <c r="U95" i="83"/>
  <c r="AH113" i="83" s="1"/>
  <c r="T95" i="83"/>
  <c r="S95" i="83"/>
  <c r="R95" i="83"/>
  <c r="Q95" i="83"/>
  <c r="P95" i="83"/>
  <c r="X95" i="83" s="1"/>
  <c r="O95" i="83"/>
  <c r="BF94" i="83"/>
  <c r="BE94" i="83"/>
  <c r="BD94" i="83"/>
  <c r="BC94" i="83"/>
  <c r="BB94" i="83"/>
  <c r="AN94" i="83"/>
  <c r="AM94" i="83"/>
  <c r="AM101" i="83" s="1"/>
  <c r="AL94" i="83"/>
  <c r="AK94" i="83"/>
  <c r="AJ94" i="83"/>
  <c r="X94" i="83"/>
  <c r="AJ112" i="83" s="1"/>
  <c r="W94" i="83"/>
  <c r="V94" i="83"/>
  <c r="U94" i="83"/>
  <c r="T94" i="83"/>
  <c r="S94" i="83"/>
  <c r="R94" i="83"/>
  <c r="Q94" i="83"/>
  <c r="P94" i="83"/>
  <c r="AC112" i="83" s="1"/>
  <c r="O94" i="83"/>
  <c r="BF93" i="83"/>
  <c r="BE93" i="83"/>
  <c r="BD93" i="83"/>
  <c r="BC93" i="83"/>
  <c r="BB93" i="83"/>
  <c r="BF92" i="83"/>
  <c r="BE92" i="83"/>
  <c r="BD92" i="83"/>
  <c r="BC92" i="83"/>
  <c r="BB92" i="83"/>
  <c r="BF91" i="83"/>
  <c r="BE91" i="83"/>
  <c r="BD91" i="83"/>
  <c r="BC91" i="83"/>
  <c r="BB91" i="83"/>
  <c r="AH91" i="83"/>
  <c r="AG91" i="83"/>
  <c r="AF91" i="83"/>
  <c r="AE91" i="83"/>
  <c r="AD91" i="83"/>
  <c r="AC91" i="83"/>
  <c r="AB91" i="83"/>
  <c r="AA91" i="83"/>
  <c r="Z91" i="83"/>
  <c r="BF90" i="83"/>
  <c r="BE90" i="83"/>
  <c r="BD90" i="83"/>
  <c r="BC90" i="83"/>
  <c r="BB90" i="83"/>
  <c r="AH90" i="83"/>
  <c r="AG90" i="83"/>
  <c r="AF90" i="83"/>
  <c r="AE90" i="83"/>
  <c r="AD90" i="83"/>
  <c r="AC90" i="83"/>
  <c r="AB90" i="83"/>
  <c r="AA90" i="83"/>
  <c r="Z90" i="83"/>
  <c r="BF89" i="83"/>
  <c r="BE89" i="83"/>
  <c r="BD89" i="83"/>
  <c r="BC89" i="83"/>
  <c r="BB89" i="83"/>
  <c r="AH89" i="83"/>
  <c r="AG89" i="83"/>
  <c r="AF89" i="83"/>
  <c r="AE89" i="83"/>
  <c r="AD89" i="83"/>
  <c r="AC89" i="83"/>
  <c r="AB89" i="83"/>
  <c r="AA89" i="83"/>
  <c r="Z89" i="83"/>
  <c r="BF88" i="83"/>
  <c r="BE88" i="83"/>
  <c r="BD88" i="83"/>
  <c r="BC88" i="83"/>
  <c r="BB88" i="83"/>
  <c r="AH88" i="83"/>
  <c r="AG88" i="83"/>
  <c r="AF88" i="83"/>
  <c r="AE88" i="83"/>
  <c r="AD88" i="83"/>
  <c r="AC88" i="83"/>
  <c r="AB88" i="83"/>
  <c r="AA88" i="83"/>
  <c r="Z88" i="83"/>
  <c r="BF87" i="83"/>
  <c r="BE87" i="83"/>
  <c r="BD87" i="83"/>
  <c r="BC87" i="83"/>
  <c r="BB87" i="83"/>
  <c r="AH87" i="83"/>
  <c r="AG87" i="83"/>
  <c r="AF87" i="83"/>
  <c r="AE87" i="83"/>
  <c r="AD87" i="83"/>
  <c r="AC87" i="83"/>
  <c r="AB87" i="83"/>
  <c r="AA87" i="83"/>
  <c r="Z87" i="83"/>
  <c r="BF86" i="83"/>
  <c r="BE86" i="83"/>
  <c r="BD86" i="83"/>
  <c r="BC86" i="83"/>
  <c r="BB86" i="83"/>
  <c r="AH86" i="83"/>
  <c r="AG86" i="83"/>
  <c r="AF86" i="83"/>
  <c r="AE86" i="83"/>
  <c r="AD86" i="83"/>
  <c r="AC86" i="83"/>
  <c r="AB86" i="83"/>
  <c r="AA86" i="83"/>
  <c r="Z86" i="83"/>
  <c r="BF85" i="83"/>
  <c r="BE85" i="83"/>
  <c r="BD85" i="83"/>
  <c r="BC85" i="83"/>
  <c r="BB85" i="83"/>
  <c r="AH85" i="83"/>
  <c r="AG85" i="83"/>
  <c r="AF85" i="83"/>
  <c r="AE85" i="83"/>
  <c r="AD85" i="83"/>
  <c r="AC85" i="83"/>
  <c r="AB85" i="83"/>
  <c r="AA85" i="83"/>
  <c r="Z85" i="83"/>
  <c r="BF84" i="83"/>
  <c r="BE84" i="83"/>
  <c r="BD84" i="83"/>
  <c r="BC84" i="83"/>
  <c r="BB84" i="83"/>
  <c r="AH84" i="83"/>
  <c r="AG84" i="83"/>
  <c r="AF84" i="83"/>
  <c r="AE84" i="83"/>
  <c r="AD84" i="83"/>
  <c r="AC84" i="83"/>
  <c r="AB84" i="83"/>
  <c r="AA84" i="83"/>
  <c r="Z84" i="83"/>
  <c r="BF83" i="83"/>
  <c r="BE83" i="83"/>
  <c r="BD83" i="83"/>
  <c r="BC83" i="83"/>
  <c r="BB83" i="83"/>
  <c r="AH83" i="83"/>
  <c r="AG83" i="83"/>
  <c r="AF83" i="83"/>
  <c r="AE83" i="83"/>
  <c r="AD83" i="83"/>
  <c r="AC83" i="83"/>
  <c r="AB83" i="83"/>
  <c r="AA83" i="83"/>
  <c r="Z83" i="83"/>
  <c r="BF82" i="83"/>
  <c r="BE82" i="83"/>
  <c r="BD82" i="83"/>
  <c r="BC82" i="83"/>
  <c r="BB82" i="83"/>
  <c r="BF81" i="83"/>
  <c r="BE81" i="83"/>
  <c r="BD81" i="83"/>
  <c r="BC81" i="83"/>
  <c r="BB81" i="83"/>
  <c r="BF80" i="83"/>
  <c r="BE80" i="83"/>
  <c r="BD80" i="83"/>
  <c r="BC80" i="83"/>
  <c r="BB80" i="83"/>
  <c r="T80" i="83"/>
  <c r="Z80" i="83" s="1"/>
  <c r="AE80" i="83" s="1"/>
  <c r="AI80" i="83" s="1"/>
  <c r="N80" i="83"/>
  <c r="BF79" i="83"/>
  <c r="BE79" i="83"/>
  <c r="BD79" i="83"/>
  <c r="BC79" i="83"/>
  <c r="BB79" i="83"/>
  <c r="BF78" i="83"/>
  <c r="BE78" i="83"/>
  <c r="BD78" i="83"/>
  <c r="BC78" i="83"/>
  <c r="BB78" i="83"/>
  <c r="BF77" i="83"/>
  <c r="BE77" i="83"/>
  <c r="BD77" i="83"/>
  <c r="BC77" i="83"/>
  <c r="BB77" i="83"/>
  <c r="BF76" i="83"/>
  <c r="BE76" i="83"/>
  <c r="BD76" i="83"/>
  <c r="BC76" i="83"/>
  <c r="BB76" i="83"/>
  <c r="BF75" i="83"/>
  <c r="BE75" i="83"/>
  <c r="BD75" i="83"/>
  <c r="BC75" i="83"/>
  <c r="BB75" i="83"/>
  <c r="BF74" i="83"/>
  <c r="BE74" i="83"/>
  <c r="BD74" i="83"/>
  <c r="BC74" i="83"/>
  <c r="BB74" i="83"/>
  <c r="BF73" i="83"/>
  <c r="BE73" i="83"/>
  <c r="BD73" i="83"/>
  <c r="BC73" i="83"/>
  <c r="BB73" i="83"/>
  <c r="BF72" i="83"/>
  <c r="BE72" i="83"/>
  <c r="BD72" i="83"/>
  <c r="BC72" i="83"/>
  <c r="BB72" i="83"/>
  <c r="BF71" i="83"/>
  <c r="BE71" i="83"/>
  <c r="BD71" i="83"/>
  <c r="BC71" i="83"/>
  <c r="BB71" i="83"/>
  <c r="BF70" i="83"/>
  <c r="BE70" i="83"/>
  <c r="BD70" i="83"/>
  <c r="BC70" i="83"/>
  <c r="BB70" i="83"/>
  <c r="BF69" i="83"/>
  <c r="BE69" i="83"/>
  <c r="BD69" i="83"/>
  <c r="BC69" i="83"/>
  <c r="BB69" i="83"/>
  <c r="BF68" i="83"/>
  <c r="BE68" i="83"/>
  <c r="BD68" i="83"/>
  <c r="BC68" i="83"/>
  <c r="BB68" i="83"/>
  <c r="BF67" i="83"/>
  <c r="BE67" i="83"/>
  <c r="BD67" i="83"/>
  <c r="BC67" i="83"/>
  <c r="BB67" i="83"/>
  <c r="BF66" i="83"/>
  <c r="BE66" i="83"/>
  <c r="BD66" i="83"/>
  <c r="BC66" i="83"/>
  <c r="BB66" i="83"/>
  <c r="R66" i="83"/>
  <c r="Q66" i="83"/>
  <c r="P66" i="83"/>
  <c r="O66" i="83"/>
  <c r="BF65" i="83"/>
  <c r="BE65" i="83"/>
  <c r="BD65" i="83"/>
  <c r="BC65" i="83"/>
  <c r="BB65" i="83"/>
  <c r="BF64" i="83"/>
  <c r="BE64" i="83"/>
  <c r="BD64" i="83"/>
  <c r="BC64" i="83"/>
  <c r="BB64" i="83"/>
  <c r="BF63" i="83"/>
  <c r="BE63" i="83"/>
  <c r="BD63" i="83"/>
  <c r="BC63" i="83"/>
  <c r="BB63" i="83"/>
  <c r="BF62" i="83"/>
  <c r="BE62" i="83"/>
  <c r="BD62" i="83"/>
  <c r="BC62" i="83"/>
  <c r="BB62" i="83"/>
  <c r="BF61" i="83"/>
  <c r="BE61" i="83"/>
  <c r="BD61" i="83"/>
  <c r="BC61" i="83"/>
  <c r="BB61" i="83"/>
  <c r="N61" i="83"/>
  <c r="N79" i="83" s="1"/>
  <c r="T79" i="83" s="1"/>
  <c r="Z79" i="83" s="1"/>
  <c r="AE79" i="83" s="1"/>
  <c r="AI79" i="83" s="1"/>
  <c r="BF60" i="83"/>
  <c r="BE60" i="83"/>
  <c r="BD60" i="83"/>
  <c r="BC60" i="83"/>
  <c r="BB60" i="83"/>
  <c r="AD60" i="83"/>
  <c r="N60" i="83"/>
  <c r="BF59" i="83"/>
  <c r="BE59" i="83"/>
  <c r="BD59" i="83"/>
  <c r="BC59" i="83"/>
  <c r="BB59" i="83"/>
  <c r="BF58" i="83"/>
  <c r="BE58" i="83"/>
  <c r="BD58" i="83"/>
  <c r="BC58" i="83"/>
  <c r="BB58" i="83"/>
  <c r="BF57" i="83"/>
  <c r="BE57" i="83"/>
  <c r="BD57" i="83"/>
  <c r="BC57" i="83"/>
  <c r="BB57" i="83"/>
  <c r="BF56" i="83"/>
  <c r="BE56" i="83"/>
  <c r="BD56" i="83"/>
  <c r="BC56" i="83"/>
  <c r="BB56" i="83"/>
  <c r="BF55" i="83"/>
  <c r="BE55" i="83"/>
  <c r="BD55" i="83"/>
  <c r="BC55" i="83"/>
  <c r="BB55" i="83"/>
  <c r="BF54" i="83"/>
  <c r="BE54" i="83"/>
  <c r="BD54" i="83"/>
  <c r="BC54" i="83"/>
  <c r="BB54" i="83"/>
  <c r="BF53" i="83"/>
  <c r="BE53" i="83"/>
  <c r="BD53" i="83"/>
  <c r="BC53" i="83"/>
  <c r="BB53" i="83"/>
  <c r="BF52" i="83"/>
  <c r="BE52" i="83"/>
  <c r="BD52" i="83"/>
  <c r="BC52" i="83"/>
  <c r="BB52" i="83"/>
  <c r="BF51" i="83"/>
  <c r="BE51" i="83"/>
  <c r="BD51" i="83"/>
  <c r="BC51" i="83"/>
  <c r="BB51" i="83"/>
  <c r="BF50" i="83"/>
  <c r="BE50" i="83"/>
  <c r="BD50" i="83"/>
  <c r="BC50" i="83"/>
  <c r="BB50" i="83"/>
  <c r="BF49" i="83"/>
  <c r="BE49" i="83"/>
  <c r="BD49" i="83"/>
  <c r="BC49" i="83"/>
  <c r="BB49" i="83"/>
  <c r="BF48" i="83"/>
  <c r="BE48" i="83"/>
  <c r="BD48" i="83"/>
  <c r="BC48" i="83"/>
  <c r="BB48" i="83"/>
  <c r="BF47" i="83"/>
  <c r="BE47" i="83"/>
  <c r="BD47" i="83"/>
  <c r="BC47" i="83"/>
  <c r="BB47" i="83"/>
  <c r="BF46" i="83"/>
  <c r="BE46" i="83"/>
  <c r="BD46" i="83"/>
  <c r="BC46" i="83"/>
  <c r="BB46" i="83"/>
  <c r="BF45" i="83"/>
  <c r="BE45" i="83"/>
  <c r="BD45" i="83"/>
  <c r="BC45" i="83"/>
  <c r="BB45" i="83"/>
  <c r="AH45" i="83"/>
  <c r="AG45" i="83"/>
  <c r="AF45" i="83"/>
  <c r="AD45" i="83"/>
  <c r="BF44" i="83"/>
  <c r="BE44" i="83"/>
  <c r="BD44" i="83"/>
  <c r="BC44" i="83"/>
  <c r="BB44" i="83"/>
  <c r="BF43" i="83"/>
  <c r="BE43" i="83"/>
  <c r="BD43" i="83"/>
  <c r="BC43" i="83"/>
  <c r="BB43" i="83"/>
  <c r="BF42" i="83"/>
  <c r="BE42" i="83"/>
  <c r="BD42" i="83"/>
  <c r="BC42" i="83"/>
  <c r="BB42" i="83"/>
  <c r="AM42" i="83"/>
  <c r="AR42" i="83" s="1"/>
  <c r="AV42" i="83" s="1"/>
  <c r="AA42" i="83"/>
  <c r="AG42" i="83" s="1"/>
  <c r="T42" i="83"/>
  <c r="N42" i="83"/>
  <c r="AD61" i="83" s="1"/>
  <c r="BF41" i="83"/>
  <c r="BE41" i="83"/>
  <c r="BD41" i="83"/>
  <c r="BC41" i="83"/>
  <c r="BB41" i="83"/>
  <c r="AG41" i="83"/>
  <c r="AM41" i="83" s="1"/>
  <c r="AR41" i="83" s="1"/>
  <c r="AV41" i="83" s="1"/>
  <c r="AE41" i="83"/>
  <c r="AA41" i="83"/>
  <c r="N41" i="83"/>
  <c r="T41" i="83" s="1"/>
  <c r="BF40" i="83"/>
  <c r="BE40" i="83"/>
  <c r="BD40" i="83"/>
  <c r="BC40" i="83"/>
  <c r="BB40" i="83"/>
  <c r="AV40" i="83"/>
  <c r="AM40" i="83"/>
  <c r="AR40" i="83" s="1"/>
  <c r="AG40" i="83"/>
  <c r="AE40" i="83"/>
  <c r="AA40" i="83"/>
  <c r="N40" i="83"/>
  <c r="BF39" i="83"/>
  <c r="BE39" i="83"/>
  <c r="BD39" i="83"/>
  <c r="BC39" i="83"/>
  <c r="BB39" i="83"/>
  <c r="AG39" i="83"/>
  <c r="AM39" i="83" s="1"/>
  <c r="AR39" i="83" s="1"/>
  <c r="AV39" i="83" s="1"/>
  <c r="AE39" i="83"/>
  <c r="AA39" i="83"/>
  <c r="N39" i="83"/>
  <c r="AD58" i="83" s="1"/>
  <c r="BF38" i="83"/>
  <c r="BE38" i="83"/>
  <c r="BD38" i="83"/>
  <c r="BC38" i="83"/>
  <c r="BB38" i="83"/>
  <c r="BF37" i="83"/>
  <c r="BE37" i="83"/>
  <c r="BD37" i="83"/>
  <c r="BC37" i="83"/>
  <c r="BB37" i="83"/>
  <c r="BF36" i="83"/>
  <c r="BE36" i="83"/>
  <c r="BD36" i="83"/>
  <c r="BC36" i="83"/>
  <c r="BB36" i="83"/>
  <c r="BF35" i="83"/>
  <c r="BE35" i="83"/>
  <c r="BD35" i="83"/>
  <c r="BC35" i="83"/>
  <c r="BB35" i="83"/>
  <c r="BF34" i="83"/>
  <c r="BE34" i="83"/>
  <c r="BD34" i="83"/>
  <c r="BC34" i="83"/>
  <c r="BB34" i="83"/>
  <c r="BF33" i="83"/>
  <c r="BE33" i="83"/>
  <c r="BD33" i="83"/>
  <c r="BC33" i="83"/>
  <c r="BB33" i="83"/>
  <c r="BF32" i="83"/>
  <c r="BE32" i="83"/>
  <c r="BD32" i="83"/>
  <c r="BC32" i="83"/>
  <c r="BB32" i="83"/>
  <c r="BF31" i="83"/>
  <c r="BE31" i="83"/>
  <c r="BD31" i="83"/>
  <c r="BC31" i="83"/>
  <c r="BB31" i="83"/>
  <c r="BF30" i="83"/>
  <c r="BE30" i="83"/>
  <c r="BD30" i="83"/>
  <c r="BC30" i="83"/>
  <c r="BB30" i="83"/>
  <c r="BF29" i="83"/>
  <c r="BE29" i="83"/>
  <c r="BD29" i="83"/>
  <c r="BC29" i="83"/>
  <c r="BB29" i="83"/>
  <c r="BF28" i="83"/>
  <c r="BE28" i="83"/>
  <c r="BD28" i="83"/>
  <c r="BC28" i="83"/>
  <c r="BB28" i="83"/>
  <c r="X28" i="83"/>
  <c r="W28" i="83"/>
  <c r="V28" i="83"/>
  <c r="BF27" i="83"/>
  <c r="BE27" i="83"/>
  <c r="BD27" i="83"/>
  <c r="BC27" i="83"/>
  <c r="BB27" i="83"/>
  <c r="BF26" i="83"/>
  <c r="BE26" i="83"/>
  <c r="BD26" i="83"/>
  <c r="BC26" i="83"/>
  <c r="BB26" i="83"/>
  <c r="X26" i="83"/>
  <c r="W26" i="83"/>
  <c r="V26" i="83"/>
  <c r="U26" i="83"/>
  <c r="T26" i="83"/>
  <c r="BF25" i="83"/>
  <c r="BE25" i="83"/>
  <c r="BD25" i="83"/>
  <c r="BC25" i="83"/>
  <c r="BB25" i="83"/>
  <c r="BF24" i="83"/>
  <c r="BE24" i="83"/>
  <c r="BD24" i="83"/>
  <c r="BC24" i="83"/>
  <c r="BB24" i="83"/>
  <c r="BF23" i="83"/>
  <c r="BE23" i="83"/>
  <c r="BD23" i="83"/>
  <c r="BC23" i="83"/>
  <c r="BB23" i="83"/>
  <c r="BF22" i="83"/>
  <c r="BE22" i="83"/>
  <c r="BD22" i="83"/>
  <c r="BC22" i="83"/>
  <c r="BB22" i="83"/>
  <c r="BF21" i="83"/>
  <c r="BE21" i="83"/>
  <c r="BD21" i="83"/>
  <c r="BC21" i="83"/>
  <c r="BB21" i="83"/>
  <c r="BF20" i="83"/>
  <c r="BE20" i="83"/>
  <c r="BD20" i="83"/>
  <c r="BC20" i="83"/>
  <c r="BB20" i="83"/>
  <c r="BF19" i="83"/>
  <c r="BE19" i="83"/>
  <c r="BD19" i="83"/>
  <c r="BC19" i="83"/>
  <c r="BB19" i="83"/>
  <c r="BF18" i="83"/>
  <c r="BE18" i="83"/>
  <c r="BD18" i="83"/>
  <c r="BC18" i="83"/>
  <c r="BB18" i="83"/>
  <c r="BF17" i="83"/>
  <c r="BE17" i="83"/>
  <c r="BD17" i="83"/>
  <c r="BC17" i="83"/>
  <c r="BB17" i="83"/>
  <c r="N17" i="83"/>
  <c r="O17" i="83" s="1" a="1"/>
  <c r="O17" i="83" s="1"/>
  <c r="BF16" i="83"/>
  <c r="BE16" i="83"/>
  <c r="BD16" i="83"/>
  <c r="BC16" i="83"/>
  <c r="BB16" i="83"/>
  <c r="N16" i="83"/>
  <c r="O16" i="83" s="1" a="1"/>
  <c r="O16" i="83" s="1"/>
  <c r="BF15" i="83"/>
  <c r="BE15" i="83"/>
  <c r="BD15" i="83"/>
  <c r="BC15" i="83"/>
  <c r="BB15" i="83"/>
  <c r="P15" i="83" a="1"/>
  <c r="P15" i="83" s="1"/>
  <c r="N15" i="83"/>
  <c r="O15" i="83" s="1" a="1"/>
  <c r="O15" i="83" s="1"/>
  <c r="BF14" i="83"/>
  <c r="BE14" i="83"/>
  <c r="BD14" i="83"/>
  <c r="BC14" i="83"/>
  <c r="BB14" i="83"/>
  <c r="N14" i="83"/>
  <c r="BF13" i="83"/>
  <c r="BE13" i="83"/>
  <c r="BD13" i="83"/>
  <c r="BC13" i="83"/>
  <c r="BB13" i="83"/>
  <c r="N13" i="83"/>
  <c r="BF12" i="83"/>
  <c r="BE12" i="83"/>
  <c r="BD12" i="83"/>
  <c r="BC12" i="83"/>
  <c r="BB12" i="83"/>
  <c r="N12" i="83"/>
  <c r="O12" i="83" s="1" a="1"/>
  <c r="O12" i="83" s="1"/>
  <c r="BF11" i="83"/>
  <c r="BE11" i="83"/>
  <c r="BD11" i="83"/>
  <c r="BC11" i="83"/>
  <c r="BB11" i="83"/>
  <c r="P11" i="83" a="1"/>
  <c r="P11" i="83" s="1"/>
  <c r="N11" i="83"/>
  <c r="BF10" i="83"/>
  <c r="BE10" i="83"/>
  <c r="BD10" i="83"/>
  <c r="BC10" i="83"/>
  <c r="BB10" i="83"/>
  <c r="N10" i="83"/>
  <c r="BF9" i="83"/>
  <c r="BE9" i="83"/>
  <c r="BD9" i="83"/>
  <c r="BC9" i="83"/>
  <c r="BB9" i="83"/>
  <c r="N9" i="83"/>
  <c r="O9" i="83" s="1" a="1"/>
  <c r="O9" i="83" s="1"/>
  <c r="BF8" i="83"/>
  <c r="BE8" i="83"/>
  <c r="BD8" i="83"/>
  <c r="BC8" i="83"/>
  <c r="BB8" i="83"/>
  <c r="N8" i="83"/>
  <c r="O8" i="83" s="1" a="1"/>
  <c r="O8" i="83" s="1"/>
  <c r="BF7" i="83"/>
  <c r="BE7" i="83"/>
  <c r="BD7" i="83"/>
  <c r="BC7" i="83"/>
  <c r="BB7" i="83"/>
  <c r="R7" i="83" a="1"/>
  <c r="R7" i="83" s="1"/>
  <c r="N7" i="83"/>
  <c r="O7" i="83" s="1" a="1"/>
  <c r="O7" i="83" s="1"/>
  <c r="BF6" i="83"/>
  <c r="BE6" i="83"/>
  <c r="BD6" i="83"/>
  <c r="BC6" i="83"/>
  <c r="BB6" i="83"/>
  <c r="N6" i="83"/>
  <c r="BF5" i="83"/>
  <c r="BE5" i="83"/>
  <c r="BD5" i="83"/>
  <c r="BC5" i="83"/>
  <c r="BB5" i="83"/>
  <c r="K5" i="83"/>
  <c r="S16" i="83" s="1" a="1"/>
  <c r="S16" i="83" s="1"/>
  <c r="J5" i="83"/>
  <c r="I5" i="83"/>
  <c r="H5" i="83"/>
  <c r="G5" i="83"/>
  <c r="Q8" i="83" s="1" a="1"/>
  <c r="Q8" i="83" s="1"/>
  <c r="F5" i="83"/>
  <c r="E5" i="83"/>
  <c r="D5" i="83"/>
  <c r="C5" i="83"/>
  <c r="B5" i="83"/>
  <c r="BL4" i="83"/>
  <c r="BK4" i="83"/>
  <c r="BI4" i="83"/>
  <c r="BG4" i="83"/>
  <c r="BF4" i="83"/>
  <c r="BE4" i="83"/>
  <c r="BD4" i="83"/>
  <c r="BC4" i="83"/>
  <c r="BB4" i="83"/>
  <c r="K4" i="83"/>
  <c r="J4" i="83"/>
  <c r="I4" i="83"/>
  <c r="R16" i="83" s="1" a="1"/>
  <c r="R16" i="83" s="1"/>
  <c r="H4" i="83"/>
  <c r="G4" i="83"/>
  <c r="F4" i="83"/>
  <c r="Q120" i="83" s="1" a="1"/>
  <c r="Q120" i="83" s="1"/>
  <c r="E4" i="83"/>
  <c r="D4" i="83"/>
  <c r="C4" i="83"/>
  <c r="B4" i="83"/>
  <c r="O6" i="83" l="1" a="1"/>
  <c r="O6" i="83" s="1"/>
  <c r="P6" i="83" a="1"/>
  <c r="P6" i="83" s="1"/>
  <c r="S6" i="83" a="1"/>
  <c r="S6" i="83" s="1"/>
  <c r="N37" i="83"/>
  <c r="Q10" i="83" a="1"/>
  <c r="Q10" i="83" s="1"/>
  <c r="O10" i="83" a="1"/>
  <c r="O10" i="83" s="1"/>
  <c r="P13" i="83" a="1"/>
  <c r="P13" i="83" s="1"/>
  <c r="O13" i="83" a="1"/>
  <c r="O13" i="83" s="1"/>
  <c r="R14" i="83" a="1"/>
  <c r="R14" i="83" s="1"/>
  <c r="O14" i="83" a="1"/>
  <c r="O14" i="83" s="1"/>
  <c r="AA37" i="83"/>
  <c r="AG37" i="83" s="1"/>
  <c r="AM37" i="83" s="1"/>
  <c r="AR37" i="83" s="1"/>
  <c r="AV37" i="83" s="1"/>
  <c r="AA32" i="83"/>
  <c r="AG32" i="83" s="1"/>
  <c r="AM32" i="83" s="1"/>
  <c r="AR32" i="83" s="1"/>
  <c r="AV32" i="83" s="1"/>
  <c r="O11" i="83" a="1"/>
  <c r="O11" i="83" s="1"/>
  <c r="N29" i="83"/>
  <c r="T29" i="83" s="1"/>
  <c r="N28" i="83"/>
  <c r="N47" i="83" s="1"/>
  <c r="N66" i="83" s="1"/>
  <c r="T66" i="83" s="1"/>
  <c r="Z66" i="83" s="1"/>
  <c r="AE66" i="83" s="1"/>
  <c r="AI66" i="83" s="1"/>
  <c r="S7" i="83" a="1"/>
  <c r="S7" i="83" s="1"/>
  <c r="Q15" i="83" a="1"/>
  <c r="Q15" i="83" s="1"/>
  <c r="N36" i="83"/>
  <c r="R15" i="83" a="1"/>
  <c r="R15" i="83" s="1"/>
  <c r="AA36" i="83"/>
  <c r="AG36" i="83" s="1"/>
  <c r="AM36" i="83" s="1"/>
  <c r="AR36" i="83" s="1"/>
  <c r="AV36" i="83" s="1"/>
  <c r="AF115" i="83"/>
  <c r="AJ115" i="83"/>
  <c r="AI115" i="83"/>
  <c r="AB115" i="83"/>
  <c r="O142" i="83" a="1"/>
  <c r="O142" i="83" s="1"/>
  <c r="O141" i="83" a="1"/>
  <c r="O141" i="83" s="1"/>
  <c r="O140" i="83" a="1"/>
  <c r="O140" i="83" s="1"/>
  <c r="O120" i="83" a="1"/>
  <c r="O120" i="83" s="1"/>
  <c r="O121" i="83" a="1"/>
  <c r="O121" i="83" s="1"/>
  <c r="O139" i="83" a="1"/>
  <c r="O139" i="83" s="1"/>
  <c r="S12" i="83" a="1"/>
  <c r="S12" i="83" s="1"/>
  <c r="S15" i="83" a="1"/>
  <c r="S15" i="83" s="1"/>
  <c r="N34" i="83"/>
  <c r="Q13" i="83" a="1"/>
  <c r="Q13" i="83" s="1"/>
  <c r="AA34" i="83"/>
  <c r="AG34" i="83" s="1"/>
  <c r="AM34" i="83" s="1"/>
  <c r="AR34" i="83" s="1"/>
  <c r="AV34" i="83" s="1"/>
  <c r="N48" i="83"/>
  <c r="N67" i="83" s="1"/>
  <c r="T67" i="83" s="1"/>
  <c r="Z67" i="83" s="1"/>
  <c r="AE67" i="83" s="1"/>
  <c r="AI67" i="83" s="1"/>
  <c r="P142" i="83" a="1"/>
  <c r="P142" i="83" s="1"/>
  <c r="P141" i="83" a="1"/>
  <c r="P141" i="83" s="1"/>
  <c r="P139" i="83" a="1"/>
  <c r="P139" i="83" s="1"/>
  <c r="P140" i="83" a="1"/>
  <c r="P140" i="83" s="1"/>
  <c r="P120" i="83" a="1"/>
  <c r="P120" i="83" s="1"/>
  <c r="P121" i="83" a="1"/>
  <c r="P121" i="83" s="1"/>
  <c r="P8" i="83" a="1"/>
  <c r="P8" i="83" s="1"/>
  <c r="P16" i="83" a="1"/>
  <c r="P16" i="83" s="1"/>
  <c r="Q6" i="83" a="1"/>
  <c r="Q6" i="83" s="1"/>
  <c r="AA27" i="83"/>
  <c r="AG27" i="83" s="1"/>
  <c r="AM27" i="83" s="1"/>
  <c r="AR27" i="83" s="1"/>
  <c r="AV27" i="83" s="1"/>
  <c r="N27" i="83"/>
  <c r="AA28" i="83"/>
  <c r="AG28" i="83" s="1"/>
  <c r="AM28" i="83" s="1"/>
  <c r="AR28" i="83" s="1"/>
  <c r="AV28" i="83" s="1"/>
  <c r="P7" i="83" a="1"/>
  <c r="P7" i="83" s="1"/>
  <c r="Q9" i="83" a="1"/>
  <c r="Q9" i="83" s="1"/>
  <c r="N30" i="83"/>
  <c r="AA30" i="83"/>
  <c r="AG30" i="83" s="1"/>
  <c r="AM30" i="83" s="1"/>
  <c r="AR30" i="83" s="1"/>
  <c r="AV30" i="83" s="1"/>
  <c r="P9" i="83" a="1"/>
  <c r="P9" i="83" s="1"/>
  <c r="R13" i="83" a="1"/>
  <c r="R13" i="83" s="1"/>
  <c r="S17" i="83" a="1"/>
  <c r="S17" i="83" s="1"/>
  <c r="AA38" i="83"/>
  <c r="AG38" i="83" s="1"/>
  <c r="AM38" i="83" s="1"/>
  <c r="AR38" i="83" s="1"/>
  <c r="AV38" i="83" s="1"/>
  <c r="R17" i="83" a="1"/>
  <c r="R17" i="83" s="1"/>
  <c r="Q17" i="83" a="1"/>
  <c r="Q17" i="83" s="1"/>
  <c r="N38" i="83"/>
  <c r="P17" i="83" a="1"/>
  <c r="P17" i="83" s="1"/>
  <c r="AE114" i="83"/>
  <c r="AC121" i="83"/>
  <c r="X103" i="83"/>
  <c r="AH116" i="83"/>
  <c r="S13" i="83" a="1"/>
  <c r="S13" i="83" s="1"/>
  <c r="AA35" i="83"/>
  <c r="AG35" i="83" s="1"/>
  <c r="AM35" i="83" s="1"/>
  <c r="AR35" i="83" s="1"/>
  <c r="AV35" i="83" s="1"/>
  <c r="N35" i="83"/>
  <c r="S14" i="83" a="1"/>
  <c r="S14" i="83" s="1"/>
  <c r="Q14" i="83" a="1"/>
  <c r="Q14" i="83" s="1"/>
  <c r="R12" i="83" a="1"/>
  <c r="R12" i="83" s="1"/>
  <c r="P14" i="83" a="1"/>
  <c r="P14" i="83" s="1"/>
  <c r="S121" i="83" a="1"/>
  <c r="S121" i="83" s="1"/>
  <c r="S120" i="83" a="1"/>
  <c r="S120" i="83" s="1"/>
  <c r="AA31" i="83"/>
  <c r="AG31" i="83" s="1"/>
  <c r="AM31" i="83" s="1"/>
  <c r="AR31" i="83" s="1"/>
  <c r="AV31" i="83" s="1"/>
  <c r="N31" i="83"/>
  <c r="S10" i="83" a="1"/>
  <c r="S10" i="83" s="1"/>
  <c r="P10" i="83" a="1"/>
  <c r="P10" i="83" s="1"/>
  <c r="R10" i="83" a="1"/>
  <c r="R10" i="83" s="1"/>
  <c r="Q7" i="83" a="1"/>
  <c r="Q7" i="83" s="1"/>
  <c r="AE113" i="83"/>
  <c r="AJ113" i="83"/>
  <c r="AF113" i="83"/>
  <c r="AD113" i="83"/>
  <c r="X100" i="83"/>
  <c r="AH118" i="83" s="1"/>
  <c r="R9" i="83" a="1"/>
  <c r="R9" i="83" s="1"/>
  <c r="R140" i="83" a="1"/>
  <c r="R140" i="83" s="1"/>
  <c r="R142" i="83" a="1"/>
  <c r="R142" i="83" s="1"/>
  <c r="R120" i="83" a="1"/>
  <c r="R120" i="83" s="1"/>
  <c r="R121" i="83" a="1"/>
  <c r="R121" i="83" s="1"/>
  <c r="R139" i="83" a="1"/>
  <c r="R139" i="83" s="1"/>
  <c r="R141" i="83" a="1"/>
  <c r="R141" i="83" s="1"/>
  <c r="R6" i="83" a="1"/>
  <c r="R6" i="83" s="1"/>
  <c r="S9" i="83" a="1"/>
  <c r="S9" i="83" s="1"/>
  <c r="S8" i="83" a="1"/>
  <c r="S8" i="83" s="1"/>
  <c r="R8" i="83" a="1"/>
  <c r="R8" i="83" s="1"/>
  <c r="AA29" i="83"/>
  <c r="AG29" i="83" s="1"/>
  <c r="AM29" i="83" s="1"/>
  <c r="AR29" i="83" s="1"/>
  <c r="AV29" i="83" s="1"/>
  <c r="Q16" i="83" a="1"/>
  <c r="Q16" i="83" s="1"/>
  <c r="AD112" i="83"/>
  <c r="AE115" i="83"/>
  <c r="AE121" i="83"/>
  <c r="AD115" i="83"/>
  <c r="AE112" i="83"/>
  <c r="AI113" i="83"/>
  <c r="N59" i="83"/>
  <c r="N78" i="83" s="1"/>
  <c r="T78" i="83" s="1"/>
  <c r="Z78" i="83" s="1"/>
  <c r="AE78" i="83" s="1"/>
  <c r="AI78" i="83" s="1"/>
  <c r="T40" i="83"/>
  <c r="AG115" i="83"/>
  <c r="X98" i="83"/>
  <c r="AC117" i="83"/>
  <c r="X99" i="83"/>
  <c r="AG121" i="83"/>
  <c r="AG112" i="83"/>
  <c r="AC114" i="83"/>
  <c r="X96" i="83"/>
  <c r="AB112" i="83"/>
  <c r="S11" i="83" a="1"/>
  <c r="S11" i="83" s="1"/>
  <c r="R11" i="83" a="1"/>
  <c r="R11" i="83" s="1"/>
  <c r="AI121" i="83"/>
  <c r="AF112" i="83"/>
  <c r="AI112" i="83"/>
  <c r="AH112" i="83"/>
  <c r="Q12" i="83" a="1"/>
  <c r="Q12" i="83" s="1"/>
  <c r="N33" i="83"/>
  <c r="AA33" i="83"/>
  <c r="AG33" i="83" s="1"/>
  <c r="AM33" i="83" s="1"/>
  <c r="AR33" i="83" s="1"/>
  <c r="AV33" i="83" s="1"/>
  <c r="AB113" i="83"/>
  <c r="AC113" i="83"/>
  <c r="AG114" i="83"/>
  <c r="AD116" i="83"/>
  <c r="AH117" i="83"/>
  <c r="AE116" i="83"/>
  <c r="Q11" i="83" a="1"/>
  <c r="Q11" i="83" s="1"/>
  <c r="P12" i="83" a="1"/>
  <c r="P12" i="83" s="1"/>
  <c r="Y28" i="83"/>
  <c r="N32" i="83"/>
  <c r="AD59" i="83"/>
  <c r="AJ117" i="83"/>
  <c r="AB121" i="83"/>
  <c r="AG113" i="83"/>
  <c r="AC115" i="83"/>
  <c r="AG116" i="83"/>
  <c r="AC118" i="83"/>
  <c r="Q142" i="83" a="1"/>
  <c r="Q142" i="83" s="1"/>
  <c r="Q121" i="83" a="1"/>
  <c r="Q121" i="83" s="1"/>
  <c r="Q141" i="83" a="1"/>
  <c r="Q141" i="83" s="1"/>
  <c r="Q140" i="83" a="1"/>
  <c r="Q140" i="83" s="1"/>
  <c r="Q139" i="83" a="1"/>
  <c r="Q139" i="83" s="1"/>
  <c r="X101" i="83"/>
  <c r="AH119" i="83" s="1"/>
  <c r="N58" i="83"/>
  <c r="N77" i="83" s="1"/>
  <c r="T77" i="83" s="1"/>
  <c r="Z77" i="83" s="1"/>
  <c r="AE77" i="83" s="1"/>
  <c r="AI77" i="83" s="1"/>
  <c r="AH115" i="83"/>
  <c r="T39" i="83"/>
  <c r="AJ121" i="83"/>
  <c r="S141" i="83" a="1"/>
  <c r="S141" i="83" s="1"/>
  <c r="S140" i="83" a="1"/>
  <c r="S140" i="83" s="1"/>
  <c r="S139" i="83" a="1"/>
  <c r="S139" i="83" s="1"/>
  <c r="S142" i="83" a="1"/>
  <c r="S142" i="83" s="1"/>
  <c r="X102" i="83"/>
  <c r="AF120" i="83" s="1"/>
  <c r="AH121" i="83"/>
  <c r="B2" i="1"/>
  <c r="D66" i="28" a="1"/>
  <c r="D66" i="28" s="1"/>
  <c r="T28" i="83" l="1"/>
  <c r="AD47" i="83"/>
  <c r="AD48" i="83"/>
  <c r="AD56" i="83"/>
  <c r="T37" i="83"/>
  <c r="N56" i="83"/>
  <c r="N75" i="83" s="1"/>
  <c r="T75" i="83" s="1"/>
  <c r="Z75" i="83" s="1"/>
  <c r="AE75" i="83" s="1"/>
  <c r="AI75" i="83" s="1"/>
  <c r="S22" i="83"/>
  <c r="AD41" i="83" s="1"/>
  <c r="AE29" i="83"/>
  <c r="R67" i="83" s="1"/>
  <c r="AD49" i="83"/>
  <c r="T30" i="83"/>
  <c r="N49" i="83"/>
  <c r="N68" i="83" s="1"/>
  <c r="T68" i="83" s="1"/>
  <c r="Z68" i="83" s="1"/>
  <c r="AE68" i="83" s="1"/>
  <c r="AI68" i="83" s="1"/>
  <c r="AC120" i="83"/>
  <c r="AE120" i="83"/>
  <c r="AE119" i="83"/>
  <c r="AI117" i="83"/>
  <c r="AD117" i="83"/>
  <c r="AB117" i="83"/>
  <c r="AG118" i="83"/>
  <c r="Q29" i="83"/>
  <c r="W29" i="83" s="1"/>
  <c r="AO29" i="83"/>
  <c r="AD33" i="83"/>
  <c r="Q71" i="83" s="1"/>
  <c r="AE117" i="83"/>
  <c r="AB116" i="83"/>
  <c r="AF116" i="83"/>
  <c r="AJ116" i="83"/>
  <c r="AC116" i="83"/>
  <c r="AI116" i="83"/>
  <c r="AE37" i="83"/>
  <c r="R75" i="83" s="1"/>
  <c r="R37" i="83"/>
  <c r="X37" i="83" s="1"/>
  <c r="AW37" i="83"/>
  <c r="AD37" i="83"/>
  <c r="Q75" i="83" s="1"/>
  <c r="AP37" i="83" a="1"/>
  <c r="AP37" i="83" s="1"/>
  <c r="AT37" i="83" a="1"/>
  <c r="AT37" i="83" s="1"/>
  <c r="AO37" i="83"/>
  <c r="Q37" i="83"/>
  <c r="W37" i="83" s="1"/>
  <c r="AK37" i="83" a="1"/>
  <c r="AK37" i="83" s="1"/>
  <c r="AD46" i="83"/>
  <c r="T27" i="83"/>
  <c r="N46" i="83"/>
  <c r="N65" i="83" s="1"/>
  <c r="T65" i="83" s="1"/>
  <c r="Z65" i="83" s="1"/>
  <c r="AE65" i="83" s="1"/>
  <c r="AI65" i="83" s="1"/>
  <c r="AJ29" i="83"/>
  <c r="AD29" i="83"/>
  <c r="Q67" i="83" s="1"/>
  <c r="AE33" i="83"/>
  <c r="R71" i="83" s="1"/>
  <c r="N54" i="83"/>
  <c r="N73" i="83" s="1"/>
  <c r="T73" i="83" s="1"/>
  <c r="Z73" i="83" s="1"/>
  <c r="AE73" i="83" s="1"/>
  <c r="AI73" i="83" s="1"/>
  <c r="AD54" i="83"/>
  <c r="T35" i="83"/>
  <c r="AP38" i="83" a="1"/>
  <c r="AP38" i="83" s="1"/>
  <c r="AE38" i="83"/>
  <c r="AO38" i="83"/>
  <c r="Q38" i="83"/>
  <c r="W38" i="83" s="1"/>
  <c r="AT38" i="83" a="1"/>
  <c r="AT38" i="83" s="1"/>
  <c r="R38" i="83"/>
  <c r="X38" i="83" s="1"/>
  <c r="AJ38" i="83"/>
  <c r="AW38" i="83"/>
  <c r="AK38" i="83" a="1"/>
  <c r="AK38" i="83" s="1"/>
  <c r="R29" i="83"/>
  <c r="X29" i="83" s="1"/>
  <c r="AE35" i="83"/>
  <c r="R73" i="83" s="1"/>
  <c r="R35" i="83"/>
  <c r="X35" i="83" s="1"/>
  <c r="AP35" i="83" a="1"/>
  <c r="AP35" i="83" s="1"/>
  <c r="AK35" i="83" a="1"/>
  <c r="AK35" i="83" s="1"/>
  <c r="AW35" i="83"/>
  <c r="AT35" i="83" a="1"/>
  <c r="AT35" i="83" s="1"/>
  <c r="AD35" i="83"/>
  <c r="Q73" i="83" s="1"/>
  <c r="AO35" i="83"/>
  <c r="AB73" i="83" s="1"/>
  <c r="Q35" i="83"/>
  <c r="W35" i="83" s="1"/>
  <c r="AJ35" i="83"/>
  <c r="AS35" i="83"/>
  <c r="U61" i="83"/>
  <c r="U60" i="83"/>
  <c r="U59" i="83"/>
  <c r="U58" i="83"/>
  <c r="U57" i="83"/>
  <c r="U56" i="83"/>
  <c r="U55" i="83"/>
  <c r="U54" i="83"/>
  <c r="U53" i="83"/>
  <c r="U52" i="83"/>
  <c r="U51" i="83"/>
  <c r="U50" i="83"/>
  <c r="U49" i="83"/>
  <c r="U48" i="83"/>
  <c r="Y61" i="83"/>
  <c r="V60" i="83"/>
  <c r="R59" i="83"/>
  <c r="AH59" i="83" s="1" a="1"/>
  <c r="AH59" i="83" s="1"/>
  <c r="Y55" i="83"/>
  <c r="V54" i="83"/>
  <c r="R53" i="83"/>
  <c r="Y49" i="83"/>
  <c r="V48" i="83"/>
  <c r="R61" i="83"/>
  <c r="Y57" i="83"/>
  <c r="V56" i="83"/>
  <c r="R55" i="83"/>
  <c r="Y51" i="83"/>
  <c r="V50" i="83"/>
  <c r="R49" i="83"/>
  <c r="R60" i="83"/>
  <c r="Y56" i="83"/>
  <c r="V51" i="83"/>
  <c r="R48" i="83"/>
  <c r="X59" i="83"/>
  <c r="AA57" i="83"/>
  <c r="Q56" i="83"/>
  <c r="X54" i="83"/>
  <c r="X52" i="83"/>
  <c r="V57" i="83"/>
  <c r="R54" i="83"/>
  <c r="Y50" i="83"/>
  <c r="Y60" i="83"/>
  <c r="Y58" i="83"/>
  <c r="Q57" i="83"/>
  <c r="V55" i="83"/>
  <c r="Y53" i="83"/>
  <c r="R50" i="83"/>
  <c r="Y48" i="83"/>
  <c r="X60" i="83"/>
  <c r="X55" i="83"/>
  <c r="AA59" i="83"/>
  <c r="Q50" i="83"/>
  <c r="AA49" i="83"/>
  <c r="Q60" i="83"/>
  <c r="Y59" i="83"/>
  <c r="AA58" i="83"/>
  <c r="Q55" i="83"/>
  <c r="AA54" i="83"/>
  <c r="X49" i="83"/>
  <c r="V59" i="83"/>
  <c r="X58" i="83"/>
  <c r="Y54" i="83"/>
  <c r="AA53" i="83"/>
  <c r="V49" i="83"/>
  <c r="Q59" i="83"/>
  <c r="AG59" i="83" s="1"/>
  <c r="V58" i="83"/>
  <c r="X53" i="83"/>
  <c r="Q49" i="83"/>
  <c r="AA48" i="83"/>
  <c r="R58" i="83"/>
  <c r="Q54" i="83"/>
  <c r="V53" i="83"/>
  <c r="AA52" i="83"/>
  <c r="X48" i="83"/>
  <c r="Q58" i="83"/>
  <c r="X57" i="83"/>
  <c r="Q53" i="83"/>
  <c r="Y52" i="83"/>
  <c r="AB47" i="83"/>
  <c r="AH47" i="83" s="1"/>
  <c r="V52" i="83"/>
  <c r="AA51" i="83"/>
  <c r="Q48" i="83"/>
  <c r="Z47" i="83"/>
  <c r="X61" i="83"/>
  <c r="X56" i="83"/>
  <c r="Q52" i="83"/>
  <c r="V61" i="83"/>
  <c r="Q51" i="83"/>
  <c r="AA60" i="83"/>
  <c r="R56" i="83"/>
  <c r="R51" i="83"/>
  <c r="R57" i="83"/>
  <c r="AA50" i="83"/>
  <c r="R52" i="83"/>
  <c r="AA55" i="83"/>
  <c r="X50" i="83"/>
  <c r="AA61" i="83"/>
  <c r="AA56" i="83"/>
  <c r="Q61" i="83"/>
  <c r="X51" i="83"/>
  <c r="AE31" i="83"/>
  <c r="R69" i="83" s="1"/>
  <c r="R31" i="83"/>
  <c r="X31" i="83" s="1"/>
  <c r="AJ31" i="83"/>
  <c r="AD31" i="83"/>
  <c r="Q69" i="83" s="1"/>
  <c r="AW31" i="83"/>
  <c r="AS31" i="83"/>
  <c r="AK31" i="83" a="1"/>
  <c r="AK31" i="83" s="1"/>
  <c r="X69" i="83" s="1"/>
  <c r="Q31" i="83"/>
  <c r="W31" i="83" s="1"/>
  <c r="AO31" i="83"/>
  <c r="AT31" i="83" a="1"/>
  <c r="AT31" i="83" s="1"/>
  <c r="AP31" i="83" a="1"/>
  <c r="AP31" i="83" s="1"/>
  <c r="O22" i="83"/>
  <c r="S145" i="83"/>
  <c r="R145" i="83"/>
  <c r="AA145" i="83"/>
  <c r="P145" i="83"/>
  <c r="Z145" i="83"/>
  <c r="Y145" i="83"/>
  <c r="X145" i="83"/>
  <c r="W145" i="83"/>
  <c r="V145" i="83"/>
  <c r="U145" i="83"/>
  <c r="T145" i="83" a="1"/>
  <c r="T145" i="83" s="1"/>
  <c r="Q145" i="83"/>
  <c r="AP29" i="83" a="1"/>
  <c r="AP29" i="83" s="1"/>
  <c r="AK33" i="83" a="1"/>
  <c r="AK33" i="83" s="1"/>
  <c r="AB120" i="83"/>
  <c r="AI120" i="83"/>
  <c r="AD120" i="83"/>
  <c r="AJ119" i="83"/>
  <c r="AC119" i="83"/>
  <c r="AI119" i="83"/>
  <c r="AG119" i="83"/>
  <c r="AD119" i="83"/>
  <c r="AH120" i="83"/>
  <c r="AD50" i="83"/>
  <c r="T31" i="83"/>
  <c r="N50" i="83"/>
  <c r="N69" i="83" s="1"/>
  <c r="T69" i="83" s="1"/>
  <c r="Z69" i="83" s="1"/>
  <c r="AE69" i="83" s="1"/>
  <c r="AI69" i="83" s="1"/>
  <c r="Q22" i="83"/>
  <c r="AT29" i="83"/>
  <c r="AS29" i="83"/>
  <c r="AP33" i="83" a="1"/>
  <c r="AP33" i="83" s="1"/>
  <c r="AF119" i="83"/>
  <c r="AJ120" i="83"/>
  <c r="AB119" i="83"/>
  <c r="AJ118" i="83"/>
  <c r="AF118" i="83"/>
  <c r="AB118" i="83"/>
  <c r="O126" i="83"/>
  <c r="R126" i="83"/>
  <c r="Q126" i="83"/>
  <c r="P126" i="83"/>
  <c r="AW29" i="83"/>
  <c r="AJ33" i="83"/>
  <c r="N51" i="83"/>
  <c r="N70" i="83" s="1"/>
  <c r="T70" i="83" s="1"/>
  <c r="Z70" i="83" s="1"/>
  <c r="AE70" i="83" s="1"/>
  <c r="AI70" i="83" s="1"/>
  <c r="AD51" i="83"/>
  <c r="T32" i="83"/>
  <c r="AD52" i="83"/>
  <c r="T33" i="83"/>
  <c r="N52" i="83"/>
  <c r="N71" i="83" s="1"/>
  <c r="T71" i="83" s="1"/>
  <c r="Z71" i="83" s="1"/>
  <c r="AE71" i="83" s="1"/>
  <c r="AI71" i="83" s="1"/>
  <c r="AJ114" i="83"/>
  <c r="AB114" i="83"/>
  <c r="AF114" i="83"/>
  <c r="AI114" i="83"/>
  <c r="AH114" i="83"/>
  <c r="AD114" i="83"/>
  <c r="AE118" i="83"/>
  <c r="AD118" i="83"/>
  <c r="AD121" i="83"/>
  <c r="AF121" i="83"/>
  <c r="AB145" i="83"/>
  <c r="AD55" i="83"/>
  <c r="N55" i="83"/>
  <c r="N74" i="83" s="1"/>
  <c r="T74" i="83" s="1"/>
  <c r="Z74" i="83" s="1"/>
  <c r="AE74" i="83" s="1"/>
  <c r="AI74" i="83" s="1"/>
  <c r="T36" i="83"/>
  <c r="R33" i="83"/>
  <c r="X33" i="83" s="1"/>
  <c r="AD30" i="83"/>
  <c r="Q68" i="83" s="1"/>
  <c r="Q30" i="83"/>
  <c r="W30" i="83" s="1"/>
  <c r="AW30" i="83"/>
  <c r="AT30" i="83" a="1"/>
  <c r="AT30" i="83" s="1"/>
  <c r="R30" i="83"/>
  <c r="X30" i="83" s="1"/>
  <c r="AP30" i="83" a="1"/>
  <c r="AP30" i="83" s="1"/>
  <c r="AK30" i="83" a="1"/>
  <c r="AK30" i="83" s="1"/>
  <c r="AE30" i="83"/>
  <c r="R68" i="83" s="1"/>
  <c r="AS30" i="83"/>
  <c r="AO30" i="83"/>
  <c r="AJ30" i="83"/>
  <c r="AO32" i="83"/>
  <c r="AW32" i="83"/>
  <c r="AK32" i="83" a="1"/>
  <c r="AK32" i="83" s="1"/>
  <c r="AT32" i="83" a="1"/>
  <c r="AT32" i="83" s="1"/>
  <c r="AE32" i="83"/>
  <c r="R70" i="83" s="1"/>
  <c r="AP32" i="83" a="1"/>
  <c r="AP32" i="83" s="1"/>
  <c r="AD32" i="83"/>
  <c r="Q70" i="83" s="1"/>
  <c r="R32" i="83"/>
  <c r="X32" i="83" s="1"/>
  <c r="Q32" i="83"/>
  <c r="W32" i="83" s="1"/>
  <c r="AJ32" i="83"/>
  <c r="W70" i="83" s="1"/>
  <c r="AS32" i="83"/>
  <c r="N53" i="83"/>
  <c r="N72" i="83" s="1"/>
  <c r="T72" i="83" s="1"/>
  <c r="Z72" i="83" s="1"/>
  <c r="AE72" i="83" s="1"/>
  <c r="AI72" i="83" s="1"/>
  <c r="AD53" i="83"/>
  <c r="T34" i="83"/>
  <c r="AC145" i="83"/>
  <c r="AO33" i="83"/>
  <c r="AB71" i="83" s="1"/>
  <c r="R22" i="83"/>
  <c r="P60" i="83" s="1"/>
  <c r="AD34" i="83"/>
  <c r="Q72" i="83" s="1"/>
  <c r="Q34" i="83"/>
  <c r="W34" i="83" s="1"/>
  <c r="AS34" i="83"/>
  <c r="AO34" i="83"/>
  <c r="AK34" i="83" a="1"/>
  <c r="AK34" i="83" s="1"/>
  <c r="AE34" i="83"/>
  <c r="R72" i="83" s="1"/>
  <c r="AW34" i="83"/>
  <c r="R34" i="83"/>
  <c r="X34" i="83" s="1"/>
  <c r="AT34" i="83" a="1"/>
  <c r="AT34" i="83" s="1"/>
  <c r="AP34" i="83" a="1"/>
  <c r="AP34" i="83" s="1"/>
  <c r="AJ34" i="83"/>
  <c r="AD145" i="83"/>
  <c r="AS33" i="83"/>
  <c r="AW33" i="83"/>
  <c r="AF117" i="83"/>
  <c r="AG120" i="83"/>
  <c r="AG117" i="83"/>
  <c r="AI118" i="83"/>
  <c r="N57" i="83"/>
  <c r="N76" i="83" s="1"/>
  <c r="T76" i="83" s="1"/>
  <c r="Z76" i="83" s="1"/>
  <c r="AE76" i="83" s="1"/>
  <c r="AI76" i="83" s="1"/>
  <c r="T38" i="83"/>
  <c r="AD57" i="83"/>
  <c r="AS42" i="83"/>
  <c r="AW41" i="83"/>
  <c r="AJ41" i="83"/>
  <c r="AS41" i="83"/>
  <c r="AO41" i="83"/>
  <c r="AW42" i="83"/>
  <c r="AJ39" i="83"/>
  <c r="AT41" i="83" a="1"/>
  <c r="AT41" i="83" s="1"/>
  <c r="AK40" i="83" a="1"/>
  <c r="AK40" i="83" s="1"/>
  <c r="Q40" i="83"/>
  <c r="W40" i="83" s="1"/>
  <c r="AS39" i="83"/>
  <c r="AO39" i="83"/>
  <c r="AW40" i="83"/>
  <c r="AW39" i="83"/>
  <c r="AS40" i="83"/>
  <c r="AT39" i="83" a="1"/>
  <c r="AT39" i="83" s="1"/>
  <c r="R41" i="83"/>
  <c r="X41" i="83" s="1"/>
  <c r="AP40" i="83" a="1"/>
  <c r="AP40" i="83" s="1"/>
  <c r="AT42" i="83" a="1"/>
  <c r="AT42" i="83" s="1"/>
  <c r="Q41" i="83"/>
  <c r="W41" i="83" s="1"/>
  <c r="AO40" i="83"/>
  <c r="R40" i="83"/>
  <c r="X40" i="83" s="1"/>
  <c r="AP39" i="83" a="1"/>
  <c r="AP39" i="83" s="1"/>
  <c r="R39" i="83"/>
  <c r="X39" i="83" s="1"/>
  <c r="AP41" i="83" a="1"/>
  <c r="AP41" i="83" s="1"/>
  <c r="Q39" i="83"/>
  <c r="W39" i="83" s="1"/>
  <c r="AJ40" i="83"/>
  <c r="AK39" i="83" a="1"/>
  <c r="AK39" i="83" s="1"/>
  <c r="AK41" i="83"/>
  <c r="AT40" i="83" a="1"/>
  <c r="AT40" i="83" s="1"/>
  <c r="AE36" i="83"/>
  <c r="R74" i="83" s="1"/>
  <c r="AP36" i="83" a="1"/>
  <c r="AP36" i="83" s="1"/>
  <c r="AC74" i="83" s="1"/>
  <c r="AJ36" i="83"/>
  <c r="W74" i="83" s="1"/>
  <c r="R36" i="83"/>
  <c r="X36" i="83" s="1"/>
  <c r="AS36" i="83"/>
  <c r="Q36" i="83"/>
  <c r="W36" i="83" s="1"/>
  <c r="AK36" i="83" a="1"/>
  <c r="AK36" i="83" s="1"/>
  <c r="AD36" i="83"/>
  <c r="Q74" i="83" s="1"/>
  <c r="AW36" i="83"/>
  <c r="AJ74" i="83" s="1"/>
  <c r="AT36" i="83" a="1"/>
  <c r="AT36" i="83" s="1"/>
  <c r="AO36" i="83"/>
  <c r="P22" i="83"/>
  <c r="AK29" i="83" a="1"/>
  <c r="AK29" i="83" s="1"/>
  <c r="Q33" i="83"/>
  <c r="W33" i="83" s="1"/>
  <c r="AT33" i="83" a="1"/>
  <c r="AT33" i="83" s="1"/>
  <c r="AG71" i="83" s="1"/>
  <c r="AD38" i="83" l="1"/>
  <c r="AS37" i="83"/>
  <c r="AS38" i="83"/>
  <c r="AJ37" i="83"/>
  <c r="W75" i="83" s="1"/>
  <c r="AD39" i="83"/>
  <c r="AD40" i="83"/>
  <c r="AC67" i="83"/>
  <c r="AG52" i="83"/>
  <c r="AB69" i="83"/>
  <c r="X71" i="83"/>
  <c r="AG61" i="83"/>
  <c r="AC70" i="83"/>
  <c r="X67" i="83"/>
  <c r="AH61" i="83" a="1"/>
  <c r="AH61" i="83" s="1"/>
  <c r="AG68" i="83"/>
  <c r="AJ70" i="83"/>
  <c r="W68" i="83"/>
  <c r="AG60" i="83"/>
  <c r="AH60" i="83" a="1"/>
  <c r="AH60" i="83" s="1"/>
  <c r="AG69" i="83"/>
  <c r="O41" i="83"/>
  <c r="U41" i="83" s="1"/>
  <c r="AH37" i="83"/>
  <c r="AF70" i="83"/>
  <c r="AG74" i="83"/>
  <c r="AF72" i="83"/>
  <c r="AH55" i="83" a="1"/>
  <c r="AH55" i="83" s="1"/>
  <c r="AB74" i="83"/>
  <c r="AB75" i="83"/>
  <c r="X70" i="83"/>
  <c r="W72" i="83"/>
  <c r="AB70" i="83"/>
  <c r="W69" i="83"/>
  <c r="AH51" i="83" a="1"/>
  <c r="AH51" i="83" s="1"/>
  <c r="AJ72" i="83"/>
  <c r="AH56" i="83" a="1"/>
  <c r="AH56" i="83" s="1"/>
  <c r="AB68" i="83"/>
  <c r="AF68" i="83"/>
  <c r="AH54" i="83" a="1"/>
  <c r="AH54" i="83" s="1"/>
  <c r="AF71" i="83"/>
  <c r="W73" i="83"/>
  <c r="W71" i="83"/>
  <c r="AH58" i="83" a="1"/>
  <c r="AH58" i="83" s="1"/>
  <c r="AC75" i="83"/>
  <c r="AC72" i="83"/>
  <c r="AF67" i="83"/>
  <c r="AG55" i="83"/>
  <c r="AG70" i="83"/>
  <c r="AJ68" i="83"/>
  <c r="AF74" i="83"/>
  <c r="AG67" i="83"/>
  <c r="AH53" i="83" a="1"/>
  <c r="AH53" i="83" s="1"/>
  <c r="AB32" i="83"/>
  <c r="O70" i="83" s="1"/>
  <c r="T59" i="83"/>
  <c r="P41" i="83"/>
  <c r="V41" i="83" s="1"/>
  <c r="Y41" i="83" s="1"/>
  <c r="AB72" i="83"/>
  <c r="AB31" i="83"/>
  <c r="O69" i="83" s="1"/>
  <c r="T48" i="83"/>
  <c r="P59" i="83"/>
  <c r="AF59" i="83" s="1" a="1"/>
  <c r="AF59" i="83" s="1"/>
  <c r="P61" i="83"/>
  <c r="O35" i="83"/>
  <c r="AN29" i="83"/>
  <c r="AN38" i="83"/>
  <c r="W67" i="83"/>
  <c r="AG75" i="83"/>
  <c r="AB34" i="83"/>
  <c r="O72" i="83" s="1"/>
  <c r="AB30" i="83"/>
  <c r="O68" i="83" s="1"/>
  <c r="O34" i="83"/>
  <c r="O36" i="83"/>
  <c r="AH41" i="83"/>
  <c r="AG57" i="83"/>
  <c r="T53" i="83"/>
  <c r="P38" i="83"/>
  <c r="V38" i="83" s="1"/>
  <c r="AN30" i="83"/>
  <c r="AC34" i="83"/>
  <c r="P72" i="83" s="1"/>
  <c r="AN31" i="83"/>
  <c r="O60" i="83"/>
  <c r="AE60" i="83" s="1"/>
  <c r="T60" i="83"/>
  <c r="AF60" i="83" s="1" a="1"/>
  <c r="AF60" i="83" s="1"/>
  <c r="W47" i="83"/>
  <c r="AF47" i="83" s="1" a="1"/>
  <c r="AF47" i="83" s="1"/>
  <c r="P36" i="83"/>
  <c r="V36" i="83" s="1"/>
  <c r="AC36" i="83"/>
  <c r="P74" i="83" s="1"/>
  <c r="AN34" i="83"/>
  <c r="AC71" i="83"/>
  <c r="AI31" i="83"/>
  <c r="AH52" i="83" a="1"/>
  <c r="AH52" i="83" s="1"/>
  <c r="P57" i="83"/>
  <c r="AG53" i="83"/>
  <c r="AG49" i="83"/>
  <c r="T50" i="83"/>
  <c r="T49" i="83"/>
  <c r="P55" i="83"/>
  <c r="AG73" i="83"/>
  <c r="AC41" i="83"/>
  <c r="AC39" i="83"/>
  <c r="AC40" i="83"/>
  <c r="P29" i="83"/>
  <c r="V29" i="83" s="1"/>
  <c r="AI29" i="83"/>
  <c r="AI30" i="83"/>
  <c r="T51" i="83"/>
  <c r="S47" i="83"/>
  <c r="AI36" i="83"/>
  <c r="AN40" i="83"/>
  <c r="P34" i="83"/>
  <c r="V34" i="83" s="1"/>
  <c r="AN32" i="83"/>
  <c r="AC30" i="83"/>
  <c r="P68" i="83" s="1"/>
  <c r="AJ67" i="83"/>
  <c r="O57" i="83"/>
  <c r="AE57" i="83" s="1"/>
  <c r="O54" i="83"/>
  <c r="AE54" i="83" s="1"/>
  <c r="P50" i="83"/>
  <c r="O51" i="83"/>
  <c r="AE51" i="83" s="1"/>
  <c r="O59" i="83"/>
  <c r="AE59" i="83" s="1"/>
  <c r="P51" i="83"/>
  <c r="AI35" i="83"/>
  <c r="AH38" i="83"/>
  <c r="P37" i="83"/>
  <c r="V37" i="83" s="1"/>
  <c r="P33" i="83"/>
  <c r="V33" i="83" s="1"/>
  <c r="AF69" i="83"/>
  <c r="AG47" i="83"/>
  <c r="T54" i="83"/>
  <c r="T58" i="83"/>
  <c r="AF73" i="83"/>
  <c r="AJ73" i="83"/>
  <c r="O38" i="83"/>
  <c r="U38" i="83" s="1"/>
  <c r="AF75" i="83"/>
  <c r="AN41" i="83"/>
  <c r="P40" i="83"/>
  <c r="V40" i="83" s="1"/>
  <c r="AH36" i="83"/>
  <c r="AI39" i="83"/>
  <c r="AG72" i="83"/>
  <c r="AN33" i="83"/>
  <c r="X74" i="83"/>
  <c r="AH40" i="83"/>
  <c r="P39" i="83"/>
  <c r="V39" i="83" s="1"/>
  <c r="O29" i="83"/>
  <c r="O30" i="83"/>
  <c r="AB29" i="83"/>
  <c r="O67" i="83" s="1"/>
  <c r="AB41" i="83"/>
  <c r="AB39" i="83"/>
  <c r="AB40" i="83"/>
  <c r="AE145" i="83"/>
  <c r="AJ69" i="83"/>
  <c r="T56" i="83"/>
  <c r="AH57" i="83" a="1"/>
  <c r="AH57" i="83" s="1"/>
  <c r="AG48" i="83"/>
  <c r="AG58" i="83"/>
  <c r="P56" i="83"/>
  <c r="P49" i="83"/>
  <c r="AB35" i="83"/>
  <c r="O73" i="83" s="1"/>
  <c r="X73" i="83"/>
  <c r="AC38" i="83"/>
  <c r="AB37" i="83"/>
  <c r="O75" i="83" s="1"/>
  <c r="AJ75" i="83"/>
  <c r="AB33" i="83"/>
  <c r="O71" i="83" s="1"/>
  <c r="T126" i="83"/>
  <c r="AI32" i="83"/>
  <c r="T55" i="83"/>
  <c r="O50" i="83"/>
  <c r="AE50" i="83" s="1"/>
  <c r="P32" i="83"/>
  <c r="V32" i="83" s="1"/>
  <c r="O40" i="83"/>
  <c r="U40" i="83" s="1"/>
  <c r="AI34" i="83"/>
  <c r="O32" i="83"/>
  <c r="X68" i="83"/>
  <c r="AC31" i="83"/>
  <c r="P69" i="83" s="1"/>
  <c r="AG56" i="83"/>
  <c r="P48" i="83"/>
  <c r="AF48" i="83" s="1" a="1"/>
  <c r="AF48" i="83" s="1"/>
  <c r="P52" i="83"/>
  <c r="AC35" i="83"/>
  <c r="P73" i="83" s="1"/>
  <c r="AC73" i="83"/>
  <c r="AI37" i="83"/>
  <c r="O37" i="83"/>
  <c r="AB67" i="83"/>
  <c r="X75" i="83"/>
  <c r="AH29" i="83"/>
  <c r="O48" i="83"/>
  <c r="AE48" i="83" s="1"/>
  <c r="O61" i="83"/>
  <c r="AE61" i="83" s="1"/>
  <c r="AH49" i="83" a="1"/>
  <c r="AH49" i="83" s="1"/>
  <c r="AH35" i="83"/>
  <c r="AN35" i="83"/>
  <c r="AB38" i="83"/>
  <c r="AC37" i="83"/>
  <c r="P75" i="83" s="1"/>
  <c r="AH39" i="83"/>
  <c r="AI40" i="83"/>
  <c r="AI33" i="83"/>
  <c r="AH31" i="83"/>
  <c r="O53" i="83"/>
  <c r="AE53" i="83" s="1"/>
  <c r="P53" i="83"/>
  <c r="AI41" i="83"/>
  <c r="AN39" i="83"/>
  <c r="AH34" i="83"/>
  <c r="AC32" i="83"/>
  <c r="P70" i="83" s="1"/>
  <c r="P30" i="83"/>
  <c r="V30" i="83" s="1"/>
  <c r="O23" i="83"/>
  <c r="S127" i="83" s="1"/>
  <c r="S128" i="83" s="1"/>
  <c r="O31" i="83"/>
  <c r="AG51" i="83"/>
  <c r="T57" i="83"/>
  <c r="AH50" i="83" a="1"/>
  <c r="AH50" i="83" s="1"/>
  <c r="O56" i="83"/>
  <c r="AE56" i="83" s="1"/>
  <c r="T61" i="83"/>
  <c r="P35" i="83"/>
  <c r="V35" i="83" s="1"/>
  <c r="AI38" i="83"/>
  <c r="AN37" i="83"/>
  <c r="AC33" i="83"/>
  <c r="P71" i="83" s="1"/>
  <c r="O49" i="83"/>
  <c r="AE49" i="83" s="1"/>
  <c r="T52" i="83"/>
  <c r="AH32" i="83"/>
  <c r="AC68" i="83"/>
  <c r="AB36" i="83"/>
  <c r="O74" i="83" s="1"/>
  <c r="AN36" i="83"/>
  <c r="O39" i="83"/>
  <c r="U39" i="83" s="1"/>
  <c r="AJ71" i="83"/>
  <c r="X72" i="83"/>
  <c r="AC29" i="83"/>
  <c r="P67" i="83" s="1"/>
  <c r="AH30" i="83"/>
  <c r="AC69" i="83"/>
  <c r="P31" i="83"/>
  <c r="V31" i="83" s="1"/>
  <c r="O58" i="83"/>
  <c r="AE58" i="83" s="1"/>
  <c r="AG54" i="83"/>
  <c r="O55" i="83"/>
  <c r="AE55" i="83" s="1"/>
  <c r="AG50" i="83"/>
  <c r="O52" i="83"/>
  <c r="AE52" i="83" s="1"/>
  <c r="AH48" i="83" a="1"/>
  <c r="AH48" i="83" s="1"/>
  <c r="P54" i="83"/>
  <c r="P58" i="83"/>
  <c r="O33" i="83"/>
  <c r="AH33" i="83"/>
  <c r="R4" i="81"/>
  <c r="R6" i="81"/>
  <c r="R8" i="81"/>
  <c r="R9" i="81"/>
  <c r="R11" i="81"/>
  <c r="R12" i="81"/>
  <c r="R13" i="81"/>
  <c r="R15" i="81"/>
  <c r="R17" i="81"/>
  <c r="R19" i="81"/>
  <c r="R21" i="81"/>
  <c r="R23" i="81"/>
  <c r="R25" i="81"/>
  <c r="R26" i="81"/>
  <c r="R28" i="81"/>
  <c r="R29" i="81"/>
  <c r="R31" i="81"/>
  <c r="R32" i="81"/>
  <c r="R34" i="81"/>
  <c r="R35" i="81"/>
  <c r="R37" i="81"/>
  <c r="R38" i="81"/>
  <c r="R39" i="81"/>
  <c r="R41" i="81"/>
  <c r="R42" i="81"/>
  <c r="R43" i="81"/>
  <c r="R45" i="81"/>
  <c r="R46" i="81"/>
  <c r="R47" i="81"/>
  <c r="R49" i="81"/>
  <c r="R51" i="81"/>
  <c r="R53" i="81"/>
  <c r="R55" i="81"/>
  <c r="R57" i="81"/>
  <c r="R59" i="81"/>
  <c r="R61" i="81"/>
  <c r="R63" i="81"/>
  <c r="R64" i="81"/>
  <c r="R65" i="81"/>
  <c r="R67" i="81"/>
  <c r="R68" i="81"/>
  <c r="R69" i="81"/>
  <c r="R71" i="81"/>
  <c r="R73" i="81"/>
  <c r="R74" i="81"/>
  <c r="R75" i="81"/>
  <c r="R77" i="81"/>
  <c r="R79" i="81"/>
  <c r="R82" i="81"/>
  <c r="R83" i="81"/>
  <c r="Q83" i="81"/>
  <c r="Q82" i="81"/>
  <c r="Q4" i="81"/>
  <c r="Q6" i="81"/>
  <c r="Q8" i="81"/>
  <c r="Q9" i="81"/>
  <c r="Q11" i="81"/>
  <c r="Q12" i="81"/>
  <c r="Q13" i="81"/>
  <c r="Q15" i="81"/>
  <c r="Q17" i="81"/>
  <c r="Q19" i="81"/>
  <c r="Q21" i="81"/>
  <c r="Q23" i="81"/>
  <c r="Q25" i="81"/>
  <c r="Q26" i="81"/>
  <c r="Q28" i="81"/>
  <c r="Q29" i="81"/>
  <c r="Q31" i="81"/>
  <c r="Q32" i="81"/>
  <c r="Q34" i="81"/>
  <c r="Q35" i="81"/>
  <c r="Q37" i="81"/>
  <c r="Q38" i="81"/>
  <c r="Q39" i="81"/>
  <c r="Q41" i="81"/>
  <c r="Q42" i="81"/>
  <c r="Q43" i="81"/>
  <c r="Q45" i="81"/>
  <c r="Q46" i="81"/>
  <c r="Q47" i="81"/>
  <c r="Q49" i="81"/>
  <c r="Q51" i="81"/>
  <c r="Q53" i="81"/>
  <c r="Q55" i="81"/>
  <c r="Q57" i="81"/>
  <c r="Q59" i="81"/>
  <c r="Q61" i="81"/>
  <c r="Q63" i="81"/>
  <c r="Q64" i="81"/>
  <c r="Q65" i="81"/>
  <c r="Q67" i="81"/>
  <c r="Q68" i="81"/>
  <c r="Q69" i="81"/>
  <c r="Q71" i="81"/>
  <c r="Q73" i="81"/>
  <c r="Q74" i="81"/>
  <c r="Q75" i="81"/>
  <c r="Q77" i="81"/>
  <c r="Q79" i="81"/>
  <c r="AJ15" i="81"/>
  <c r="Q66" i="81" s="1"/>
  <c r="AJ16" i="81"/>
  <c r="Q24" i="81" s="1"/>
  <c r="AJ17" i="81"/>
  <c r="Q50" i="81" s="1"/>
  <c r="AJ18" i="81"/>
  <c r="AJ19" i="81"/>
  <c r="Q72" i="81" s="1"/>
  <c r="AJ20" i="81"/>
  <c r="Q7" i="81" s="1"/>
  <c r="P10" i="1"/>
  <c r="P11" i="1"/>
  <c r="P12" i="1"/>
  <c r="P9" i="1"/>
  <c r="P5" i="1"/>
  <c r="P6" i="1"/>
  <c r="P7" i="1"/>
  <c r="P8" i="1"/>
  <c r="P14" i="1"/>
  <c r="P15" i="1"/>
  <c r="P4" i="1"/>
  <c r="BB4" i="18"/>
  <c r="BC4" i="18"/>
  <c r="BD4" i="18"/>
  <c r="BE4" i="18"/>
  <c r="BF4" i="18"/>
  <c r="BB5" i="18"/>
  <c r="BC5" i="18"/>
  <c r="BD5" i="18"/>
  <c r="BE5" i="18"/>
  <c r="BF5" i="18"/>
  <c r="BB6" i="18"/>
  <c r="BC6" i="18"/>
  <c r="BD6" i="18"/>
  <c r="BE6" i="18"/>
  <c r="BF6" i="18"/>
  <c r="BB7" i="18"/>
  <c r="BC7" i="18"/>
  <c r="BD7" i="18"/>
  <c r="BE7" i="18"/>
  <c r="BF7" i="18"/>
  <c r="BB8" i="18"/>
  <c r="BC8" i="18"/>
  <c r="BD8" i="18"/>
  <c r="BE8" i="18"/>
  <c r="BF8" i="18"/>
  <c r="BB9" i="18"/>
  <c r="BC9" i="18"/>
  <c r="BD9" i="18"/>
  <c r="BE9" i="18"/>
  <c r="BF9" i="18"/>
  <c r="BB10" i="18"/>
  <c r="BC10" i="18"/>
  <c r="BD10" i="18"/>
  <c r="BE10" i="18"/>
  <c r="BF10" i="18"/>
  <c r="BB11" i="18"/>
  <c r="BC11" i="18"/>
  <c r="BD11" i="18"/>
  <c r="BE11" i="18"/>
  <c r="BF11" i="18"/>
  <c r="BB12" i="18"/>
  <c r="BC12" i="18"/>
  <c r="BD12" i="18"/>
  <c r="BE12" i="18"/>
  <c r="BF12" i="18"/>
  <c r="BB13" i="18"/>
  <c r="BC13" i="18"/>
  <c r="BD13" i="18"/>
  <c r="BE13" i="18"/>
  <c r="BF13" i="18"/>
  <c r="BB14" i="18"/>
  <c r="BC14" i="18"/>
  <c r="BD14" i="18"/>
  <c r="BE14" i="18"/>
  <c r="BF14" i="18"/>
  <c r="BB15" i="18"/>
  <c r="BC15" i="18"/>
  <c r="BD15" i="18"/>
  <c r="BE15" i="18"/>
  <c r="BF15" i="18"/>
  <c r="BB16" i="18"/>
  <c r="BC16" i="18"/>
  <c r="BD16" i="18"/>
  <c r="BE16" i="18"/>
  <c r="BF16" i="18"/>
  <c r="BB17" i="18"/>
  <c r="BC17" i="18"/>
  <c r="BD17" i="18"/>
  <c r="BE17" i="18"/>
  <c r="BF17" i="18"/>
  <c r="BB18" i="18"/>
  <c r="BC18" i="18"/>
  <c r="BD18" i="18"/>
  <c r="BE18" i="18"/>
  <c r="BF18" i="18"/>
  <c r="BB19" i="18"/>
  <c r="BC19" i="18"/>
  <c r="BD19" i="18"/>
  <c r="BE19" i="18"/>
  <c r="BF19" i="18"/>
  <c r="BB20" i="18"/>
  <c r="BC20" i="18"/>
  <c r="BD20" i="18"/>
  <c r="BE20" i="18"/>
  <c r="BF20" i="18"/>
  <c r="BB21" i="18"/>
  <c r="BC21" i="18"/>
  <c r="BD21" i="18"/>
  <c r="BE21" i="18"/>
  <c r="BF21" i="18"/>
  <c r="BB22" i="18"/>
  <c r="BC22" i="18"/>
  <c r="BD22" i="18"/>
  <c r="BE22" i="18"/>
  <c r="BF22" i="18"/>
  <c r="BB23" i="18"/>
  <c r="BC23" i="18"/>
  <c r="BD23" i="18"/>
  <c r="BE23" i="18"/>
  <c r="BF23" i="18"/>
  <c r="BB24" i="18"/>
  <c r="BC24" i="18"/>
  <c r="BD24" i="18"/>
  <c r="BE24" i="18"/>
  <c r="BF24" i="18"/>
  <c r="BB25" i="18"/>
  <c r="BC25" i="18"/>
  <c r="BD25" i="18"/>
  <c r="BE25" i="18"/>
  <c r="BF25" i="18"/>
  <c r="BB26" i="18"/>
  <c r="BC26" i="18"/>
  <c r="BD26" i="18"/>
  <c r="BE26" i="18"/>
  <c r="BF26" i="18"/>
  <c r="BB27" i="18"/>
  <c r="BC27" i="18"/>
  <c r="BD27" i="18"/>
  <c r="BE27" i="18"/>
  <c r="BF27" i="18"/>
  <c r="BB28" i="18"/>
  <c r="BC28" i="18"/>
  <c r="BD28" i="18"/>
  <c r="BE28" i="18"/>
  <c r="BF28" i="18"/>
  <c r="BB29" i="18"/>
  <c r="BC29" i="18"/>
  <c r="BD29" i="18"/>
  <c r="BE29" i="18"/>
  <c r="BF29" i="18"/>
  <c r="BB30" i="18"/>
  <c r="BC30" i="18"/>
  <c r="BD30" i="18"/>
  <c r="BE30" i="18"/>
  <c r="BF30" i="18"/>
  <c r="BB31" i="18"/>
  <c r="BC31" i="18"/>
  <c r="BD31" i="18"/>
  <c r="BE31" i="18"/>
  <c r="BF31" i="18"/>
  <c r="BB32" i="18"/>
  <c r="BC32" i="18"/>
  <c r="BD32" i="18"/>
  <c r="BE32" i="18"/>
  <c r="BF32" i="18"/>
  <c r="BB33" i="18"/>
  <c r="BC33" i="18"/>
  <c r="BD33" i="18"/>
  <c r="BE33" i="18"/>
  <c r="BF33" i="18"/>
  <c r="BB34" i="18"/>
  <c r="BC34" i="18"/>
  <c r="BD34" i="18"/>
  <c r="BE34" i="18"/>
  <c r="BF34" i="18"/>
  <c r="BB35" i="18"/>
  <c r="BC35" i="18"/>
  <c r="BD35" i="18"/>
  <c r="BE35" i="18"/>
  <c r="BF35" i="18"/>
  <c r="BB36" i="18"/>
  <c r="BC36" i="18"/>
  <c r="BD36" i="18"/>
  <c r="BE36" i="18"/>
  <c r="BF36" i="18"/>
  <c r="BB37" i="18"/>
  <c r="BC37" i="18"/>
  <c r="BD37" i="18"/>
  <c r="BE37" i="18"/>
  <c r="BF37" i="18"/>
  <c r="BB38" i="18"/>
  <c r="BC38" i="18"/>
  <c r="BD38" i="18"/>
  <c r="BE38" i="18"/>
  <c r="BF38" i="18"/>
  <c r="BB39" i="18"/>
  <c r="BC39" i="18"/>
  <c r="BD39" i="18"/>
  <c r="BE39" i="18"/>
  <c r="BF39" i="18"/>
  <c r="BB40" i="18"/>
  <c r="BC40" i="18"/>
  <c r="BD40" i="18"/>
  <c r="BE40" i="18"/>
  <c r="BF40" i="18"/>
  <c r="BB41" i="18"/>
  <c r="BC41" i="18"/>
  <c r="BD41" i="18"/>
  <c r="BE41" i="18"/>
  <c r="BF41" i="18"/>
  <c r="BB42" i="18"/>
  <c r="BC42" i="18"/>
  <c r="BD42" i="18"/>
  <c r="BE42" i="18"/>
  <c r="BF42" i="18"/>
  <c r="BB43" i="18"/>
  <c r="BC43" i="18"/>
  <c r="BD43" i="18"/>
  <c r="BE43" i="18"/>
  <c r="BF43" i="18"/>
  <c r="BB44" i="18"/>
  <c r="BC44" i="18"/>
  <c r="BD44" i="18"/>
  <c r="BE44" i="18"/>
  <c r="BF44" i="18"/>
  <c r="BB45" i="18"/>
  <c r="BC45" i="18"/>
  <c r="BD45" i="18"/>
  <c r="BE45" i="18"/>
  <c r="BF45" i="18"/>
  <c r="BB46" i="18"/>
  <c r="BC46" i="18"/>
  <c r="BD46" i="18"/>
  <c r="BE46" i="18"/>
  <c r="BF46" i="18"/>
  <c r="BB47" i="18"/>
  <c r="BC47" i="18"/>
  <c r="BD47" i="18"/>
  <c r="BE47" i="18"/>
  <c r="BF47" i="18"/>
  <c r="BB48" i="18"/>
  <c r="BC48" i="18"/>
  <c r="BD48" i="18"/>
  <c r="BE48" i="18"/>
  <c r="BF48" i="18"/>
  <c r="BB49" i="18"/>
  <c r="BC49" i="18"/>
  <c r="BD49" i="18"/>
  <c r="BE49" i="18"/>
  <c r="BF49" i="18"/>
  <c r="BB50" i="18"/>
  <c r="BC50" i="18"/>
  <c r="BD50" i="18"/>
  <c r="BE50" i="18"/>
  <c r="BF50" i="18"/>
  <c r="BB51" i="18"/>
  <c r="BC51" i="18"/>
  <c r="BD51" i="18"/>
  <c r="BE51" i="18"/>
  <c r="BF51" i="18"/>
  <c r="BB52" i="18"/>
  <c r="BC52" i="18"/>
  <c r="BD52" i="18"/>
  <c r="BE52" i="18"/>
  <c r="BF52" i="18"/>
  <c r="BB53" i="18"/>
  <c r="BC53" i="18"/>
  <c r="BD53" i="18"/>
  <c r="BE53" i="18"/>
  <c r="BF53" i="18"/>
  <c r="BB54" i="18"/>
  <c r="BC54" i="18"/>
  <c r="BD54" i="18"/>
  <c r="BE54" i="18"/>
  <c r="BF54" i="18"/>
  <c r="BB55" i="18"/>
  <c r="BC55" i="18"/>
  <c r="BD55" i="18"/>
  <c r="BE55" i="18"/>
  <c r="BF55" i="18"/>
  <c r="BB56" i="18"/>
  <c r="BC56" i="18"/>
  <c r="BD56" i="18"/>
  <c r="BE56" i="18"/>
  <c r="BF56" i="18"/>
  <c r="BB57" i="18"/>
  <c r="BC57" i="18"/>
  <c r="BD57" i="18"/>
  <c r="BE57" i="18"/>
  <c r="BF57" i="18"/>
  <c r="BB58" i="18"/>
  <c r="BC58" i="18"/>
  <c r="BD58" i="18"/>
  <c r="BE58" i="18"/>
  <c r="BF58" i="18"/>
  <c r="BB59" i="18"/>
  <c r="BC59" i="18"/>
  <c r="BD59" i="18"/>
  <c r="BE59" i="18"/>
  <c r="BF59" i="18"/>
  <c r="BB60" i="18"/>
  <c r="BC60" i="18"/>
  <c r="BD60" i="18"/>
  <c r="BE60" i="18"/>
  <c r="BF60" i="18"/>
  <c r="BB61" i="18"/>
  <c r="BC61" i="18"/>
  <c r="BD61" i="18"/>
  <c r="BE61" i="18"/>
  <c r="BF61" i="18"/>
  <c r="BB62" i="18"/>
  <c r="BC62" i="18"/>
  <c r="BD62" i="18"/>
  <c r="BE62" i="18"/>
  <c r="BF62" i="18"/>
  <c r="BB63" i="18"/>
  <c r="BC63" i="18"/>
  <c r="BD63" i="18"/>
  <c r="BE63" i="18"/>
  <c r="BF63" i="18"/>
  <c r="BB64" i="18"/>
  <c r="BC64" i="18"/>
  <c r="BD64" i="18"/>
  <c r="BE64" i="18"/>
  <c r="BF64" i="18"/>
  <c r="BB65" i="18"/>
  <c r="BC65" i="18"/>
  <c r="BD65" i="18"/>
  <c r="BE65" i="18"/>
  <c r="BF65" i="18"/>
  <c r="BB66" i="18"/>
  <c r="BC66" i="18"/>
  <c r="BD66" i="18"/>
  <c r="BE66" i="18"/>
  <c r="BF66" i="18"/>
  <c r="BB67" i="18"/>
  <c r="BC67" i="18"/>
  <c r="BD67" i="18"/>
  <c r="BE67" i="18"/>
  <c r="BF67" i="18"/>
  <c r="BB68" i="18"/>
  <c r="BC68" i="18"/>
  <c r="BD68" i="18"/>
  <c r="BE68" i="18"/>
  <c r="BF68" i="18"/>
  <c r="BB69" i="18"/>
  <c r="BC69" i="18"/>
  <c r="BD69" i="18"/>
  <c r="BE69" i="18"/>
  <c r="BF69" i="18"/>
  <c r="BB70" i="18"/>
  <c r="BC70" i="18"/>
  <c r="BD70" i="18"/>
  <c r="BE70" i="18"/>
  <c r="BF70" i="18"/>
  <c r="BB71" i="18"/>
  <c r="BC71" i="18"/>
  <c r="BD71" i="18"/>
  <c r="BE71" i="18"/>
  <c r="BF71" i="18"/>
  <c r="BB72" i="18"/>
  <c r="BC72" i="18"/>
  <c r="BD72" i="18"/>
  <c r="BE72" i="18"/>
  <c r="BF72" i="18"/>
  <c r="BB73" i="18"/>
  <c r="BC73" i="18"/>
  <c r="BD73" i="18"/>
  <c r="BE73" i="18"/>
  <c r="BF73" i="18"/>
  <c r="BB74" i="18"/>
  <c r="BC74" i="18"/>
  <c r="BD74" i="18"/>
  <c r="BE74" i="18"/>
  <c r="BF74" i="18"/>
  <c r="BB75" i="18"/>
  <c r="BC75" i="18"/>
  <c r="BD75" i="18"/>
  <c r="BE75" i="18"/>
  <c r="BF75" i="18"/>
  <c r="BB76" i="18"/>
  <c r="BC76" i="18"/>
  <c r="BD76" i="18"/>
  <c r="BE76" i="18"/>
  <c r="BF76" i="18"/>
  <c r="BB77" i="18"/>
  <c r="BC77" i="18"/>
  <c r="BD77" i="18"/>
  <c r="BE77" i="18"/>
  <c r="BF77" i="18"/>
  <c r="BB78" i="18"/>
  <c r="BC78" i="18"/>
  <c r="BD78" i="18"/>
  <c r="BE78" i="18"/>
  <c r="BF78" i="18"/>
  <c r="BB79" i="18"/>
  <c r="BC79" i="18"/>
  <c r="BD79" i="18"/>
  <c r="BE79" i="18"/>
  <c r="BF79" i="18"/>
  <c r="BB80" i="18"/>
  <c r="BC80" i="18"/>
  <c r="BD80" i="18"/>
  <c r="BE80" i="18"/>
  <c r="BF80" i="18"/>
  <c r="BB81" i="18"/>
  <c r="BC81" i="18"/>
  <c r="BD81" i="18"/>
  <c r="BE81" i="18"/>
  <c r="BF81" i="18"/>
  <c r="BB82" i="18"/>
  <c r="BC82" i="18"/>
  <c r="BD82" i="18"/>
  <c r="BE82" i="18"/>
  <c r="BF82" i="18"/>
  <c r="BB83" i="18"/>
  <c r="BC83" i="18"/>
  <c r="BD83" i="18"/>
  <c r="BE83" i="18"/>
  <c r="BF83" i="18"/>
  <c r="BB84" i="18"/>
  <c r="BC84" i="18"/>
  <c r="BD84" i="18"/>
  <c r="BE84" i="18"/>
  <c r="BF84" i="18"/>
  <c r="BB85" i="18"/>
  <c r="BC85" i="18"/>
  <c r="BD85" i="18"/>
  <c r="BE85" i="18"/>
  <c r="BF85" i="18"/>
  <c r="BB86" i="18"/>
  <c r="BC86" i="18"/>
  <c r="BD86" i="18"/>
  <c r="BE86" i="18"/>
  <c r="BF86" i="18"/>
  <c r="BB87" i="18"/>
  <c r="BC87" i="18"/>
  <c r="BD87" i="18"/>
  <c r="BE87" i="18"/>
  <c r="BF87" i="18"/>
  <c r="BB88" i="18"/>
  <c r="BC88" i="18"/>
  <c r="BD88" i="18"/>
  <c r="BE88" i="18"/>
  <c r="BF88" i="18"/>
  <c r="BB89" i="18"/>
  <c r="BC89" i="18"/>
  <c r="BD89" i="18"/>
  <c r="BE89" i="18"/>
  <c r="BF89" i="18"/>
  <c r="BB90" i="18"/>
  <c r="BC90" i="18"/>
  <c r="BD90" i="18"/>
  <c r="BE90" i="18"/>
  <c r="BF90" i="18"/>
  <c r="BB91" i="18"/>
  <c r="BC91" i="18"/>
  <c r="BD91" i="18"/>
  <c r="BE91" i="18"/>
  <c r="BF91" i="18"/>
  <c r="BB92" i="18"/>
  <c r="BC92" i="18"/>
  <c r="BD92" i="18"/>
  <c r="BE92" i="18"/>
  <c r="BF92" i="18"/>
  <c r="BB93" i="18"/>
  <c r="BC93" i="18"/>
  <c r="BD93" i="18"/>
  <c r="BE93" i="18"/>
  <c r="BF93" i="18"/>
  <c r="BB94" i="18"/>
  <c r="BC94" i="18"/>
  <c r="BD94" i="18"/>
  <c r="BE94" i="18"/>
  <c r="BF94" i="18"/>
  <c r="BB95" i="18"/>
  <c r="BC95" i="18"/>
  <c r="BD95" i="18"/>
  <c r="BE95" i="18"/>
  <c r="BF95" i="18"/>
  <c r="BB96" i="18"/>
  <c r="BC96" i="18"/>
  <c r="BD96" i="18"/>
  <c r="BE96" i="18"/>
  <c r="BF96" i="18"/>
  <c r="BB97" i="18"/>
  <c r="BC97" i="18"/>
  <c r="BD97" i="18"/>
  <c r="BE97" i="18"/>
  <c r="BF97" i="18"/>
  <c r="BB98" i="18"/>
  <c r="BC98" i="18"/>
  <c r="BD98" i="18"/>
  <c r="BE98" i="18"/>
  <c r="BF98" i="18"/>
  <c r="BB99" i="18"/>
  <c r="BC99" i="18"/>
  <c r="BD99" i="18"/>
  <c r="BE99" i="18"/>
  <c r="BF99" i="18"/>
  <c r="BB100" i="18"/>
  <c r="BC100" i="18"/>
  <c r="BD100" i="18"/>
  <c r="BE100" i="18"/>
  <c r="BF100" i="18"/>
  <c r="BB101" i="18"/>
  <c r="BC101" i="18"/>
  <c r="BD101" i="18"/>
  <c r="BE101" i="18"/>
  <c r="BF101" i="18"/>
  <c r="BB102" i="18"/>
  <c r="BC102" i="18"/>
  <c r="BD102" i="18"/>
  <c r="BE102" i="18"/>
  <c r="BF102" i="18"/>
  <c r="BB103" i="18"/>
  <c r="BC103" i="18"/>
  <c r="BD103" i="18"/>
  <c r="BE103" i="18"/>
  <c r="BF103" i="18"/>
  <c r="BB104" i="18"/>
  <c r="BC104" i="18"/>
  <c r="BD104" i="18"/>
  <c r="BE104" i="18"/>
  <c r="BF104" i="18"/>
  <c r="BB105" i="18"/>
  <c r="BC105" i="18"/>
  <c r="BD105" i="18"/>
  <c r="BE105" i="18"/>
  <c r="BF105" i="18"/>
  <c r="BB106" i="18"/>
  <c r="BC106" i="18"/>
  <c r="BD106" i="18"/>
  <c r="BE106" i="18"/>
  <c r="BF106" i="18"/>
  <c r="BB107" i="18"/>
  <c r="BC107" i="18"/>
  <c r="BD107" i="18"/>
  <c r="BE107" i="18"/>
  <c r="BF107" i="18"/>
  <c r="BB108" i="18"/>
  <c r="BC108" i="18"/>
  <c r="BD108" i="18"/>
  <c r="BE108" i="18"/>
  <c r="BF108" i="18"/>
  <c r="BB109" i="18"/>
  <c r="BC109" i="18"/>
  <c r="BD109" i="18"/>
  <c r="BE109" i="18"/>
  <c r="BF109" i="18"/>
  <c r="BB110" i="18"/>
  <c r="BC110" i="18"/>
  <c r="BD110" i="18"/>
  <c r="BE110" i="18"/>
  <c r="BF110" i="18"/>
  <c r="BB111" i="18"/>
  <c r="BC111" i="18"/>
  <c r="BD111" i="18"/>
  <c r="BE111" i="18"/>
  <c r="BF111" i="18"/>
  <c r="BB112" i="18"/>
  <c r="BC112" i="18"/>
  <c r="BD112" i="18"/>
  <c r="BE112" i="18"/>
  <c r="BF112" i="18"/>
  <c r="BB113" i="18"/>
  <c r="BC113" i="18"/>
  <c r="BD113" i="18"/>
  <c r="BE113" i="18"/>
  <c r="BF113" i="18"/>
  <c r="BB114" i="18"/>
  <c r="BC114" i="18"/>
  <c r="BD114" i="18"/>
  <c r="BE114" i="18"/>
  <c r="BF114" i="18"/>
  <c r="BB115" i="18"/>
  <c r="BC115" i="18"/>
  <c r="BD115" i="18"/>
  <c r="BE115" i="18"/>
  <c r="BF115" i="18"/>
  <c r="BB116" i="18"/>
  <c r="BC116" i="18"/>
  <c r="BD116" i="18"/>
  <c r="BE116" i="18"/>
  <c r="BF116" i="18"/>
  <c r="BB117" i="18"/>
  <c r="BC117" i="18"/>
  <c r="BD117" i="18"/>
  <c r="BE117" i="18"/>
  <c r="BF117" i="18"/>
  <c r="BB118" i="18"/>
  <c r="BC118" i="18"/>
  <c r="BD118" i="18"/>
  <c r="BE118" i="18"/>
  <c r="BF118" i="18"/>
  <c r="BB119" i="18"/>
  <c r="BC119" i="18"/>
  <c r="BD119" i="18"/>
  <c r="BE119" i="18"/>
  <c r="BF119" i="18"/>
  <c r="BB120" i="18"/>
  <c r="BC120" i="18"/>
  <c r="BD120" i="18"/>
  <c r="BE120" i="18"/>
  <c r="BF120" i="18"/>
  <c r="BB121" i="18"/>
  <c r="BC121" i="18"/>
  <c r="BD121" i="18"/>
  <c r="BE121" i="18"/>
  <c r="BF121" i="18"/>
  <c r="BB122" i="18"/>
  <c r="BC122" i="18"/>
  <c r="BD122" i="18"/>
  <c r="BE122" i="18"/>
  <c r="BF122" i="18"/>
  <c r="BB123" i="18"/>
  <c r="BC123" i="18"/>
  <c r="BD123" i="18"/>
  <c r="BE123" i="18"/>
  <c r="BF123" i="18"/>
  <c r="BB124" i="18"/>
  <c r="BC124" i="18"/>
  <c r="BD124" i="18"/>
  <c r="BE124" i="18"/>
  <c r="BF124" i="18"/>
  <c r="BB125" i="18"/>
  <c r="BC125" i="18"/>
  <c r="BD125" i="18"/>
  <c r="BE125" i="18"/>
  <c r="BF125" i="18"/>
  <c r="BB126" i="18"/>
  <c r="BC126" i="18"/>
  <c r="BD126" i="18"/>
  <c r="BE126" i="18"/>
  <c r="BF126" i="18"/>
  <c r="BB127" i="18"/>
  <c r="BC127" i="18"/>
  <c r="BD127" i="18"/>
  <c r="BE127" i="18"/>
  <c r="BF127" i="18"/>
  <c r="BB128" i="18"/>
  <c r="BC128" i="18"/>
  <c r="BD128" i="18"/>
  <c r="BE128" i="18"/>
  <c r="BF128" i="18"/>
  <c r="BB129" i="18"/>
  <c r="BC129" i="18"/>
  <c r="BD129" i="18"/>
  <c r="BE129" i="18"/>
  <c r="BF129" i="18"/>
  <c r="BB130" i="18"/>
  <c r="BC130" i="18"/>
  <c r="BD130" i="18"/>
  <c r="BE130" i="18"/>
  <c r="BF130" i="18"/>
  <c r="BB131" i="18"/>
  <c r="BC131" i="18"/>
  <c r="BD131" i="18"/>
  <c r="BE131" i="18"/>
  <c r="BF131" i="18"/>
  <c r="BB132" i="18"/>
  <c r="BC132" i="18"/>
  <c r="BD132" i="18"/>
  <c r="BE132" i="18"/>
  <c r="BF132" i="18"/>
  <c r="BB133" i="18"/>
  <c r="BC133" i="18"/>
  <c r="BD133" i="18"/>
  <c r="BE133" i="18"/>
  <c r="BF133" i="18"/>
  <c r="BB134" i="18"/>
  <c r="BC134" i="18"/>
  <c r="BD134" i="18"/>
  <c r="BE134" i="18"/>
  <c r="BF134" i="18"/>
  <c r="BB135" i="18"/>
  <c r="BC135" i="18"/>
  <c r="BD135" i="18"/>
  <c r="BE135" i="18"/>
  <c r="BF135" i="18"/>
  <c r="BB136" i="18"/>
  <c r="BC136" i="18"/>
  <c r="BD136" i="18"/>
  <c r="BE136" i="18"/>
  <c r="BF136" i="18"/>
  <c r="BB137" i="18"/>
  <c r="BC137" i="18"/>
  <c r="BD137" i="18"/>
  <c r="BE137" i="18"/>
  <c r="BF137" i="18"/>
  <c r="BB138" i="18"/>
  <c r="BC138" i="18"/>
  <c r="BD138" i="18"/>
  <c r="BE138" i="18"/>
  <c r="BF138" i="18"/>
  <c r="BB139" i="18"/>
  <c r="BC139" i="18"/>
  <c r="BD139" i="18"/>
  <c r="BE139" i="18"/>
  <c r="BF139" i="18"/>
  <c r="BB140" i="18"/>
  <c r="BC140" i="18"/>
  <c r="BD140" i="18"/>
  <c r="BE140" i="18"/>
  <c r="BF140" i="18"/>
  <c r="BB141" i="18"/>
  <c r="BC141" i="18"/>
  <c r="BD141" i="18"/>
  <c r="BE141" i="18"/>
  <c r="BF141" i="18"/>
  <c r="BB142" i="18"/>
  <c r="BC142" i="18"/>
  <c r="BD142" i="18"/>
  <c r="BE142" i="18"/>
  <c r="BF142" i="18"/>
  <c r="BB143" i="18"/>
  <c r="BC143" i="18"/>
  <c r="BD143" i="18"/>
  <c r="BE143" i="18"/>
  <c r="BF143" i="18"/>
  <c r="BB144" i="18"/>
  <c r="BC144" i="18"/>
  <c r="BD144" i="18"/>
  <c r="BE144" i="18"/>
  <c r="BF144" i="18"/>
  <c r="BB145" i="18"/>
  <c r="BC145" i="18"/>
  <c r="BD145" i="18"/>
  <c r="BE145" i="18"/>
  <c r="BF145" i="18"/>
  <c r="BB146" i="18"/>
  <c r="BC146" i="18"/>
  <c r="BD146" i="18"/>
  <c r="BE146" i="18"/>
  <c r="BF146" i="18"/>
  <c r="BB147" i="18"/>
  <c r="BC147" i="18"/>
  <c r="BD147" i="18"/>
  <c r="BE147" i="18"/>
  <c r="BF147" i="18"/>
  <c r="BB148" i="18"/>
  <c r="BC148" i="18"/>
  <c r="BD148" i="18"/>
  <c r="BE148" i="18"/>
  <c r="BF148" i="18"/>
  <c r="BB149" i="18"/>
  <c r="BC149" i="18"/>
  <c r="BD149" i="18"/>
  <c r="BE149" i="18"/>
  <c r="BF149" i="18"/>
  <c r="BB150" i="18"/>
  <c r="BC150" i="18"/>
  <c r="BD150" i="18"/>
  <c r="BE150" i="18"/>
  <c r="BF150" i="18"/>
  <c r="BB151" i="18"/>
  <c r="BC151" i="18"/>
  <c r="BD151" i="18"/>
  <c r="BE151" i="18"/>
  <c r="BF151" i="18"/>
  <c r="BB152" i="18"/>
  <c r="BC152" i="18"/>
  <c r="BD152" i="18"/>
  <c r="BE152" i="18"/>
  <c r="BF152" i="18"/>
  <c r="BB153" i="18"/>
  <c r="BC153" i="18"/>
  <c r="BD153" i="18"/>
  <c r="BE153" i="18"/>
  <c r="BF153" i="18"/>
  <c r="BB154" i="18"/>
  <c r="BC154" i="18"/>
  <c r="BD154" i="18"/>
  <c r="BE154" i="18"/>
  <c r="BF154" i="18"/>
  <c r="BB155" i="18"/>
  <c r="BC155" i="18"/>
  <c r="BD155" i="18"/>
  <c r="BE155" i="18"/>
  <c r="BF155" i="18"/>
  <c r="BB156" i="18"/>
  <c r="BC156" i="18"/>
  <c r="BD156" i="18"/>
  <c r="BE156" i="18"/>
  <c r="BF156" i="18"/>
  <c r="BB157" i="18"/>
  <c r="BC157" i="18"/>
  <c r="BD157" i="18"/>
  <c r="BE157" i="18"/>
  <c r="BF157" i="18"/>
  <c r="BB158" i="18"/>
  <c r="BC158" i="18"/>
  <c r="BD158" i="18"/>
  <c r="BE158" i="18"/>
  <c r="BF158" i="18"/>
  <c r="BB159" i="18"/>
  <c r="BC159" i="18"/>
  <c r="BD159" i="18"/>
  <c r="BE159" i="18"/>
  <c r="BF159" i="18"/>
  <c r="BB160" i="18"/>
  <c r="BC160" i="18"/>
  <c r="BD160" i="18"/>
  <c r="BE160" i="18"/>
  <c r="BF160" i="18"/>
  <c r="BB161" i="18"/>
  <c r="BC161" i="18"/>
  <c r="BD161" i="18"/>
  <c r="BE161" i="18"/>
  <c r="BF161" i="18"/>
  <c r="BB162" i="18"/>
  <c r="BC162" i="18"/>
  <c r="BD162" i="18"/>
  <c r="BE162" i="18"/>
  <c r="BF162" i="18"/>
  <c r="BB163" i="18"/>
  <c r="BC163" i="18"/>
  <c r="BD163" i="18"/>
  <c r="BE163" i="18"/>
  <c r="BF163" i="18"/>
  <c r="BB164" i="18"/>
  <c r="BC164" i="18"/>
  <c r="BD164" i="18"/>
  <c r="BE164" i="18"/>
  <c r="BF164" i="18"/>
  <c r="BB165" i="18"/>
  <c r="BC165" i="18"/>
  <c r="BD165" i="18"/>
  <c r="BE165" i="18"/>
  <c r="BF165" i="18"/>
  <c r="BB166" i="18"/>
  <c r="BC166" i="18"/>
  <c r="BD166" i="18"/>
  <c r="BE166" i="18"/>
  <c r="BF166" i="18"/>
  <c r="BB167" i="18"/>
  <c r="BC167" i="18"/>
  <c r="BD167" i="18"/>
  <c r="BE167" i="18"/>
  <c r="BF167" i="18"/>
  <c r="BB168" i="18"/>
  <c r="BC168" i="18"/>
  <c r="BD168" i="18"/>
  <c r="BE168" i="18"/>
  <c r="BF168" i="18"/>
  <c r="BB169" i="18"/>
  <c r="BC169" i="18"/>
  <c r="BD169" i="18"/>
  <c r="BE169" i="18"/>
  <c r="BF169" i="18"/>
  <c r="BB170" i="18"/>
  <c r="BC170" i="18"/>
  <c r="BD170" i="18"/>
  <c r="BE170" i="18"/>
  <c r="BF170" i="18"/>
  <c r="BB171" i="18"/>
  <c r="BC171" i="18"/>
  <c r="BD171" i="18"/>
  <c r="BE171" i="18"/>
  <c r="BF171" i="18"/>
  <c r="BB172" i="18"/>
  <c r="BC172" i="18"/>
  <c r="BD172" i="18"/>
  <c r="BE172" i="18"/>
  <c r="BF172" i="18"/>
  <c r="BB173" i="18"/>
  <c r="BC173" i="18"/>
  <c r="BD173" i="18"/>
  <c r="BE173" i="18"/>
  <c r="BF173" i="18"/>
  <c r="BB174" i="18"/>
  <c r="BC174" i="18"/>
  <c r="BD174" i="18"/>
  <c r="BE174" i="18"/>
  <c r="BF174" i="18"/>
  <c r="BB175" i="18"/>
  <c r="BC175" i="18"/>
  <c r="BD175" i="18"/>
  <c r="BE175" i="18"/>
  <c r="BF175" i="18"/>
  <c r="BB176" i="18"/>
  <c r="BC176" i="18"/>
  <c r="BD176" i="18"/>
  <c r="BE176" i="18"/>
  <c r="BF176" i="18"/>
  <c r="BB177" i="18"/>
  <c r="BC177" i="18"/>
  <c r="BD177" i="18"/>
  <c r="BE177" i="18"/>
  <c r="BF177" i="18"/>
  <c r="BB178" i="18"/>
  <c r="BC178" i="18"/>
  <c r="BD178" i="18"/>
  <c r="BE178" i="18"/>
  <c r="BF178" i="18"/>
  <c r="BB179" i="18"/>
  <c r="BC179" i="18"/>
  <c r="BD179" i="18"/>
  <c r="BE179" i="18"/>
  <c r="BF179" i="18"/>
  <c r="BB180" i="18"/>
  <c r="BC180" i="18"/>
  <c r="BD180" i="18"/>
  <c r="BE180" i="18"/>
  <c r="BF180" i="18"/>
  <c r="BB181" i="18"/>
  <c r="BC181" i="18"/>
  <c r="BD181" i="18"/>
  <c r="BE181" i="18"/>
  <c r="BF181" i="18"/>
  <c r="AA73" i="83" l="1"/>
  <c r="AF54" i="83" a="1"/>
  <c r="AF54" i="83" s="1"/>
  <c r="Y39" i="83"/>
  <c r="U70" i="83"/>
  <c r="AA75" i="83"/>
  <c r="AF49" i="83" a="1"/>
  <c r="AF49" i="83" s="1"/>
  <c r="AI49" i="83" s="1"/>
  <c r="AF61" i="83" a="1"/>
  <c r="AF61" i="83" s="1"/>
  <c r="U73" i="83"/>
  <c r="AF58" i="83" a="1"/>
  <c r="AF58" i="83" s="1"/>
  <c r="AI58" i="83" s="1"/>
  <c r="V74" i="83"/>
  <c r="AF51" i="83" a="1"/>
  <c r="AF51" i="83" s="1"/>
  <c r="AI51" i="83" s="1"/>
  <c r="AF56" i="83" a="1"/>
  <c r="AF56" i="83" s="1"/>
  <c r="AI56" i="83" s="1"/>
  <c r="AA69" i="83"/>
  <c r="AF52" i="83" a="1"/>
  <c r="AF52" i="83" s="1"/>
  <c r="AI52" i="83" s="1"/>
  <c r="AF50" i="83" a="1"/>
  <c r="AF50" i="83" s="1"/>
  <c r="AI50" i="83" s="1"/>
  <c r="U72" i="83"/>
  <c r="V69" i="83"/>
  <c r="Y146" i="83"/>
  <c r="X146" i="83"/>
  <c r="AI54" i="83"/>
  <c r="P127" i="83"/>
  <c r="P128" i="83" s="1"/>
  <c r="AA70" i="83"/>
  <c r="V71" i="83"/>
  <c r="Q127" i="83"/>
  <c r="Q133" i="83" s="1"/>
  <c r="AI48" i="83"/>
  <c r="V70" i="83"/>
  <c r="U30" i="83"/>
  <c r="Y30" i="83" s="1"/>
  <c r="S30" i="83"/>
  <c r="AA72" i="83"/>
  <c r="AA74" i="83"/>
  <c r="S29" i="83"/>
  <c r="U29" i="83"/>
  <c r="Y29" i="83" s="1"/>
  <c r="Y38" i="83"/>
  <c r="U36" i="83"/>
  <c r="Y36" i="83" s="1"/>
  <c r="S36" i="83"/>
  <c r="AF53" i="83" a="1"/>
  <c r="AF53" i="83" s="1"/>
  <c r="AI53" i="83" s="1"/>
  <c r="O127" i="83"/>
  <c r="V73" i="83"/>
  <c r="AF55" i="83" a="1"/>
  <c r="AF55" i="83" s="1"/>
  <c r="AI55" i="83" s="1"/>
  <c r="U34" i="83"/>
  <c r="Y34" i="83" s="1"/>
  <c r="S34" i="83"/>
  <c r="V146" i="83"/>
  <c r="AA146" i="83"/>
  <c r="AI47" i="83"/>
  <c r="U69" i="83"/>
  <c r="U67" i="83"/>
  <c r="R127" i="83"/>
  <c r="R128" i="83" s="1"/>
  <c r="AE47" i="83" a="1"/>
  <c r="AE47" i="83" s="1"/>
  <c r="AD146" i="83"/>
  <c r="U35" i="83"/>
  <c r="Y35" i="83" s="1"/>
  <c r="S35" i="83"/>
  <c r="U146" i="83"/>
  <c r="W146" i="83"/>
  <c r="U31" i="83"/>
  <c r="Y31" i="83" s="1"/>
  <c r="S31" i="83"/>
  <c r="S146" i="83"/>
  <c r="AA71" i="83"/>
  <c r="S32" i="83"/>
  <c r="U32" i="83"/>
  <c r="Y32" i="83" s="1"/>
  <c r="P146" i="83"/>
  <c r="U71" i="83"/>
  <c r="T146" i="83"/>
  <c r="R146" i="83"/>
  <c r="Q146" i="83"/>
  <c r="U37" i="83"/>
  <c r="Y37" i="83" s="1"/>
  <c r="S37" i="83"/>
  <c r="V72" i="83"/>
  <c r="AC146" i="83"/>
  <c r="AF57" i="83" a="1"/>
  <c r="AF57" i="83" s="1"/>
  <c r="AI57" i="83" s="1"/>
  <c r="V68" i="83"/>
  <c r="S33" i="83"/>
  <c r="U33" i="83"/>
  <c r="Y33" i="83" s="1"/>
  <c r="U68" i="83"/>
  <c r="AB146" i="83"/>
  <c r="V75" i="83"/>
  <c r="Y40" i="83"/>
  <c r="U74" i="83"/>
  <c r="Z146" i="83"/>
  <c r="V67" i="83"/>
  <c r="AA68" i="83"/>
  <c r="AA67" i="83"/>
  <c r="U75" i="83"/>
  <c r="Q58" i="81"/>
  <c r="Q33" i="81"/>
  <c r="Q3" i="81"/>
  <c r="Q76" i="81"/>
  <c r="Q27" i="81"/>
  <c r="D18" i="28"/>
  <c r="Q128" i="83" l="1"/>
  <c r="P133" i="83"/>
  <c r="R160" i="83" s="1"/>
  <c r="R133" i="83"/>
  <c r="O133" i="83"/>
  <c r="Q160" i="83" s="1"/>
  <c r="P134" i="83"/>
  <c r="S152" i="83"/>
  <c r="R152" i="83"/>
  <c r="Q152" i="83"/>
  <c r="O163" i="83"/>
  <c r="O164" i="83" s="1"/>
  <c r="Y155" i="83"/>
  <c r="T147" i="83"/>
  <c r="X155" i="83"/>
  <c r="W155" i="83"/>
  <c r="V155" i="83"/>
  <c r="U155" i="83"/>
  <c r="T155" i="83"/>
  <c r="W154" i="83"/>
  <c r="V154" i="83"/>
  <c r="U154" i="83"/>
  <c r="S147" i="83"/>
  <c r="T154" i="83"/>
  <c r="S154" i="83"/>
  <c r="AI59" i="83"/>
  <c r="U153" i="83"/>
  <c r="T153" i="83"/>
  <c r="S153" i="83"/>
  <c r="R153" i="83"/>
  <c r="R147" i="83"/>
  <c r="Q151" i="83"/>
  <c r="P151" i="83"/>
  <c r="O157" i="83" s="1"/>
  <c r="AE146" i="83"/>
  <c r="T160" i="83"/>
  <c r="R134" i="83"/>
  <c r="S160" i="83"/>
  <c r="Q134" i="83"/>
  <c r="O128" i="83"/>
  <c r="T128" i="83" s="1"/>
  <c r="T127" i="83"/>
  <c r="X4" i="81"/>
  <c r="W5" i="81"/>
  <c r="W7" i="81"/>
  <c r="AG8" i="81"/>
  <c r="W10" i="81"/>
  <c r="X10" i="81"/>
  <c r="X11" i="81"/>
  <c r="W12" i="81"/>
  <c r="W13" i="81"/>
  <c r="W15" i="81"/>
  <c r="AG15" i="81"/>
  <c r="X16" i="81"/>
  <c r="W17" i="81"/>
  <c r="X17" i="81"/>
  <c r="W19" i="81"/>
  <c r="X19" i="81"/>
  <c r="X20" i="81"/>
  <c r="X21" i="81"/>
  <c r="AG21" i="81"/>
  <c r="AK21" i="81"/>
  <c r="AK22" i="81"/>
  <c r="AG23" i="81"/>
  <c r="AK23" i="81"/>
  <c r="AK24" i="81"/>
  <c r="W25" i="81"/>
  <c r="AG25" i="81"/>
  <c r="AK25" i="81"/>
  <c r="X26" i="81"/>
  <c r="AG26" i="81"/>
  <c r="AK26" i="81"/>
  <c r="X27" i="81"/>
  <c r="AK27" i="81"/>
  <c r="W28" i="81"/>
  <c r="AG28" i="81"/>
  <c r="AK28" i="81"/>
  <c r="AG29" i="81"/>
  <c r="AK29" i="81"/>
  <c r="AK30" i="81"/>
  <c r="W31" i="81"/>
  <c r="AG31" i="81"/>
  <c r="AK31" i="81"/>
  <c r="AG32" i="81"/>
  <c r="AK32" i="81"/>
  <c r="X33" i="81"/>
  <c r="AK33" i="81"/>
  <c r="W34" i="81"/>
  <c r="AG34" i="81"/>
  <c r="AK34" i="81"/>
  <c r="X35" i="81"/>
  <c r="AG35" i="81"/>
  <c r="AK35" i="81"/>
  <c r="X36" i="81"/>
  <c r="AK36" i="81"/>
  <c r="AG37" i="81"/>
  <c r="AK37" i="81"/>
  <c r="X38" i="81"/>
  <c r="AG38" i="81"/>
  <c r="AK38" i="81"/>
  <c r="AG39" i="81"/>
  <c r="AK39" i="81"/>
  <c r="W40" i="81"/>
  <c r="AK40" i="81"/>
  <c r="W41" i="81"/>
  <c r="X41" i="81"/>
  <c r="AG41" i="81"/>
  <c r="AK41" i="81"/>
  <c r="AG42" i="81"/>
  <c r="AK42" i="81"/>
  <c r="X43" i="81"/>
  <c r="AG43" i="81"/>
  <c r="AK43" i="81"/>
  <c r="W44" i="81"/>
  <c r="X44" i="81"/>
  <c r="AK44" i="81"/>
  <c r="AG45" i="81"/>
  <c r="AK45" i="81"/>
  <c r="W46" i="81"/>
  <c r="X46" i="81"/>
  <c r="AG46" i="81"/>
  <c r="AK46" i="81"/>
  <c r="W47" i="81"/>
  <c r="X47" i="81"/>
  <c r="AG47" i="81"/>
  <c r="AK47" i="81"/>
  <c r="X48" i="81"/>
  <c r="AK48" i="81"/>
  <c r="W49" i="81"/>
  <c r="AG49" i="81"/>
  <c r="AK49" i="81"/>
  <c r="AK50" i="81"/>
  <c r="W51" i="81"/>
  <c r="X51" i="81"/>
  <c r="AG51" i="81"/>
  <c r="AK51" i="81"/>
  <c r="AK52" i="81"/>
  <c r="AG53" i="81"/>
  <c r="AK53" i="81"/>
  <c r="W54" i="81"/>
  <c r="AK54" i="81"/>
  <c r="AG55" i="81"/>
  <c r="AK55" i="81"/>
  <c r="AK56" i="81"/>
  <c r="AG57" i="81"/>
  <c r="AK57" i="81"/>
  <c r="AK58" i="81"/>
  <c r="AG59" i="81"/>
  <c r="AK59" i="81"/>
  <c r="W60" i="81"/>
  <c r="X60" i="81"/>
  <c r="AK60" i="81"/>
  <c r="W61" i="81"/>
  <c r="AG61" i="81"/>
  <c r="AK61" i="81"/>
  <c r="W62" i="81"/>
  <c r="AK62" i="81"/>
  <c r="AG63" i="81"/>
  <c r="AK63" i="81"/>
  <c r="W64" i="81"/>
  <c r="AG64" i="81"/>
  <c r="AK64" i="81"/>
  <c r="X65" i="81"/>
  <c r="AG65" i="81"/>
  <c r="AK65" i="81"/>
  <c r="W66" i="81"/>
  <c r="AK66" i="81"/>
  <c r="X67" i="81"/>
  <c r="AG67" i="81"/>
  <c r="AK67" i="81"/>
  <c r="AG68" i="81"/>
  <c r="AK68" i="81"/>
  <c r="AG69" i="81"/>
  <c r="AK69" i="81"/>
  <c r="AK70" i="81"/>
  <c r="W71" i="81"/>
  <c r="AG71" i="81"/>
  <c r="AK71" i="81"/>
  <c r="W72" i="81"/>
  <c r="X72" i="81"/>
  <c r="AK72" i="81"/>
  <c r="AG73" i="81"/>
  <c r="AK73" i="81"/>
  <c r="X74" i="81"/>
  <c r="AG74" i="81"/>
  <c r="AK74" i="81"/>
  <c r="X75" i="81"/>
  <c r="AG75" i="81"/>
  <c r="AK75" i="81"/>
  <c r="W76" i="81"/>
  <c r="X76" i="81"/>
  <c r="AK76" i="81"/>
  <c r="X77" i="81"/>
  <c r="AG77" i="81"/>
  <c r="AK77" i="81"/>
  <c r="X78" i="81"/>
  <c r="AK78" i="81"/>
  <c r="X79" i="81"/>
  <c r="AG79" i="81"/>
  <c r="AK79" i="81"/>
  <c r="X80" i="81"/>
  <c r="AK80" i="81"/>
  <c r="W81" i="81"/>
  <c r="X81" i="81"/>
  <c r="AK81" i="81"/>
  <c r="X82" i="81"/>
  <c r="AG82" i="81"/>
  <c r="AK82" i="81"/>
  <c r="W83" i="81"/>
  <c r="X83" i="81"/>
  <c r="AG83" i="81"/>
  <c r="AK83" i="81"/>
  <c r="W84" i="81"/>
  <c r="X84" i="81"/>
  <c r="AG84" i="81"/>
  <c r="AK84" i="81"/>
  <c r="U4" i="81"/>
  <c r="V5" i="81"/>
  <c r="U6" i="81"/>
  <c r="V6" i="81"/>
  <c r="U8" i="81"/>
  <c r="V8" i="81"/>
  <c r="V10" i="81"/>
  <c r="U11" i="81"/>
  <c r="U13" i="81"/>
  <c r="V13" i="81"/>
  <c r="U14" i="81"/>
  <c r="U16" i="81"/>
  <c r="V16" i="81"/>
  <c r="V17" i="81"/>
  <c r="U18" i="81"/>
  <c r="V18" i="81"/>
  <c r="U20" i="81"/>
  <c r="U21" i="81"/>
  <c r="V21" i="81"/>
  <c r="AJ21" i="81" s="1"/>
  <c r="U22" i="81"/>
  <c r="AI22" i="81" s="1"/>
  <c r="V23" i="81"/>
  <c r="AJ23" i="81" s="1"/>
  <c r="U24" i="81"/>
  <c r="AI24" i="81" s="1"/>
  <c r="U26" i="81"/>
  <c r="AI26" i="81" s="1"/>
  <c r="V26" i="81"/>
  <c r="AJ26" i="81" s="1"/>
  <c r="V28" i="81"/>
  <c r="AJ28" i="81" s="1"/>
  <c r="U30" i="81"/>
  <c r="AI30" i="81" s="1"/>
  <c r="V31" i="81"/>
  <c r="AJ31" i="81" s="1"/>
  <c r="U33" i="81"/>
  <c r="AI33" i="81" s="1"/>
  <c r="V33" i="81"/>
  <c r="AJ33" i="81" s="1"/>
  <c r="V34" i="81"/>
  <c r="AJ34" i="81" s="1"/>
  <c r="V36" i="81"/>
  <c r="AJ36" i="81" s="1"/>
  <c r="V38" i="81"/>
  <c r="AJ38" i="81" s="1"/>
  <c r="V40" i="81"/>
  <c r="AJ40" i="81" s="1"/>
  <c r="U42" i="81"/>
  <c r="AI42" i="81" s="1"/>
  <c r="U43" i="81"/>
  <c r="AI43" i="81" s="1"/>
  <c r="U44" i="81"/>
  <c r="AI44" i="81" s="1"/>
  <c r="V46" i="81"/>
  <c r="AJ46" i="81" s="1"/>
  <c r="U48" i="81"/>
  <c r="AI48" i="81" s="1"/>
  <c r="V50" i="81"/>
  <c r="AJ50" i="81" s="1"/>
  <c r="U51" i="81"/>
  <c r="AI51" i="81" s="1"/>
  <c r="V52" i="81"/>
  <c r="AJ52" i="81" s="1"/>
  <c r="U53" i="81"/>
  <c r="AI53" i="81" s="1"/>
  <c r="U54" i="81"/>
  <c r="AI54" i="81" s="1"/>
  <c r="U55" i="81"/>
  <c r="AI55" i="81" s="1"/>
  <c r="V55" i="81"/>
  <c r="AJ55" i="81" s="1"/>
  <c r="U58" i="81"/>
  <c r="AI58" i="81" s="1"/>
  <c r="V58" i="81"/>
  <c r="AJ58" i="81" s="1"/>
  <c r="U60" i="81"/>
  <c r="AI60" i="81" s="1"/>
  <c r="U61" i="81"/>
  <c r="AI61" i="81" s="1"/>
  <c r="U62" i="81"/>
  <c r="AI62" i="81" s="1"/>
  <c r="V62" i="81"/>
  <c r="AJ62" i="81" s="1"/>
  <c r="U63" i="81"/>
  <c r="AI63" i="81" s="1"/>
  <c r="V63" i="81"/>
  <c r="AJ63" i="81" s="1"/>
  <c r="U64" i="81"/>
  <c r="AI64" i="81" s="1"/>
  <c r="V64" i="81"/>
  <c r="AJ64" i="81" s="1"/>
  <c r="U65" i="81"/>
  <c r="AI65" i="81" s="1"/>
  <c r="V65" i="81"/>
  <c r="AJ65" i="81" s="1"/>
  <c r="U66" i="81"/>
  <c r="AI66" i="81" s="1"/>
  <c r="V66" i="81"/>
  <c r="AJ66" i="81" s="1"/>
  <c r="U67" i="81"/>
  <c r="AI67" i="81" s="1"/>
  <c r="V67" i="81"/>
  <c r="AJ67" i="81" s="1"/>
  <c r="U68" i="81"/>
  <c r="AI68" i="81" s="1"/>
  <c r="V68" i="81"/>
  <c r="AJ68" i="81" s="1"/>
  <c r="U69" i="81"/>
  <c r="AI69" i="81" s="1"/>
  <c r="V69" i="81"/>
  <c r="AJ69" i="81" s="1"/>
  <c r="U70" i="81"/>
  <c r="AI70" i="81" s="1"/>
  <c r="V70" i="81"/>
  <c r="AJ70" i="81" s="1"/>
  <c r="U71" i="81"/>
  <c r="AI71" i="81" s="1"/>
  <c r="V71" i="81"/>
  <c r="AJ71" i="81" s="1"/>
  <c r="U72" i="81"/>
  <c r="AI72" i="81" s="1"/>
  <c r="V72" i="81"/>
  <c r="AJ72" i="81" s="1"/>
  <c r="U73" i="81"/>
  <c r="AI73" i="81" s="1"/>
  <c r="V73" i="81"/>
  <c r="AJ73" i="81" s="1"/>
  <c r="U74" i="81"/>
  <c r="AI74" i="81" s="1"/>
  <c r="V74" i="81"/>
  <c r="AJ74" i="81" s="1"/>
  <c r="U75" i="81"/>
  <c r="AI75" i="81" s="1"/>
  <c r="V75" i="81"/>
  <c r="AJ75" i="81" s="1"/>
  <c r="U76" i="81"/>
  <c r="AI76" i="81" s="1"/>
  <c r="V76" i="81"/>
  <c r="AJ76" i="81" s="1"/>
  <c r="U77" i="81"/>
  <c r="AI77" i="81" s="1"/>
  <c r="V77" i="81"/>
  <c r="AJ77" i="81" s="1"/>
  <c r="U78" i="81"/>
  <c r="AI78" i="81" s="1"/>
  <c r="V78" i="81"/>
  <c r="AJ78" i="81" s="1"/>
  <c r="U79" i="81"/>
  <c r="AI79" i="81" s="1"/>
  <c r="V79" i="81"/>
  <c r="AJ79" i="81" s="1"/>
  <c r="U80" i="81"/>
  <c r="AI80" i="81" s="1"/>
  <c r="V80" i="81"/>
  <c r="AJ80" i="81" s="1"/>
  <c r="U81" i="81"/>
  <c r="AI81" i="81" s="1"/>
  <c r="V81" i="81"/>
  <c r="AJ81" i="81" s="1"/>
  <c r="U82" i="81"/>
  <c r="AI82" i="81" s="1"/>
  <c r="V82" i="81"/>
  <c r="AJ82" i="81" s="1"/>
  <c r="U83" i="81"/>
  <c r="AI83" i="81" s="1"/>
  <c r="V83" i="81"/>
  <c r="AJ83" i="81" s="1"/>
  <c r="U84" i="81"/>
  <c r="AI84" i="81" s="1"/>
  <c r="V84" i="81"/>
  <c r="AJ84" i="81" s="1"/>
  <c r="T29" i="81"/>
  <c r="AH29" i="81" s="1"/>
  <c r="T30" i="81"/>
  <c r="AH30" i="81" s="1"/>
  <c r="T32" i="81"/>
  <c r="AH32" i="81" s="1"/>
  <c r="T33" i="81"/>
  <c r="AH33" i="81" s="1"/>
  <c r="T34" i="81"/>
  <c r="AH34" i="81" s="1"/>
  <c r="T36" i="81"/>
  <c r="AH36" i="81" s="1"/>
  <c r="T38" i="81"/>
  <c r="AH38" i="81" s="1"/>
  <c r="T39" i="81"/>
  <c r="AH39" i="81" s="1"/>
  <c r="T41" i="81"/>
  <c r="AH41" i="81" s="1"/>
  <c r="T46" i="81"/>
  <c r="AH46" i="81" s="1"/>
  <c r="T47" i="81"/>
  <c r="AH47" i="81" s="1"/>
  <c r="T49" i="81"/>
  <c r="AH49" i="81" s="1"/>
  <c r="T50" i="81"/>
  <c r="AH50" i="81" s="1"/>
  <c r="T51" i="81"/>
  <c r="AH51" i="81" s="1"/>
  <c r="T53" i="81"/>
  <c r="AH53" i="81" s="1"/>
  <c r="T56" i="81"/>
  <c r="AH56" i="81" s="1"/>
  <c r="T57" i="81"/>
  <c r="AH57" i="81" s="1"/>
  <c r="T58" i="81"/>
  <c r="AH58" i="81" s="1"/>
  <c r="T62" i="81"/>
  <c r="AH62" i="81" s="1"/>
  <c r="T63" i="81"/>
  <c r="AH63" i="81" s="1"/>
  <c r="T64" i="81"/>
  <c r="AH64" i="81" s="1"/>
  <c r="T65" i="81"/>
  <c r="AH65" i="81" s="1"/>
  <c r="T66" i="81"/>
  <c r="AH66" i="81" s="1"/>
  <c r="T67" i="81"/>
  <c r="AH67" i="81" s="1"/>
  <c r="T68" i="81"/>
  <c r="AH68" i="81" s="1"/>
  <c r="T69" i="81"/>
  <c r="AH69" i="81" s="1"/>
  <c r="T70" i="81"/>
  <c r="AH70" i="81" s="1"/>
  <c r="T71" i="81"/>
  <c r="AH71" i="81" s="1"/>
  <c r="T72" i="81"/>
  <c r="AH72" i="81" s="1"/>
  <c r="T73" i="81"/>
  <c r="AH73" i="81" s="1"/>
  <c r="T74" i="81"/>
  <c r="AH74" i="81" s="1"/>
  <c r="T75" i="81"/>
  <c r="AH75" i="81" s="1"/>
  <c r="T76" i="81"/>
  <c r="AH76" i="81" s="1"/>
  <c r="T77" i="81"/>
  <c r="AH77" i="81" s="1"/>
  <c r="T78" i="81"/>
  <c r="AH78" i="81" s="1"/>
  <c r="T79" i="81"/>
  <c r="AH79" i="81" s="1"/>
  <c r="T80" i="81"/>
  <c r="AH80" i="81" s="1"/>
  <c r="T81" i="81"/>
  <c r="AH81" i="81" s="1"/>
  <c r="T82" i="81"/>
  <c r="AH82" i="81" s="1"/>
  <c r="T83" i="81"/>
  <c r="AH83" i="81" s="1"/>
  <c r="T84" i="81"/>
  <c r="AH84" i="81" s="1"/>
  <c r="T4" i="81"/>
  <c r="AH4" i="81" s="1"/>
  <c r="T5" i="81"/>
  <c r="AH5" i="81" s="1"/>
  <c r="T6" i="81"/>
  <c r="AH6" i="81" s="1"/>
  <c r="T9" i="81"/>
  <c r="AH9" i="81" s="1"/>
  <c r="T10" i="81"/>
  <c r="AH10" i="81" s="1"/>
  <c r="T11" i="81"/>
  <c r="AH11" i="81" s="1"/>
  <c r="T12" i="81"/>
  <c r="AH12" i="81" s="1"/>
  <c r="T13" i="81"/>
  <c r="AH13" i="81" s="1"/>
  <c r="T14" i="81"/>
  <c r="AH14" i="81" s="1"/>
  <c r="T15" i="81"/>
  <c r="AH15" i="81" s="1"/>
  <c r="T16" i="81"/>
  <c r="AH16" i="81" s="1"/>
  <c r="T18" i="81"/>
  <c r="AH18" i="81" s="1"/>
  <c r="T20" i="81"/>
  <c r="AH20" i="81" s="1"/>
  <c r="T21" i="81"/>
  <c r="AH21" i="81" s="1"/>
  <c r="T22" i="81"/>
  <c r="AH22" i="81" s="1"/>
  <c r="T24" i="81"/>
  <c r="AH24" i="81" s="1"/>
  <c r="T26" i="81"/>
  <c r="AH26" i="81" s="1"/>
  <c r="T3" i="81"/>
  <c r="W3" i="81"/>
  <c r="W21" i="81"/>
  <c r="X64" i="81"/>
  <c r="X52" i="81"/>
  <c r="U7" i="81"/>
  <c r="X6" i="81"/>
  <c r="W80" i="81"/>
  <c r="X9" i="81"/>
  <c r="D16" i="28"/>
  <c r="D32" i="28" a="1"/>
  <c r="D32" i="28" s="1"/>
  <c r="D53" i="28" a="1"/>
  <c r="D53" i="28" s="1"/>
  <c r="D52" i="28" a="1"/>
  <c r="D52" i="28" s="1"/>
  <c r="D51" i="28" a="1"/>
  <c r="D51" i="28" s="1"/>
  <c r="AA93" i="43"/>
  <c r="AA94" i="43"/>
  <c r="AA95" i="43"/>
  <c r="AA96" i="43"/>
  <c r="AA97" i="43"/>
  <c r="AA98" i="43"/>
  <c r="AA99" i="43"/>
  <c r="AA100" i="43"/>
  <c r="AA101" i="43"/>
  <c r="AA102" i="43"/>
  <c r="AA103" i="43"/>
  <c r="AA104" i="43"/>
  <c r="AA106" i="43"/>
  <c r="AB106" i="43" s="1"/>
  <c r="AA107" i="43"/>
  <c r="AB107" i="43" s="1"/>
  <c r="AA108" i="43"/>
  <c r="AB108" i="43" s="1"/>
  <c r="AA109" i="43"/>
  <c r="AB109" i="43" s="1"/>
  <c r="AA110" i="43"/>
  <c r="AB110" i="43" s="1"/>
  <c r="AA105" i="43"/>
  <c r="AB105" i="43" s="1"/>
  <c r="D33" i="28" a="1"/>
  <c r="D33" i="28" s="1"/>
  <c r="B12" i="30"/>
  <c r="B11" i="30"/>
  <c r="E13" i="28"/>
  <c r="AI64" i="32"/>
  <c r="AJ64" i="32"/>
  <c r="AK64" i="32"/>
  <c r="AL64" i="32"/>
  <c r="AM64" i="32"/>
  <c r="AI65" i="32"/>
  <c r="AJ65" i="32"/>
  <c r="AK65" i="32"/>
  <c r="AL65" i="32"/>
  <c r="AM65" i="32"/>
  <c r="AI66" i="32"/>
  <c r="AJ66" i="32"/>
  <c r="AK66" i="32"/>
  <c r="AL66" i="32"/>
  <c r="AM66" i="32"/>
  <c r="AI67" i="32"/>
  <c r="AJ67" i="32"/>
  <c r="AK67" i="32"/>
  <c r="AL67" i="32"/>
  <c r="AM67" i="32"/>
  <c r="AI68" i="32"/>
  <c r="AJ68" i="32"/>
  <c r="AK68" i="32"/>
  <c r="AL68" i="32"/>
  <c r="AM68" i="32"/>
  <c r="AI69" i="32"/>
  <c r="AJ69" i="32"/>
  <c r="AK69" i="32"/>
  <c r="AL69" i="32"/>
  <c r="AM69" i="32"/>
  <c r="AI70" i="32"/>
  <c r="AJ70" i="32"/>
  <c r="AK70" i="32"/>
  <c r="AL70" i="32"/>
  <c r="AM70" i="32"/>
  <c r="AI71" i="32"/>
  <c r="AJ71" i="32"/>
  <c r="AK71" i="32"/>
  <c r="AL71" i="32"/>
  <c r="AM71" i="32"/>
  <c r="AI72" i="32"/>
  <c r="AJ72" i="32"/>
  <c r="AK72" i="32"/>
  <c r="AL72" i="32"/>
  <c r="AM72" i="32"/>
  <c r="AI73" i="32"/>
  <c r="AJ73" i="32"/>
  <c r="AK73" i="32"/>
  <c r="AL73" i="32"/>
  <c r="AM73" i="32"/>
  <c r="AI74" i="32"/>
  <c r="AJ74" i="32"/>
  <c r="AK74" i="32"/>
  <c r="AL74" i="32"/>
  <c r="AM74" i="32"/>
  <c r="AI75" i="32"/>
  <c r="AJ75" i="32"/>
  <c r="AK75" i="32"/>
  <c r="AL75" i="32"/>
  <c r="AM75" i="32"/>
  <c r="AI76" i="32"/>
  <c r="AJ76" i="32"/>
  <c r="AK76" i="32"/>
  <c r="AL76" i="32"/>
  <c r="AM76" i="32"/>
  <c r="AI77" i="32"/>
  <c r="AJ77" i="32"/>
  <c r="AK77" i="32"/>
  <c r="AL77" i="32"/>
  <c r="AM77" i="32"/>
  <c r="AI78" i="32"/>
  <c r="AJ78" i="32"/>
  <c r="AK78" i="32"/>
  <c r="AL78" i="32"/>
  <c r="AM78" i="32"/>
  <c r="AI79" i="32"/>
  <c r="AJ79" i="32"/>
  <c r="AK79" i="32"/>
  <c r="AL79" i="32"/>
  <c r="AM79" i="32"/>
  <c r="AI80" i="32"/>
  <c r="AJ80" i="32"/>
  <c r="AK80" i="32"/>
  <c r="AL80" i="32"/>
  <c r="AM80" i="32"/>
  <c r="AI81" i="32"/>
  <c r="AJ81" i="32"/>
  <c r="AK81" i="32"/>
  <c r="AL81" i="32"/>
  <c r="AM81" i="32"/>
  <c r="AI82" i="32"/>
  <c r="AJ82" i="32"/>
  <c r="AK82" i="32"/>
  <c r="AL82" i="32"/>
  <c r="AM82" i="32"/>
  <c r="AI83" i="32"/>
  <c r="AJ83" i="32"/>
  <c r="AK83" i="32"/>
  <c r="AL83" i="32"/>
  <c r="AM83" i="32"/>
  <c r="AI84" i="32"/>
  <c r="AJ84" i="32"/>
  <c r="AK84" i="32"/>
  <c r="AL84" i="32"/>
  <c r="AM84" i="32"/>
  <c r="AI85" i="32"/>
  <c r="AJ85" i="32"/>
  <c r="AK85" i="32"/>
  <c r="AL85" i="32"/>
  <c r="AM85" i="32"/>
  <c r="AI86" i="32"/>
  <c r="AJ86" i="32"/>
  <c r="AK86" i="32"/>
  <c r="AL86" i="32"/>
  <c r="AM86" i="32"/>
  <c r="AI87" i="32"/>
  <c r="AJ87" i="32"/>
  <c r="AK87" i="32"/>
  <c r="AL87" i="32"/>
  <c r="AM87" i="32"/>
  <c r="AI88" i="32"/>
  <c r="AJ88" i="32"/>
  <c r="AK88" i="32"/>
  <c r="AL88" i="32"/>
  <c r="AM88" i="32"/>
  <c r="AI89" i="32"/>
  <c r="AJ89" i="32"/>
  <c r="AK89" i="32"/>
  <c r="AL89" i="32"/>
  <c r="AM89" i="32"/>
  <c r="AI90" i="32"/>
  <c r="AJ90" i="32"/>
  <c r="AK90" i="32"/>
  <c r="AL90" i="32"/>
  <c r="AM90" i="32"/>
  <c r="AI91" i="32"/>
  <c r="AJ91" i="32"/>
  <c r="AK91" i="32"/>
  <c r="AL91" i="32"/>
  <c r="AM91" i="32"/>
  <c r="AI92" i="32"/>
  <c r="AJ92" i="32"/>
  <c r="AK92" i="32"/>
  <c r="AL92" i="32"/>
  <c r="AM92" i="32"/>
  <c r="AI93" i="32"/>
  <c r="AJ93" i="32"/>
  <c r="AK93" i="32"/>
  <c r="AL93" i="32"/>
  <c r="AM93" i="32"/>
  <c r="AI94" i="32"/>
  <c r="AJ94" i="32"/>
  <c r="AK94" i="32"/>
  <c r="AL94" i="32"/>
  <c r="AM94" i="32"/>
  <c r="AI95" i="32"/>
  <c r="AJ95" i="32"/>
  <c r="AK95" i="32"/>
  <c r="AL95" i="32"/>
  <c r="AM95" i="32"/>
  <c r="AI96" i="32"/>
  <c r="AJ96" i="32"/>
  <c r="AK96" i="32"/>
  <c r="AL96" i="32"/>
  <c r="AM96" i="32"/>
  <c r="AI97" i="32"/>
  <c r="AJ97" i="32"/>
  <c r="AK97" i="32"/>
  <c r="AL97" i="32"/>
  <c r="AM97" i="32"/>
  <c r="AI98" i="32"/>
  <c r="AJ98" i="32"/>
  <c r="AK98" i="32"/>
  <c r="AL98" i="32"/>
  <c r="AM98" i="32"/>
  <c r="AI99" i="32"/>
  <c r="AJ99" i="32"/>
  <c r="AK99" i="32"/>
  <c r="AL99" i="32"/>
  <c r="AM99" i="32"/>
  <c r="AI100" i="32"/>
  <c r="AJ100" i="32"/>
  <c r="AK100" i="32"/>
  <c r="AL100" i="32"/>
  <c r="AM100" i="32"/>
  <c r="AI101" i="32"/>
  <c r="AJ101" i="32"/>
  <c r="AK101" i="32"/>
  <c r="AL101" i="32"/>
  <c r="AM101" i="32"/>
  <c r="AI102" i="32"/>
  <c r="AJ102" i="32"/>
  <c r="AK102" i="32"/>
  <c r="AL102" i="32"/>
  <c r="AM102" i="32"/>
  <c r="AI103" i="32"/>
  <c r="AJ103" i="32"/>
  <c r="AK103" i="32"/>
  <c r="AL103" i="32"/>
  <c r="AM103" i="32"/>
  <c r="AI104" i="32"/>
  <c r="AJ104" i="32"/>
  <c r="AK104" i="32"/>
  <c r="AL104" i="32"/>
  <c r="AM104" i="32"/>
  <c r="AI105" i="32"/>
  <c r="AJ105" i="32"/>
  <c r="AK105" i="32"/>
  <c r="AL105" i="32"/>
  <c r="AM105" i="32"/>
  <c r="AI106" i="32"/>
  <c r="AJ106" i="32"/>
  <c r="AK106" i="32"/>
  <c r="AL106" i="32"/>
  <c r="AM106" i="32"/>
  <c r="AI107" i="32"/>
  <c r="AJ107" i="32"/>
  <c r="AK107" i="32"/>
  <c r="AL107" i="32"/>
  <c r="AM107" i="32"/>
  <c r="AI108" i="32"/>
  <c r="AJ108" i="32"/>
  <c r="AK108" i="32"/>
  <c r="AL108" i="32"/>
  <c r="AM108" i="32"/>
  <c r="AI109" i="32"/>
  <c r="AJ109" i="32"/>
  <c r="AK109" i="32"/>
  <c r="AL109" i="32"/>
  <c r="AM109" i="32"/>
  <c r="AI110" i="32"/>
  <c r="AJ110" i="32"/>
  <c r="AK110" i="32"/>
  <c r="AL110" i="32"/>
  <c r="AM110" i="32"/>
  <c r="AI111" i="32"/>
  <c r="AJ111" i="32"/>
  <c r="AK111" i="32"/>
  <c r="AL111" i="32"/>
  <c r="AM111" i="32"/>
  <c r="E51" i="43"/>
  <c r="E54" i="43"/>
  <c r="E55" i="43"/>
  <c r="E56" i="43"/>
  <c r="I3" i="27"/>
  <c r="I4" i="27"/>
  <c r="I5" i="27"/>
  <c r="I2" i="27"/>
  <c r="BP681" i="81"/>
  <c r="BO681" i="81"/>
  <c r="BN681" i="81"/>
  <c r="BM681" i="81"/>
  <c r="BL681" i="81"/>
  <c r="BP680" i="81"/>
  <c r="BO680" i="81"/>
  <c r="BN680" i="81"/>
  <c r="BM680" i="81"/>
  <c r="BL680" i="81"/>
  <c r="BP679" i="81"/>
  <c r="BO679" i="81"/>
  <c r="BN679" i="81"/>
  <c r="BM679" i="81"/>
  <c r="BL679" i="81"/>
  <c r="BP678" i="81"/>
  <c r="BO678" i="81"/>
  <c r="BN678" i="81"/>
  <c r="BM678" i="81"/>
  <c r="BL678" i="81"/>
  <c r="BP677" i="81"/>
  <c r="BO677" i="81"/>
  <c r="BN677" i="81"/>
  <c r="BM677" i="81"/>
  <c r="BL677" i="81"/>
  <c r="BP676" i="81"/>
  <c r="BO676" i="81"/>
  <c r="BN676" i="81"/>
  <c r="BM676" i="81"/>
  <c r="BL676" i="81"/>
  <c r="BP675" i="81"/>
  <c r="BO675" i="81"/>
  <c r="BN675" i="81"/>
  <c r="BM675" i="81"/>
  <c r="BL675" i="81"/>
  <c r="BP674" i="81"/>
  <c r="BO674" i="81"/>
  <c r="BN674" i="81"/>
  <c r="BM674" i="81"/>
  <c r="BL674" i="81"/>
  <c r="BP673" i="81"/>
  <c r="BO673" i="81"/>
  <c r="BN673" i="81"/>
  <c r="BM673" i="81"/>
  <c r="BL673" i="81"/>
  <c r="BP672" i="81"/>
  <c r="BO672" i="81"/>
  <c r="BN672" i="81"/>
  <c r="BM672" i="81"/>
  <c r="BL672" i="81"/>
  <c r="BP671" i="81"/>
  <c r="BO671" i="81"/>
  <c r="BN671" i="81"/>
  <c r="BM671" i="81"/>
  <c r="BL671" i="81"/>
  <c r="BP670" i="81"/>
  <c r="BO670" i="81"/>
  <c r="BN670" i="81"/>
  <c r="BM670" i="81"/>
  <c r="BL670" i="81"/>
  <c r="BP669" i="81"/>
  <c r="BO669" i="81"/>
  <c r="BN669" i="81"/>
  <c r="BM669" i="81"/>
  <c r="BL669" i="81"/>
  <c r="BP668" i="81"/>
  <c r="BO668" i="81"/>
  <c r="BN668" i="81"/>
  <c r="BM668" i="81"/>
  <c r="BL668" i="81"/>
  <c r="BP667" i="81"/>
  <c r="BO667" i="81"/>
  <c r="BN667" i="81"/>
  <c r="BM667" i="81"/>
  <c r="BL667" i="81"/>
  <c r="BP666" i="81"/>
  <c r="BO666" i="81"/>
  <c r="BN666" i="81"/>
  <c r="BM666" i="81"/>
  <c r="BL666" i="81"/>
  <c r="BP665" i="81"/>
  <c r="BO665" i="81"/>
  <c r="BN665" i="81"/>
  <c r="BM665" i="81"/>
  <c r="BL665" i="81"/>
  <c r="BP664" i="81"/>
  <c r="BO664" i="81"/>
  <c r="BN664" i="81"/>
  <c r="BM664" i="81"/>
  <c r="BL664" i="81"/>
  <c r="BP663" i="81"/>
  <c r="BO663" i="81"/>
  <c r="BN663" i="81"/>
  <c r="BM663" i="81"/>
  <c r="BL663" i="81"/>
  <c r="BP662" i="81"/>
  <c r="BO662" i="81"/>
  <c r="BN662" i="81"/>
  <c r="BM662" i="81"/>
  <c r="BL662" i="81"/>
  <c r="BP661" i="81"/>
  <c r="BO661" i="81"/>
  <c r="BN661" i="81"/>
  <c r="BM661" i="81"/>
  <c r="BL661" i="81"/>
  <c r="BP660" i="81"/>
  <c r="BO660" i="81"/>
  <c r="BN660" i="81"/>
  <c r="BM660" i="81"/>
  <c r="BL660" i="81"/>
  <c r="BP659" i="81"/>
  <c r="BO659" i="81"/>
  <c r="BN659" i="81"/>
  <c r="BM659" i="81"/>
  <c r="BL659" i="81"/>
  <c r="BP658" i="81"/>
  <c r="BO658" i="81"/>
  <c r="BN658" i="81"/>
  <c r="BM658" i="81"/>
  <c r="BL658" i="81"/>
  <c r="BP657" i="81"/>
  <c r="BO657" i="81"/>
  <c r="BN657" i="81"/>
  <c r="BM657" i="81"/>
  <c r="BL657" i="81"/>
  <c r="BP656" i="81"/>
  <c r="BO656" i="81"/>
  <c r="BN656" i="81"/>
  <c r="BM656" i="81"/>
  <c r="BL656" i="81"/>
  <c r="BP655" i="81"/>
  <c r="BO655" i="81"/>
  <c r="BN655" i="81"/>
  <c r="BM655" i="81"/>
  <c r="BL655" i="81"/>
  <c r="BP654" i="81"/>
  <c r="BO654" i="81"/>
  <c r="BN654" i="81"/>
  <c r="BM654" i="81"/>
  <c r="BL654" i="81"/>
  <c r="BP653" i="81"/>
  <c r="BO653" i="81"/>
  <c r="BN653" i="81"/>
  <c r="BM653" i="81"/>
  <c r="BL653" i="81"/>
  <c r="BP652" i="81"/>
  <c r="BO652" i="81"/>
  <c r="BN652" i="81"/>
  <c r="BM652" i="81"/>
  <c r="BL652" i="81"/>
  <c r="BP651" i="81"/>
  <c r="BO651" i="81"/>
  <c r="BN651" i="81"/>
  <c r="BM651" i="81"/>
  <c r="BL651" i="81"/>
  <c r="BP650" i="81"/>
  <c r="BO650" i="81"/>
  <c r="BN650" i="81"/>
  <c r="BM650" i="81"/>
  <c r="BL650" i="81"/>
  <c r="BP649" i="81"/>
  <c r="BO649" i="81"/>
  <c r="BN649" i="81"/>
  <c r="BM649" i="81"/>
  <c r="BL649" i="81"/>
  <c r="BP648" i="81"/>
  <c r="BO648" i="81"/>
  <c r="BN648" i="81"/>
  <c r="BM648" i="81"/>
  <c r="BL648" i="81"/>
  <c r="BP647" i="81"/>
  <c r="BO647" i="81"/>
  <c r="BN647" i="81"/>
  <c r="BM647" i="81"/>
  <c r="BL647" i="81"/>
  <c r="BP646" i="81"/>
  <c r="BO646" i="81"/>
  <c r="BN646" i="81"/>
  <c r="BM646" i="81"/>
  <c r="BL646" i="81"/>
  <c r="BP645" i="81"/>
  <c r="BO645" i="81"/>
  <c r="BN645" i="81"/>
  <c r="BM645" i="81"/>
  <c r="BL645" i="81"/>
  <c r="BP644" i="81"/>
  <c r="BO644" i="81"/>
  <c r="BN644" i="81"/>
  <c r="BM644" i="81"/>
  <c r="BL644" i="81"/>
  <c r="BP643" i="81"/>
  <c r="BO643" i="81"/>
  <c r="BN643" i="81"/>
  <c r="BM643" i="81"/>
  <c r="BL643" i="81"/>
  <c r="BP642" i="81"/>
  <c r="BO642" i="81"/>
  <c r="BN642" i="81"/>
  <c r="BM642" i="81"/>
  <c r="BL642" i="81"/>
  <c r="BP641" i="81"/>
  <c r="BO641" i="81"/>
  <c r="BN641" i="81"/>
  <c r="BM641" i="81"/>
  <c r="BL641" i="81"/>
  <c r="BP640" i="81"/>
  <c r="BO640" i="81"/>
  <c r="BN640" i="81"/>
  <c r="BM640" i="81"/>
  <c r="BL640" i="81"/>
  <c r="BP639" i="81"/>
  <c r="BO639" i="81"/>
  <c r="BN639" i="81"/>
  <c r="BM639" i="81"/>
  <c r="BL639" i="81"/>
  <c r="BP638" i="81"/>
  <c r="BO638" i="81"/>
  <c r="BN638" i="81"/>
  <c r="BM638" i="81"/>
  <c r="BL638" i="81"/>
  <c r="BP637" i="81"/>
  <c r="BO637" i="81"/>
  <c r="BN637" i="81"/>
  <c r="BM637" i="81"/>
  <c r="BL637" i="81"/>
  <c r="BP636" i="81"/>
  <c r="BO636" i="81"/>
  <c r="BN636" i="81"/>
  <c r="BM636" i="81"/>
  <c r="BL636" i="81"/>
  <c r="BP635" i="81"/>
  <c r="BO635" i="81"/>
  <c r="BN635" i="81"/>
  <c r="BM635" i="81"/>
  <c r="BL635" i="81"/>
  <c r="BP634" i="81"/>
  <c r="BO634" i="81"/>
  <c r="BN634" i="81"/>
  <c r="BM634" i="81"/>
  <c r="BL634" i="81"/>
  <c r="BP633" i="81"/>
  <c r="BO633" i="81"/>
  <c r="BN633" i="81"/>
  <c r="BM633" i="81"/>
  <c r="BL633" i="81"/>
  <c r="BP632" i="81"/>
  <c r="BO632" i="81"/>
  <c r="BN632" i="81"/>
  <c r="BM632" i="81"/>
  <c r="BL632" i="81"/>
  <c r="BP631" i="81"/>
  <c r="BO631" i="81"/>
  <c r="BN631" i="81"/>
  <c r="BM631" i="81"/>
  <c r="BL631" i="81"/>
  <c r="BP630" i="81"/>
  <c r="BO630" i="81"/>
  <c r="BN630" i="81"/>
  <c r="BM630" i="81"/>
  <c r="BL630" i="81"/>
  <c r="BP629" i="81"/>
  <c r="BO629" i="81"/>
  <c r="BN629" i="81"/>
  <c r="BM629" i="81"/>
  <c r="BL629" i="81"/>
  <c r="BP628" i="81"/>
  <c r="BO628" i="81"/>
  <c r="BN628" i="81"/>
  <c r="BM628" i="81"/>
  <c r="BL628" i="81"/>
  <c r="BP627" i="81"/>
  <c r="BO627" i="81"/>
  <c r="BN627" i="81"/>
  <c r="BM627" i="81"/>
  <c r="BL627" i="81"/>
  <c r="BP626" i="81"/>
  <c r="BO626" i="81"/>
  <c r="BN626" i="81"/>
  <c r="BM626" i="81"/>
  <c r="BL626" i="81"/>
  <c r="BP625" i="81"/>
  <c r="BO625" i="81"/>
  <c r="BN625" i="81"/>
  <c r="BM625" i="81"/>
  <c r="BL625" i="81"/>
  <c r="BP624" i="81"/>
  <c r="BO624" i="81"/>
  <c r="BN624" i="81"/>
  <c r="BM624" i="81"/>
  <c r="BL624" i="81"/>
  <c r="BP623" i="81"/>
  <c r="BO623" i="81"/>
  <c r="BN623" i="81"/>
  <c r="BM623" i="81"/>
  <c r="BL623" i="81"/>
  <c r="BP622" i="81"/>
  <c r="BO622" i="81"/>
  <c r="BN622" i="81"/>
  <c r="BM622" i="81"/>
  <c r="BL622" i="81"/>
  <c r="BP621" i="81"/>
  <c r="BO621" i="81"/>
  <c r="BN621" i="81"/>
  <c r="BM621" i="81"/>
  <c r="BL621" i="81"/>
  <c r="BP620" i="81"/>
  <c r="BO620" i="81"/>
  <c r="BN620" i="81"/>
  <c r="BM620" i="81"/>
  <c r="BL620" i="81"/>
  <c r="BP619" i="81"/>
  <c r="BO619" i="81"/>
  <c r="BN619" i="81"/>
  <c r="BM619" i="81"/>
  <c r="BL619" i="81"/>
  <c r="BP618" i="81"/>
  <c r="BO618" i="81"/>
  <c r="BN618" i="81"/>
  <c r="BM618" i="81"/>
  <c r="BL618" i="81"/>
  <c r="BP617" i="81"/>
  <c r="BO617" i="81"/>
  <c r="BN617" i="81"/>
  <c r="BM617" i="81"/>
  <c r="BL617" i="81"/>
  <c r="BP616" i="81"/>
  <c r="BO616" i="81"/>
  <c r="BN616" i="81"/>
  <c r="BM616" i="81"/>
  <c r="BL616" i="81"/>
  <c r="BP615" i="81"/>
  <c r="BO615" i="81"/>
  <c r="BN615" i="81"/>
  <c r="BM615" i="81"/>
  <c r="BL615" i="81"/>
  <c r="BP614" i="81"/>
  <c r="BO614" i="81"/>
  <c r="BN614" i="81"/>
  <c r="BM614" i="81"/>
  <c r="BL614" i="81"/>
  <c r="BP613" i="81"/>
  <c r="BO613" i="81"/>
  <c r="BN613" i="81"/>
  <c r="BM613" i="81"/>
  <c r="BL613" i="81"/>
  <c r="BP612" i="81"/>
  <c r="BO612" i="81"/>
  <c r="BN612" i="81"/>
  <c r="BM612" i="81"/>
  <c r="BL612" i="81"/>
  <c r="BP611" i="81"/>
  <c r="BO611" i="81"/>
  <c r="BN611" i="81"/>
  <c r="BM611" i="81"/>
  <c r="BL611" i="81"/>
  <c r="BP610" i="81"/>
  <c r="BO610" i="81"/>
  <c r="BN610" i="81"/>
  <c r="BM610" i="81"/>
  <c r="BL610" i="81"/>
  <c r="BP609" i="81"/>
  <c r="BO609" i="81"/>
  <c r="BN609" i="81"/>
  <c r="BM609" i="81"/>
  <c r="BL609" i="81"/>
  <c r="BP608" i="81"/>
  <c r="BO608" i="81"/>
  <c r="BN608" i="81"/>
  <c r="BM608" i="81"/>
  <c r="BL608" i="81"/>
  <c r="BP607" i="81"/>
  <c r="BO607" i="81"/>
  <c r="BN607" i="81"/>
  <c r="BM607" i="81"/>
  <c r="BL607" i="81"/>
  <c r="BP606" i="81"/>
  <c r="BO606" i="81"/>
  <c r="BN606" i="81"/>
  <c r="BM606" i="81"/>
  <c r="BL606" i="81"/>
  <c r="BP605" i="81"/>
  <c r="BO605" i="81"/>
  <c r="BN605" i="81"/>
  <c r="BM605" i="81"/>
  <c r="BL605" i="81"/>
  <c r="BP604" i="81"/>
  <c r="BO604" i="81"/>
  <c r="BN604" i="81"/>
  <c r="BM604" i="81"/>
  <c r="BL604" i="81"/>
  <c r="BP603" i="81"/>
  <c r="BO603" i="81"/>
  <c r="BN603" i="81"/>
  <c r="BM603" i="81"/>
  <c r="BL603" i="81"/>
  <c r="BP602" i="81"/>
  <c r="BO602" i="81"/>
  <c r="BN602" i="81"/>
  <c r="BM602" i="81"/>
  <c r="BL602" i="81"/>
  <c r="BP601" i="81"/>
  <c r="BO601" i="81"/>
  <c r="BN601" i="81"/>
  <c r="BM601" i="81"/>
  <c r="BL601" i="81"/>
  <c r="BP600" i="81"/>
  <c r="BO600" i="81"/>
  <c r="BN600" i="81"/>
  <c r="BM600" i="81"/>
  <c r="BL600" i="81"/>
  <c r="BP599" i="81"/>
  <c r="BO599" i="81"/>
  <c r="BN599" i="81"/>
  <c r="BM599" i="81"/>
  <c r="BL599" i="81"/>
  <c r="BP598" i="81"/>
  <c r="BO598" i="81"/>
  <c r="BN598" i="81"/>
  <c r="BM598" i="81"/>
  <c r="BL598" i="81"/>
  <c r="BP597" i="81"/>
  <c r="BO597" i="81"/>
  <c r="BN597" i="81"/>
  <c r="BM597" i="81"/>
  <c r="BL597" i="81"/>
  <c r="BP596" i="81"/>
  <c r="BO596" i="81"/>
  <c r="BN596" i="81"/>
  <c r="BM596" i="81"/>
  <c r="BL596" i="81"/>
  <c r="BP595" i="81"/>
  <c r="BO595" i="81"/>
  <c r="BN595" i="81"/>
  <c r="BM595" i="81"/>
  <c r="BL595" i="81"/>
  <c r="BP594" i="81"/>
  <c r="BO594" i="81"/>
  <c r="BN594" i="81"/>
  <c r="BM594" i="81"/>
  <c r="BL594" i="81"/>
  <c r="BP593" i="81"/>
  <c r="BO593" i="81"/>
  <c r="BN593" i="81"/>
  <c r="BM593" i="81"/>
  <c r="BL593" i="81"/>
  <c r="BP592" i="81"/>
  <c r="BO592" i="81"/>
  <c r="BN592" i="81"/>
  <c r="BM592" i="81"/>
  <c r="BL592" i="81"/>
  <c r="BP591" i="81"/>
  <c r="BO591" i="81"/>
  <c r="BN591" i="81"/>
  <c r="BM591" i="81"/>
  <c r="BL591" i="81"/>
  <c r="BP590" i="81"/>
  <c r="BO590" i="81"/>
  <c r="BN590" i="81"/>
  <c r="BM590" i="81"/>
  <c r="BL590" i="81"/>
  <c r="BP589" i="81"/>
  <c r="BO589" i="81"/>
  <c r="BN589" i="81"/>
  <c r="BM589" i="81"/>
  <c r="BL589" i="81"/>
  <c r="BP588" i="81"/>
  <c r="BO588" i="81"/>
  <c r="BN588" i="81"/>
  <c r="BM588" i="81"/>
  <c r="BL588" i="81"/>
  <c r="BP587" i="81"/>
  <c r="BO587" i="81"/>
  <c r="BN587" i="81"/>
  <c r="BM587" i="81"/>
  <c r="BL587" i="81"/>
  <c r="BP586" i="81"/>
  <c r="BO586" i="81"/>
  <c r="BN586" i="81"/>
  <c r="BM586" i="81"/>
  <c r="BL586" i="81"/>
  <c r="BP585" i="81"/>
  <c r="BO585" i="81"/>
  <c r="BN585" i="81"/>
  <c r="BM585" i="81"/>
  <c r="BL585" i="81"/>
  <c r="BP584" i="81"/>
  <c r="BO584" i="81"/>
  <c r="BN584" i="81"/>
  <c r="BM584" i="81"/>
  <c r="BL584" i="81"/>
  <c r="BP583" i="81"/>
  <c r="BO583" i="81"/>
  <c r="BN583" i="81"/>
  <c r="BM583" i="81"/>
  <c r="BL583" i="81"/>
  <c r="BP582" i="81"/>
  <c r="BO582" i="81"/>
  <c r="BN582" i="81"/>
  <c r="BM582" i="81"/>
  <c r="BL582" i="81"/>
  <c r="BP581" i="81"/>
  <c r="BO581" i="81"/>
  <c r="BN581" i="81"/>
  <c r="BM581" i="81"/>
  <c r="BL581" i="81"/>
  <c r="BP580" i="81"/>
  <c r="BO580" i="81"/>
  <c r="BN580" i="81"/>
  <c r="BM580" i="81"/>
  <c r="BL580" i="81"/>
  <c r="BP579" i="81"/>
  <c r="BO579" i="81"/>
  <c r="BN579" i="81"/>
  <c r="BM579" i="81"/>
  <c r="BL579" i="81"/>
  <c r="BP578" i="81"/>
  <c r="BO578" i="81"/>
  <c r="BN578" i="81"/>
  <c r="BM578" i="81"/>
  <c r="BL578" i="81"/>
  <c r="BP577" i="81"/>
  <c r="BO577" i="81"/>
  <c r="BN577" i="81"/>
  <c r="BM577" i="81"/>
  <c r="BL577" i="81"/>
  <c r="BP576" i="81"/>
  <c r="BO576" i="81"/>
  <c r="BN576" i="81"/>
  <c r="BM576" i="81"/>
  <c r="BL576" i="81"/>
  <c r="BP575" i="81"/>
  <c r="BO575" i="81"/>
  <c r="BN575" i="81"/>
  <c r="BM575" i="81"/>
  <c r="BL575" i="81"/>
  <c r="BP574" i="81"/>
  <c r="BO574" i="81"/>
  <c r="BN574" i="81"/>
  <c r="BM574" i="81"/>
  <c r="BL574" i="81"/>
  <c r="BP573" i="81"/>
  <c r="BO573" i="81"/>
  <c r="BN573" i="81"/>
  <c r="BM573" i="81"/>
  <c r="BL573" i="81"/>
  <c r="BP572" i="81"/>
  <c r="BO572" i="81"/>
  <c r="BN572" i="81"/>
  <c r="BM572" i="81"/>
  <c r="BL572" i="81"/>
  <c r="BP571" i="81"/>
  <c r="BO571" i="81"/>
  <c r="BN571" i="81"/>
  <c r="BM571" i="81"/>
  <c r="BL571" i="81"/>
  <c r="BP570" i="81"/>
  <c r="BO570" i="81"/>
  <c r="BN570" i="81"/>
  <c r="BM570" i="81"/>
  <c r="BL570" i="81"/>
  <c r="BP569" i="81"/>
  <c r="BO569" i="81"/>
  <c r="BN569" i="81"/>
  <c r="BM569" i="81"/>
  <c r="BL569" i="81"/>
  <c r="BP568" i="81"/>
  <c r="BO568" i="81"/>
  <c r="BN568" i="81"/>
  <c r="BM568" i="81"/>
  <c r="BL568" i="81"/>
  <c r="BP567" i="81"/>
  <c r="BO567" i="81"/>
  <c r="BN567" i="81"/>
  <c r="BM567" i="81"/>
  <c r="BL567" i="81"/>
  <c r="BP566" i="81"/>
  <c r="BO566" i="81"/>
  <c r="BN566" i="81"/>
  <c r="BM566" i="81"/>
  <c r="BL566" i="81"/>
  <c r="BP565" i="81"/>
  <c r="BO565" i="81"/>
  <c r="BN565" i="81"/>
  <c r="BM565" i="81"/>
  <c r="BL565" i="81"/>
  <c r="BP564" i="81"/>
  <c r="BO564" i="81"/>
  <c r="BN564" i="81"/>
  <c r="BM564" i="81"/>
  <c r="BL564" i="81"/>
  <c r="BP563" i="81"/>
  <c r="BO563" i="81"/>
  <c r="BN563" i="81"/>
  <c r="BM563" i="81"/>
  <c r="BL563" i="81"/>
  <c r="BP562" i="81"/>
  <c r="BO562" i="81"/>
  <c r="BN562" i="81"/>
  <c r="BM562" i="81"/>
  <c r="BL562" i="81"/>
  <c r="BP561" i="81"/>
  <c r="BO561" i="81"/>
  <c r="BN561" i="81"/>
  <c r="BM561" i="81"/>
  <c r="BL561" i="81"/>
  <c r="BP560" i="81"/>
  <c r="BO560" i="81"/>
  <c r="BN560" i="81"/>
  <c r="BM560" i="81"/>
  <c r="BL560" i="81"/>
  <c r="BP559" i="81"/>
  <c r="BO559" i="81"/>
  <c r="BN559" i="81"/>
  <c r="BM559" i="81"/>
  <c r="BL559" i="81"/>
  <c r="BP558" i="81"/>
  <c r="BO558" i="81"/>
  <c r="BN558" i="81"/>
  <c r="BM558" i="81"/>
  <c r="BL558" i="81"/>
  <c r="BP557" i="81"/>
  <c r="BO557" i="81"/>
  <c r="BN557" i="81"/>
  <c r="BM557" i="81"/>
  <c r="BL557" i="81"/>
  <c r="BP556" i="81"/>
  <c r="BO556" i="81"/>
  <c r="BN556" i="81"/>
  <c r="BM556" i="81"/>
  <c r="BL556" i="81"/>
  <c r="BP555" i="81"/>
  <c r="BO555" i="81"/>
  <c r="BN555" i="81"/>
  <c r="BM555" i="81"/>
  <c r="BL555" i="81"/>
  <c r="BP554" i="81"/>
  <c r="BO554" i="81"/>
  <c r="BN554" i="81"/>
  <c r="BM554" i="81"/>
  <c r="BL554" i="81"/>
  <c r="BP553" i="81"/>
  <c r="BO553" i="81"/>
  <c r="BN553" i="81"/>
  <c r="BM553" i="81"/>
  <c r="BL553" i="81"/>
  <c r="BP552" i="81"/>
  <c r="BO552" i="81"/>
  <c r="BN552" i="81"/>
  <c r="BM552" i="81"/>
  <c r="BL552" i="81"/>
  <c r="BP551" i="81"/>
  <c r="BO551" i="81"/>
  <c r="BN551" i="81"/>
  <c r="BM551" i="81"/>
  <c r="BL551" i="81"/>
  <c r="BP550" i="81"/>
  <c r="BO550" i="81"/>
  <c r="BN550" i="81"/>
  <c r="BM550" i="81"/>
  <c r="BL550" i="81"/>
  <c r="BP549" i="81"/>
  <c r="BO549" i="81"/>
  <c r="BN549" i="81"/>
  <c r="BM549" i="81"/>
  <c r="BL549" i="81"/>
  <c r="BP548" i="81"/>
  <c r="BO548" i="81"/>
  <c r="BN548" i="81"/>
  <c r="BM548" i="81"/>
  <c r="BL548" i="81"/>
  <c r="BP547" i="81"/>
  <c r="BO547" i="81"/>
  <c r="BN547" i="81"/>
  <c r="BM547" i="81"/>
  <c r="BL547" i="81"/>
  <c r="BP546" i="81"/>
  <c r="BO546" i="81"/>
  <c r="BN546" i="81"/>
  <c r="BM546" i="81"/>
  <c r="BL546" i="81"/>
  <c r="BP545" i="81"/>
  <c r="BO545" i="81"/>
  <c r="BN545" i="81"/>
  <c r="BM545" i="81"/>
  <c r="BL545" i="81"/>
  <c r="BP544" i="81"/>
  <c r="BO544" i="81"/>
  <c r="BN544" i="81"/>
  <c r="BM544" i="81"/>
  <c r="BL544" i="81"/>
  <c r="BP543" i="81"/>
  <c r="BO543" i="81"/>
  <c r="BN543" i="81"/>
  <c r="BM543" i="81"/>
  <c r="BL543" i="81"/>
  <c r="BP542" i="81"/>
  <c r="BO542" i="81"/>
  <c r="BN542" i="81"/>
  <c r="BM542" i="81"/>
  <c r="BL542" i="81"/>
  <c r="BP541" i="81"/>
  <c r="BO541" i="81"/>
  <c r="BN541" i="81"/>
  <c r="BM541" i="81"/>
  <c r="BL541" i="81"/>
  <c r="BP540" i="81"/>
  <c r="BO540" i="81"/>
  <c r="BN540" i="81"/>
  <c r="BM540" i="81"/>
  <c r="BL540" i="81"/>
  <c r="BP539" i="81"/>
  <c r="BO539" i="81"/>
  <c r="BN539" i="81"/>
  <c r="BM539" i="81"/>
  <c r="BL539" i="81"/>
  <c r="BP538" i="81"/>
  <c r="BO538" i="81"/>
  <c r="BN538" i="81"/>
  <c r="BM538" i="81"/>
  <c r="BL538" i="81"/>
  <c r="BP537" i="81"/>
  <c r="BO537" i="81"/>
  <c r="BN537" i="81"/>
  <c r="BM537" i="81"/>
  <c r="BL537" i="81"/>
  <c r="BP536" i="81"/>
  <c r="BO536" i="81"/>
  <c r="BN536" i="81"/>
  <c r="BM536" i="81"/>
  <c r="BL536" i="81"/>
  <c r="BP535" i="81"/>
  <c r="BO535" i="81"/>
  <c r="BN535" i="81"/>
  <c r="BM535" i="81"/>
  <c r="BL535" i="81"/>
  <c r="BP534" i="81"/>
  <c r="BO534" i="81"/>
  <c r="BN534" i="81"/>
  <c r="BM534" i="81"/>
  <c r="BL534" i="81"/>
  <c r="BP533" i="81"/>
  <c r="BO533" i="81"/>
  <c r="BN533" i="81"/>
  <c r="BM533" i="81"/>
  <c r="BL533" i="81"/>
  <c r="BP532" i="81"/>
  <c r="BO532" i="81"/>
  <c r="BN532" i="81"/>
  <c r="BM532" i="81"/>
  <c r="BL532" i="81"/>
  <c r="BP531" i="81"/>
  <c r="BO531" i="81"/>
  <c r="BN531" i="81"/>
  <c r="BM531" i="81"/>
  <c r="BL531" i="81"/>
  <c r="BP530" i="81"/>
  <c r="BO530" i="81"/>
  <c r="BN530" i="81"/>
  <c r="BM530" i="81"/>
  <c r="BL530" i="81"/>
  <c r="BP529" i="81"/>
  <c r="BO529" i="81"/>
  <c r="BN529" i="81"/>
  <c r="BM529" i="81"/>
  <c r="BL529" i="81"/>
  <c r="BP528" i="81"/>
  <c r="BO528" i="81"/>
  <c r="BN528" i="81"/>
  <c r="BM528" i="81"/>
  <c r="BL528" i="81"/>
  <c r="BP527" i="81"/>
  <c r="BO527" i="81"/>
  <c r="BN527" i="81"/>
  <c r="BM527" i="81"/>
  <c r="BL527" i="81"/>
  <c r="BP526" i="81"/>
  <c r="BO526" i="81"/>
  <c r="BN526" i="81"/>
  <c r="BM526" i="81"/>
  <c r="BL526" i="81"/>
  <c r="BP525" i="81"/>
  <c r="BO525" i="81"/>
  <c r="BN525" i="81"/>
  <c r="BM525" i="81"/>
  <c r="BL525" i="81"/>
  <c r="BP524" i="81"/>
  <c r="BO524" i="81"/>
  <c r="BN524" i="81"/>
  <c r="BM524" i="81"/>
  <c r="BL524" i="81"/>
  <c r="BP523" i="81"/>
  <c r="BO523" i="81"/>
  <c r="BN523" i="81"/>
  <c r="BM523" i="81"/>
  <c r="BL523" i="81"/>
  <c r="BP522" i="81"/>
  <c r="BO522" i="81"/>
  <c r="BN522" i="81"/>
  <c r="BM522" i="81"/>
  <c r="BL522" i="81"/>
  <c r="BP521" i="81"/>
  <c r="BO521" i="81"/>
  <c r="BN521" i="81"/>
  <c r="BM521" i="81"/>
  <c r="BL521" i="81"/>
  <c r="BP520" i="81"/>
  <c r="BO520" i="81"/>
  <c r="BN520" i="81"/>
  <c r="BM520" i="81"/>
  <c r="BL520" i="81"/>
  <c r="BP519" i="81"/>
  <c r="BO519" i="81"/>
  <c r="BN519" i="81"/>
  <c r="BM519" i="81"/>
  <c r="BL519" i="81"/>
  <c r="BP518" i="81"/>
  <c r="BO518" i="81"/>
  <c r="BN518" i="81"/>
  <c r="BM518" i="81"/>
  <c r="BL518" i="81"/>
  <c r="BP517" i="81"/>
  <c r="BO517" i="81"/>
  <c r="BN517" i="81"/>
  <c r="BM517" i="81"/>
  <c r="BL517" i="81"/>
  <c r="BP516" i="81"/>
  <c r="BO516" i="81"/>
  <c r="BN516" i="81"/>
  <c r="BM516" i="81"/>
  <c r="BL516" i="81"/>
  <c r="BP515" i="81"/>
  <c r="BO515" i="81"/>
  <c r="BN515" i="81"/>
  <c r="BM515" i="81"/>
  <c r="BL515" i="81"/>
  <c r="BP514" i="81"/>
  <c r="BO514" i="81"/>
  <c r="BN514" i="81"/>
  <c r="BM514" i="81"/>
  <c r="BL514" i="81"/>
  <c r="BP513" i="81"/>
  <c r="BO513" i="81"/>
  <c r="BN513" i="81"/>
  <c r="BM513" i="81"/>
  <c r="BL513" i="81"/>
  <c r="BP512" i="81"/>
  <c r="BO512" i="81"/>
  <c r="BN512" i="81"/>
  <c r="BM512" i="81"/>
  <c r="BL512" i="81"/>
  <c r="BP511" i="81"/>
  <c r="BO511" i="81"/>
  <c r="BN511" i="81"/>
  <c r="BM511" i="81"/>
  <c r="BL511" i="81"/>
  <c r="BP510" i="81"/>
  <c r="BO510" i="81"/>
  <c r="BN510" i="81"/>
  <c r="BM510" i="81"/>
  <c r="BL510" i="81"/>
  <c r="BP509" i="81"/>
  <c r="BO509" i="81"/>
  <c r="BN509" i="81"/>
  <c r="BM509" i="81"/>
  <c r="BL509" i="81"/>
  <c r="BP508" i="81"/>
  <c r="BO508" i="81"/>
  <c r="BN508" i="81"/>
  <c r="BM508" i="81"/>
  <c r="BL508" i="81"/>
  <c r="BP507" i="81"/>
  <c r="BO507" i="81"/>
  <c r="BN507" i="81"/>
  <c r="BM507" i="81"/>
  <c r="BL507" i="81"/>
  <c r="BP506" i="81"/>
  <c r="BO506" i="81"/>
  <c r="BN506" i="81"/>
  <c r="BM506" i="81"/>
  <c r="BL506" i="81"/>
  <c r="BP505" i="81"/>
  <c r="BO505" i="81"/>
  <c r="BN505" i="81"/>
  <c r="BM505" i="81"/>
  <c r="BL505" i="81"/>
  <c r="BP504" i="81"/>
  <c r="BO504" i="81"/>
  <c r="BN504" i="81"/>
  <c r="BM504" i="81"/>
  <c r="BL504" i="81"/>
  <c r="BP503" i="81"/>
  <c r="BO503" i="81"/>
  <c r="BN503" i="81"/>
  <c r="BM503" i="81"/>
  <c r="BL503" i="81"/>
  <c r="BP502" i="81"/>
  <c r="BO502" i="81"/>
  <c r="BN502" i="81"/>
  <c r="BM502" i="81"/>
  <c r="BL502" i="81"/>
  <c r="BP501" i="81"/>
  <c r="BO501" i="81"/>
  <c r="BN501" i="81"/>
  <c r="BM501" i="81"/>
  <c r="BL501" i="81"/>
  <c r="BP500" i="81"/>
  <c r="BO500" i="81"/>
  <c r="BN500" i="81"/>
  <c r="BM500" i="81"/>
  <c r="BL500" i="81"/>
  <c r="BP499" i="81"/>
  <c r="BO499" i="81"/>
  <c r="BN499" i="81"/>
  <c r="BM499" i="81"/>
  <c r="BL499" i="81"/>
  <c r="BP498" i="81"/>
  <c r="BO498" i="81"/>
  <c r="BN498" i="81"/>
  <c r="BM498" i="81"/>
  <c r="BL498" i="81"/>
  <c r="BP497" i="81"/>
  <c r="BO497" i="81"/>
  <c r="BN497" i="81"/>
  <c r="BM497" i="81"/>
  <c r="BL497" i="81"/>
  <c r="BP496" i="81"/>
  <c r="BO496" i="81"/>
  <c r="BN496" i="81"/>
  <c r="BM496" i="81"/>
  <c r="BL496" i="81"/>
  <c r="BP495" i="81"/>
  <c r="BO495" i="81"/>
  <c r="BN495" i="81"/>
  <c r="BM495" i="81"/>
  <c r="BL495" i="81"/>
  <c r="BP494" i="81"/>
  <c r="BO494" i="81"/>
  <c r="BN494" i="81"/>
  <c r="BM494" i="81"/>
  <c r="BL494" i="81"/>
  <c r="BP493" i="81"/>
  <c r="BO493" i="81"/>
  <c r="BN493" i="81"/>
  <c r="BM493" i="81"/>
  <c r="BL493" i="81"/>
  <c r="BP492" i="81"/>
  <c r="BO492" i="81"/>
  <c r="BN492" i="81"/>
  <c r="BM492" i="81"/>
  <c r="BL492" i="81"/>
  <c r="BP491" i="81"/>
  <c r="BO491" i="81"/>
  <c r="BN491" i="81"/>
  <c r="BM491" i="81"/>
  <c r="BL491" i="81"/>
  <c r="BP490" i="81"/>
  <c r="BO490" i="81"/>
  <c r="BN490" i="81"/>
  <c r="BM490" i="81"/>
  <c r="BL490" i="81"/>
  <c r="BP489" i="81"/>
  <c r="BO489" i="81"/>
  <c r="BN489" i="81"/>
  <c r="BM489" i="81"/>
  <c r="BL489" i="81"/>
  <c r="BP488" i="81"/>
  <c r="BO488" i="81"/>
  <c r="BN488" i="81"/>
  <c r="BM488" i="81"/>
  <c r="BL488" i="81"/>
  <c r="BP487" i="81"/>
  <c r="BO487" i="81"/>
  <c r="BN487" i="81"/>
  <c r="BM487" i="81"/>
  <c r="BL487" i="81"/>
  <c r="BP486" i="81"/>
  <c r="BO486" i="81"/>
  <c r="BN486" i="81"/>
  <c r="BM486" i="81"/>
  <c r="BL486" i="81"/>
  <c r="BP485" i="81"/>
  <c r="BO485" i="81"/>
  <c r="BN485" i="81"/>
  <c r="BM485" i="81"/>
  <c r="BL485" i="81"/>
  <c r="BP484" i="81"/>
  <c r="BO484" i="81"/>
  <c r="BN484" i="81"/>
  <c r="BM484" i="81"/>
  <c r="BL484" i="81"/>
  <c r="BP483" i="81"/>
  <c r="BO483" i="81"/>
  <c r="BN483" i="81"/>
  <c r="BM483" i="81"/>
  <c r="BL483" i="81"/>
  <c r="BP482" i="81"/>
  <c r="BO482" i="81"/>
  <c r="BN482" i="81"/>
  <c r="BM482" i="81"/>
  <c r="BL482" i="81"/>
  <c r="BP481" i="81"/>
  <c r="BO481" i="81"/>
  <c r="BN481" i="81"/>
  <c r="BM481" i="81"/>
  <c r="BL481" i="81"/>
  <c r="BP480" i="81"/>
  <c r="BO480" i="81"/>
  <c r="BN480" i="81"/>
  <c r="BM480" i="81"/>
  <c r="BL480" i="81"/>
  <c r="BP479" i="81"/>
  <c r="BO479" i="81"/>
  <c r="BN479" i="81"/>
  <c r="BM479" i="81"/>
  <c r="BL479" i="81"/>
  <c r="BP478" i="81"/>
  <c r="BO478" i="81"/>
  <c r="BN478" i="81"/>
  <c r="BM478" i="81"/>
  <c r="BL478" i="81"/>
  <c r="BP477" i="81"/>
  <c r="BO477" i="81"/>
  <c r="BN477" i="81"/>
  <c r="BM477" i="81"/>
  <c r="BL477" i="81"/>
  <c r="BP476" i="81"/>
  <c r="BO476" i="81"/>
  <c r="BN476" i="81"/>
  <c r="BM476" i="81"/>
  <c r="BL476" i="81"/>
  <c r="BP475" i="81"/>
  <c r="BO475" i="81"/>
  <c r="BN475" i="81"/>
  <c r="BM475" i="81"/>
  <c r="BL475" i="81"/>
  <c r="BP474" i="81"/>
  <c r="BO474" i="81"/>
  <c r="BN474" i="81"/>
  <c r="BM474" i="81"/>
  <c r="BL474" i="81"/>
  <c r="BP473" i="81"/>
  <c r="BO473" i="81"/>
  <c r="BN473" i="81"/>
  <c r="BM473" i="81"/>
  <c r="BL473" i="81"/>
  <c r="BP472" i="81"/>
  <c r="BO472" i="81"/>
  <c r="BN472" i="81"/>
  <c r="BM472" i="81"/>
  <c r="BL472" i="81"/>
  <c r="BP471" i="81"/>
  <c r="BO471" i="81"/>
  <c r="BN471" i="81"/>
  <c r="BM471" i="81"/>
  <c r="BL471" i="81"/>
  <c r="BP470" i="81"/>
  <c r="BO470" i="81"/>
  <c r="BN470" i="81"/>
  <c r="BM470" i="81"/>
  <c r="BL470" i="81"/>
  <c r="BP469" i="81"/>
  <c r="BO469" i="81"/>
  <c r="BN469" i="81"/>
  <c r="BM469" i="81"/>
  <c r="BL469" i="81"/>
  <c r="BP468" i="81"/>
  <c r="BO468" i="81"/>
  <c r="BN468" i="81"/>
  <c r="BM468" i="81"/>
  <c r="BL468" i="81"/>
  <c r="BP467" i="81"/>
  <c r="BO467" i="81"/>
  <c r="BN467" i="81"/>
  <c r="BM467" i="81"/>
  <c r="BL467" i="81"/>
  <c r="BP466" i="81"/>
  <c r="BO466" i="81"/>
  <c r="BN466" i="81"/>
  <c r="BM466" i="81"/>
  <c r="BL466" i="81"/>
  <c r="BP465" i="81"/>
  <c r="BO465" i="81"/>
  <c r="BN465" i="81"/>
  <c r="BM465" i="81"/>
  <c r="BL465" i="81"/>
  <c r="BP464" i="81"/>
  <c r="BO464" i="81"/>
  <c r="BN464" i="81"/>
  <c r="BM464" i="81"/>
  <c r="BL464" i="81"/>
  <c r="BP463" i="81"/>
  <c r="BO463" i="81"/>
  <c r="BN463" i="81"/>
  <c r="BM463" i="81"/>
  <c r="BL463" i="81"/>
  <c r="BP462" i="81"/>
  <c r="BO462" i="81"/>
  <c r="BN462" i="81"/>
  <c r="BM462" i="81"/>
  <c r="BL462" i="81"/>
  <c r="BP461" i="81"/>
  <c r="BO461" i="81"/>
  <c r="BN461" i="81"/>
  <c r="BM461" i="81"/>
  <c r="BL461" i="81"/>
  <c r="BP460" i="81"/>
  <c r="BO460" i="81"/>
  <c r="BN460" i="81"/>
  <c r="BM460" i="81"/>
  <c r="BL460" i="81"/>
  <c r="BP459" i="81"/>
  <c r="BO459" i="81"/>
  <c r="BN459" i="81"/>
  <c r="BM459" i="81"/>
  <c r="BL459" i="81"/>
  <c r="BP458" i="81"/>
  <c r="BO458" i="81"/>
  <c r="BN458" i="81"/>
  <c r="BM458" i="81"/>
  <c r="BL458" i="81"/>
  <c r="BP457" i="81"/>
  <c r="BO457" i="81"/>
  <c r="BN457" i="81"/>
  <c r="BM457" i="81"/>
  <c r="BL457" i="81"/>
  <c r="BP456" i="81"/>
  <c r="BO456" i="81"/>
  <c r="BN456" i="81"/>
  <c r="BM456" i="81"/>
  <c r="BL456" i="81"/>
  <c r="BP455" i="81"/>
  <c r="BO455" i="81"/>
  <c r="BN455" i="81"/>
  <c r="BM455" i="81"/>
  <c r="BL455" i="81"/>
  <c r="BP454" i="81"/>
  <c r="BO454" i="81"/>
  <c r="BN454" i="81"/>
  <c r="BM454" i="81"/>
  <c r="BL454" i="81"/>
  <c r="BP453" i="81"/>
  <c r="BO453" i="81"/>
  <c r="BN453" i="81"/>
  <c r="BM453" i="81"/>
  <c r="BL453" i="81"/>
  <c r="BP452" i="81"/>
  <c r="BO452" i="81"/>
  <c r="BN452" i="81"/>
  <c r="BM452" i="81"/>
  <c r="BL452" i="81"/>
  <c r="BP451" i="81"/>
  <c r="BO451" i="81"/>
  <c r="BN451" i="81"/>
  <c r="BM451" i="81"/>
  <c r="BL451" i="81"/>
  <c r="BP450" i="81"/>
  <c r="BO450" i="81"/>
  <c r="BN450" i="81"/>
  <c r="BM450" i="81"/>
  <c r="BL450" i="81"/>
  <c r="BP449" i="81"/>
  <c r="BO449" i="81"/>
  <c r="BN449" i="81"/>
  <c r="BM449" i="81"/>
  <c r="BL449" i="81"/>
  <c r="BP448" i="81"/>
  <c r="BO448" i="81"/>
  <c r="BN448" i="81"/>
  <c r="BM448" i="81"/>
  <c r="BL448" i="81"/>
  <c r="BP447" i="81"/>
  <c r="BO447" i="81"/>
  <c r="BN447" i="81"/>
  <c r="BM447" i="81"/>
  <c r="BL447" i="81"/>
  <c r="BP446" i="81"/>
  <c r="BO446" i="81"/>
  <c r="BN446" i="81"/>
  <c r="BM446" i="81"/>
  <c r="BL446" i="81"/>
  <c r="BP445" i="81"/>
  <c r="BO445" i="81"/>
  <c r="BN445" i="81"/>
  <c r="BM445" i="81"/>
  <c r="BL445" i="81"/>
  <c r="BP444" i="81"/>
  <c r="BO444" i="81"/>
  <c r="BN444" i="81"/>
  <c r="BM444" i="81"/>
  <c r="BL444" i="81"/>
  <c r="BP443" i="81"/>
  <c r="BO443" i="81"/>
  <c r="BN443" i="81"/>
  <c r="BM443" i="81"/>
  <c r="BL443" i="81"/>
  <c r="BP442" i="81"/>
  <c r="BO442" i="81"/>
  <c r="BN442" i="81"/>
  <c r="BM442" i="81"/>
  <c r="BL442" i="81"/>
  <c r="BP441" i="81"/>
  <c r="BO441" i="81"/>
  <c r="BN441" i="81"/>
  <c r="BM441" i="81"/>
  <c r="BL441" i="81"/>
  <c r="BP440" i="81"/>
  <c r="BO440" i="81"/>
  <c r="BN440" i="81"/>
  <c r="BM440" i="81"/>
  <c r="BL440" i="81"/>
  <c r="BP439" i="81"/>
  <c r="BO439" i="81"/>
  <c r="BN439" i="81"/>
  <c r="BM439" i="81"/>
  <c r="BL439" i="81"/>
  <c r="BP438" i="81"/>
  <c r="BO438" i="81"/>
  <c r="BN438" i="81"/>
  <c r="BM438" i="81"/>
  <c r="BL438" i="81"/>
  <c r="BP437" i="81"/>
  <c r="BO437" i="81"/>
  <c r="BN437" i="81"/>
  <c r="BM437" i="81"/>
  <c r="BL437" i="81"/>
  <c r="BP436" i="81"/>
  <c r="BO436" i="81"/>
  <c r="BN436" i="81"/>
  <c r="BM436" i="81"/>
  <c r="BL436" i="81"/>
  <c r="BP435" i="81"/>
  <c r="BO435" i="81"/>
  <c r="BN435" i="81"/>
  <c r="BM435" i="81"/>
  <c r="BL435" i="81"/>
  <c r="BP434" i="81"/>
  <c r="BO434" i="81"/>
  <c r="BN434" i="81"/>
  <c r="BM434" i="81"/>
  <c r="BL434" i="81"/>
  <c r="BP433" i="81"/>
  <c r="BO433" i="81"/>
  <c r="BN433" i="81"/>
  <c r="BM433" i="81"/>
  <c r="BL433" i="81"/>
  <c r="BP432" i="81"/>
  <c r="BO432" i="81"/>
  <c r="BN432" i="81"/>
  <c r="BM432" i="81"/>
  <c r="BL432" i="81"/>
  <c r="BP431" i="81"/>
  <c r="BO431" i="81"/>
  <c r="BN431" i="81"/>
  <c r="BM431" i="81"/>
  <c r="BL431" i="81"/>
  <c r="BP430" i="81"/>
  <c r="BO430" i="81"/>
  <c r="BN430" i="81"/>
  <c r="BM430" i="81"/>
  <c r="BL430" i="81"/>
  <c r="BP429" i="81"/>
  <c r="BO429" i="81"/>
  <c r="BN429" i="81"/>
  <c r="BM429" i="81"/>
  <c r="BL429" i="81"/>
  <c r="BP428" i="81"/>
  <c r="BO428" i="81"/>
  <c r="BN428" i="81"/>
  <c r="BM428" i="81"/>
  <c r="BL428" i="81"/>
  <c r="BP427" i="81"/>
  <c r="BO427" i="81"/>
  <c r="BN427" i="81"/>
  <c r="BM427" i="81"/>
  <c r="BL427" i="81"/>
  <c r="BP426" i="81"/>
  <c r="BO426" i="81"/>
  <c r="BN426" i="81"/>
  <c r="BM426" i="81"/>
  <c r="BL426" i="81"/>
  <c r="BP425" i="81"/>
  <c r="BO425" i="81"/>
  <c r="BN425" i="81"/>
  <c r="BM425" i="81"/>
  <c r="BL425" i="81"/>
  <c r="BP424" i="81"/>
  <c r="BO424" i="81"/>
  <c r="BN424" i="81"/>
  <c r="BM424" i="81"/>
  <c r="BL424" i="81"/>
  <c r="BP423" i="81"/>
  <c r="BO423" i="81"/>
  <c r="BN423" i="81"/>
  <c r="BM423" i="81"/>
  <c r="BL423" i="81"/>
  <c r="BP422" i="81"/>
  <c r="BO422" i="81"/>
  <c r="BN422" i="81"/>
  <c r="BM422" i="81"/>
  <c r="BL422" i="81"/>
  <c r="BP421" i="81"/>
  <c r="BO421" i="81"/>
  <c r="BN421" i="81"/>
  <c r="BM421" i="81"/>
  <c r="BL421" i="81"/>
  <c r="BP420" i="81"/>
  <c r="BO420" i="81"/>
  <c r="BN420" i="81"/>
  <c r="BM420" i="81"/>
  <c r="BL420" i="81"/>
  <c r="BP419" i="81"/>
  <c r="BO419" i="81"/>
  <c r="BN419" i="81"/>
  <c r="BM419" i="81"/>
  <c r="BL419" i="81"/>
  <c r="BP418" i="81"/>
  <c r="BO418" i="81"/>
  <c r="BN418" i="81"/>
  <c r="BM418" i="81"/>
  <c r="BL418" i="81"/>
  <c r="BP417" i="81"/>
  <c r="BO417" i="81"/>
  <c r="BN417" i="81"/>
  <c r="BM417" i="81"/>
  <c r="BL417" i="81"/>
  <c r="BP416" i="81"/>
  <c r="BO416" i="81"/>
  <c r="BN416" i="81"/>
  <c r="BM416" i="81"/>
  <c r="BL416" i="81"/>
  <c r="BP415" i="81"/>
  <c r="BO415" i="81"/>
  <c r="BN415" i="81"/>
  <c r="BM415" i="81"/>
  <c r="BL415" i="81"/>
  <c r="BP414" i="81"/>
  <c r="BO414" i="81"/>
  <c r="BN414" i="81"/>
  <c r="BM414" i="81"/>
  <c r="BL414" i="81"/>
  <c r="BP413" i="81"/>
  <c r="BO413" i="81"/>
  <c r="BN413" i="81"/>
  <c r="BM413" i="81"/>
  <c r="BL413" i="81"/>
  <c r="BP412" i="81"/>
  <c r="BO412" i="81"/>
  <c r="BN412" i="81"/>
  <c r="BM412" i="81"/>
  <c r="BL412" i="81"/>
  <c r="BP411" i="81"/>
  <c r="BO411" i="81"/>
  <c r="BN411" i="81"/>
  <c r="BM411" i="81"/>
  <c r="BL411" i="81"/>
  <c r="BP410" i="81"/>
  <c r="BO410" i="81"/>
  <c r="BN410" i="81"/>
  <c r="BM410" i="81"/>
  <c r="BL410" i="81"/>
  <c r="BP409" i="81"/>
  <c r="BO409" i="81"/>
  <c r="BN409" i="81"/>
  <c r="BM409" i="81"/>
  <c r="BL409" i="81"/>
  <c r="BP408" i="81"/>
  <c r="BO408" i="81"/>
  <c r="BN408" i="81"/>
  <c r="BM408" i="81"/>
  <c r="BL408" i="81"/>
  <c r="BP407" i="81"/>
  <c r="BO407" i="81"/>
  <c r="BN407" i="81"/>
  <c r="BM407" i="81"/>
  <c r="BL407" i="81"/>
  <c r="BP406" i="81"/>
  <c r="BO406" i="81"/>
  <c r="BN406" i="81"/>
  <c r="BM406" i="81"/>
  <c r="BL406" i="81"/>
  <c r="BP405" i="81"/>
  <c r="BO405" i="81"/>
  <c r="BN405" i="81"/>
  <c r="BM405" i="81"/>
  <c r="BL405" i="81"/>
  <c r="BP404" i="81"/>
  <c r="BO404" i="81"/>
  <c r="BN404" i="81"/>
  <c r="BM404" i="81"/>
  <c r="BL404" i="81"/>
  <c r="BP403" i="81"/>
  <c r="BO403" i="81"/>
  <c r="BN403" i="81"/>
  <c r="BM403" i="81"/>
  <c r="BL403" i="81"/>
  <c r="BP402" i="81"/>
  <c r="BO402" i="81"/>
  <c r="BN402" i="81"/>
  <c r="BM402" i="81"/>
  <c r="BL402" i="81"/>
  <c r="BP401" i="81"/>
  <c r="BO401" i="81"/>
  <c r="BN401" i="81"/>
  <c r="BM401" i="81"/>
  <c r="BL401" i="81"/>
  <c r="BP400" i="81"/>
  <c r="BO400" i="81"/>
  <c r="BN400" i="81"/>
  <c r="BM400" i="81"/>
  <c r="BL400" i="81"/>
  <c r="BP399" i="81"/>
  <c r="BO399" i="81"/>
  <c r="BN399" i="81"/>
  <c r="BM399" i="81"/>
  <c r="BL399" i="81"/>
  <c r="BP398" i="81"/>
  <c r="BO398" i="81"/>
  <c r="BN398" i="81"/>
  <c r="BM398" i="81"/>
  <c r="BL398" i="81"/>
  <c r="BP397" i="81"/>
  <c r="BO397" i="81"/>
  <c r="BN397" i="81"/>
  <c r="BM397" i="81"/>
  <c r="BL397" i="81"/>
  <c r="BP396" i="81"/>
  <c r="BO396" i="81"/>
  <c r="BN396" i="81"/>
  <c r="BM396" i="81"/>
  <c r="BL396" i="81"/>
  <c r="BP395" i="81"/>
  <c r="BO395" i="81"/>
  <c r="BN395" i="81"/>
  <c r="BM395" i="81"/>
  <c r="BL395" i="81"/>
  <c r="BP394" i="81"/>
  <c r="BO394" i="81"/>
  <c r="BN394" i="81"/>
  <c r="BM394" i="81"/>
  <c r="BL394" i="81"/>
  <c r="BP393" i="81"/>
  <c r="BO393" i="81"/>
  <c r="BN393" i="81"/>
  <c r="BM393" i="81"/>
  <c r="BL393" i="81"/>
  <c r="BP392" i="81"/>
  <c r="BO392" i="81"/>
  <c r="BN392" i="81"/>
  <c r="BM392" i="81"/>
  <c r="BL392" i="81"/>
  <c r="BP391" i="81"/>
  <c r="BO391" i="81"/>
  <c r="BN391" i="81"/>
  <c r="BM391" i="81"/>
  <c r="BL391" i="81"/>
  <c r="BP390" i="81"/>
  <c r="BO390" i="81"/>
  <c r="BN390" i="81"/>
  <c r="BM390" i="81"/>
  <c r="BL390" i="81"/>
  <c r="BP389" i="81"/>
  <c r="BO389" i="81"/>
  <c r="BN389" i="81"/>
  <c r="BM389" i="81"/>
  <c r="BL389" i="81"/>
  <c r="BP388" i="81"/>
  <c r="BO388" i="81"/>
  <c r="BN388" i="81"/>
  <c r="BM388" i="81"/>
  <c r="BL388" i="81"/>
  <c r="BP387" i="81"/>
  <c r="BO387" i="81"/>
  <c r="BN387" i="81"/>
  <c r="BM387" i="81"/>
  <c r="BL387" i="81"/>
  <c r="BP386" i="81"/>
  <c r="BO386" i="81"/>
  <c r="BN386" i="81"/>
  <c r="BM386" i="81"/>
  <c r="BL386" i="81"/>
  <c r="BP385" i="81"/>
  <c r="BO385" i="81"/>
  <c r="BN385" i="81"/>
  <c r="BM385" i="81"/>
  <c r="BL385" i="81"/>
  <c r="BP384" i="81"/>
  <c r="BO384" i="81"/>
  <c r="BN384" i="81"/>
  <c r="BM384" i="81"/>
  <c r="BL384" i="81"/>
  <c r="BP383" i="81"/>
  <c r="BO383" i="81"/>
  <c r="BN383" i="81"/>
  <c r="BM383" i="81"/>
  <c r="BL383" i="81"/>
  <c r="BP382" i="81"/>
  <c r="BO382" i="81"/>
  <c r="BN382" i="81"/>
  <c r="BM382" i="81"/>
  <c r="BL382" i="81"/>
  <c r="BP381" i="81"/>
  <c r="BO381" i="81"/>
  <c r="BN381" i="81"/>
  <c r="BM381" i="81"/>
  <c r="BL381" i="81"/>
  <c r="BP380" i="81"/>
  <c r="BO380" i="81"/>
  <c r="BN380" i="81"/>
  <c r="BM380" i="81"/>
  <c r="BL380" i="81"/>
  <c r="BP379" i="81"/>
  <c r="BO379" i="81"/>
  <c r="BN379" i="81"/>
  <c r="BM379" i="81"/>
  <c r="BL379" i="81"/>
  <c r="BP378" i="81"/>
  <c r="BO378" i="81"/>
  <c r="BN378" i="81"/>
  <c r="BM378" i="81"/>
  <c r="BL378" i="81"/>
  <c r="BP377" i="81"/>
  <c r="BO377" i="81"/>
  <c r="BN377" i="81"/>
  <c r="BM377" i="81"/>
  <c r="BL377" i="81"/>
  <c r="BP376" i="81"/>
  <c r="BO376" i="81"/>
  <c r="BN376" i="81"/>
  <c r="BM376" i="81"/>
  <c r="BL376" i="81"/>
  <c r="BP375" i="81"/>
  <c r="BO375" i="81"/>
  <c r="BN375" i="81"/>
  <c r="BM375" i="81"/>
  <c r="BL375" i="81"/>
  <c r="BP374" i="81"/>
  <c r="BO374" i="81"/>
  <c r="BN374" i="81"/>
  <c r="BM374" i="81"/>
  <c r="BL374" i="81"/>
  <c r="BP373" i="81"/>
  <c r="BO373" i="81"/>
  <c r="BN373" i="81"/>
  <c r="BM373" i="81"/>
  <c r="BL373" i="81"/>
  <c r="BP372" i="81"/>
  <c r="BO372" i="81"/>
  <c r="BN372" i="81"/>
  <c r="BM372" i="81"/>
  <c r="BL372" i="81"/>
  <c r="BP371" i="81"/>
  <c r="BO371" i="81"/>
  <c r="BN371" i="81"/>
  <c r="BM371" i="81"/>
  <c r="BL371" i="81"/>
  <c r="BP370" i="81"/>
  <c r="BO370" i="81"/>
  <c r="BN370" i="81"/>
  <c r="BM370" i="81"/>
  <c r="BL370" i="81"/>
  <c r="BP369" i="81"/>
  <c r="BO369" i="81"/>
  <c r="BN369" i="81"/>
  <c r="BM369" i="81"/>
  <c r="BL369" i="81"/>
  <c r="BP368" i="81"/>
  <c r="BO368" i="81"/>
  <c r="BN368" i="81"/>
  <c r="BM368" i="81"/>
  <c r="BL368" i="81"/>
  <c r="BP367" i="81"/>
  <c r="BO367" i="81"/>
  <c r="BN367" i="81"/>
  <c r="BM367" i="81"/>
  <c r="BL367" i="81"/>
  <c r="BP366" i="81"/>
  <c r="BO366" i="81"/>
  <c r="BN366" i="81"/>
  <c r="BM366" i="81"/>
  <c r="BL366" i="81"/>
  <c r="BP365" i="81"/>
  <c r="BO365" i="81"/>
  <c r="BN365" i="81"/>
  <c r="BM365" i="81"/>
  <c r="BL365" i="81"/>
  <c r="BP364" i="81"/>
  <c r="BO364" i="81"/>
  <c r="BN364" i="81"/>
  <c r="BM364" i="81"/>
  <c r="BL364" i="81"/>
  <c r="BP363" i="81"/>
  <c r="BO363" i="81"/>
  <c r="BN363" i="81"/>
  <c r="BM363" i="81"/>
  <c r="BL363" i="81"/>
  <c r="BP362" i="81"/>
  <c r="BO362" i="81"/>
  <c r="BN362" i="81"/>
  <c r="BM362" i="81"/>
  <c r="BL362" i="81"/>
  <c r="BP361" i="81"/>
  <c r="BO361" i="81"/>
  <c r="BN361" i="81"/>
  <c r="BM361" i="81"/>
  <c r="BL361" i="81"/>
  <c r="BP360" i="81"/>
  <c r="BO360" i="81"/>
  <c r="BN360" i="81"/>
  <c r="BM360" i="81"/>
  <c r="BL360" i="81"/>
  <c r="BP359" i="81"/>
  <c r="BO359" i="81"/>
  <c r="BN359" i="81"/>
  <c r="BM359" i="81"/>
  <c r="BL359" i="81"/>
  <c r="BP358" i="81"/>
  <c r="BO358" i="81"/>
  <c r="BN358" i="81"/>
  <c r="BM358" i="81"/>
  <c r="BL358" i="81"/>
  <c r="BP357" i="81"/>
  <c r="BO357" i="81"/>
  <c r="BN357" i="81"/>
  <c r="BM357" i="81"/>
  <c r="BL357" i="81"/>
  <c r="BP356" i="81"/>
  <c r="BO356" i="81"/>
  <c r="BN356" i="81"/>
  <c r="BM356" i="81"/>
  <c r="BL356" i="81"/>
  <c r="BP355" i="81"/>
  <c r="BO355" i="81"/>
  <c r="BN355" i="81"/>
  <c r="BM355" i="81"/>
  <c r="BL355" i="81"/>
  <c r="BP354" i="81"/>
  <c r="BO354" i="81"/>
  <c r="BN354" i="81"/>
  <c r="BM354" i="81"/>
  <c r="BL354" i="81"/>
  <c r="BP353" i="81"/>
  <c r="BO353" i="81"/>
  <c r="BN353" i="81"/>
  <c r="BM353" i="81"/>
  <c r="BL353" i="81"/>
  <c r="BP352" i="81"/>
  <c r="BO352" i="81"/>
  <c r="BN352" i="81"/>
  <c r="BM352" i="81"/>
  <c r="BL352" i="81"/>
  <c r="BP351" i="81"/>
  <c r="BO351" i="81"/>
  <c r="BN351" i="81"/>
  <c r="BM351" i="81"/>
  <c r="BL351" i="81"/>
  <c r="BP350" i="81"/>
  <c r="BO350" i="81"/>
  <c r="BN350" i="81"/>
  <c r="BM350" i="81"/>
  <c r="BL350" i="81"/>
  <c r="BP349" i="81"/>
  <c r="BO349" i="81"/>
  <c r="BN349" i="81"/>
  <c r="BM349" i="81"/>
  <c r="BL349" i="81"/>
  <c r="BP348" i="81"/>
  <c r="BO348" i="81"/>
  <c r="BN348" i="81"/>
  <c r="BM348" i="81"/>
  <c r="BL348" i="81"/>
  <c r="BP347" i="81"/>
  <c r="BO347" i="81"/>
  <c r="BN347" i="81"/>
  <c r="BM347" i="81"/>
  <c r="BL347" i="81"/>
  <c r="BP346" i="81"/>
  <c r="BO346" i="81"/>
  <c r="BN346" i="81"/>
  <c r="BM346" i="81"/>
  <c r="BL346" i="81"/>
  <c r="BP345" i="81"/>
  <c r="BO345" i="81"/>
  <c r="BN345" i="81"/>
  <c r="BM345" i="81"/>
  <c r="BL345" i="81"/>
  <c r="BP344" i="81"/>
  <c r="BO344" i="81"/>
  <c r="BN344" i="81"/>
  <c r="BM344" i="81"/>
  <c r="BL344" i="81"/>
  <c r="BP343" i="81"/>
  <c r="BO343" i="81"/>
  <c r="BN343" i="81"/>
  <c r="BM343" i="81"/>
  <c r="BL343" i="81"/>
  <c r="BP342" i="81"/>
  <c r="BO342" i="81"/>
  <c r="BN342" i="81"/>
  <c r="BM342" i="81"/>
  <c r="BL342" i="81"/>
  <c r="BP341" i="81"/>
  <c r="BO341" i="81"/>
  <c r="BN341" i="81"/>
  <c r="BM341" i="81"/>
  <c r="BL341" i="81"/>
  <c r="BP340" i="81"/>
  <c r="BO340" i="81"/>
  <c r="BN340" i="81"/>
  <c r="BM340" i="81"/>
  <c r="BL340" i="81"/>
  <c r="BP339" i="81"/>
  <c r="BO339" i="81"/>
  <c r="BN339" i="81"/>
  <c r="BM339" i="81"/>
  <c r="BL339" i="81"/>
  <c r="BP338" i="81"/>
  <c r="BO338" i="81"/>
  <c r="BN338" i="81"/>
  <c r="BM338" i="81"/>
  <c r="BL338" i="81"/>
  <c r="BP337" i="81"/>
  <c r="BO337" i="81"/>
  <c r="BN337" i="81"/>
  <c r="BM337" i="81"/>
  <c r="BL337" i="81"/>
  <c r="BP336" i="81"/>
  <c r="BO336" i="81"/>
  <c r="BN336" i="81"/>
  <c r="BM336" i="81"/>
  <c r="BL336" i="81"/>
  <c r="BP335" i="81"/>
  <c r="BO335" i="81"/>
  <c r="BN335" i="81"/>
  <c r="BM335" i="81"/>
  <c r="BL335" i="81"/>
  <c r="BP334" i="81"/>
  <c r="BO334" i="81"/>
  <c r="BN334" i="81"/>
  <c r="BM334" i="81"/>
  <c r="BL334" i="81"/>
  <c r="BP333" i="81"/>
  <c r="BO333" i="81"/>
  <c r="BN333" i="81"/>
  <c r="BM333" i="81"/>
  <c r="BL333" i="81"/>
  <c r="BP332" i="81"/>
  <c r="BO332" i="81"/>
  <c r="BN332" i="81"/>
  <c r="BM332" i="81"/>
  <c r="BL332" i="81"/>
  <c r="BP331" i="81"/>
  <c r="BO331" i="81"/>
  <c r="BN331" i="81"/>
  <c r="BM331" i="81"/>
  <c r="BL331" i="81"/>
  <c r="BP330" i="81"/>
  <c r="BO330" i="81"/>
  <c r="BN330" i="81"/>
  <c r="BM330" i="81"/>
  <c r="BL330" i="81"/>
  <c r="BP329" i="81"/>
  <c r="BO329" i="81"/>
  <c r="BN329" i="81"/>
  <c r="BM329" i="81"/>
  <c r="BL329" i="81"/>
  <c r="BP328" i="81"/>
  <c r="BO328" i="81"/>
  <c r="BN328" i="81"/>
  <c r="BM328" i="81"/>
  <c r="BL328" i="81"/>
  <c r="BP327" i="81"/>
  <c r="BO327" i="81"/>
  <c r="BN327" i="81"/>
  <c r="BM327" i="81"/>
  <c r="BL327" i="81"/>
  <c r="BP326" i="81"/>
  <c r="BO326" i="81"/>
  <c r="BN326" i="81"/>
  <c r="BM326" i="81"/>
  <c r="BL326" i="81"/>
  <c r="BP325" i="81"/>
  <c r="BO325" i="81"/>
  <c r="BN325" i="81"/>
  <c r="BM325" i="81"/>
  <c r="BL325" i="81"/>
  <c r="BP324" i="81"/>
  <c r="BO324" i="81"/>
  <c r="BN324" i="81"/>
  <c r="BM324" i="81"/>
  <c r="BL324" i="81"/>
  <c r="BP323" i="81"/>
  <c r="BO323" i="81"/>
  <c r="BN323" i="81"/>
  <c r="BM323" i="81"/>
  <c r="BL323" i="81"/>
  <c r="BP322" i="81"/>
  <c r="BO322" i="81"/>
  <c r="BN322" i="81"/>
  <c r="BM322" i="81"/>
  <c r="BL322" i="81"/>
  <c r="BP321" i="81"/>
  <c r="BO321" i="81"/>
  <c r="BN321" i="81"/>
  <c r="BM321" i="81"/>
  <c r="BL321" i="81"/>
  <c r="BP320" i="81"/>
  <c r="BO320" i="81"/>
  <c r="BN320" i="81"/>
  <c r="BM320" i="81"/>
  <c r="BL320" i="81"/>
  <c r="BP319" i="81"/>
  <c r="BO319" i="81"/>
  <c r="BN319" i="81"/>
  <c r="BM319" i="81"/>
  <c r="BL319" i="81"/>
  <c r="BP318" i="81"/>
  <c r="BO318" i="81"/>
  <c r="BN318" i="81"/>
  <c r="BM318" i="81"/>
  <c r="BL318" i="81"/>
  <c r="BP317" i="81"/>
  <c r="BO317" i="81"/>
  <c r="BN317" i="81"/>
  <c r="BM317" i="81"/>
  <c r="BL317" i="81"/>
  <c r="BP316" i="81"/>
  <c r="BO316" i="81"/>
  <c r="BN316" i="81"/>
  <c r="BM316" i="81"/>
  <c r="BL316" i="81"/>
  <c r="BP315" i="81"/>
  <c r="BO315" i="81"/>
  <c r="BN315" i="81"/>
  <c r="BM315" i="81"/>
  <c r="BL315" i="81"/>
  <c r="BP314" i="81"/>
  <c r="BO314" i="81"/>
  <c r="BN314" i="81"/>
  <c r="BM314" i="81"/>
  <c r="BL314" i="81"/>
  <c r="BP313" i="81"/>
  <c r="BO313" i="81"/>
  <c r="BN313" i="81"/>
  <c r="BM313" i="81"/>
  <c r="BL313" i="81"/>
  <c r="BP312" i="81"/>
  <c r="BO312" i="81"/>
  <c r="BN312" i="81"/>
  <c r="BM312" i="81"/>
  <c r="BL312" i="81"/>
  <c r="BP311" i="81"/>
  <c r="BO311" i="81"/>
  <c r="BN311" i="81"/>
  <c r="BM311" i="81"/>
  <c r="BL311" i="81"/>
  <c r="BP310" i="81"/>
  <c r="BO310" i="81"/>
  <c r="BN310" i="81"/>
  <c r="BM310" i="81"/>
  <c r="BL310" i="81"/>
  <c r="BP309" i="81"/>
  <c r="BO309" i="81"/>
  <c r="BN309" i="81"/>
  <c r="BM309" i="81"/>
  <c r="BL309" i="81"/>
  <c r="BP308" i="81"/>
  <c r="BO308" i="81"/>
  <c r="BN308" i="81"/>
  <c r="BM308" i="81"/>
  <c r="BL308" i="81"/>
  <c r="BP307" i="81"/>
  <c r="BO307" i="81"/>
  <c r="BN307" i="81"/>
  <c r="BM307" i="81"/>
  <c r="BL307" i="81"/>
  <c r="BP306" i="81"/>
  <c r="BO306" i="81"/>
  <c r="BN306" i="81"/>
  <c r="BM306" i="81"/>
  <c r="BL306" i="81"/>
  <c r="BP305" i="81"/>
  <c r="BO305" i="81"/>
  <c r="BN305" i="81"/>
  <c r="BM305" i="81"/>
  <c r="BL305" i="81"/>
  <c r="BP304" i="81"/>
  <c r="BO304" i="81"/>
  <c r="BN304" i="81"/>
  <c r="BM304" i="81"/>
  <c r="BL304" i="81"/>
  <c r="BP303" i="81"/>
  <c r="BO303" i="81"/>
  <c r="BN303" i="81"/>
  <c r="BM303" i="81"/>
  <c r="BL303" i="81"/>
  <c r="BP302" i="81"/>
  <c r="BO302" i="81"/>
  <c r="BN302" i="81"/>
  <c r="BM302" i="81"/>
  <c r="BL302" i="81"/>
  <c r="BP301" i="81"/>
  <c r="BO301" i="81"/>
  <c r="BN301" i="81"/>
  <c r="BM301" i="81"/>
  <c r="BL301" i="81"/>
  <c r="BP300" i="81"/>
  <c r="BO300" i="81"/>
  <c r="BN300" i="81"/>
  <c r="BM300" i="81"/>
  <c r="BL300" i="81"/>
  <c r="BP299" i="81"/>
  <c r="BO299" i="81"/>
  <c r="BN299" i="81"/>
  <c r="BM299" i="81"/>
  <c r="BL299" i="81"/>
  <c r="BP298" i="81"/>
  <c r="BO298" i="81"/>
  <c r="BN298" i="81"/>
  <c r="BM298" i="81"/>
  <c r="BL298" i="81"/>
  <c r="BP297" i="81"/>
  <c r="BO297" i="81"/>
  <c r="BN297" i="81"/>
  <c r="BM297" i="81"/>
  <c r="BL297" i="81"/>
  <c r="BP296" i="81"/>
  <c r="BO296" i="81"/>
  <c r="BN296" i="81"/>
  <c r="BM296" i="81"/>
  <c r="BL296" i="81"/>
  <c r="BP295" i="81"/>
  <c r="BO295" i="81"/>
  <c r="BN295" i="81"/>
  <c r="BM295" i="81"/>
  <c r="BL295" i="81"/>
  <c r="BP294" i="81"/>
  <c r="BO294" i="81"/>
  <c r="BN294" i="81"/>
  <c r="BM294" i="81"/>
  <c r="BL294" i="81"/>
  <c r="BP293" i="81"/>
  <c r="BO293" i="81"/>
  <c r="BN293" i="81"/>
  <c r="BM293" i="81"/>
  <c r="BL293" i="81"/>
  <c r="BP292" i="81"/>
  <c r="BO292" i="81"/>
  <c r="BN292" i="81"/>
  <c r="BM292" i="81"/>
  <c r="BL292" i="81"/>
  <c r="BP291" i="81"/>
  <c r="BO291" i="81"/>
  <c r="BN291" i="81"/>
  <c r="BM291" i="81"/>
  <c r="BL291" i="81"/>
  <c r="BP290" i="81"/>
  <c r="BO290" i="81"/>
  <c r="BN290" i="81"/>
  <c r="BM290" i="81"/>
  <c r="BL290" i="81"/>
  <c r="BP289" i="81"/>
  <c r="BO289" i="81"/>
  <c r="BN289" i="81"/>
  <c r="BM289" i="81"/>
  <c r="BL289" i="81"/>
  <c r="BP288" i="81"/>
  <c r="BO288" i="81"/>
  <c r="BN288" i="81"/>
  <c r="BM288" i="81"/>
  <c r="BL288" i="81"/>
  <c r="BP287" i="81"/>
  <c r="BO287" i="81"/>
  <c r="BN287" i="81"/>
  <c r="BM287" i="81"/>
  <c r="BL287" i="81"/>
  <c r="BP286" i="81"/>
  <c r="BO286" i="81"/>
  <c r="BN286" i="81"/>
  <c r="BM286" i="81"/>
  <c r="BL286" i="81"/>
  <c r="BP285" i="81"/>
  <c r="BO285" i="81"/>
  <c r="BN285" i="81"/>
  <c r="BM285" i="81"/>
  <c r="BL285" i="81"/>
  <c r="BP284" i="81"/>
  <c r="BO284" i="81"/>
  <c r="BN284" i="81"/>
  <c r="BM284" i="81"/>
  <c r="BL284" i="81"/>
  <c r="BP283" i="81"/>
  <c r="BO283" i="81"/>
  <c r="BN283" i="81"/>
  <c r="BM283" i="81"/>
  <c r="BL283" i="81"/>
  <c r="BP282" i="81"/>
  <c r="BO282" i="81"/>
  <c r="BN282" i="81"/>
  <c r="BM282" i="81"/>
  <c r="BL282" i="81"/>
  <c r="BP281" i="81"/>
  <c r="BO281" i="81"/>
  <c r="BN281" i="81"/>
  <c r="BM281" i="81"/>
  <c r="BL281" i="81"/>
  <c r="BP280" i="81"/>
  <c r="BO280" i="81"/>
  <c r="BN280" i="81"/>
  <c r="BM280" i="81"/>
  <c r="BL280" i="81"/>
  <c r="BP279" i="81"/>
  <c r="BO279" i="81"/>
  <c r="BN279" i="81"/>
  <c r="BM279" i="81"/>
  <c r="BL279" i="81"/>
  <c r="BP278" i="81"/>
  <c r="BO278" i="81"/>
  <c r="BN278" i="81"/>
  <c r="BM278" i="81"/>
  <c r="BL278" i="81"/>
  <c r="BP277" i="81"/>
  <c r="BO277" i="81"/>
  <c r="BN277" i="81"/>
  <c r="BM277" i="81"/>
  <c r="BL277" i="81"/>
  <c r="BP276" i="81"/>
  <c r="BO276" i="81"/>
  <c r="BN276" i="81"/>
  <c r="BM276" i="81"/>
  <c r="BL276" i="81"/>
  <c r="BP275" i="81"/>
  <c r="BO275" i="81"/>
  <c r="BN275" i="81"/>
  <c r="BM275" i="81"/>
  <c r="BL275" i="81"/>
  <c r="BP274" i="81"/>
  <c r="BO274" i="81"/>
  <c r="BN274" i="81"/>
  <c r="BM274" i="81"/>
  <c r="BL274" i="81"/>
  <c r="BP273" i="81"/>
  <c r="BO273" i="81"/>
  <c r="BN273" i="81"/>
  <c r="BM273" i="81"/>
  <c r="BL273" i="81"/>
  <c r="BP272" i="81"/>
  <c r="BO272" i="81"/>
  <c r="BN272" i="81"/>
  <c r="BM272" i="81"/>
  <c r="BL272" i="81"/>
  <c r="BP271" i="81"/>
  <c r="BO271" i="81"/>
  <c r="BN271" i="81"/>
  <c r="BM271" i="81"/>
  <c r="BL271" i="81"/>
  <c r="BP270" i="81"/>
  <c r="BO270" i="81"/>
  <c r="BN270" i="81"/>
  <c r="BM270" i="81"/>
  <c r="BL270" i="81"/>
  <c r="BP269" i="81"/>
  <c r="BO269" i="81"/>
  <c r="BN269" i="81"/>
  <c r="BM269" i="81"/>
  <c r="BL269" i="81"/>
  <c r="BP268" i="81"/>
  <c r="BO268" i="81"/>
  <c r="BN268" i="81"/>
  <c r="BM268" i="81"/>
  <c r="BL268" i="81"/>
  <c r="BP267" i="81"/>
  <c r="BO267" i="81"/>
  <c r="BN267" i="81"/>
  <c r="BM267" i="81"/>
  <c r="BL267" i="81"/>
  <c r="BP266" i="81"/>
  <c r="BO266" i="81"/>
  <c r="BN266" i="81"/>
  <c r="BM266" i="81"/>
  <c r="BL266" i="81"/>
  <c r="BP265" i="81"/>
  <c r="BO265" i="81"/>
  <c r="BN265" i="81"/>
  <c r="BM265" i="81"/>
  <c r="BL265" i="81"/>
  <c r="BP264" i="81"/>
  <c r="BO264" i="81"/>
  <c r="BN264" i="81"/>
  <c r="BM264" i="81"/>
  <c r="BL264" i="81"/>
  <c r="BP263" i="81"/>
  <c r="BO263" i="81"/>
  <c r="BN263" i="81"/>
  <c r="BM263" i="81"/>
  <c r="BL263" i="81"/>
  <c r="BP262" i="81"/>
  <c r="BO262" i="81"/>
  <c r="BN262" i="81"/>
  <c r="BM262" i="81"/>
  <c r="BL262" i="81"/>
  <c r="BP261" i="81"/>
  <c r="BO261" i="81"/>
  <c r="BN261" i="81"/>
  <c r="BM261" i="81"/>
  <c r="BL261" i="81"/>
  <c r="BP260" i="81"/>
  <c r="BO260" i="81"/>
  <c r="BN260" i="81"/>
  <c r="BM260" i="81"/>
  <c r="BL260" i="81"/>
  <c r="BP259" i="81"/>
  <c r="BO259" i="81"/>
  <c r="BN259" i="81"/>
  <c r="BM259" i="81"/>
  <c r="BL259" i="81"/>
  <c r="BP258" i="81"/>
  <c r="BO258" i="81"/>
  <c r="BN258" i="81"/>
  <c r="BM258" i="81"/>
  <c r="BL258" i="81"/>
  <c r="BP257" i="81"/>
  <c r="BO257" i="81"/>
  <c r="BN257" i="81"/>
  <c r="BM257" i="81"/>
  <c r="BL257" i="81"/>
  <c r="BP256" i="81"/>
  <c r="BO256" i="81"/>
  <c r="BN256" i="81"/>
  <c r="BM256" i="81"/>
  <c r="BL256" i="81"/>
  <c r="BP255" i="81"/>
  <c r="BO255" i="81"/>
  <c r="BN255" i="81"/>
  <c r="BM255" i="81"/>
  <c r="BL255" i="81"/>
  <c r="BP254" i="81"/>
  <c r="BO254" i="81"/>
  <c r="BN254" i="81"/>
  <c r="BM254" i="81"/>
  <c r="BL254" i="81"/>
  <c r="BP253" i="81"/>
  <c r="BO253" i="81"/>
  <c r="BN253" i="81"/>
  <c r="BM253" i="81"/>
  <c r="BL253" i="81"/>
  <c r="BP252" i="81"/>
  <c r="BO252" i="81"/>
  <c r="BN252" i="81"/>
  <c r="BM252" i="81"/>
  <c r="BL252" i="81"/>
  <c r="BP251" i="81"/>
  <c r="BO251" i="81"/>
  <c r="BN251" i="81"/>
  <c r="BM251" i="81"/>
  <c r="BL251" i="81"/>
  <c r="BP250" i="81"/>
  <c r="BO250" i="81"/>
  <c r="BN250" i="81"/>
  <c r="BM250" i="81"/>
  <c r="BL250" i="81"/>
  <c r="BP249" i="81"/>
  <c r="BO249" i="81"/>
  <c r="BN249" i="81"/>
  <c r="BM249" i="81"/>
  <c r="BL249" i="81"/>
  <c r="BP248" i="81"/>
  <c r="BO248" i="81"/>
  <c r="BN248" i="81"/>
  <c r="BM248" i="81"/>
  <c r="BL248" i="81"/>
  <c r="BP247" i="81"/>
  <c r="BO247" i="81"/>
  <c r="BN247" i="81"/>
  <c r="BM247" i="81"/>
  <c r="BL247" i="81"/>
  <c r="BP246" i="81"/>
  <c r="BO246" i="81"/>
  <c r="BN246" i="81"/>
  <c r="BM246" i="81"/>
  <c r="BL246" i="81"/>
  <c r="BP245" i="81"/>
  <c r="BO245" i="81"/>
  <c r="BN245" i="81"/>
  <c r="BM245" i="81"/>
  <c r="BL245" i="81"/>
  <c r="BP244" i="81"/>
  <c r="BO244" i="81"/>
  <c r="BN244" i="81"/>
  <c r="BM244" i="81"/>
  <c r="BL244" i="81"/>
  <c r="BP243" i="81"/>
  <c r="BO243" i="81"/>
  <c r="BN243" i="81"/>
  <c r="BM243" i="81"/>
  <c r="BL243" i="81"/>
  <c r="BP242" i="81"/>
  <c r="BO242" i="81"/>
  <c r="BN242" i="81"/>
  <c r="BM242" i="81"/>
  <c r="BL242" i="81"/>
  <c r="BP241" i="81"/>
  <c r="BO241" i="81"/>
  <c r="BN241" i="81"/>
  <c r="BM241" i="81"/>
  <c r="BL241" i="81"/>
  <c r="BP240" i="81"/>
  <c r="BO240" i="81"/>
  <c r="BN240" i="81"/>
  <c r="BM240" i="81"/>
  <c r="BL240" i="81"/>
  <c r="BP239" i="81"/>
  <c r="BO239" i="81"/>
  <c r="BN239" i="81"/>
  <c r="BM239" i="81"/>
  <c r="BL239" i="81"/>
  <c r="BP238" i="81"/>
  <c r="BO238" i="81"/>
  <c r="BN238" i="81"/>
  <c r="BM238" i="81"/>
  <c r="BL238" i="81"/>
  <c r="BP237" i="81"/>
  <c r="BO237" i="81"/>
  <c r="BN237" i="81"/>
  <c r="BM237" i="81"/>
  <c r="BL237" i="81"/>
  <c r="BP236" i="81"/>
  <c r="BO236" i="81"/>
  <c r="BN236" i="81"/>
  <c r="BM236" i="81"/>
  <c r="BL236" i="81"/>
  <c r="BP235" i="81"/>
  <c r="BO235" i="81"/>
  <c r="BN235" i="81"/>
  <c r="BM235" i="81"/>
  <c r="BL235" i="81"/>
  <c r="BP234" i="81"/>
  <c r="BO234" i="81"/>
  <c r="BN234" i="81"/>
  <c r="BM234" i="81"/>
  <c r="BL234" i="81"/>
  <c r="BP233" i="81"/>
  <c r="BO233" i="81"/>
  <c r="BN233" i="81"/>
  <c r="BM233" i="81"/>
  <c r="BL233" i="81"/>
  <c r="BP232" i="81"/>
  <c r="BO232" i="81"/>
  <c r="BN232" i="81"/>
  <c r="BM232" i="81"/>
  <c r="BL232" i="81"/>
  <c r="BP231" i="81"/>
  <c r="BO231" i="81"/>
  <c r="BN231" i="81"/>
  <c r="BM231" i="81"/>
  <c r="BL231" i="81"/>
  <c r="BP230" i="81"/>
  <c r="BO230" i="81"/>
  <c r="BN230" i="81"/>
  <c r="BM230" i="81"/>
  <c r="BL230" i="81"/>
  <c r="BP229" i="81"/>
  <c r="BO229" i="81"/>
  <c r="BN229" i="81"/>
  <c r="BM229" i="81"/>
  <c r="BL229" i="81"/>
  <c r="BP228" i="81"/>
  <c r="BO228" i="81"/>
  <c r="BN228" i="81"/>
  <c r="BM228" i="81"/>
  <c r="BL228" i="81"/>
  <c r="BP227" i="81"/>
  <c r="BO227" i="81"/>
  <c r="BN227" i="81"/>
  <c r="BM227" i="81"/>
  <c r="BL227" i="81"/>
  <c r="BP226" i="81"/>
  <c r="BO226" i="81"/>
  <c r="BN226" i="81"/>
  <c r="BM226" i="81"/>
  <c r="BL226" i="81"/>
  <c r="BP225" i="81"/>
  <c r="BO225" i="81"/>
  <c r="BN225" i="81"/>
  <c r="BM225" i="81"/>
  <c r="BL225" i="81"/>
  <c r="BP224" i="81"/>
  <c r="BO224" i="81"/>
  <c r="BN224" i="81"/>
  <c r="BM224" i="81"/>
  <c r="BL224" i="81"/>
  <c r="BP223" i="81"/>
  <c r="BO223" i="81"/>
  <c r="BN223" i="81"/>
  <c r="BM223" i="81"/>
  <c r="BL223" i="81"/>
  <c r="BP222" i="81"/>
  <c r="BO222" i="81"/>
  <c r="BN222" i="81"/>
  <c r="BM222" i="81"/>
  <c r="BL222" i="81"/>
  <c r="BP221" i="81"/>
  <c r="BO221" i="81"/>
  <c r="BN221" i="81"/>
  <c r="BM221" i="81"/>
  <c r="BL221" i="81"/>
  <c r="BP220" i="81"/>
  <c r="BO220" i="81"/>
  <c r="BN220" i="81"/>
  <c r="BM220" i="81"/>
  <c r="BL220" i="81"/>
  <c r="BP219" i="81"/>
  <c r="BO219" i="81"/>
  <c r="BN219" i="81"/>
  <c r="BM219" i="81"/>
  <c r="BL219" i="81"/>
  <c r="BP218" i="81"/>
  <c r="BO218" i="81"/>
  <c r="BN218" i="81"/>
  <c r="BM218" i="81"/>
  <c r="BL218" i="81"/>
  <c r="BP217" i="81"/>
  <c r="BO217" i="81"/>
  <c r="BN217" i="81"/>
  <c r="BM217" i="81"/>
  <c r="BL217" i="81"/>
  <c r="BP216" i="81"/>
  <c r="BO216" i="81"/>
  <c r="BN216" i="81"/>
  <c r="BM216" i="81"/>
  <c r="BL216" i="81"/>
  <c r="BP215" i="81"/>
  <c r="BO215" i="81"/>
  <c r="BN215" i="81"/>
  <c r="BM215" i="81"/>
  <c r="BL215" i="81"/>
  <c r="BP214" i="81"/>
  <c r="BO214" i="81"/>
  <c r="BN214" i="81"/>
  <c r="BM214" i="81"/>
  <c r="BL214" i="81"/>
  <c r="BP213" i="81"/>
  <c r="BO213" i="81"/>
  <c r="BN213" i="81"/>
  <c r="BM213" i="81"/>
  <c r="BL213" i="81"/>
  <c r="BP212" i="81"/>
  <c r="BO212" i="81"/>
  <c r="BN212" i="81"/>
  <c r="BM212" i="81"/>
  <c r="BL212" i="81"/>
  <c r="BP211" i="81"/>
  <c r="BO211" i="81"/>
  <c r="BN211" i="81"/>
  <c r="BM211" i="81"/>
  <c r="BL211" i="81"/>
  <c r="BP210" i="81"/>
  <c r="BO210" i="81"/>
  <c r="BN210" i="81"/>
  <c r="BM210" i="81"/>
  <c r="BL210" i="81"/>
  <c r="BP209" i="81"/>
  <c r="BO209" i="81"/>
  <c r="BN209" i="81"/>
  <c r="BM209" i="81"/>
  <c r="BL209" i="81"/>
  <c r="BP208" i="81"/>
  <c r="BO208" i="81"/>
  <c r="BN208" i="81"/>
  <c r="BM208" i="81"/>
  <c r="BL208" i="81"/>
  <c r="BP207" i="81"/>
  <c r="BO207" i="81"/>
  <c r="BN207" i="81"/>
  <c r="BM207" i="81"/>
  <c r="BL207" i="81"/>
  <c r="BP206" i="81"/>
  <c r="BO206" i="81"/>
  <c r="BN206" i="81"/>
  <c r="BM206" i="81"/>
  <c r="BL206" i="81"/>
  <c r="BP205" i="81"/>
  <c r="BO205" i="81"/>
  <c r="BN205" i="81"/>
  <c r="BM205" i="81"/>
  <c r="BL205" i="81"/>
  <c r="BP204" i="81"/>
  <c r="BO204" i="81"/>
  <c r="BN204" i="81"/>
  <c r="BM204" i="81"/>
  <c r="BL204" i="81"/>
  <c r="BP203" i="81"/>
  <c r="BO203" i="81"/>
  <c r="BN203" i="81"/>
  <c r="BM203" i="81"/>
  <c r="BL203" i="81"/>
  <c r="BP202" i="81"/>
  <c r="BO202" i="81"/>
  <c r="BN202" i="81"/>
  <c r="BM202" i="81"/>
  <c r="BL202" i="81"/>
  <c r="BP201" i="81"/>
  <c r="BO201" i="81"/>
  <c r="BN201" i="81"/>
  <c r="BM201" i="81"/>
  <c r="BL201" i="81"/>
  <c r="BP200" i="81"/>
  <c r="BO200" i="81"/>
  <c r="BN200" i="81"/>
  <c r="BM200" i="81"/>
  <c r="BL200" i="81"/>
  <c r="BP199" i="81"/>
  <c r="BO199" i="81"/>
  <c r="BN199" i="81"/>
  <c r="BM199" i="81"/>
  <c r="BL199" i="81"/>
  <c r="BP198" i="81"/>
  <c r="BO198" i="81"/>
  <c r="BN198" i="81"/>
  <c r="BM198" i="81"/>
  <c r="BL198" i="81"/>
  <c r="BP197" i="81"/>
  <c r="BO197" i="81"/>
  <c r="BN197" i="81"/>
  <c r="BM197" i="81"/>
  <c r="BL197" i="81"/>
  <c r="BP196" i="81"/>
  <c r="BO196" i="81"/>
  <c r="BN196" i="81"/>
  <c r="BM196" i="81"/>
  <c r="BL196" i="81"/>
  <c r="BP195" i="81"/>
  <c r="BO195" i="81"/>
  <c r="BN195" i="81"/>
  <c r="BM195" i="81"/>
  <c r="BL195" i="81"/>
  <c r="BP194" i="81"/>
  <c r="BO194" i="81"/>
  <c r="BN194" i="81"/>
  <c r="BM194" i="81"/>
  <c r="BL194" i="81"/>
  <c r="BP193" i="81"/>
  <c r="BO193" i="81"/>
  <c r="BN193" i="81"/>
  <c r="BM193" i="81"/>
  <c r="BL193" i="81"/>
  <c r="BP192" i="81"/>
  <c r="BO192" i="81"/>
  <c r="BN192" i="81"/>
  <c r="BM192" i="81"/>
  <c r="BL192" i="81"/>
  <c r="BP191" i="81"/>
  <c r="BO191" i="81"/>
  <c r="BN191" i="81"/>
  <c r="BM191" i="81"/>
  <c r="BL191" i="81"/>
  <c r="BP190" i="81"/>
  <c r="BO190" i="81"/>
  <c r="BN190" i="81"/>
  <c r="BM190" i="81"/>
  <c r="BL190" i="81"/>
  <c r="BP189" i="81"/>
  <c r="BO189" i="81"/>
  <c r="BN189" i="81"/>
  <c r="BM189" i="81"/>
  <c r="BL189" i="81"/>
  <c r="BP188" i="81"/>
  <c r="BO188" i="81"/>
  <c r="BN188" i="81"/>
  <c r="BM188" i="81"/>
  <c r="BL188" i="81"/>
  <c r="BP187" i="81"/>
  <c r="BO187" i="81"/>
  <c r="BN187" i="81"/>
  <c r="BM187" i="81"/>
  <c r="BL187" i="81"/>
  <c r="BP186" i="81"/>
  <c r="BO186" i="81"/>
  <c r="BN186" i="81"/>
  <c r="BM186" i="81"/>
  <c r="BL186" i="81"/>
  <c r="BP185" i="81"/>
  <c r="BO185" i="81"/>
  <c r="BN185" i="81"/>
  <c r="BM185" i="81"/>
  <c r="BL185" i="81"/>
  <c r="BP184" i="81"/>
  <c r="BO184" i="81"/>
  <c r="BN184" i="81"/>
  <c r="BM184" i="81"/>
  <c r="BL184" i="81"/>
  <c r="BP183" i="81"/>
  <c r="BO183" i="81"/>
  <c r="BN183" i="81"/>
  <c r="BM183" i="81"/>
  <c r="BL183" i="81"/>
  <c r="BP182" i="81"/>
  <c r="BO182" i="81"/>
  <c r="BN182" i="81"/>
  <c r="BM182" i="81"/>
  <c r="BL182" i="81"/>
  <c r="BP181" i="81"/>
  <c r="BO181" i="81"/>
  <c r="BN181" i="81"/>
  <c r="BM181" i="81"/>
  <c r="BL181" i="81"/>
  <c r="BP180" i="81"/>
  <c r="BO180" i="81"/>
  <c r="BN180" i="81"/>
  <c r="BM180" i="81"/>
  <c r="BL180" i="81"/>
  <c r="BP179" i="81"/>
  <c r="BO179" i="81"/>
  <c r="BN179" i="81"/>
  <c r="BM179" i="81"/>
  <c r="BL179" i="81"/>
  <c r="BP178" i="81"/>
  <c r="BO178" i="81"/>
  <c r="BN178" i="81"/>
  <c r="BM178" i="81"/>
  <c r="BL178" i="81"/>
  <c r="BP177" i="81"/>
  <c r="BO177" i="81"/>
  <c r="BN177" i="81"/>
  <c r="BM177" i="81"/>
  <c r="BL177" i="81"/>
  <c r="BP176" i="81"/>
  <c r="BO176" i="81"/>
  <c r="BN176" i="81"/>
  <c r="BM176" i="81"/>
  <c r="BL176" i="81"/>
  <c r="BP175" i="81"/>
  <c r="BO175" i="81"/>
  <c r="BN175" i="81"/>
  <c r="BM175" i="81"/>
  <c r="BL175" i="81"/>
  <c r="BP174" i="81"/>
  <c r="BO174" i="81"/>
  <c r="BN174" i="81"/>
  <c r="BM174" i="81"/>
  <c r="BL174" i="81"/>
  <c r="BP173" i="81"/>
  <c r="BO173" i="81"/>
  <c r="BN173" i="81"/>
  <c r="BM173" i="81"/>
  <c r="BL173" i="81"/>
  <c r="BP172" i="81"/>
  <c r="BO172" i="81"/>
  <c r="BN172" i="81"/>
  <c r="BM172" i="81"/>
  <c r="BL172" i="81"/>
  <c r="BP171" i="81"/>
  <c r="BO171" i="81"/>
  <c r="BN171" i="81"/>
  <c r="BM171" i="81"/>
  <c r="BL171" i="81"/>
  <c r="BP170" i="81"/>
  <c r="BO170" i="81"/>
  <c r="BN170" i="81"/>
  <c r="BM170" i="81"/>
  <c r="BL170" i="81"/>
  <c r="BP169" i="81"/>
  <c r="BO169" i="81"/>
  <c r="BN169" i="81"/>
  <c r="BM169" i="81"/>
  <c r="BL169" i="81"/>
  <c r="BP168" i="81"/>
  <c r="BO168" i="81"/>
  <c r="BN168" i="81"/>
  <c r="BM168" i="81"/>
  <c r="BL168" i="81"/>
  <c r="BP167" i="81"/>
  <c r="BO167" i="81"/>
  <c r="BN167" i="81"/>
  <c r="BM167" i="81"/>
  <c r="BL167" i="81"/>
  <c r="BP166" i="81"/>
  <c r="BO166" i="81"/>
  <c r="BN166" i="81"/>
  <c r="BM166" i="81"/>
  <c r="BL166" i="81"/>
  <c r="BP165" i="81"/>
  <c r="BO165" i="81"/>
  <c r="BN165" i="81"/>
  <c r="BM165" i="81"/>
  <c r="BL165" i="81"/>
  <c r="BP164" i="81"/>
  <c r="BO164" i="81"/>
  <c r="BN164" i="81"/>
  <c r="BM164" i="81"/>
  <c r="BL164" i="81"/>
  <c r="BP163" i="81"/>
  <c r="BO163" i="81"/>
  <c r="BN163" i="81"/>
  <c r="BM163" i="81"/>
  <c r="BL163" i="81"/>
  <c r="BP162" i="81"/>
  <c r="BO162" i="81"/>
  <c r="BN162" i="81"/>
  <c r="BM162" i="81"/>
  <c r="BL162" i="81"/>
  <c r="BP161" i="81"/>
  <c r="BO161" i="81"/>
  <c r="BN161" i="81"/>
  <c r="BM161" i="81"/>
  <c r="BL161" i="81"/>
  <c r="BP160" i="81"/>
  <c r="BO160" i="81"/>
  <c r="BN160" i="81"/>
  <c r="BM160" i="81"/>
  <c r="BL160" i="81"/>
  <c r="BP159" i="81"/>
  <c r="BO159" i="81"/>
  <c r="BN159" i="81"/>
  <c r="BM159" i="81"/>
  <c r="BL159" i="81"/>
  <c r="BP158" i="81"/>
  <c r="BO158" i="81"/>
  <c r="BN158" i="81"/>
  <c r="BM158" i="81"/>
  <c r="BL158" i="81"/>
  <c r="BP157" i="81"/>
  <c r="BO157" i="81"/>
  <c r="BN157" i="81"/>
  <c r="BM157" i="81"/>
  <c r="BL157" i="81"/>
  <c r="BP156" i="81"/>
  <c r="BO156" i="81"/>
  <c r="BN156" i="81"/>
  <c r="BM156" i="81"/>
  <c r="BL156" i="81"/>
  <c r="BP155" i="81"/>
  <c r="BO155" i="81"/>
  <c r="BN155" i="81"/>
  <c r="BM155" i="81"/>
  <c r="BL155" i="81"/>
  <c r="BP154" i="81"/>
  <c r="BO154" i="81"/>
  <c r="BN154" i="81"/>
  <c r="BM154" i="81"/>
  <c r="BL154" i="81"/>
  <c r="BP153" i="81"/>
  <c r="BO153" i="81"/>
  <c r="BN153" i="81"/>
  <c r="BM153" i="81"/>
  <c r="BL153" i="81"/>
  <c r="BP152" i="81"/>
  <c r="BO152" i="81"/>
  <c r="BN152" i="81"/>
  <c r="BM152" i="81"/>
  <c r="BL152" i="81"/>
  <c r="BP151" i="81"/>
  <c r="BO151" i="81"/>
  <c r="BN151" i="81"/>
  <c r="BM151" i="81"/>
  <c r="BL151" i="81"/>
  <c r="BP150" i="81"/>
  <c r="BO150" i="81"/>
  <c r="BN150" i="81"/>
  <c r="BM150" i="81"/>
  <c r="BL150" i="81"/>
  <c r="BP149" i="81"/>
  <c r="BO149" i="81"/>
  <c r="BN149" i="81"/>
  <c r="BM149" i="81"/>
  <c r="BL149" i="81"/>
  <c r="BP148" i="81"/>
  <c r="BO148" i="81"/>
  <c r="BN148" i="81"/>
  <c r="BM148" i="81"/>
  <c r="BL148" i="81"/>
  <c r="BP147" i="81"/>
  <c r="BO147" i="81"/>
  <c r="BN147" i="81"/>
  <c r="BM147" i="81"/>
  <c r="BL147" i="81"/>
  <c r="BP146" i="81"/>
  <c r="BO146" i="81"/>
  <c r="BN146" i="81"/>
  <c r="BM146" i="81"/>
  <c r="BL146" i="81"/>
  <c r="BP145" i="81"/>
  <c r="BO145" i="81"/>
  <c r="BN145" i="81"/>
  <c r="BM145" i="81"/>
  <c r="BL145" i="81"/>
  <c r="BP144" i="81"/>
  <c r="BO144" i="81"/>
  <c r="BN144" i="81"/>
  <c r="BM144" i="81"/>
  <c r="BL144" i="81"/>
  <c r="BP143" i="81"/>
  <c r="BO143" i="81"/>
  <c r="BN143" i="81"/>
  <c r="BM143" i="81"/>
  <c r="BL143" i="81"/>
  <c r="BP142" i="81"/>
  <c r="BO142" i="81"/>
  <c r="BN142" i="81"/>
  <c r="BM142" i="81"/>
  <c r="BL142" i="81"/>
  <c r="BP141" i="81"/>
  <c r="BO141" i="81"/>
  <c r="BN141" i="81"/>
  <c r="BM141" i="81"/>
  <c r="BL141" i="81"/>
  <c r="BP140" i="81"/>
  <c r="BO140" i="81"/>
  <c r="BN140" i="81"/>
  <c r="BM140" i="81"/>
  <c r="BL140" i="81"/>
  <c r="BP139" i="81"/>
  <c r="BO139" i="81"/>
  <c r="BN139" i="81"/>
  <c r="BM139" i="81"/>
  <c r="BL139" i="81"/>
  <c r="BP138" i="81"/>
  <c r="BO138" i="81"/>
  <c r="BN138" i="81"/>
  <c r="BM138" i="81"/>
  <c r="BL138" i="81"/>
  <c r="BP137" i="81"/>
  <c r="BO137" i="81"/>
  <c r="BN137" i="81"/>
  <c r="BM137" i="81"/>
  <c r="BL137" i="81"/>
  <c r="BP136" i="81"/>
  <c r="BO136" i="81"/>
  <c r="BN136" i="81"/>
  <c r="BM136" i="81"/>
  <c r="BL136" i="81"/>
  <c r="BP135" i="81"/>
  <c r="BO135" i="81"/>
  <c r="BN135" i="81"/>
  <c r="BM135" i="81"/>
  <c r="BL135" i="81"/>
  <c r="BP134" i="81"/>
  <c r="BO134" i="81"/>
  <c r="BN134" i="81"/>
  <c r="BM134" i="81"/>
  <c r="BL134" i="81"/>
  <c r="BP133" i="81"/>
  <c r="BO133" i="81"/>
  <c r="BN133" i="81"/>
  <c r="BM133" i="81"/>
  <c r="BL133" i="81"/>
  <c r="BP132" i="81"/>
  <c r="BO132" i="81"/>
  <c r="BN132" i="81"/>
  <c r="BM132" i="81"/>
  <c r="BL132" i="81"/>
  <c r="BP131" i="81"/>
  <c r="BO131" i="81"/>
  <c r="BN131" i="81"/>
  <c r="BM131" i="81"/>
  <c r="BL131" i="81"/>
  <c r="BP130" i="81"/>
  <c r="BO130" i="81"/>
  <c r="BN130" i="81"/>
  <c r="BM130" i="81"/>
  <c r="BL130" i="81"/>
  <c r="BP129" i="81"/>
  <c r="BO129" i="81"/>
  <c r="BN129" i="81"/>
  <c r="BM129" i="81"/>
  <c r="BL129" i="81"/>
  <c r="BP128" i="81"/>
  <c r="BO128" i="81"/>
  <c r="BN128" i="81"/>
  <c r="BM128" i="81"/>
  <c r="BL128" i="81"/>
  <c r="BP127" i="81"/>
  <c r="BO127" i="81"/>
  <c r="BN127" i="81"/>
  <c r="BM127" i="81"/>
  <c r="BL127" i="81"/>
  <c r="BP126" i="81"/>
  <c r="BO126" i="81"/>
  <c r="BN126" i="81"/>
  <c r="BM126" i="81"/>
  <c r="BL126" i="81"/>
  <c r="BP125" i="81"/>
  <c r="BO125" i="81"/>
  <c r="BN125" i="81"/>
  <c r="BM125" i="81"/>
  <c r="BL125" i="81"/>
  <c r="BP124" i="81"/>
  <c r="BO124" i="81"/>
  <c r="BN124" i="81"/>
  <c r="BM124" i="81"/>
  <c r="BL124" i="81"/>
  <c r="BP123" i="81"/>
  <c r="BO123" i="81"/>
  <c r="BN123" i="81"/>
  <c r="BM123" i="81"/>
  <c r="BL123" i="81"/>
  <c r="BP122" i="81"/>
  <c r="BO122" i="81"/>
  <c r="BN122" i="81"/>
  <c r="BM122" i="81"/>
  <c r="BL122" i="81"/>
  <c r="BP121" i="81"/>
  <c r="BO121" i="81"/>
  <c r="BN121" i="81"/>
  <c r="BM121" i="81"/>
  <c r="BL121" i="81"/>
  <c r="BP120" i="81"/>
  <c r="BO120" i="81"/>
  <c r="BN120" i="81"/>
  <c r="BM120" i="81"/>
  <c r="BL120" i="81"/>
  <c r="BP119" i="81"/>
  <c r="BO119" i="81"/>
  <c r="BN119" i="81"/>
  <c r="BM119" i="81"/>
  <c r="BL119" i="81"/>
  <c r="BP118" i="81"/>
  <c r="BO118" i="81"/>
  <c r="BN118" i="81"/>
  <c r="BM118" i="81"/>
  <c r="BL118" i="81"/>
  <c r="BP117" i="81"/>
  <c r="BO117" i="81"/>
  <c r="BN117" i="81"/>
  <c r="BM117" i="81"/>
  <c r="BL117" i="81"/>
  <c r="BP116" i="81"/>
  <c r="BO116" i="81"/>
  <c r="BN116" i="81"/>
  <c r="BM116" i="81"/>
  <c r="BL116" i="81"/>
  <c r="BP115" i="81"/>
  <c r="BO115" i="81"/>
  <c r="BN115" i="81"/>
  <c r="BM115" i="81"/>
  <c r="BL115" i="81"/>
  <c r="BP114" i="81"/>
  <c r="BO114" i="81"/>
  <c r="BN114" i="81"/>
  <c r="BM114" i="81"/>
  <c r="BL114" i="81"/>
  <c r="BP113" i="81"/>
  <c r="BO113" i="81"/>
  <c r="BN113" i="81"/>
  <c r="BM113" i="81"/>
  <c r="BL113" i="81"/>
  <c r="BP112" i="81"/>
  <c r="BO112" i="81"/>
  <c r="BN112" i="81"/>
  <c r="BM112" i="81"/>
  <c r="BL112" i="81"/>
  <c r="BP111" i="81"/>
  <c r="BO111" i="81"/>
  <c r="BN111" i="81"/>
  <c r="BM111" i="81"/>
  <c r="BL111" i="81"/>
  <c r="BP110" i="81"/>
  <c r="BO110" i="81"/>
  <c r="BN110" i="81"/>
  <c r="BM110" i="81"/>
  <c r="BL110" i="81"/>
  <c r="BP109" i="81"/>
  <c r="BO109" i="81"/>
  <c r="BN109" i="81"/>
  <c r="BM109" i="81"/>
  <c r="BL109" i="81"/>
  <c r="BP108" i="81"/>
  <c r="BO108" i="81"/>
  <c r="BN108" i="81"/>
  <c r="BM108" i="81"/>
  <c r="BL108" i="81"/>
  <c r="BP107" i="81"/>
  <c r="BO107" i="81"/>
  <c r="BN107" i="81"/>
  <c r="BM107" i="81"/>
  <c r="BL107" i="81"/>
  <c r="BP106" i="81"/>
  <c r="BO106" i="81"/>
  <c r="BN106" i="81"/>
  <c r="BM106" i="81"/>
  <c r="BL106" i="81"/>
  <c r="BP105" i="81"/>
  <c r="BO105" i="81"/>
  <c r="BN105" i="81"/>
  <c r="BM105" i="81"/>
  <c r="BL105" i="81"/>
  <c r="BP104" i="81"/>
  <c r="BO104" i="81"/>
  <c r="BN104" i="81"/>
  <c r="BM104" i="81"/>
  <c r="BL104" i="81"/>
  <c r="BP103" i="81"/>
  <c r="BO103" i="81"/>
  <c r="BN103" i="81"/>
  <c r="BM103" i="81"/>
  <c r="BL103" i="81"/>
  <c r="BP102" i="81"/>
  <c r="BO102" i="81"/>
  <c r="BN102" i="81"/>
  <c r="BM102" i="81"/>
  <c r="BL102" i="81"/>
  <c r="BP101" i="81"/>
  <c r="BO101" i="81"/>
  <c r="BN101" i="81"/>
  <c r="BM101" i="81"/>
  <c r="BL101" i="81"/>
  <c r="BP100" i="81"/>
  <c r="BO100" i="81"/>
  <c r="BN100" i="81"/>
  <c r="BM100" i="81"/>
  <c r="BL100" i="81"/>
  <c r="BP99" i="81"/>
  <c r="BO99" i="81"/>
  <c r="BN99" i="81"/>
  <c r="BM99" i="81"/>
  <c r="BL99" i="81"/>
  <c r="BP98" i="81"/>
  <c r="BO98" i="81"/>
  <c r="BN98" i="81"/>
  <c r="BM98" i="81"/>
  <c r="BL98" i="81"/>
  <c r="BP97" i="81"/>
  <c r="BO97" i="81"/>
  <c r="BN97" i="81"/>
  <c r="BM97" i="81"/>
  <c r="BL97" i="81"/>
  <c r="BP96" i="81"/>
  <c r="BO96" i="81"/>
  <c r="BN96" i="81"/>
  <c r="BM96" i="81"/>
  <c r="BL96" i="81"/>
  <c r="BP95" i="81"/>
  <c r="BO95" i="81"/>
  <c r="BN95" i="81"/>
  <c r="BM95" i="81"/>
  <c r="BL95" i="81"/>
  <c r="BP94" i="81"/>
  <c r="BO94" i="81"/>
  <c r="BN94" i="81"/>
  <c r="BM94" i="81"/>
  <c r="BL94" i="81"/>
  <c r="BP93" i="81"/>
  <c r="BO93" i="81"/>
  <c r="BN93" i="81"/>
  <c r="BM93" i="81"/>
  <c r="BL93" i="81"/>
  <c r="BP92" i="81"/>
  <c r="BO92" i="81"/>
  <c r="BN92" i="81"/>
  <c r="BM92" i="81"/>
  <c r="BL92" i="81"/>
  <c r="BP91" i="81"/>
  <c r="BO91" i="81"/>
  <c r="BN91" i="81"/>
  <c r="BM91" i="81"/>
  <c r="BL91" i="81"/>
  <c r="BP90" i="81"/>
  <c r="BO90" i="81"/>
  <c r="BN90" i="81"/>
  <c r="BM90" i="81"/>
  <c r="BL90" i="81"/>
  <c r="BP89" i="81"/>
  <c r="BO89" i="81"/>
  <c r="BN89" i="81"/>
  <c r="BM89" i="81"/>
  <c r="BL89" i="81"/>
  <c r="BP88" i="81"/>
  <c r="BO88" i="81"/>
  <c r="BN88" i="81"/>
  <c r="BM88" i="81"/>
  <c r="BL88" i="81"/>
  <c r="BP87" i="81"/>
  <c r="BO87" i="81"/>
  <c r="BN87" i="81"/>
  <c r="BM87" i="81"/>
  <c r="BL87" i="81"/>
  <c r="BP86" i="81"/>
  <c r="BO86" i="81"/>
  <c r="BN86" i="81"/>
  <c r="BM86" i="81"/>
  <c r="BL86" i="81"/>
  <c r="BP85" i="81"/>
  <c r="BO85" i="81"/>
  <c r="BN85" i="81"/>
  <c r="BM85" i="81"/>
  <c r="BL85" i="81"/>
  <c r="BP84" i="81"/>
  <c r="BO84" i="81"/>
  <c r="BN84" i="81"/>
  <c r="BM84" i="81"/>
  <c r="BL84" i="81"/>
  <c r="BP83" i="81"/>
  <c r="BO83" i="81"/>
  <c r="BN83" i="81"/>
  <c r="BM83" i="81"/>
  <c r="BL83" i="81"/>
  <c r="BP82" i="81"/>
  <c r="BO82" i="81"/>
  <c r="BN82" i="81"/>
  <c r="BM82" i="81"/>
  <c r="BL82" i="81"/>
  <c r="BP81" i="81"/>
  <c r="BO81" i="81"/>
  <c r="BN81" i="81"/>
  <c r="BM81" i="81"/>
  <c r="BL81" i="81"/>
  <c r="BP80" i="81"/>
  <c r="BO80" i="81"/>
  <c r="BN80" i="81"/>
  <c r="BM80" i="81"/>
  <c r="BL80" i="81"/>
  <c r="BP79" i="81"/>
  <c r="BO79" i="81"/>
  <c r="BN79" i="81"/>
  <c r="BM79" i="81"/>
  <c r="BL79" i="81"/>
  <c r="BP78" i="81"/>
  <c r="BO78" i="81"/>
  <c r="BN78" i="81"/>
  <c r="BM78" i="81"/>
  <c r="BL78" i="81"/>
  <c r="BP77" i="81"/>
  <c r="BO77" i="81"/>
  <c r="BN77" i="81"/>
  <c r="BM77" i="81"/>
  <c r="BL77" i="81"/>
  <c r="BP76" i="81"/>
  <c r="BO76" i="81"/>
  <c r="BN76" i="81"/>
  <c r="BM76" i="81"/>
  <c r="BL76" i="81"/>
  <c r="BP75" i="81"/>
  <c r="BO75" i="81"/>
  <c r="BN75" i="81"/>
  <c r="BM75" i="81"/>
  <c r="BL75" i="81"/>
  <c r="BP74" i="81"/>
  <c r="BO74" i="81"/>
  <c r="BN74" i="81"/>
  <c r="BM74" i="81"/>
  <c r="BL74" i="81"/>
  <c r="BP73" i="81"/>
  <c r="BO73" i="81"/>
  <c r="BN73" i="81"/>
  <c r="BM73" i="81"/>
  <c r="BL73" i="81"/>
  <c r="BP72" i="81"/>
  <c r="BO72" i="81"/>
  <c r="BN72" i="81"/>
  <c r="BM72" i="81"/>
  <c r="BL72" i="81"/>
  <c r="BP71" i="81"/>
  <c r="BO71" i="81"/>
  <c r="BN71" i="81"/>
  <c r="BM71" i="81"/>
  <c r="BL71" i="81"/>
  <c r="BP70" i="81"/>
  <c r="BO70" i="81"/>
  <c r="BN70" i="81"/>
  <c r="BM70" i="81"/>
  <c r="BL70" i="81"/>
  <c r="BP69" i="81"/>
  <c r="BO69" i="81"/>
  <c r="BN69" i="81"/>
  <c r="BM69" i="81"/>
  <c r="BL69" i="81"/>
  <c r="BP68" i="81"/>
  <c r="BO68" i="81"/>
  <c r="BN68" i="81"/>
  <c r="BM68" i="81"/>
  <c r="BL68" i="81"/>
  <c r="BP67" i="81"/>
  <c r="BO67" i="81"/>
  <c r="BN67" i="81"/>
  <c r="BM67" i="81"/>
  <c r="BL67" i="81"/>
  <c r="BP66" i="81"/>
  <c r="BO66" i="81"/>
  <c r="BN66" i="81"/>
  <c r="BM66" i="81"/>
  <c r="BL66" i="81"/>
  <c r="BP65" i="81"/>
  <c r="BO65" i="81"/>
  <c r="BN65" i="81"/>
  <c r="BM65" i="81"/>
  <c r="BL65" i="81"/>
  <c r="BP64" i="81"/>
  <c r="BO64" i="81"/>
  <c r="BN64" i="81"/>
  <c r="BM64" i="81"/>
  <c r="BL64" i="81"/>
  <c r="BP63" i="81"/>
  <c r="BO63" i="81"/>
  <c r="BN63" i="81"/>
  <c r="BM63" i="81"/>
  <c r="BL63" i="81"/>
  <c r="BP62" i="81"/>
  <c r="BO62" i="81"/>
  <c r="BN62" i="81"/>
  <c r="BM62" i="81"/>
  <c r="BL62" i="81"/>
  <c r="BP61" i="81"/>
  <c r="BO61" i="81"/>
  <c r="BN61" i="81"/>
  <c r="BM61" i="81"/>
  <c r="BL61" i="81"/>
  <c r="BP60" i="81"/>
  <c r="BO60" i="81"/>
  <c r="BN60" i="81"/>
  <c r="BM60" i="81"/>
  <c r="BL60" i="81"/>
  <c r="BP59" i="81"/>
  <c r="BO59" i="81"/>
  <c r="BN59" i="81"/>
  <c r="BM59" i="81"/>
  <c r="BL59" i="81"/>
  <c r="BP58" i="81"/>
  <c r="BO58" i="81"/>
  <c r="BN58" i="81"/>
  <c r="BM58" i="81"/>
  <c r="BL58" i="81"/>
  <c r="BP57" i="81"/>
  <c r="BO57" i="81"/>
  <c r="BN57" i="81"/>
  <c r="BM57" i="81"/>
  <c r="BL57" i="81"/>
  <c r="BP56" i="81"/>
  <c r="BO56" i="81"/>
  <c r="BN56" i="81"/>
  <c r="BM56" i="81"/>
  <c r="BL56" i="81"/>
  <c r="BP55" i="81"/>
  <c r="BO55" i="81"/>
  <c r="BN55" i="81"/>
  <c r="BM55" i="81"/>
  <c r="BL55" i="81"/>
  <c r="BP54" i="81"/>
  <c r="BO54" i="81"/>
  <c r="BN54" i="81"/>
  <c r="BM54" i="81"/>
  <c r="BL54" i="81"/>
  <c r="BP53" i="81"/>
  <c r="BO53" i="81"/>
  <c r="BN53" i="81"/>
  <c r="BM53" i="81"/>
  <c r="BL53" i="81"/>
  <c r="BP52" i="81"/>
  <c r="BO52" i="81"/>
  <c r="BN52" i="81"/>
  <c r="BM52" i="81"/>
  <c r="BL52" i="81"/>
  <c r="BP51" i="81"/>
  <c r="BO51" i="81"/>
  <c r="BN51" i="81"/>
  <c r="BM51" i="81"/>
  <c r="BL51" i="81"/>
  <c r="BP50" i="81"/>
  <c r="BO50" i="81"/>
  <c r="BN50" i="81"/>
  <c r="BM50" i="81"/>
  <c r="BL50" i="81"/>
  <c r="BP49" i="81"/>
  <c r="BO49" i="81"/>
  <c r="BN49" i="81"/>
  <c r="BM49" i="81"/>
  <c r="BL49" i="81"/>
  <c r="BP48" i="81"/>
  <c r="BO48" i="81"/>
  <c r="BN48" i="81"/>
  <c r="BM48" i="81"/>
  <c r="BL48" i="81"/>
  <c r="BP47" i="81"/>
  <c r="BO47" i="81"/>
  <c r="BN47" i="81"/>
  <c r="BM47" i="81"/>
  <c r="BL47" i="81"/>
  <c r="BP46" i="81"/>
  <c r="BO46" i="81"/>
  <c r="BN46" i="81"/>
  <c r="BM46" i="81"/>
  <c r="BL46" i="81"/>
  <c r="BP45" i="81"/>
  <c r="BO45" i="81"/>
  <c r="BN45" i="81"/>
  <c r="BM45" i="81"/>
  <c r="BL45" i="81"/>
  <c r="BP44" i="81"/>
  <c r="BO44" i="81"/>
  <c r="BN44" i="81"/>
  <c r="BM44" i="81"/>
  <c r="BL44" i="81"/>
  <c r="BP43" i="81"/>
  <c r="BO43" i="81"/>
  <c r="BN43" i="81"/>
  <c r="BM43" i="81"/>
  <c r="BL43" i="81"/>
  <c r="BP42" i="81"/>
  <c r="BO42" i="81"/>
  <c r="BN42" i="81"/>
  <c r="BM42" i="81"/>
  <c r="BL42" i="81"/>
  <c r="BP41" i="81"/>
  <c r="BO41" i="81"/>
  <c r="BN41" i="81"/>
  <c r="BM41" i="81"/>
  <c r="BL41" i="81"/>
  <c r="BP40" i="81"/>
  <c r="BO40" i="81"/>
  <c r="BN40" i="81"/>
  <c r="BM40" i="81"/>
  <c r="BL40" i="81"/>
  <c r="BP39" i="81"/>
  <c r="BO39" i="81"/>
  <c r="BN39" i="81"/>
  <c r="BM39" i="81"/>
  <c r="BL39" i="81"/>
  <c r="BP38" i="81"/>
  <c r="BO38" i="81"/>
  <c r="BN38" i="81"/>
  <c r="BM38" i="81"/>
  <c r="BL38" i="81"/>
  <c r="BP37" i="81"/>
  <c r="BO37" i="81"/>
  <c r="BN37" i="81"/>
  <c r="BM37" i="81"/>
  <c r="BL37" i="81"/>
  <c r="BP36" i="81"/>
  <c r="BO36" i="81"/>
  <c r="BN36" i="81"/>
  <c r="BM36" i="81"/>
  <c r="BL36" i="81"/>
  <c r="BP35" i="81"/>
  <c r="BO35" i="81"/>
  <c r="BN35" i="81"/>
  <c r="BM35" i="81"/>
  <c r="BL35" i="81"/>
  <c r="BP34" i="81"/>
  <c r="BO34" i="81"/>
  <c r="BN34" i="81"/>
  <c r="BM34" i="81"/>
  <c r="BL34" i="81"/>
  <c r="BP33" i="81"/>
  <c r="BO33" i="81"/>
  <c r="BN33" i="81"/>
  <c r="BM33" i="81"/>
  <c r="BL33" i="81"/>
  <c r="BP32" i="81"/>
  <c r="BO32" i="81"/>
  <c r="BN32" i="81"/>
  <c r="BM32" i="81"/>
  <c r="BL32" i="81"/>
  <c r="BP31" i="81"/>
  <c r="BO31" i="81"/>
  <c r="BN31" i="81"/>
  <c r="BM31" i="81"/>
  <c r="BL31" i="81"/>
  <c r="BP30" i="81"/>
  <c r="BO30" i="81"/>
  <c r="BN30" i="81"/>
  <c r="BM30" i="81"/>
  <c r="BL30" i="81"/>
  <c r="BP29" i="81"/>
  <c r="BO29" i="81"/>
  <c r="BN29" i="81"/>
  <c r="BM29" i="81"/>
  <c r="BL29" i="81"/>
  <c r="BP28" i="81"/>
  <c r="BO28" i="81"/>
  <c r="BN28" i="81"/>
  <c r="BM28" i="81"/>
  <c r="BL28" i="81"/>
  <c r="BP27" i="81"/>
  <c r="BO27" i="81"/>
  <c r="BN27" i="81"/>
  <c r="BM27" i="81"/>
  <c r="BL27" i="81"/>
  <c r="BP26" i="81"/>
  <c r="BO26" i="81"/>
  <c r="BN26" i="81"/>
  <c r="BM26" i="81"/>
  <c r="BL26" i="81"/>
  <c r="BP25" i="81"/>
  <c r="BO25" i="81"/>
  <c r="BN25" i="81"/>
  <c r="BM25" i="81"/>
  <c r="BL25" i="81"/>
  <c r="BP24" i="81"/>
  <c r="BO24" i="81"/>
  <c r="BN24" i="81"/>
  <c r="BM24" i="81"/>
  <c r="BL24" i="81"/>
  <c r="BP23" i="81"/>
  <c r="BO23" i="81"/>
  <c r="BN23" i="81"/>
  <c r="BM23" i="81"/>
  <c r="BL23" i="81"/>
  <c r="BP22" i="81"/>
  <c r="BO22" i="81"/>
  <c r="BN22" i="81"/>
  <c r="BM22" i="81"/>
  <c r="BL22" i="81"/>
  <c r="BP21" i="81"/>
  <c r="BO21" i="81"/>
  <c r="BN21" i="81"/>
  <c r="BM21" i="81"/>
  <c r="BL21" i="81"/>
  <c r="BP20" i="81"/>
  <c r="BO20" i="81"/>
  <c r="BN20" i="81"/>
  <c r="BM20" i="81"/>
  <c r="BL20" i="81"/>
  <c r="BP19" i="81"/>
  <c r="BO19" i="81"/>
  <c r="BN19" i="81"/>
  <c r="BM19" i="81"/>
  <c r="BL19" i="81"/>
  <c r="BP18" i="81"/>
  <c r="BO18" i="81"/>
  <c r="BN18" i="81"/>
  <c r="BM18" i="81"/>
  <c r="BL18" i="81"/>
  <c r="BP17" i="81"/>
  <c r="BO17" i="81"/>
  <c r="BN17" i="81"/>
  <c r="BM17" i="81"/>
  <c r="BL17" i="81"/>
  <c r="BP16" i="81"/>
  <c r="BO16" i="81"/>
  <c r="BN16" i="81"/>
  <c r="BM16" i="81"/>
  <c r="BL16" i="81"/>
  <c r="BP15" i="81"/>
  <c r="BO15" i="81"/>
  <c r="BN15" i="81"/>
  <c r="BM15" i="81"/>
  <c r="BL15" i="81"/>
  <c r="BP14" i="81"/>
  <c r="BO14" i="81"/>
  <c r="BN14" i="81"/>
  <c r="BM14" i="81"/>
  <c r="BL14" i="81"/>
  <c r="BP13" i="81"/>
  <c r="BO13" i="81"/>
  <c r="BN13" i="81"/>
  <c r="BM13" i="81"/>
  <c r="BL13" i="81"/>
  <c r="BP12" i="81"/>
  <c r="BO12" i="81"/>
  <c r="BN12" i="81"/>
  <c r="BM12" i="81"/>
  <c r="BL12" i="81"/>
  <c r="BP11" i="81"/>
  <c r="BO11" i="81"/>
  <c r="BN11" i="81"/>
  <c r="BM11" i="81"/>
  <c r="BL11" i="81"/>
  <c r="BP10" i="81"/>
  <c r="BO10" i="81"/>
  <c r="BN10" i="81"/>
  <c r="BM10" i="81"/>
  <c r="BL10" i="81"/>
  <c r="BP9" i="81"/>
  <c r="BO9" i="81"/>
  <c r="BN9" i="81"/>
  <c r="BM9" i="81"/>
  <c r="BL9" i="81"/>
  <c r="BP8" i="81"/>
  <c r="BO8" i="81"/>
  <c r="BN8" i="81"/>
  <c r="BM8" i="81"/>
  <c r="BL8" i="81"/>
  <c r="BP7" i="81"/>
  <c r="BO7" i="81"/>
  <c r="BN7" i="81"/>
  <c r="BM7" i="81"/>
  <c r="BL7" i="81"/>
  <c r="BP6" i="81"/>
  <c r="BO6" i="81"/>
  <c r="BN6" i="81"/>
  <c r="BM6" i="81"/>
  <c r="BL6" i="81"/>
  <c r="BP5" i="81"/>
  <c r="BO5" i="81"/>
  <c r="BN5" i="81"/>
  <c r="BM5" i="81"/>
  <c r="BL5" i="81"/>
  <c r="BP4" i="81"/>
  <c r="BO4" i="81"/>
  <c r="BN4" i="81"/>
  <c r="BM4" i="81"/>
  <c r="BL4" i="81"/>
  <c r="BP3" i="81"/>
  <c r="BO3" i="81"/>
  <c r="BN3" i="81"/>
  <c r="BM3" i="81"/>
  <c r="BL3" i="81"/>
  <c r="BB28" i="33"/>
  <c r="BC28" i="33"/>
  <c r="BD28" i="33"/>
  <c r="BE28" i="33"/>
  <c r="BF28" i="33"/>
  <c r="BB29" i="33"/>
  <c r="BC29" i="33"/>
  <c r="BD29" i="33"/>
  <c r="BE29" i="33"/>
  <c r="BF29" i="33"/>
  <c r="BB30" i="33"/>
  <c r="BC30" i="33"/>
  <c r="BD30" i="33"/>
  <c r="BE30" i="33"/>
  <c r="BF30" i="33"/>
  <c r="BB31" i="33"/>
  <c r="BC31" i="33"/>
  <c r="BD31" i="33"/>
  <c r="BE31" i="33"/>
  <c r="BF31" i="33"/>
  <c r="BB32" i="33"/>
  <c r="BC32" i="33"/>
  <c r="BD32" i="33"/>
  <c r="BE32" i="33"/>
  <c r="BF32" i="33"/>
  <c r="BB33" i="33"/>
  <c r="BC33" i="33"/>
  <c r="BD33" i="33"/>
  <c r="BE33" i="33"/>
  <c r="BF33" i="33"/>
  <c r="BB34" i="33"/>
  <c r="BC34" i="33"/>
  <c r="BD34" i="33"/>
  <c r="BE34" i="33"/>
  <c r="BF34" i="33"/>
  <c r="BB35" i="33"/>
  <c r="BC35" i="33"/>
  <c r="BD35" i="33"/>
  <c r="BE35" i="33"/>
  <c r="BF35" i="33"/>
  <c r="BB36" i="33"/>
  <c r="BC36" i="33"/>
  <c r="BD36" i="33"/>
  <c r="BE36" i="33"/>
  <c r="BF36" i="33"/>
  <c r="BB37" i="33"/>
  <c r="BC37" i="33"/>
  <c r="BD37" i="33"/>
  <c r="BE37" i="33"/>
  <c r="BF37" i="33"/>
  <c r="BB38" i="33"/>
  <c r="BC38" i="33"/>
  <c r="BD38" i="33"/>
  <c r="BE38" i="33"/>
  <c r="BF38" i="33"/>
  <c r="BB39" i="33"/>
  <c r="BC39" i="33"/>
  <c r="BD39" i="33"/>
  <c r="BE39" i="33"/>
  <c r="BF39" i="33"/>
  <c r="BB40" i="33"/>
  <c r="BC40" i="33"/>
  <c r="BD40" i="33"/>
  <c r="BE40" i="33"/>
  <c r="BF40" i="33"/>
  <c r="BB41" i="33"/>
  <c r="BC41" i="33"/>
  <c r="BD41" i="33"/>
  <c r="BE41" i="33"/>
  <c r="BF41" i="33"/>
  <c r="BB42" i="33"/>
  <c r="BC42" i="33"/>
  <c r="BD42" i="33"/>
  <c r="BE42" i="33"/>
  <c r="BF42" i="33"/>
  <c r="BB43" i="33"/>
  <c r="BC43" i="33"/>
  <c r="BD43" i="33"/>
  <c r="BE43" i="33"/>
  <c r="BF43" i="33"/>
  <c r="BB44" i="33"/>
  <c r="BC44" i="33"/>
  <c r="BD44" i="33"/>
  <c r="BE44" i="33"/>
  <c r="BF44" i="33"/>
  <c r="BB45" i="33"/>
  <c r="BC45" i="33"/>
  <c r="BD45" i="33"/>
  <c r="BE45" i="33"/>
  <c r="BF45" i="33"/>
  <c r="BB46" i="33"/>
  <c r="BC46" i="33"/>
  <c r="BD46" i="33"/>
  <c r="BE46" i="33"/>
  <c r="BF46" i="33"/>
  <c r="BB47" i="33"/>
  <c r="BC47" i="33"/>
  <c r="BD47" i="33"/>
  <c r="BE47" i="33"/>
  <c r="BF47" i="33"/>
  <c r="BB48" i="33"/>
  <c r="BC48" i="33"/>
  <c r="BD48" i="33"/>
  <c r="BE48" i="33"/>
  <c r="BF48" i="33"/>
  <c r="BB49" i="33"/>
  <c r="BC49" i="33"/>
  <c r="BD49" i="33"/>
  <c r="BE49" i="33"/>
  <c r="BF49" i="33"/>
  <c r="BB50" i="33"/>
  <c r="BC50" i="33"/>
  <c r="BD50" i="33"/>
  <c r="BE50" i="33"/>
  <c r="BF50" i="33"/>
  <c r="BB51" i="33"/>
  <c r="BC51" i="33"/>
  <c r="BD51" i="33"/>
  <c r="BE51" i="33"/>
  <c r="BF51" i="33"/>
  <c r="BB52" i="33"/>
  <c r="BC52" i="33"/>
  <c r="BD52" i="33"/>
  <c r="BE52" i="33"/>
  <c r="BF52" i="33"/>
  <c r="BB53" i="33"/>
  <c r="BC53" i="33"/>
  <c r="BD53" i="33"/>
  <c r="BE53" i="33"/>
  <c r="BF53" i="33"/>
  <c r="BB54" i="33"/>
  <c r="BC54" i="33"/>
  <c r="BD54" i="33"/>
  <c r="BE54" i="33"/>
  <c r="BF54" i="33"/>
  <c r="BB55" i="33"/>
  <c r="BC55" i="33"/>
  <c r="BD55" i="33"/>
  <c r="BE55" i="33"/>
  <c r="BF55" i="33"/>
  <c r="BB56" i="33"/>
  <c r="BC56" i="33"/>
  <c r="BD56" i="33"/>
  <c r="BE56" i="33"/>
  <c r="BF56" i="33"/>
  <c r="BB57" i="33"/>
  <c r="BC57" i="33"/>
  <c r="BD57" i="33"/>
  <c r="BE57" i="33"/>
  <c r="BF57" i="33"/>
  <c r="BB58" i="33"/>
  <c r="BC58" i="33"/>
  <c r="BD58" i="33"/>
  <c r="BE58" i="33"/>
  <c r="BF58" i="33"/>
  <c r="BB59" i="33"/>
  <c r="BC59" i="33"/>
  <c r="BD59" i="33"/>
  <c r="BE59" i="33"/>
  <c r="BF59" i="33"/>
  <c r="BB60" i="33"/>
  <c r="BC60" i="33"/>
  <c r="BD60" i="33"/>
  <c r="BE60" i="33"/>
  <c r="BF60" i="33"/>
  <c r="BB61" i="33"/>
  <c r="BC61" i="33"/>
  <c r="BD61" i="33"/>
  <c r="BE61" i="33"/>
  <c r="BF61" i="33"/>
  <c r="BB62" i="33"/>
  <c r="BC62" i="33"/>
  <c r="BD62" i="33"/>
  <c r="BE62" i="33"/>
  <c r="BF62" i="33"/>
  <c r="BB63" i="33"/>
  <c r="BC63" i="33"/>
  <c r="BD63" i="33"/>
  <c r="BE63" i="33"/>
  <c r="BF63" i="33"/>
  <c r="BB64" i="33"/>
  <c r="BC64" i="33"/>
  <c r="BD64" i="33"/>
  <c r="BE64" i="33"/>
  <c r="BF64" i="33"/>
  <c r="BB65" i="33"/>
  <c r="BC65" i="33"/>
  <c r="BD65" i="33"/>
  <c r="BE65" i="33"/>
  <c r="BF65" i="33"/>
  <c r="BB66" i="33"/>
  <c r="BC66" i="33"/>
  <c r="BD66" i="33"/>
  <c r="BE66" i="33"/>
  <c r="BF66" i="33"/>
  <c r="BB67" i="33"/>
  <c r="BC67" i="33"/>
  <c r="BD67" i="33"/>
  <c r="BE67" i="33"/>
  <c r="BF67" i="33"/>
  <c r="BB68" i="33"/>
  <c r="BC68" i="33"/>
  <c r="BD68" i="33"/>
  <c r="BE68" i="33"/>
  <c r="BF68" i="33"/>
  <c r="BB69" i="33"/>
  <c r="BC69" i="33"/>
  <c r="BD69" i="33"/>
  <c r="BE69" i="33"/>
  <c r="BF69" i="33"/>
  <c r="BB70" i="33"/>
  <c r="BC70" i="33"/>
  <c r="BD70" i="33"/>
  <c r="BE70" i="33"/>
  <c r="BF70" i="33"/>
  <c r="BB71" i="33"/>
  <c r="BC71" i="33"/>
  <c r="BD71" i="33"/>
  <c r="BE71" i="33"/>
  <c r="BF71" i="33"/>
  <c r="BB72" i="33"/>
  <c r="BC72" i="33"/>
  <c r="BD72" i="33"/>
  <c r="BE72" i="33"/>
  <c r="BF72" i="33"/>
  <c r="BB73" i="33"/>
  <c r="BC73" i="33"/>
  <c r="BD73" i="33"/>
  <c r="BE73" i="33"/>
  <c r="BF73" i="33"/>
  <c r="BB74" i="33"/>
  <c r="BC74" i="33"/>
  <c r="BD74" i="33"/>
  <c r="BE74" i="33"/>
  <c r="BF74" i="33"/>
  <c r="BB75" i="33"/>
  <c r="BC75" i="33"/>
  <c r="BD75" i="33"/>
  <c r="BE75" i="33"/>
  <c r="BF75" i="33"/>
  <c r="BB76" i="33"/>
  <c r="BC76" i="33"/>
  <c r="BD76" i="33"/>
  <c r="BE76" i="33"/>
  <c r="BF76" i="33"/>
  <c r="BB77" i="33"/>
  <c r="BC77" i="33"/>
  <c r="BD77" i="33"/>
  <c r="BE77" i="33"/>
  <c r="BF77" i="33"/>
  <c r="BB78" i="33"/>
  <c r="BC78" i="33"/>
  <c r="BD78" i="33"/>
  <c r="BE78" i="33"/>
  <c r="BF78" i="33"/>
  <c r="BB79" i="33"/>
  <c r="BC79" i="33"/>
  <c r="BD79" i="33"/>
  <c r="BE79" i="33"/>
  <c r="BF79" i="33"/>
  <c r="BB80" i="33"/>
  <c r="BC80" i="33"/>
  <c r="BD80" i="33"/>
  <c r="BE80" i="33"/>
  <c r="BF80" i="33"/>
  <c r="BB81" i="33"/>
  <c r="BC81" i="33"/>
  <c r="BD81" i="33"/>
  <c r="BE81" i="33"/>
  <c r="BF81" i="33"/>
  <c r="BB82" i="33"/>
  <c r="BC82" i="33"/>
  <c r="BD82" i="33"/>
  <c r="BE82" i="33"/>
  <c r="BF82" i="33"/>
  <c r="BB83" i="33"/>
  <c r="BC83" i="33"/>
  <c r="BD83" i="33"/>
  <c r="BE83" i="33"/>
  <c r="BF83" i="33"/>
  <c r="BB84" i="33"/>
  <c r="BC84" i="33"/>
  <c r="BD84" i="33"/>
  <c r="BE84" i="33"/>
  <c r="BF84" i="33"/>
  <c r="BB85" i="33"/>
  <c r="BC85" i="33"/>
  <c r="BD85" i="33"/>
  <c r="BE85" i="33"/>
  <c r="BF85" i="33"/>
  <c r="BB86" i="33"/>
  <c r="BC86" i="33"/>
  <c r="BD86" i="33"/>
  <c r="BE86" i="33"/>
  <c r="BF86" i="33"/>
  <c r="BB87" i="33"/>
  <c r="BC87" i="33"/>
  <c r="BD87" i="33"/>
  <c r="BE87" i="33"/>
  <c r="BF87" i="33"/>
  <c r="BB88" i="33"/>
  <c r="BC88" i="33"/>
  <c r="BD88" i="33"/>
  <c r="BE88" i="33"/>
  <c r="BF88" i="33"/>
  <c r="BB89" i="33"/>
  <c r="BC89" i="33"/>
  <c r="BD89" i="33"/>
  <c r="BE89" i="33"/>
  <c r="BF89" i="33"/>
  <c r="BB90" i="33"/>
  <c r="BC90" i="33"/>
  <c r="BD90" i="33"/>
  <c r="BE90" i="33"/>
  <c r="BF90" i="33"/>
  <c r="BB91" i="33"/>
  <c r="BC91" i="33"/>
  <c r="BD91" i="33"/>
  <c r="BE91" i="33"/>
  <c r="BF91" i="33"/>
  <c r="BB92" i="33"/>
  <c r="BC92" i="33"/>
  <c r="BD92" i="33"/>
  <c r="BE92" i="33"/>
  <c r="BF92" i="33"/>
  <c r="BB93" i="33"/>
  <c r="BC93" i="33"/>
  <c r="BD93" i="33"/>
  <c r="BE93" i="33"/>
  <c r="BF93" i="33"/>
  <c r="BB94" i="33"/>
  <c r="BC94" i="33"/>
  <c r="BD94" i="33"/>
  <c r="BE94" i="33"/>
  <c r="BF94" i="33"/>
  <c r="BB95" i="33"/>
  <c r="BC95" i="33"/>
  <c r="BD95" i="33"/>
  <c r="BE95" i="33"/>
  <c r="BF95" i="33"/>
  <c r="BB96" i="33"/>
  <c r="BC96" i="33"/>
  <c r="BD96" i="33"/>
  <c r="BE96" i="33"/>
  <c r="BF96" i="33"/>
  <c r="BB97" i="33"/>
  <c r="BC97" i="33"/>
  <c r="BD97" i="33"/>
  <c r="BE97" i="33"/>
  <c r="BF97" i="33"/>
  <c r="BB98" i="33"/>
  <c r="BC98" i="33"/>
  <c r="BD98" i="33"/>
  <c r="BE98" i="33"/>
  <c r="BF98" i="33"/>
  <c r="BB99" i="33"/>
  <c r="BC99" i="33"/>
  <c r="BD99" i="33"/>
  <c r="BE99" i="33"/>
  <c r="BF99" i="33"/>
  <c r="BB100" i="33"/>
  <c r="BC100" i="33"/>
  <c r="BD100" i="33"/>
  <c r="BE100" i="33"/>
  <c r="BF100" i="33"/>
  <c r="BB101" i="33"/>
  <c r="BC101" i="33"/>
  <c r="BD101" i="33"/>
  <c r="BE101" i="33"/>
  <c r="BF101" i="33"/>
  <c r="BB102" i="33"/>
  <c r="BC102" i="33"/>
  <c r="BD102" i="33"/>
  <c r="BE102" i="33"/>
  <c r="BF102" i="33"/>
  <c r="BB103" i="33"/>
  <c r="BC103" i="33"/>
  <c r="BD103" i="33"/>
  <c r="BE103" i="33"/>
  <c r="BF103" i="33"/>
  <c r="BB104" i="33"/>
  <c r="BC104" i="33"/>
  <c r="BD104" i="33"/>
  <c r="BE104" i="33"/>
  <c r="BF104" i="33"/>
  <c r="BB105" i="33"/>
  <c r="BC105" i="33"/>
  <c r="BD105" i="33"/>
  <c r="BE105" i="33"/>
  <c r="BF105" i="33"/>
  <c r="BB106" i="33"/>
  <c r="BC106" i="33"/>
  <c r="BD106" i="33"/>
  <c r="BE106" i="33"/>
  <c r="BF106" i="33"/>
  <c r="BB107" i="33"/>
  <c r="BC107" i="33"/>
  <c r="BD107" i="33"/>
  <c r="BE107" i="33"/>
  <c r="BF107" i="33"/>
  <c r="BB108" i="33"/>
  <c r="BC108" i="33"/>
  <c r="BD108" i="33"/>
  <c r="BE108" i="33"/>
  <c r="BF108" i="33"/>
  <c r="BB109" i="33"/>
  <c r="BC109" i="33"/>
  <c r="BD109" i="33"/>
  <c r="BE109" i="33"/>
  <c r="BF109" i="33"/>
  <c r="BB110" i="33"/>
  <c r="BC110" i="33"/>
  <c r="BD110" i="33"/>
  <c r="BE110" i="33"/>
  <c r="BF110" i="33"/>
  <c r="BB111" i="33"/>
  <c r="BC111" i="33"/>
  <c r="BD111" i="33"/>
  <c r="BE111" i="33"/>
  <c r="BF111" i="33"/>
  <c r="BB112" i="33"/>
  <c r="BC112" i="33"/>
  <c r="BD112" i="33"/>
  <c r="BE112" i="33"/>
  <c r="BF112" i="33"/>
  <c r="BB113" i="33"/>
  <c r="BC113" i="33"/>
  <c r="BD113" i="33"/>
  <c r="BE113" i="33"/>
  <c r="BF113" i="33"/>
  <c r="BB114" i="33"/>
  <c r="BC114" i="33"/>
  <c r="BD114" i="33"/>
  <c r="BE114" i="33"/>
  <c r="BF114" i="33"/>
  <c r="BB115" i="33"/>
  <c r="BC115" i="33"/>
  <c r="BD115" i="33"/>
  <c r="BE115" i="33"/>
  <c r="BF115" i="33"/>
  <c r="BB116" i="33"/>
  <c r="BC116" i="33"/>
  <c r="BD116" i="33"/>
  <c r="BE116" i="33"/>
  <c r="BF116" i="33"/>
  <c r="BB117" i="33"/>
  <c r="BC117" i="33"/>
  <c r="BD117" i="33"/>
  <c r="BE117" i="33"/>
  <c r="BF117" i="33"/>
  <c r="BB118" i="33"/>
  <c r="BC118" i="33"/>
  <c r="BD118" i="33"/>
  <c r="BE118" i="33"/>
  <c r="BF118" i="33"/>
  <c r="BB119" i="33"/>
  <c r="BC119" i="33"/>
  <c r="BD119" i="33"/>
  <c r="BE119" i="33"/>
  <c r="BF119" i="33"/>
  <c r="BB120" i="33"/>
  <c r="BC120" i="33"/>
  <c r="BD120" i="33"/>
  <c r="BE120" i="33"/>
  <c r="BF120" i="33"/>
  <c r="BB121" i="33"/>
  <c r="BC121" i="33"/>
  <c r="BD121" i="33"/>
  <c r="BE121" i="33"/>
  <c r="BF121" i="33"/>
  <c r="BB122" i="33"/>
  <c r="BC122" i="33"/>
  <c r="BD122" i="33"/>
  <c r="BE122" i="33"/>
  <c r="BF122" i="33"/>
  <c r="BB123" i="33"/>
  <c r="BC123" i="33"/>
  <c r="BD123" i="33"/>
  <c r="BE123" i="33"/>
  <c r="BF123" i="33"/>
  <c r="BB124" i="33"/>
  <c r="BC124" i="33"/>
  <c r="BD124" i="33"/>
  <c r="BE124" i="33"/>
  <c r="BF124" i="33"/>
  <c r="BB125" i="33"/>
  <c r="BC125" i="33"/>
  <c r="BD125" i="33"/>
  <c r="BE125" i="33"/>
  <c r="BF125" i="33"/>
  <c r="BB126" i="33"/>
  <c r="BC126" i="33"/>
  <c r="BD126" i="33"/>
  <c r="BE126" i="33"/>
  <c r="BF126" i="33"/>
  <c r="BB127" i="33"/>
  <c r="BC127" i="33"/>
  <c r="BD127" i="33"/>
  <c r="BE127" i="33"/>
  <c r="BF127" i="33"/>
  <c r="BB128" i="33"/>
  <c r="BC128" i="33"/>
  <c r="BD128" i="33"/>
  <c r="BE128" i="33"/>
  <c r="BF128" i="33"/>
  <c r="BB129" i="33"/>
  <c r="BC129" i="33"/>
  <c r="BD129" i="33"/>
  <c r="BE129" i="33"/>
  <c r="BF129" i="33"/>
  <c r="BB130" i="33"/>
  <c r="BC130" i="33"/>
  <c r="BD130" i="33"/>
  <c r="BE130" i="33"/>
  <c r="BF130" i="33"/>
  <c r="BB131" i="33"/>
  <c r="BC131" i="33"/>
  <c r="BD131" i="33"/>
  <c r="BE131" i="33"/>
  <c r="BF131" i="33"/>
  <c r="BB132" i="33"/>
  <c r="BC132" i="33"/>
  <c r="BD132" i="33"/>
  <c r="BE132" i="33"/>
  <c r="BF132" i="33"/>
  <c r="BB133" i="33"/>
  <c r="BC133" i="33"/>
  <c r="BD133" i="33"/>
  <c r="BE133" i="33"/>
  <c r="BF133" i="33"/>
  <c r="BB134" i="33"/>
  <c r="BC134" i="33"/>
  <c r="BD134" i="33"/>
  <c r="BE134" i="33"/>
  <c r="BF134" i="33"/>
  <c r="BB135" i="33"/>
  <c r="BC135" i="33"/>
  <c r="BD135" i="33"/>
  <c r="BE135" i="33"/>
  <c r="BF135" i="33"/>
  <c r="BB136" i="33"/>
  <c r="BC136" i="33"/>
  <c r="BD136" i="33"/>
  <c r="BE136" i="33"/>
  <c r="BF136" i="33"/>
  <c r="BB137" i="33"/>
  <c r="BC137" i="33"/>
  <c r="BD137" i="33"/>
  <c r="BE137" i="33"/>
  <c r="BF137" i="33"/>
  <c r="BB138" i="33"/>
  <c r="BC138" i="33"/>
  <c r="BD138" i="33"/>
  <c r="BE138" i="33"/>
  <c r="BF138" i="33"/>
  <c r="BB139" i="33"/>
  <c r="BC139" i="33"/>
  <c r="BD139" i="33"/>
  <c r="BE139" i="33"/>
  <c r="BF139" i="33"/>
  <c r="BB140" i="33"/>
  <c r="BC140" i="33"/>
  <c r="BD140" i="33"/>
  <c r="BE140" i="33"/>
  <c r="BF140" i="33"/>
  <c r="BB141" i="33"/>
  <c r="BC141" i="33"/>
  <c r="BD141" i="33"/>
  <c r="BE141" i="33"/>
  <c r="BF141" i="33"/>
  <c r="BB142" i="33"/>
  <c r="BC142" i="33"/>
  <c r="BD142" i="33"/>
  <c r="BE142" i="33"/>
  <c r="BF142" i="33"/>
  <c r="BB143" i="33"/>
  <c r="BC143" i="33"/>
  <c r="BD143" i="33"/>
  <c r="BE143" i="33"/>
  <c r="BF143" i="33"/>
  <c r="BB144" i="33"/>
  <c r="BC144" i="33"/>
  <c r="BD144" i="33"/>
  <c r="BE144" i="33"/>
  <c r="BF144" i="33"/>
  <c r="BB145" i="33"/>
  <c r="BC145" i="33"/>
  <c r="BD145" i="33"/>
  <c r="BE145" i="33"/>
  <c r="BF145" i="33"/>
  <c r="BB146" i="33"/>
  <c r="BC146" i="33"/>
  <c r="BD146" i="33"/>
  <c r="BE146" i="33"/>
  <c r="BF146" i="33"/>
  <c r="BB147" i="33"/>
  <c r="BC147" i="33"/>
  <c r="BD147" i="33"/>
  <c r="BE147" i="33"/>
  <c r="BF147" i="33"/>
  <c r="BB148" i="33"/>
  <c r="BC148" i="33"/>
  <c r="BD148" i="33"/>
  <c r="BE148" i="33"/>
  <c r="BF148" i="33"/>
  <c r="BB149" i="33"/>
  <c r="BC149" i="33"/>
  <c r="BD149" i="33"/>
  <c r="BE149" i="33"/>
  <c r="BF149" i="33"/>
  <c r="BB150" i="33"/>
  <c r="BC150" i="33"/>
  <c r="BD150" i="33"/>
  <c r="BE150" i="33"/>
  <c r="BF150" i="33"/>
  <c r="BB151" i="33"/>
  <c r="BC151" i="33"/>
  <c r="BD151" i="33"/>
  <c r="BE151" i="33"/>
  <c r="BF151" i="33"/>
  <c r="BB152" i="33"/>
  <c r="BC152" i="33"/>
  <c r="BD152" i="33"/>
  <c r="BE152" i="33"/>
  <c r="BF152" i="33"/>
  <c r="BB153" i="33"/>
  <c r="BC153" i="33"/>
  <c r="BD153" i="33"/>
  <c r="BE153" i="33"/>
  <c r="BF153" i="33"/>
  <c r="BB154" i="33"/>
  <c r="BC154" i="33"/>
  <c r="BD154" i="33"/>
  <c r="BE154" i="33"/>
  <c r="BF154" i="33"/>
  <c r="BB155" i="33"/>
  <c r="BC155" i="33"/>
  <c r="BD155" i="33"/>
  <c r="BE155" i="33"/>
  <c r="BF155" i="33"/>
  <c r="BB156" i="33"/>
  <c r="BC156" i="33"/>
  <c r="BD156" i="33"/>
  <c r="BE156" i="33"/>
  <c r="BF156" i="33"/>
  <c r="BB157" i="33"/>
  <c r="BC157" i="33"/>
  <c r="BD157" i="33"/>
  <c r="BE157" i="33"/>
  <c r="BF157" i="33"/>
  <c r="BB158" i="33"/>
  <c r="BC158" i="33"/>
  <c r="BD158" i="33"/>
  <c r="BE158" i="33"/>
  <c r="BF158" i="33"/>
  <c r="BB159" i="33"/>
  <c r="BC159" i="33"/>
  <c r="BD159" i="33"/>
  <c r="BE159" i="33"/>
  <c r="BF159" i="33"/>
  <c r="BB160" i="33"/>
  <c r="BC160" i="33"/>
  <c r="BD160" i="33"/>
  <c r="BE160" i="33"/>
  <c r="BF160" i="33"/>
  <c r="BB161" i="33"/>
  <c r="BC161" i="33"/>
  <c r="BD161" i="33"/>
  <c r="BE161" i="33"/>
  <c r="BF161" i="33"/>
  <c r="BB162" i="33"/>
  <c r="BC162" i="33"/>
  <c r="BD162" i="33"/>
  <c r="BE162" i="33"/>
  <c r="BF162" i="33"/>
  <c r="BB163" i="33"/>
  <c r="BC163" i="33"/>
  <c r="BD163" i="33"/>
  <c r="BE163" i="33"/>
  <c r="BF163" i="33"/>
  <c r="BB164" i="33"/>
  <c r="BC164" i="33"/>
  <c r="BD164" i="33"/>
  <c r="BE164" i="33"/>
  <c r="BF164" i="33"/>
  <c r="BB165" i="33"/>
  <c r="BC165" i="33"/>
  <c r="BD165" i="33"/>
  <c r="BE165" i="33"/>
  <c r="BF165" i="33"/>
  <c r="BB166" i="33"/>
  <c r="BC166" i="33"/>
  <c r="BD166" i="33"/>
  <c r="BE166" i="33"/>
  <c r="BF166" i="33"/>
  <c r="BB167" i="33"/>
  <c r="BC167" i="33"/>
  <c r="BD167" i="33"/>
  <c r="BE167" i="33"/>
  <c r="BF167" i="33"/>
  <c r="BB168" i="33"/>
  <c r="BC168" i="33"/>
  <c r="BD168" i="33"/>
  <c r="BE168" i="33"/>
  <c r="BF168" i="33"/>
  <c r="BB169" i="33"/>
  <c r="BC169" i="33"/>
  <c r="BD169" i="33"/>
  <c r="BE169" i="33"/>
  <c r="BF169" i="33"/>
  <c r="BB170" i="33"/>
  <c r="BC170" i="33"/>
  <c r="BD170" i="33"/>
  <c r="BE170" i="33"/>
  <c r="BF170" i="33"/>
  <c r="BB171" i="33"/>
  <c r="BC171" i="33"/>
  <c r="BD171" i="33"/>
  <c r="BE171" i="33"/>
  <c r="BF171" i="33"/>
  <c r="BB172" i="33"/>
  <c r="BC172" i="33"/>
  <c r="BD172" i="33"/>
  <c r="BE172" i="33"/>
  <c r="BF172" i="33"/>
  <c r="BB173" i="33"/>
  <c r="BC173" i="33"/>
  <c r="BD173" i="33"/>
  <c r="BE173" i="33"/>
  <c r="BF173" i="33"/>
  <c r="BB174" i="33"/>
  <c r="BC174" i="33"/>
  <c r="BD174" i="33"/>
  <c r="BE174" i="33"/>
  <c r="BF174" i="33"/>
  <c r="BB175" i="33"/>
  <c r="BC175" i="33"/>
  <c r="BD175" i="33"/>
  <c r="BE175" i="33"/>
  <c r="BF175" i="33"/>
  <c r="BB176" i="33"/>
  <c r="BC176" i="33"/>
  <c r="BD176" i="33"/>
  <c r="BE176" i="33"/>
  <c r="BF176" i="33"/>
  <c r="BB177" i="33"/>
  <c r="BC177" i="33"/>
  <c r="BD177" i="33"/>
  <c r="BE177" i="33"/>
  <c r="BF177" i="33"/>
  <c r="BB178" i="33"/>
  <c r="BC178" i="33"/>
  <c r="BD178" i="33"/>
  <c r="BE178" i="33"/>
  <c r="BF178" i="33"/>
  <c r="BB179" i="33"/>
  <c r="BC179" i="33"/>
  <c r="BD179" i="33"/>
  <c r="BE179" i="33"/>
  <c r="BF179" i="33"/>
  <c r="BB180" i="33"/>
  <c r="BC180" i="33"/>
  <c r="BD180" i="33"/>
  <c r="BE180" i="33"/>
  <c r="BF180" i="33"/>
  <c r="BB181" i="33"/>
  <c r="BC181" i="33"/>
  <c r="BD181" i="33"/>
  <c r="BE181" i="33"/>
  <c r="BF181" i="33"/>
  <c r="BB182" i="33"/>
  <c r="BC182" i="33"/>
  <c r="BD182" i="33"/>
  <c r="BE182" i="33"/>
  <c r="BF182" i="33"/>
  <c r="BB183" i="33"/>
  <c r="BC183" i="33"/>
  <c r="BD183" i="33"/>
  <c r="BE183" i="33"/>
  <c r="BF183" i="33"/>
  <c r="BB184" i="33"/>
  <c r="BC184" i="33"/>
  <c r="BD184" i="33"/>
  <c r="BE184" i="33"/>
  <c r="BF184" i="33"/>
  <c r="BB185" i="33"/>
  <c r="BC185" i="33"/>
  <c r="BD185" i="33"/>
  <c r="BE185" i="33"/>
  <c r="BF185" i="33"/>
  <c r="BB186" i="33"/>
  <c r="BC186" i="33"/>
  <c r="BD186" i="33"/>
  <c r="BE186" i="33"/>
  <c r="BF186" i="33"/>
  <c r="BB187" i="33"/>
  <c r="BC187" i="33"/>
  <c r="BD187" i="33"/>
  <c r="BE187" i="33"/>
  <c r="BF187" i="33"/>
  <c r="BB188" i="33"/>
  <c r="BC188" i="33"/>
  <c r="BD188" i="33"/>
  <c r="BE188" i="33"/>
  <c r="BF188" i="33"/>
  <c r="BB189" i="33"/>
  <c r="BC189" i="33"/>
  <c r="BD189" i="33"/>
  <c r="BE189" i="33"/>
  <c r="BF189" i="33"/>
  <c r="BB190" i="33"/>
  <c r="BC190" i="33"/>
  <c r="BD190" i="33"/>
  <c r="BE190" i="33"/>
  <c r="BF190" i="33"/>
  <c r="BB191" i="33"/>
  <c r="BC191" i="33"/>
  <c r="BD191" i="33"/>
  <c r="BE191" i="33"/>
  <c r="BF191" i="33"/>
  <c r="BB192" i="33"/>
  <c r="BC192" i="33"/>
  <c r="BD192" i="33"/>
  <c r="BE192" i="33"/>
  <c r="BF192" i="33"/>
  <c r="BB193" i="33"/>
  <c r="BC193" i="33"/>
  <c r="BD193" i="33"/>
  <c r="BE193" i="33"/>
  <c r="BF193" i="33"/>
  <c r="BB194" i="33"/>
  <c r="BC194" i="33"/>
  <c r="BD194" i="33"/>
  <c r="BE194" i="33"/>
  <c r="BF194" i="33"/>
  <c r="BB195" i="33"/>
  <c r="BC195" i="33"/>
  <c r="BD195" i="33"/>
  <c r="BE195" i="33"/>
  <c r="BF195" i="33"/>
  <c r="BB196" i="33"/>
  <c r="BC196" i="33"/>
  <c r="BD196" i="33"/>
  <c r="BE196" i="33"/>
  <c r="BF196" i="33"/>
  <c r="BB197" i="33"/>
  <c r="BC197" i="33"/>
  <c r="BD197" i="33"/>
  <c r="BE197" i="33"/>
  <c r="BF197" i="33"/>
  <c r="BB198" i="33"/>
  <c r="BC198" i="33"/>
  <c r="BD198" i="33"/>
  <c r="BE198" i="33"/>
  <c r="BF198" i="33"/>
  <c r="BB199" i="33"/>
  <c r="BC199" i="33"/>
  <c r="BD199" i="33"/>
  <c r="BE199" i="33"/>
  <c r="BF199" i="33"/>
  <c r="BB200" i="33"/>
  <c r="BC200" i="33"/>
  <c r="BD200" i="33"/>
  <c r="BE200" i="33"/>
  <c r="BF200" i="33"/>
  <c r="BB201" i="33"/>
  <c r="BC201" i="33"/>
  <c r="BD201" i="33"/>
  <c r="BE201" i="33"/>
  <c r="BF201" i="33"/>
  <c r="BB202" i="33"/>
  <c r="BC202" i="33"/>
  <c r="BD202" i="33"/>
  <c r="BE202" i="33"/>
  <c r="BF202" i="33"/>
  <c r="BB203" i="33"/>
  <c r="BC203" i="33"/>
  <c r="BD203" i="33"/>
  <c r="BE203" i="33"/>
  <c r="BF203" i="33"/>
  <c r="BB204" i="33"/>
  <c r="BC204" i="33"/>
  <c r="BD204" i="33"/>
  <c r="BE204" i="33"/>
  <c r="BF204" i="33"/>
  <c r="BB205" i="33"/>
  <c r="BC205" i="33"/>
  <c r="BD205" i="33"/>
  <c r="BE205" i="33"/>
  <c r="BF205" i="33"/>
  <c r="BB206" i="33"/>
  <c r="BC206" i="33"/>
  <c r="BD206" i="33"/>
  <c r="BE206" i="33"/>
  <c r="BF206" i="33"/>
  <c r="BB207" i="33"/>
  <c r="BC207" i="33"/>
  <c r="BD207" i="33"/>
  <c r="BE207" i="33"/>
  <c r="BF207" i="33"/>
  <c r="BB208" i="33"/>
  <c r="BC208" i="33"/>
  <c r="BD208" i="33"/>
  <c r="BE208" i="33"/>
  <c r="BF208" i="33"/>
  <c r="BB209" i="33"/>
  <c r="BC209" i="33"/>
  <c r="BD209" i="33"/>
  <c r="BE209" i="33"/>
  <c r="BF209" i="33"/>
  <c r="BB210" i="33"/>
  <c r="BC210" i="33"/>
  <c r="BD210" i="33"/>
  <c r="BE210" i="33"/>
  <c r="BF210" i="33"/>
  <c r="BB211" i="33"/>
  <c r="BC211" i="33"/>
  <c r="BD211" i="33"/>
  <c r="BE211" i="33"/>
  <c r="BF211" i="33"/>
  <c r="BB212" i="33"/>
  <c r="BC212" i="33"/>
  <c r="BD212" i="33"/>
  <c r="BE212" i="33"/>
  <c r="BF212" i="33"/>
  <c r="BB213" i="33"/>
  <c r="BC213" i="33"/>
  <c r="BD213" i="33"/>
  <c r="BE213" i="33"/>
  <c r="BF213" i="33"/>
  <c r="BB214" i="33"/>
  <c r="BC214" i="33"/>
  <c r="BD214" i="33"/>
  <c r="BE214" i="33"/>
  <c r="BF214" i="33"/>
  <c r="BB215" i="33"/>
  <c r="BC215" i="33"/>
  <c r="BD215" i="33"/>
  <c r="BE215" i="33"/>
  <c r="BF215" i="33"/>
  <c r="BB216" i="33"/>
  <c r="BC216" i="33"/>
  <c r="BD216" i="33"/>
  <c r="BE216" i="33"/>
  <c r="BF216" i="33"/>
  <c r="BB217" i="33"/>
  <c r="BC217" i="33"/>
  <c r="BD217" i="33"/>
  <c r="BE217" i="33"/>
  <c r="BF217" i="33"/>
  <c r="BB218" i="33"/>
  <c r="BC218" i="33"/>
  <c r="BD218" i="33"/>
  <c r="BE218" i="33"/>
  <c r="BF218" i="33"/>
  <c r="BB219" i="33"/>
  <c r="BC219" i="33"/>
  <c r="BD219" i="33"/>
  <c r="BE219" i="33"/>
  <c r="BF219" i="33"/>
  <c r="BB220" i="33"/>
  <c r="BC220" i="33"/>
  <c r="BD220" i="33"/>
  <c r="BE220" i="33"/>
  <c r="BF220" i="33"/>
  <c r="BB221" i="33"/>
  <c r="BC221" i="33"/>
  <c r="BD221" i="33"/>
  <c r="BE221" i="33"/>
  <c r="BF221" i="33"/>
  <c r="BB222" i="33"/>
  <c r="BC222" i="33"/>
  <c r="BD222" i="33"/>
  <c r="BE222" i="33"/>
  <c r="BF222" i="33"/>
  <c r="BB223" i="33"/>
  <c r="BC223" i="33"/>
  <c r="BD223" i="33"/>
  <c r="BE223" i="33"/>
  <c r="BF223" i="33"/>
  <c r="BB224" i="33"/>
  <c r="BC224" i="33"/>
  <c r="BD224" i="33"/>
  <c r="BE224" i="33"/>
  <c r="BF224" i="33"/>
  <c r="BB225" i="33"/>
  <c r="BC225" i="33"/>
  <c r="BD225" i="33"/>
  <c r="BE225" i="33"/>
  <c r="BF225" i="33"/>
  <c r="BB226" i="33"/>
  <c r="BC226" i="33"/>
  <c r="BD226" i="33"/>
  <c r="BE226" i="33"/>
  <c r="BF226" i="33"/>
  <c r="BB227" i="33"/>
  <c r="BC227" i="33"/>
  <c r="BD227" i="33"/>
  <c r="BE227" i="33"/>
  <c r="BF227" i="33"/>
  <c r="BB228" i="33"/>
  <c r="BC228" i="33"/>
  <c r="BD228" i="33"/>
  <c r="BE228" i="33"/>
  <c r="BF228" i="33"/>
  <c r="BB229" i="33"/>
  <c r="BC229" i="33"/>
  <c r="BD229" i="33"/>
  <c r="BE229" i="33"/>
  <c r="BF229" i="33"/>
  <c r="BB230" i="33"/>
  <c r="BC230" i="33"/>
  <c r="BD230" i="33"/>
  <c r="BE230" i="33"/>
  <c r="BF230" i="33"/>
  <c r="BB231" i="33"/>
  <c r="BC231" i="33"/>
  <c r="BD231" i="33"/>
  <c r="BE231" i="33"/>
  <c r="BF231" i="33"/>
  <c r="BB232" i="33"/>
  <c r="BC232" i="33"/>
  <c r="BD232" i="33"/>
  <c r="BE232" i="33"/>
  <c r="BF232" i="33"/>
  <c r="BB233" i="33"/>
  <c r="BC233" i="33"/>
  <c r="BD233" i="33"/>
  <c r="BE233" i="33"/>
  <c r="BF233" i="33"/>
  <c r="BB234" i="33"/>
  <c r="BC234" i="33"/>
  <c r="BD234" i="33"/>
  <c r="BE234" i="33"/>
  <c r="BF234" i="33"/>
  <c r="BB235" i="33"/>
  <c r="BC235" i="33"/>
  <c r="BD235" i="33"/>
  <c r="BE235" i="33"/>
  <c r="BF235" i="33"/>
  <c r="BB236" i="33"/>
  <c r="BC236" i="33"/>
  <c r="BD236" i="33"/>
  <c r="BE236" i="33"/>
  <c r="BF236" i="33"/>
  <c r="BB237" i="33"/>
  <c r="BC237" i="33"/>
  <c r="BD237" i="33"/>
  <c r="BE237" i="33"/>
  <c r="BF237" i="33"/>
  <c r="BB238" i="33"/>
  <c r="BC238" i="33"/>
  <c r="BD238" i="33"/>
  <c r="BE238" i="33"/>
  <c r="BF238" i="33"/>
  <c r="BB239" i="33"/>
  <c r="BC239" i="33"/>
  <c r="BD239" i="33"/>
  <c r="BE239" i="33"/>
  <c r="BF239" i="33"/>
  <c r="BB240" i="33"/>
  <c r="BC240" i="33"/>
  <c r="BD240" i="33"/>
  <c r="BE240" i="33"/>
  <c r="BF240" i="33"/>
  <c r="BB241" i="33"/>
  <c r="BC241" i="33"/>
  <c r="BD241" i="33"/>
  <c r="BE241" i="33"/>
  <c r="BF241" i="33"/>
  <c r="BB242" i="33"/>
  <c r="BC242" i="33"/>
  <c r="BD242" i="33"/>
  <c r="BE242" i="33"/>
  <c r="BF242" i="33"/>
  <c r="BB243" i="33"/>
  <c r="BC243" i="33"/>
  <c r="BD243" i="33"/>
  <c r="BE243" i="33"/>
  <c r="BF243" i="33"/>
  <c r="BB244" i="33"/>
  <c r="BC244" i="33"/>
  <c r="BD244" i="33"/>
  <c r="BE244" i="33"/>
  <c r="BF244" i="33"/>
  <c r="BB245" i="33"/>
  <c r="BC245" i="33"/>
  <c r="BD245" i="33"/>
  <c r="BE245" i="33"/>
  <c r="BF245" i="33"/>
  <c r="BB246" i="33"/>
  <c r="BC246" i="33"/>
  <c r="BD246" i="33"/>
  <c r="BE246" i="33"/>
  <c r="BF246" i="33"/>
  <c r="BB247" i="33"/>
  <c r="BC247" i="33"/>
  <c r="BD247" i="33"/>
  <c r="BE247" i="33"/>
  <c r="BF247" i="33"/>
  <c r="BB248" i="33"/>
  <c r="BC248" i="33"/>
  <c r="BD248" i="33"/>
  <c r="BE248" i="33"/>
  <c r="BF248" i="33"/>
  <c r="BB249" i="33"/>
  <c r="BC249" i="33"/>
  <c r="BD249" i="33"/>
  <c r="BE249" i="33"/>
  <c r="BF249" i="33"/>
  <c r="BB250" i="33"/>
  <c r="BC250" i="33"/>
  <c r="BD250" i="33"/>
  <c r="BE250" i="33"/>
  <c r="BF250" i="33"/>
  <c r="BB251" i="33"/>
  <c r="BC251" i="33"/>
  <c r="BD251" i="33"/>
  <c r="BE251" i="33"/>
  <c r="BF251" i="33"/>
  <c r="BB252" i="33"/>
  <c r="BC252" i="33"/>
  <c r="BD252" i="33"/>
  <c r="BE252" i="33"/>
  <c r="BF252" i="33"/>
  <c r="BB253" i="33"/>
  <c r="BC253" i="33"/>
  <c r="BD253" i="33"/>
  <c r="BE253" i="33"/>
  <c r="BF253" i="33"/>
  <c r="BB254" i="33"/>
  <c r="BC254" i="33"/>
  <c r="BD254" i="33"/>
  <c r="BE254" i="33"/>
  <c r="BF254" i="33"/>
  <c r="BB255" i="33"/>
  <c r="BC255" i="33"/>
  <c r="BD255" i="33"/>
  <c r="BE255" i="33"/>
  <c r="BF255" i="33"/>
  <c r="BB256" i="33"/>
  <c r="BC256" i="33"/>
  <c r="BD256" i="33"/>
  <c r="BE256" i="33"/>
  <c r="BF256" i="33"/>
  <c r="BB257" i="33"/>
  <c r="BC257" i="33"/>
  <c r="BD257" i="33"/>
  <c r="BE257" i="33"/>
  <c r="BF257" i="33"/>
  <c r="BB258" i="33"/>
  <c r="BC258" i="33"/>
  <c r="BD258" i="33"/>
  <c r="BE258" i="33"/>
  <c r="BF258" i="33"/>
  <c r="BB259" i="33"/>
  <c r="BC259" i="33"/>
  <c r="BD259" i="33"/>
  <c r="BE259" i="33"/>
  <c r="BF259" i="33"/>
  <c r="BB260" i="33"/>
  <c r="BC260" i="33"/>
  <c r="BD260" i="33"/>
  <c r="BE260" i="33"/>
  <c r="BF260" i="33"/>
  <c r="BB261" i="33"/>
  <c r="BC261" i="33"/>
  <c r="BD261" i="33"/>
  <c r="BE261" i="33"/>
  <c r="BF261" i="33"/>
  <c r="BB262" i="33"/>
  <c r="BC262" i="33"/>
  <c r="BD262" i="33"/>
  <c r="BE262" i="33"/>
  <c r="BF262" i="33"/>
  <c r="BB263" i="33"/>
  <c r="BC263" i="33"/>
  <c r="BD263" i="33"/>
  <c r="BE263" i="33"/>
  <c r="BF263" i="33"/>
  <c r="BB264" i="33"/>
  <c r="BC264" i="33"/>
  <c r="BD264" i="33"/>
  <c r="BE264" i="33"/>
  <c r="BF264" i="33"/>
  <c r="BB265" i="33"/>
  <c r="BC265" i="33"/>
  <c r="BD265" i="33"/>
  <c r="BE265" i="33"/>
  <c r="BF265" i="33"/>
  <c r="BB266" i="33"/>
  <c r="BC266" i="33"/>
  <c r="BD266" i="33"/>
  <c r="BE266" i="33"/>
  <c r="BF266" i="33"/>
  <c r="BB267" i="33"/>
  <c r="BC267" i="33"/>
  <c r="BD267" i="33"/>
  <c r="BE267" i="33"/>
  <c r="BF267" i="33"/>
  <c r="BB268" i="33"/>
  <c r="BC268" i="33"/>
  <c r="BD268" i="33"/>
  <c r="BE268" i="33"/>
  <c r="BF268" i="33"/>
  <c r="BB269" i="33"/>
  <c r="BC269" i="33"/>
  <c r="BD269" i="33"/>
  <c r="BE269" i="33"/>
  <c r="BF269" i="33"/>
  <c r="BB270" i="33"/>
  <c r="BC270" i="33"/>
  <c r="BD270" i="33"/>
  <c r="BE270" i="33"/>
  <c r="BF270" i="33"/>
  <c r="BB271" i="33"/>
  <c r="BC271" i="33"/>
  <c r="BD271" i="33"/>
  <c r="BE271" i="33"/>
  <c r="BF271" i="33"/>
  <c r="BB272" i="33"/>
  <c r="BC272" i="33"/>
  <c r="BD272" i="33"/>
  <c r="BE272" i="33"/>
  <c r="BF272" i="33"/>
  <c r="BB273" i="33"/>
  <c r="BC273" i="33"/>
  <c r="BD273" i="33"/>
  <c r="BE273" i="33"/>
  <c r="BF273" i="33"/>
  <c r="BB274" i="33"/>
  <c r="BC274" i="33"/>
  <c r="BD274" i="33"/>
  <c r="BE274" i="33"/>
  <c r="BF274" i="33"/>
  <c r="BB275" i="33"/>
  <c r="BC275" i="33"/>
  <c r="BD275" i="33"/>
  <c r="BE275" i="33"/>
  <c r="BF275" i="33"/>
  <c r="BB276" i="33"/>
  <c r="BC276" i="33"/>
  <c r="BD276" i="33"/>
  <c r="BE276" i="33"/>
  <c r="BF276" i="33"/>
  <c r="BB277" i="33"/>
  <c r="BC277" i="33"/>
  <c r="BD277" i="33"/>
  <c r="BE277" i="33"/>
  <c r="BF277" i="33"/>
  <c r="BB278" i="33"/>
  <c r="BC278" i="33"/>
  <c r="BD278" i="33"/>
  <c r="BE278" i="33"/>
  <c r="BF278" i="33"/>
  <c r="BB279" i="33"/>
  <c r="BC279" i="33"/>
  <c r="BD279" i="33"/>
  <c r="BE279" i="33"/>
  <c r="BF279" i="33"/>
  <c r="BB280" i="33"/>
  <c r="BC280" i="33"/>
  <c r="BD280" i="33"/>
  <c r="BE280" i="33"/>
  <c r="BF280" i="33"/>
  <c r="BB281" i="33"/>
  <c r="BC281" i="33"/>
  <c r="BD281" i="33"/>
  <c r="BE281" i="33"/>
  <c r="BF281" i="33"/>
  <c r="BB282" i="33"/>
  <c r="BC282" i="33"/>
  <c r="BD282" i="33"/>
  <c r="BE282" i="33"/>
  <c r="BF282" i="33"/>
  <c r="BB283" i="33"/>
  <c r="BC283" i="33"/>
  <c r="BD283" i="33"/>
  <c r="BE283" i="33"/>
  <c r="BF283" i="33"/>
  <c r="BB284" i="33"/>
  <c r="BC284" i="33"/>
  <c r="BD284" i="33"/>
  <c r="BE284" i="33"/>
  <c r="BF284" i="33"/>
  <c r="BB285" i="33"/>
  <c r="BC285" i="33"/>
  <c r="BD285" i="33"/>
  <c r="BE285" i="33"/>
  <c r="BF285" i="33"/>
  <c r="BB286" i="33"/>
  <c r="BC286" i="33"/>
  <c r="BD286" i="33"/>
  <c r="BE286" i="33"/>
  <c r="BF286" i="33"/>
  <c r="BB287" i="33"/>
  <c r="BC287" i="33"/>
  <c r="BD287" i="33"/>
  <c r="BE287" i="33"/>
  <c r="BF287" i="33"/>
  <c r="BB288" i="33"/>
  <c r="BC288" i="33"/>
  <c r="BD288" i="33"/>
  <c r="BE288" i="33"/>
  <c r="BF288" i="33"/>
  <c r="BB289" i="33"/>
  <c r="BC289" i="33"/>
  <c r="BD289" i="33"/>
  <c r="BE289" i="33"/>
  <c r="BF289" i="33"/>
  <c r="BB290" i="33"/>
  <c r="BC290" i="33"/>
  <c r="BD290" i="33"/>
  <c r="BE290" i="33"/>
  <c r="BF290" i="33"/>
  <c r="BB291" i="33"/>
  <c r="BC291" i="33"/>
  <c r="BD291" i="33"/>
  <c r="BE291" i="33"/>
  <c r="BF291" i="33"/>
  <c r="BB292" i="33"/>
  <c r="BC292" i="33"/>
  <c r="BD292" i="33"/>
  <c r="BE292" i="33"/>
  <c r="BF292" i="33"/>
  <c r="BB293" i="33"/>
  <c r="BC293" i="33"/>
  <c r="BD293" i="33"/>
  <c r="BE293" i="33"/>
  <c r="BF293" i="33"/>
  <c r="BB294" i="33"/>
  <c r="BC294" i="33"/>
  <c r="BD294" i="33"/>
  <c r="BE294" i="33"/>
  <c r="BF294" i="33"/>
  <c r="BB295" i="33"/>
  <c r="BC295" i="33"/>
  <c r="BD295" i="33"/>
  <c r="BE295" i="33"/>
  <c r="BF295" i="33"/>
  <c r="BB296" i="33"/>
  <c r="BC296" i="33"/>
  <c r="BD296" i="33"/>
  <c r="BE296" i="33"/>
  <c r="BF296" i="33"/>
  <c r="BB297" i="33"/>
  <c r="BC297" i="33"/>
  <c r="BD297" i="33"/>
  <c r="BE297" i="33"/>
  <c r="BF297" i="33"/>
  <c r="BB298" i="33"/>
  <c r="BC298" i="33"/>
  <c r="BD298" i="33"/>
  <c r="BE298" i="33"/>
  <c r="BF298" i="33"/>
  <c r="BB299" i="33"/>
  <c r="BC299" i="33"/>
  <c r="BD299" i="33"/>
  <c r="BE299" i="33"/>
  <c r="BF299" i="33"/>
  <c r="BB300" i="33"/>
  <c r="BC300" i="33"/>
  <c r="BD300" i="33"/>
  <c r="BE300" i="33"/>
  <c r="BF300" i="33"/>
  <c r="BB301" i="33"/>
  <c r="BC301" i="33"/>
  <c r="BD301" i="33"/>
  <c r="BE301" i="33"/>
  <c r="BF301" i="33"/>
  <c r="BB302" i="33"/>
  <c r="BC302" i="33"/>
  <c r="BD302" i="33"/>
  <c r="BE302" i="33"/>
  <c r="BF302" i="33"/>
  <c r="BB303" i="33"/>
  <c r="BC303" i="33"/>
  <c r="BD303" i="33"/>
  <c r="BE303" i="33"/>
  <c r="BF303" i="33"/>
  <c r="BB304" i="33"/>
  <c r="BC304" i="33"/>
  <c r="BD304" i="33"/>
  <c r="BE304" i="33"/>
  <c r="BF304" i="33"/>
  <c r="BB305" i="33"/>
  <c r="BC305" i="33"/>
  <c r="BD305" i="33"/>
  <c r="BE305" i="33"/>
  <c r="BF305" i="33"/>
  <c r="BB306" i="33"/>
  <c r="BC306" i="33"/>
  <c r="BD306" i="33"/>
  <c r="BE306" i="33"/>
  <c r="BF306" i="33"/>
  <c r="BB307" i="33"/>
  <c r="BC307" i="33"/>
  <c r="BD307" i="33"/>
  <c r="BE307" i="33"/>
  <c r="BF307" i="33"/>
  <c r="BB308" i="33"/>
  <c r="BC308" i="33"/>
  <c r="BD308" i="33"/>
  <c r="BE308" i="33"/>
  <c r="BF308" i="33"/>
  <c r="BB309" i="33"/>
  <c r="BC309" i="33"/>
  <c r="BD309" i="33"/>
  <c r="BE309" i="33"/>
  <c r="BF309" i="33"/>
  <c r="BB310" i="33"/>
  <c r="BC310" i="33"/>
  <c r="BD310" i="33"/>
  <c r="BE310" i="33"/>
  <c r="BF310" i="33"/>
  <c r="BB311" i="33"/>
  <c r="BC311" i="33"/>
  <c r="BD311" i="33"/>
  <c r="BE311" i="33"/>
  <c r="BF311" i="33"/>
  <c r="BB312" i="33"/>
  <c r="BC312" i="33"/>
  <c r="BD312" i="33"/>
  <c r="BE312" i="33"/>
  <c r="BF312" i="33"/>
  <c r="BB313" i="33"/>
  <c r="BC313" i="33"/>
  <c r="BD313" i="33"/>
  <c r="BE313" i="33"/>
  <c r="BF313" i="33"/>
  <c r="BB314" i="33"/>
  <c r="BC314" i="33"/>
  <c r="BD314" i="33"/>
  <c r="BE314" i="33"/>
  <c r="BF314" i="33"/>
  <c r="BB315" i="33"/>
  <c r="BC315" i="33"/>
  <c r="BD315" i="33"/>
  <c r="BE315" i="33"/>
  <c r="BF315" i="33"/>
  <c r="BB316" i="33"/>
  <c r="BC316" i="33"/>
  <c r="BD316" i="33"/>
  <c r="BE316" i="33"/>
  <c r="BF316" i="33"/>
  <c r="BB317" i="33"/>
  <c r="BC317" i="33"/>
  <c r="BD317" i="33"/>
  <c r="BE317" i="33"/>
  <c r="BF317" i="33"/>
  <c r="BB318" i="33"/>
  <c r="BC318" i="33"/>
  <c r="BD318" i="33"/>
  <c r="BE318" i="33"/>
  <c r="BF318" i="33"/>
  <c r="BB319" i="33"/>
  <c r="BC319" i="33"/>
  <c r="BD319" i="33"/>
  <c r="BE319" i="33"/>
  <c r="BF319" i="33"/>
  <c r="BB320" i="33"/>
  <c r="BC320" i="33"/>
  <c r="BD320" i="33"/>
  <c r="BE320" i="33"/>
  <c r="BF320" i="33"/>
  <c r="BB321" i="33"/>
  <c r="BC321" i="33"/>
  <c r="BD321" i="33"/>
  <c r="BE321" i="33"/>
  <c r="BF321" i="33"/>
  <c r="BB322" i="33"/>
  <c r="BC322" i="33"/>
  <c r="BD322" i="33"/>
  <c r="BE322" i="33"/>
  <c r="BF322" i="33"/>
  <c r="BB323" i="33"/>
  <c r="BC323" i="33"/>
  <c r="BD323" i="33"/>
  <c r="BE323" i="33"/>
  <c r="BF323" i="33"/>
  <c r="BB324" i="33"/>
  <c r="BC324" i="33"/>
  <c r="BD324" i="33"/>
  <c r="BE324" i="33"/>
  <c r="BF324" i="33"/>
  <c r="BB325" i="33"/>
  <c r="BC325" i="33"/>
  <c r="BD325" i="33"/>
  <c r="BE325" i="33"/>
  <c r="BF325" i="33"/>
  <c r="BB326" i="33"/>
  <c r="BC326" i="33"/>
  <c r="BD326" i="33"/>
  <c r="BE326" i="33"/>
  <c r="BF326" i="33"/>
  <c r="BB327" i="33"/>
  <c r="BC327" i="33"/>
  <c r="BD327" i="33"/>
  <c r="BE327" i="33"/>
  <c r="BF327" i="33"/>
  <c r="BB328" i="33"/>
  <c r="BC328" i="33"/>
  <c r="BD328" i="33"/>
  <c r="BE328" i="33"/>
  <c r="BF328" i="33"/>
  <c r="BB329" i="33"/>
  <c r="BC329" i="33"/>
  <c r="BD329" i="33"/>
  <c r="BE329" i="33"/>
  <c r="BF329" i="33"/>
  <c r="BB330" i="33"/>
  <c r="BC330" i="33"/>
  <c r="BD330" i="33"/>
  <c r="BE330" i="33"/>
  <c r="BF330" i="33"/>
  <c r="BB331" i="33"/>
  <c r="BC331" i="33"/>
  <c r="BD331" i="33"/>
  <c r="BE331" i="33"/>
  <c r="BF331" i="33"/>
  <c r="BB332" i="33"/>
  <c r="BC332" i="33"/>
  <c r="BD332" i="33"/>
  <c r="BE332" i="33"/>
  <c r="BF332" i="33"/>
  <c r="BB333" i="33"/>
  <c r="BC333" i="33"/>
  <c r="BD333" i="33"/>
  <c r="BE333" i="33"/>
  <c r="BF333" i="33"/>
  <c r="BB334" i="33"/>
  <c r="BC334" i="33"/>
  <c r="BD334" i="33"/>
  <c r="BE334" i="33"/>
  <c r="BF334" i="33"/>
  <c r="BB335" i="33"/>
  <c r="BC335" i="33"/>
  <c r="BD335" i="33"/>
  <c r="BE335" i="33"/>
  <c r="BF335" i="33"/>
  <c r="BB336" i="33"/>
  <c r="BC336" i="33"/>
  <c r="BD336" i="33"/>
  <c r="BE336" i="33"/>
  <c r="BF336" i="33"/>
  <c r="BB337" i="33"/>
  <c r="BC337" i="33"/>
  <c r="BD337" i="33"/>
  <c r="BE337" i="33"/>
  <c r="BF337" i="33"/>
  <c r="BB338" i="33"/>
  <c r="BC338" i="33"/>
  <c r="BD338" i="33"/>
  <c r="BE338" i="33"/>
  <c r="BF338" i="33"/>
  <c r="BB339" i="33"/>
  <c r="BC339" i="33"/>
  <c r="BD339" i="33"/>
  <c r="BE339" i="33"/>
  <c r="BF339" i="33"/>
  <c r="BB340" i="33"/>
  <c r="BC340" i="33"/>
  <c r="BD340" i="33"/>
  <c r="BE340" i="33"/>
  <c r="BF340" i="33"/>
  <c r="BB341" i="33"/>
  <c r="BC341" i="33"/>
  <c r="BD341" i="33"/>
  <c r="BE341" i="33"/>
  <c r="BF341" i="33"/>
  <c r="BB342" i="33"/>
  <c r="BC342" i="33"/>
  <c r="BD342" i="33"/>
  <c r="BE342" i="33"/>
  <c r="BF342" i="33"/>
  <c r="BB343" i="33"/>
  <c r="BC343" i="33"/>
  <c r="BD343" i="33"/>
  <c r="BE343" i="33"/>
  <c r="BF343" i="33"/>
  <c r="BB344" i="33"/>
  <c r="BC344" i="33"/>
  <c r="BD344" i="33"/>
  <c r="BE344" i="33"/>
  <c r="BF344" i="33"/>
  <c r="BB345" i="33"/>
  <c r="BC345" i="33"/>
  <c r="BD345" i="33"/>
  <c r="BE345" i="33"/>
  <c r="BF345" i="33"/>
  <c r="BB346" i="33"/>
  <c r="BC346" i="33"/>
  <c r="BD346" i="33"/>
  <c r="BE346" i="33"/>
  <c r="BF346" i="33"/>
  <c r="BB347" i="33"/>
  <c r="BC347" i="33"/>
  <c r="BD347" i="33"/>
  <c r="BE347" i="33"/>
  <c r="BF347" i="33"/>
  <c r="BB348" i="33"/>
  <c r="BC348" i="33"/>
  <c r="BD348" i="33"/>
  <c r="BE348" i="33"/>
  <c r="BF348" i="33"/>
  <c r="BB349" i="33"/>
  <c r="BC349" i="33"/>
  <c r="BD349" i="33"/>
  <c r="BE349" i="33"/>
  <c r="BF349" i="33"/>
  <c r="BB350" i="33"/>
  <c r="BC350" i="33"/>
  <c r="BD350" i="33"/>
  <c r="BE350" i="33"/>
  <c r="BF350" i="33"/>
  <c r="BB351" i="33"/>
  <c r="BC351" i="33"/>
  <c r="BD351" i="33"/>
  <c r="BE351" i="33"/>
  <c r="BF351" i="33"/>
  <c r="BB352" i="33"/>
  <c r="BC352" i="33"/>
  <c r="BD352" i="33"/>
  <c r="BE352" i="33"/>
  <c r="BF352" i="33"/>
  <c r="BB353" i="33"/>
  <c r="BC353" i="33"/>
  <c r="BD353" i="33"/>
  <c r="BE353" i="33"/>
  <c r="BF353" i="33"/>
  <c r="BB354" i="33"/>
  <c r="BC354" i="33"/>
  <c r="BD354" i="33"/>
  <c r="BE354" i="33"/>
  <c r="BF354" i="33"/>
  <c r="BB355" i="33"/>
  <c r="BC355" i="33"/>
  <c r="BD355" i="33"/>
  <c r="BE355" i="33"/>
  <c r="BF355" i="33"/>
  <c r="BB356" i="33"/>
  <c r="BC356" i="33"/>
  <c r="BD356" i="33"/>
  <c r="BE356" i="33"/>
  <c r="BF356" i="33"/>
  <c r="BB357" i="33"/>
  <c r="BC357" i="33"/>
  <c r="BD357" i="33"/>
  <c r="BE357" i="33"/>
  <c r="BF357" i="33"/>
  <c r="BB358" i="33"/>
  <c r="BC358" i="33"/>
  <c r="BD358" i="33"/>
  <c r="BE358" i="33"/>
  <c r="BF358" i="33"/>
  <c r="BB359" i="33"/>
  <c r="BC359" i="33"/>
  <c r="BD359" i="33"/>
  <c r="BE359" i="33"/>
  <c r="BF359" i="33"/>
  <c r="BB360" i="33"/>
  <c r="BC360" i="33"/>
  <c r="BD360" i="33"/>
  <c r="BE360" i="33"/>
  <c r="BF360" i="33"/>
  <c r="BB361" i="33"/>
  <c r="BC361" i="33"/>
  <c r="BD361" i="33"/>
  <c r="BE361" i="33"/>
  <c r="BF361" i="33"/>
  <c r="BB362" i="33"/>
  <c r="BC362" i="33"/>
  <c r="BD362" i="33"/>
  <c r="BE362" i="33"/>
  <c r="BF362" i="33"/>
  <c r="BB363" i="33"/>
  <c r="BC363" i="33"/>
  <c r="BD363" i="33"/>
  <c r="BE363" i="33"/>
  <c r="BF363" i="33"/>
  <c r="BB364" i="33"/>
  <c r="BC364" i="33"/>
  <c r="BD364" i="33"/>
  <c r="BE364" i="33"/>
  <c r="BF364" i="33"/>
  <c r="BB365" i="33"/>
  <c r="BC365" i="33"/>
  <c r="BD365" i="33"/>
  <c r="BE365" i="33"/>
  <c r="BF365" i="33"/>
  <c r="BB366" i="33"/>
  <c r="BC366" i="33"/>
  <c r="BD366" i="33"/>
  <c r="BE366" i="33"/>
  <c r="BF366" i="33"/>
  <c r="BB367" i="33"/>
  <c r="BC367" i="33"/>
  <c r="BD367" i="33"/>
  <c r="BE367" i="33"/>
  <c r="BF367" i="33"/>
  <c r="BB368" i="33"/>
  <c r="BC368" i="33"/>
  <c r="BD368" i="33"/>
  <c r="BE368" i="33"/>
  <c r="BF368" i="33"/>
  <c r="BB369" i="33"/>
  <c r="BC369" i="33"/>
  <c r="BD369" i="33"/>
  <c r="BE369" i="33"/>
  <c r="BF369" i="33"/>
  <c r="BB370" i="33"/>
  <c r="BC370" i="33"/>
  <c r="BD370" i="33"/>
  <c r="BE370" i="33"/>
  <c r="BF370" i="33"/>
  <c r="BB371" i="33"/>
  <c r="BC371" i="33"/>
  <c r="BD371" i="33"/>
  <c r="BE371" i="33"/>
  <c r="BF371" i="33"/>
  <c r="BB372" i="33"/>
  <c r="BC372" i="33"/>
  <c r="BD372" i="33"/>
  <c r="BE372" i="33"/>
  <c r="BF372" i="33"/>
  <c r="BB373" i="33"/>
  <c r="BC373" i="33"/>
  <c r="BD373" i="33"/>
  <c r="BE373" i="33"/>
  <c r="BF373" i="33"/>
  <c r="BB374" i="33"/>
  <c r="BC374" i="33"/>
  <c r="BD374" i="33"/>
  <c r="BE374" i="33"/>
  <c r="BF374" i="33"/>
  <c r="BB375" i="33"/>
  <c r="BC375" i="33"/>
  <c r="BD375" i="33"/>
  <c r="BE375" i="33"/>
  <c r="BF375" i="33"/>
  <c r="BB376" i="33"/>
  <c r="BC376" i="33"/>
  <c r="BD376" i="33"/>
  <c r="BE376" i="33"/>
  <c r="BF376" i="33"/>
  <c r="BB377" i="33"/>
  <c r="BC377" i="33"/>
  <c r="BD377" i="33"/>
  <c r="BE377" i="33"/>
  <c r="BF377" i="33"/>
  <c r="BB378" i="33"/>
  <c r="BC378" i="33"/>
  <c r="BD378" i="33"/>
  <c r="BE378" i="33"/>
  <c r="BF378" i="33"/>
  <c r="BB379" i="33"/>
  <c r="BC379" i="33"/>
  <c r="BD379" i="33"/>
  <c r="BE379" i="33"/>
  <c r="BF379" i="33"/>
  <c r="BB380" i="33"/>
  <c r="BC380" i="33"/>
  <c r="BD380" i="33"/>
  <c r="BE380" i="33"/>
  <c r="BF380" i="33"/>
  <c r="BB381" i="33"/>
  <c r="BC381" i="33"/>
  <c r="BD381" i="33"/>
  <c r="BE381" i="33"/>
  <c r="BF381" i="33"/>
  <c r="BB382" i="33"/>
  <c r="BC382" i="33"/>
  <c r="BD382" i="33"/>
  <c r="BE382" i="33"/>
  <c r="BF382" i="33"/>
  <c r="BB383" i="33"/>
  <c r="BC383" i="33"/>
  <c r="BD383" i="33"/>
  <c r="BE383" i="33"/>
  <c r="BF383" i="33"/>
  <c r="BB384" i="33"/>
  <c r="BC384" i="33"/>
  <c r="BD384" i="33"/>
  <c r="BE384" i="33"/>
  <c r="BF384" i="33"/>
  <c r="BB385" i="33"/>
  <c r="BC385" i="33"/>
  <c r="BD385" i="33"/>
  <c r="BE385" i="33"/>
  <c r="BF385" i="33"/>
  <c r="BB386" i="33"/>
  <c r="BC386" i="33"/>
  <c r="BD386" i="33"/>
  <c r="BE386" i="33"/>
  <c r="BF386" i="33"/>
  <c r="BB387" i="33"/>
  <c r="BC387" i="33"/>
  <c r="BD387" i="33"/>
  <c r="BE387" i="33"/>
  <c r="BF387" i="33"/>
  <c r="BB388" i="33"/>
  <c r="BC388" i="33"/>
  <c r="BD388" i="33"/>
  <c r="BE388" i="33"/>
  <c r="BF388" i="33"/>
  <c r="BB389" i="33"/>
  <c r="BC389" i="33"/>
  <c r="BD389" i="33"/>
  <c r="BE389" i="33"/>
  <c r="BF389" i="33"/>
  <c r="BB390" i="33"/>
  <c r="BC390" i="33"/>
  <c r="BD390" i="33"/>
  <c r="BE390" i="33"/>
  <c r="BF390" i="33"/>
  <c r="BB391" i="33"/>
  <c r="BC391" i="33"/>
  <c r="BD391" i="33"/>
  <c r="BE391" i="33"/>
  <c r="BF391" i="33"/>
  <c r="BB392" i="33"/>
  <c r="BC392" i="33"/>
  <c r="BD392" i="33"/>
  <c r="BE392" i="33"/>
  <c r="BF392" i="33"/>
  <c r="BB393" i="33"/>
  <c r="BC393" i="33"/>
  <c r="BD393" i="33"/>
  <c r="BE393" i="33"/>
  <c r="BF393" i="33"/>
  <c r="BB394" i="33"/>
  <c r="BC394" i="33"/>
  <c r="BD394" i="33"/>
  <c r="BE394" i="33"/>
  <c r="BF394" i="33"/>
  <c r="BB395" i="33"/>
  <c r="BC395" i="33"/>
  <c r="BD395" i="33"/>
  <c r="BE395" i="33"/>
  <c r="BF395" i="33"/>
  <c r="BB396" i="33"/>
  <c r="BC396" i="33"/>
  <c r="BD396" i="33"/>
  <c r="BE396" i="33"/>
  <c r="BF396" i="33"/>
  <c r="BB397" i="33"/>
  <c r="BC397" i="33"/>
  <c r="BD397" i="33"/>
  <c r="BE397" i="33"/>
  <c r="BF397" i="33"/>
  <c r="BB398" i="33"/>
  <c r="BC398" i="33"/>
  <c r="BD398" i="33"/>
  <c r="BE398" i="33"/>
  <c r="BF398" i="33"/>
  <c r="BB399" i="33"/>
  <c r="BC399" i="33"/>
  <c r="BD399" i="33"/>
  <c r="BE399" i="33"/>
  <c r="BF399" i="33"/>
  <c r="BB400" i="33"/>
  <c r="BC400" i="33"/>
  <c r="BD400" i="33"/>
  <c r="BE400" i="33"/>
  <c r="BF400" i="33"/>
  <c r="BB401" i="33"/>
  <c r="BC401" i="33"/>
  <c r="BD401" i="33"/>
  <c r="BE401" i="33"/>
  <c r="BF401" i="33"/>
  <c r="BB402" i="33"/>
  <c r="BC402" i="33"/>
  <c r="BD402" i="33"/>
  <c r="BE402" i="33"/>
  <c r="BF402" i="33"/>
  <c r="BB403" i="33"/>
  <c r="BC403" i="33"/>
  <c r="BD403" i="33"/>
  <c r="BE403" i="33"/>
  <c r="BF403" i="33"/>
  <c r="BB404" i="33"/>
  <c r="BC404" i="33"/>
  <c r="BD404" i="33"/>
  <c r="BE404" i="33"/>
  <c r="BF404" i="33"/>
  <c r="BB405" i="33"/>
  <c r="BC405" i="33"/>
  <c r="BD405" i="33"/>
  <c r="BE405" i="33"/>
  <c r="BF405" i="33"/>
  <c r="BB406" i="33"/>
  <c r="BC406" i="33"/>
  <c r="BD406" i="33"/>
  <c r="BE406" i="33"/>
  <c r="BF406" i="33"/>
  <c r="BB407" i="33"/>
  <c r="BC407" i="33"/>
  <c r="BD407" i="33"/>
  <c r="BE407" i="33"/>
  <c r="BF407" i="33"/>
  <c r="BB408" i="33"/>
  <c r="BC408" i="33"/>
  <c r="BD408" i="33"/>
  <c r="BE408" i="33"/>
  <c r="BF408" i="33"/>
  <c r="BB409" i="33"/>
  <c r="BC409" i="33"/>
  <c r="BD409" i="33"/>
  <c r="BE409" i="33"/>
  <c r="BF409" i="33"/>
  <c r="BB410" i="33"/>
  <c r="BC410" i="33"/>
  <c r="BD410" i="33"/>
  <c r="BE410" i="33"/>
  <c r="BF410" i="33"/>
  <c r="BB411" i="33"/>
  <c r="BC411" i="33"/>
  <c r="BD411" i="33"/>
  <c r="BE411" i="33"/>
  <c r="BF411" i="33"/>
  <c r="BB412" i="33"/>
  <c r="BC412" i="33"/>
  <c r="BD412" i="33"/>
  <c r="BE412" i="33"/>
  <c r="BF412" i="33"/>
  <c r="BB413" i="33"/>
  <c r="BC413" i="33"/>
  <c r="BD413" i="33"/>
  <c r="BE413" i="33"/>
  <c r="BF413" i="33"/>
  <c r="BB414" i="33"/>
  <c r="BC414" i="33"/>
  <c r="BD414" i="33"/>
  <c r="BE414" i="33"/>
  <c r="BF414" i="33"/>
  <c r="BB415" i="33"/>
  <c r="BC415" i="33"/>
  <c r="BD415" i="33"/>
  <c r="BE415" i="33"/>
  <c r="BF415" i="33"/>
  <c r="BB416" i="33"/>
  <c r="BC416" i="33"/>
  <c r="BD416" i="33"/>
  <c r="BE416" i="33"/>
  <c r="BF416" i="33"/>
  <c r="BB417" i="33"/>
  <c r="BC417" i="33"/>
  <c r="BD417" i="33"/>
  <c r="BE417" i="33"/>
  <c r="BF417" i="33"/>
  <c r="BB418" i="33"/>
  <c r="BC418" i="33"/>
  <c r="BD418" i="33"/>
  <c r="BE418" i="33"/>
  <c r="BF418" i="33"/>
  <c r="BB419" i="33"/>
  <c r="BC419" i="33"/>
  <c r="BD419" i="33"/>
  <c r="BE419" i="33"/>
  <c r="BF419" i="33"/>
  <c r="BB420" i="33"/>
  <c r="BC420" i="33"/>
  <c r="BD420" i="33"/>
  <c r="BE420" i="33"/>
  <c r="BF420" i="33"/>
  <c r="BB421" i="33"/>
  <c r="BC421" i="33"/>
  <c r="BD421" i="33"/>
  <c r="BE421" i="33"/>
  <c r="BF421" i="33"/>
  <c r="BB422" i="33"/>
  <c r="BC422" i="33"/>
  <c r="BD422" i="33"/>
  <c r="BE422" i="33"/>
  <c r="BF422" i="33"/>
  <c r="BB423" i="33"/>
  <c r="BC423" i="33"/>
  <c r="BD423" i="33"/>
  <c r="BE423" i="33"/>
  <c r="BF423" i="33"/>
  <c r="BB424" i="33"/>
  <c r="BC424" i="33"/>
  <c r="BD424" i="33"/>
  <c r="BE424" i="33"/>
  <c r="BF424" i="33"/>
  <c r="BB425" i="33"/>
  <c r="BC425" i="33"/>
  <c r="BD425" i="33"/>
  <c r="BE425" i="33"/>
  <c r="BF425" i="33"/>
  <c r="BB426" i="33"/>
  <c r="BC426" i="33"/>
  <c r="BD426" i="33"/>
  <c r="BE426" i="33"/>
  <c r="BF426" i="33"/>
  <c r="BB427" i="33"/>
  <c r="BC427" i="33"/>
  <c r="BD427" i="33"/>
  <c r="BE427" i="33"/>
  <c r="BF427" i="33"/>
  <c r="BB428" i="33"/>
  <c r="BC428" i="33"/>
  <c r="BD428" i="33"/>
  <c r="BE428" i="33"/>
  <c r="BF428" i="33"/>
  <c r="BB429" i="33"/>
  <c r="BC429" i="33"/>
  <c r="BD429" i="33"/>
  <c r="BE429" i="33"/>
  <c r="BF429" i="33"/>
  <c r="BB430" i="33"/>
  <c r="BC430" i="33"/>
  <c r="BD430" i="33"/>
  <c r="BE430" i="33"/>
  <c r="BF430" i="33"/>
  <c r="BB431" i="33"/>
  <c r="BC431" i="33"/>
  <c r="BD431" i="33"/>
  <c r="BE431" i="33"/>
  <c r="BF431" i="33"/>
  <c r="BB432" i="33"/>
  <c r="BC432" i="33"/>
  <c r="BD432" i="33"/>
  <c r="BE432" i="33"/>
  <c r="BF432" i="33"/>
  <c r="BB433" i="33"/>
  <c r="BC433" i="33"/>
  <c r="BD433" i="33"/>
  <c r="BE433" i="33"/>
  <c r="BF433" i="33"/>
  <c r="BB434" i="33"/>
  <c r="BC434" i="33"/>
  <c r="BD434" i="33"/>
  <c r="BE434" i="33"/>
  <c r="BF434" i="33"/>
  <c r="BB435" i="33"/>
  <c r="BC435" i="33"/>
  <c r="BD435" i="33"/>
  <c r="BE435" i="33"/>
  <c r="BF435" i="33"/>
  <c r="BB436" i="33"/>
  <c r="BC436" i="33"/>
  <c r="BD436" i="33"/>
  <c r="BE436" i="33"/>
  <c r="BF436" i="33"/>
  <c r="BB437" i="33"/>
  <c r="BC437" i="33"/>
  <c r="BD437" i="33"/>
  <c r="BE437" i="33"/>
  <c r="BF437" i="33"/>
  <c r="BB438" i="33"/>
  <c r="BC438" i="33"/>
  <c r="BD438" i="33"/>
  <c r="BE438" i="33"/>
  <c r="BF438" i="33"/>
  <c r="BB439" i="33"/>
  <c r="BC439" i="33"/>
  <c r="BD439" i="33"/>
  <c r="BE439" i="33"/>
  <c r="BF439" i="33"/>
  <c r="BB440" i="33"/>
  <c r="BC440" i="33"/>
  <c r="BD440" i="33"/>
  <c r="BE440" i="33"/>
  <c r="BF440" i="33"/>
  <c r="BB441" i="33"/>
  <c r="BC441" i="33"/>
  <c r="BD441" i="33"/>
  <c r="BE441" i="33"/>
  <c r="BF441" i="33"/>
  <c r="BB442" i="33"/>
  <c r="BC442" i="33"/>
  <c r="BD442" i="33"/>
  <c r="BE442" i="33"/>
  <c r="BF442" i="33"/>
  <c r="BB443" i="33"/>
  <c r="BC443" i="33"/>
  <c r="BD443" i="33"/>
  <c r="BE443" i="33"/>
  <c r="BF443" i="33"/>
  <c r="BB444" i="33"/>
  <c r="BC444" i="33"/>
  <c r="BD444" i="33"/>
  <c r="BE444" i="33"/>
  <c r="BF444" i="33"/>
  <c r="BB445" i="33"/>
  <c r="BC445" i="33"/>
  <c r="BD445" i="33"/>
  <c r="BE445" i="33"/>
  <c r="BF445" i="33"/>
  <c r="BB446" i="33"/>
  <c r="BC446" i="33"/>
  <c r="BD446" i="33"/>
  <c r="BE446" i="33"/>
  <c r="BF446" i="33"/>
  <c r="BB447" i="33"/>
  <c r="BC447" i="33"/>
  <c r="BD447" i="33"/>
  <c r="BE447" i="33"/>
  <c r="BF447" i="33"/>
  <c r="BB448" i="33"/>
  <c r="BC448" i="33"/>
  <c r="BD448" i="33"/>
  <c r="BE448" i="33"/>
  <c r="BF448" i="33"/>
  <c r="BB449" i="33"/>
  <c r="BC449" i="33"/>
  <c r="BD449" i="33"/>
  <c r="BE449" i="33"/>
  <c r="BF449" i="33"/>
  <c r="BB450" i="33"/>
  <c r="BC450" i="33"/>
  <c r="BD450" i="33"/>
  <c r="BE450" i="33"/>
  <c r="BF450" i="33"/>
  <c r="BB451" i="33"/>
  <c r="BC451" i="33"/>
  <c r="BD451" i="33"/>
  <c r="BE451" i="33"/>
  <c r="BF451" i="33"/>
  <c r="BB452" i="33"/>
  <c r="BC452" i="33"/>
  <c r="BD452" i="33"/>
  <c r="BE452" i="33"/>
  <c r="BF452" i="33"/>
  <c r="BB453" i="33"/>
  <c r="BC453" i="33"/>
  <c r="BD453" i="33"/>
  <c r="BE453" i="33"/>
  <c r="BF453" i="33"/>
  <c r="BB454" i="33"/>
  <c r="BC454" i="33"/>
  <c r="BD454" i="33"/>
  <c r="BE454" i="33"/>
  <c r="BF454" i="33"/>
  <c r="BB455" i="33"/>
  <c r="BC455" i="33"/>
  <c r="BD455" i="33"/>
  <c r="BE455" i="33"/>
  <c r="BF455" i="33"/>
  <c r="BB456" i="33"/>
  <c r="BC456" i="33"/>
  <c r="BD456" i="33"/>
  <c r="BE456" i="33"/>
  <c r="BF456" i="33"/>
  <c r="BB457" i="33"/>
  <c r="BC457" i="33"/>
  <c r="BD457" i="33"/>
  <c r="BE457" i="33"/>
  <c r="BF457" i="33"/>
  <c r="BB458" i="33"/>
  <c r="BC458" i="33"/>
  <c r="BD458" i="33"/>
  <c r="BE458" i="33"/>
  <c r="BF458" i="33"/>
  <c r="BB459" i="33"/>
  <c r="BC459" i="33"/>
  <c r="BD459" i="33"/>
  <c r="BE459" i="33"/>
  <c r="BF459" i="33"/>
  <c r="BB460" i="33"/>
  <c r="BC460" i="33"/>
  <c r="BD460" i="33"/>
  <c r="BE460" i="33"/>
  <c r="BF460" i="33"/>
  <c r="BB461" i="33"/>
  <c r="BC461" i="33"/>
  <c r="BD461" i="33"/>
  <c r="BE461" i="33"/>
  <c r="BF461" i="33"/>
  <c r="BB462" i="33"/>
  <c r="BC462" i="33"/>
  <c r="BD462" i="33"/>
  <c r="BE462" i="33"/>
  <c r="BF462" i="33"/>
  <c r="BB463" i="33"/>
  <c r="BC463" i="33"/>
  <c r="BD463" i="33"/>
  <c r="BE463" i="33"/>
  <c r="BF463" i="33"/>
  <c r="BB464" i="33"/>
  <c r="BC464" i="33"/>
  <c r="BD464" i="33"/>
  <c r="BE464" i="33"/>
  <c r="BF464" i="33"/>
  <c r="BB465" i="33"/>
  <c r="BC465" i="33"/>
  <c r="BD465" i="33"/>
  <c r="BE465" i="33"/>
  <c r="BF465" i="33"/>
  <c r="BB466" i="33"/>
  <c r="BC466" i="33"/>
  <c r="BD466" i="33"/>
  <c r="BE466" i="33"/>
  <c r="BF466" i="33"/>
  <c r="BB467" i="33"/>
  <c r="BC467" i="33"/>
  <c r="BD467" i="33"/>
  <c r="BE467" i="33"/>
  <c r="BF467" i="33"/>
  <c r="BB5" i="33"/>
  <c r="BC5" i="33"/>
  <c r="BD5" i="33"/>
  <c r="BE5" i="33"/>
  <c r="BF5" i="33"/>
  <c r="BB6" i="33"/>
  <c r="BC6" i="33"/>
  <c r="BD6" i="33"/>
  <c r="BE6" i="33"/>
  <c r="BF6" i="33"/>
  <c r="BB7" i="33"/>
  <c r="BC7" i="33"/>
  <c r="BD7" i="33"/>
  <c r="BE7" i="33"/>
  <c r="BF7" i="33"/>
  <c r="BB8" i="33"/>
  <c r="BC8" i="33"/>
  <c r="BD8" i="33"/>
  <c r="BE8" i="33"/>
  <c r="BF8" i="33"/>
  <c r="BB9" i="33"/>
  <c r="BC9" i="33"/>
  <c r="BD9" i="33"/>
  <c r="BE9" i="33"/>
  <c r="BF9" i="33"/>
  <c r="BB10" i="33"/>
  <c r="BC10" i="33"/>
  <c r="BD10" i="33"/>
  <c r="BE10" i="33"/>
  <c r="BF10" i="33"/>
  <c r="BB11" i="33"/>
  <c r="BC11" i="33"/>
  <c r="BD11" i="33"/>
  <c r="BE11" i="33"/>
  <c r="BF11" i="33"/>
  <c r="BB12" i="33"/>
  <c r="BC12" i="33"/>
  <c r="BD12" i="33"/>
  <c r="BE12" i="33"/>
  <c r="BF12" i="33"/>
  <c r="BB13" i="33"/>
  <c r="BC13" i="33"/>
  <c r="BD13" i="33"/>
  <c r="BE13" i="33"/>
  <c r="BF13" i="33"/>
  <c r="BB14" i="33"/>
  <c r="BC14" i="33"/>
  <c r="BD14" i="33"/>
  <c r="BE14" i="33"/>
  <c r="BF14" i="33"/>
  <c r="BB15" i="33"/>
  <c r="BC15" i="33"/>
  <c r="BD15" i="33"/>
  <c r="BE15" i="33"/>
  <c r="BF15" i="33"/>
  <c r="BB16" i="33"/>
  <c r="BC16" i="33"/>
  <c r="BD16" i="33"/>
  <c r="BE16" i="33"/>
  <c r="BF16" i="33"/>
  <c r="BB17" i="33"/>
  <c r="BC17" i="33"/>
  <c r="BD17" i="33"/>
  <c r="BE17" i="33"/>
  <c r="BF17" i="33"/>
  <c r="BB18" i="33"/>
  <c r="BC18" i="33"/>
  <c r="BD18" i="33"/>
  <c r="BE18" i="33"/>
  <c r="BF18" i="33"/>
  <c r="BB19" i="33"/>
  <c r="BC19" i="33"/>
  <c r="BD19" i="33"/>
  <c r="BE19" i="33"/>
  <c r="BF19" i="33"/>
  <c r="BB20" i="33"/>
  <c r="BC20" i="33"/>
  <c r="BD20" i="33"/>
  <c r="BE20" i="33"/>
  <c r="BF20" i="33"/>
  <c r="BB21" i="33"/>
  <c r="BC21" i="33"/>
  <c r="BD21" i="33"/>
  <c r="BE21" i="33"/>
  <c r="BF21" i="33"/>
  <c r="BB22" i="33"/>
  <c r="BC22" i="33"/>
  <c r="BD22" i="33"/>
  <c r="BE22" i="33"/>
  <c r="BF22" i="33"/>
  <c r="BB23" i="33"/>
  <c r="BC23" i="33"/>
  <c r="BD23" i="33"/>
  <c r="BE23" i="33"/>
  <c r="BF23" i="33"/>
  <c r="BB24" i="33"/>
  <c r="BC24" i="33"/>
  <c r="BD24" i="33"/>
  <c r="BE24" i="33"/>
  <c r="BF24" i="33"/>
  <c r="BB25" i="33"/>
  <c r="BC25" i="33"/>
  <c r="BD25" i="33"/>
  <c r="BE25" i="33"/>
  <c r="BF25" i="33"/>
  <c r="BB26" i="33"/>
  <c r="BC26" i="33"/>
  <c r="BD26" i="33"/>
  <c r="BE26" i="33"/>
  <c r="BF26" i="33"/>
  <c r="BB27" i="33"/>
  <c r="BC27" i="33"/>
  <c r="BD27" i="33"/>
  <c r="BE27" i="33"/>
  <c r="BF27" i="33"/>
  <c r="BB4" i="33"/>
  <c r="O134" i="83" l="1"/>
  <c r="S133" i="83"/>
  <c r="P135" i="83" s="1"/>
  <c r="S157" i="83"/>
  <c r="P157" i="83"/>
  <c r="S134" i="83"/>
  <c r="O162" i="83"/>
  <c r="O135" i="83"/>
  <c r="R135" i="83"/>
  <c r="AI60" i="83"/>
  <c r="AI61" i="83" s="1"/>
  <c r="Q157" i="83"/>
  <c r="R157" i="83"/>
  <c r="Q135" i="83"/>
  <c r="X59" i="81"/>
  <c r="W52" i="81"/>
  <c r="W16" i="81"/>
  <c r="W6" i="81"/>
  <c r="T59" i="81"/>
  <c r="AH59" i="81" s="1"/>
  <c r="V42" i="81"/>
  <c r="AJ42" i="81" s="1"/>
  <c r="V4" i="81"/>
  <c r="X55" i="81"/>
  <c r="V54" i="81"/>
  <c r="AJ54" i="81" s="1"/>
  <c r="V24" i="81"/>
  <c r="AJ24" i="81" s="1"/>
  <c r="X71" i="81"/>
  <c r="T35" i="81"/>
  <c r="AH35" i="81" s="1"/>
  <c r="W24" i="81"/>
  <c r="V22" i="81"/>
  <c r="AJ22" i="81" s="1"/>
  <c r="W48" i="81"/>
  <c r="W36" i="81"/>
  <c r="X23" i="81"/>
  <c r="V60" i="81"/>
  <c r="AJ60" i="81" s="1"/>
  <c r="V48" i="81"/>
  <c r="AJ48" i="81" s="1"/>
  <c r="T25" i="81"/>
  <c r="AH25" i="81" s="1"/>
  <c r="U52" i="81"/>
  <c r="AI52" i="81" s="1"/>
  <c r="U46" i="81"/>
  <c r="AI46" i="81" s="1"/>
  <c r="U40" i="81"/>
  <c r="AI40" i="81" s="1"/>
  <c r="U34" i="81"/>
  <c r="AI34" i="81" s="1"/>
  <c r="U28" i="81"/>
  <c r="AI28" i="81" s="1"/>
  <c r="U10" i="81"/>
  <c r="X66" i="81"/>
  <c r="W59" i="81"/>
  <c r="X54" i="81"/>
  <c r="X42" i="81"/>
  <c r="W35" i="81"/>
  <c r="X30" i="81"/>
  <c r="W23" i="81"/>
  <c r="X18" i="81"/>
  <c r="W11" i="81"/>
  <c r="T45" i="81"/>
  <c r="AH45" i="81" s="1"/>
  <c r="V57" i="81"/>
  <c r="AJ57" i="81" s="1"/>
  <c r="V51" i="81"/>
  <c r="AJ51" i="81" s="1"/>
  <c r="V45" i="81"/>
  <c r="AJ45" i="81" s="1"/>
  <c r="V39" i="81"/>
  <c r="AJ39" i="81" s="1"/>
  <c r="V27" i="81"/>
  <c r="AJ27" i="81" s="1"/>
  <c r="V15" i="81"/>
  <c r="V9" i="81"/>
  <c r="V3" i="81"/>
  <c r="W78" i="81"/>
  <c r="X73" i="81"/>
  <c r="X61" i="81"/>
  <c r="X49" i="81"/>
  <c r="W42" i="81"/>
  <c r="X37" i="81"/>
  <c r="W30" i="81"/>
  <c r="X25" i="81"/>
  <c r="W18" i="81"/>
  <c r="X13" i="81"/>
  <c r="T23" i="81"/>
  <c r="AH23" i="81" s="1"/>
  <c r="T44" i="81"/>
  <c r="AH44" i="81" s="1"/>
  <c r="U57" i="81"/>
  <c r="AI57" i="81" s="1"/>
  <c r="U45" i="81"/>
  <c r="AI45" i="81" s="1"/>
  <c r="U39" i="81"/>
  <c r="AI39" i="81" s="1"/>
  <c r="U27" i="81"/>
  <c r="AI27" i="81" s="1"/>
  <c r="U15" i="81"/>
  <c r="U9" i="81"/>
  <c r="U3" i="81"/>
  <c r="W73" i="81"/>
  <c r="X68" i="81"/>
  <c r="X56" i="81"/>
  <c r="W37" i="81"/>
  <c r="X32" i="81"/>
  <c r="X8" i="81"/>
  <c r="X5" i="81"/>
  <c r="T55" i="81"/>
  <c r="AH55" i="81" s="1"/>
  <c r="T43" i="81"/>
  <c r="AH43" i="81" s="1"/>
  <c r="T31" i="81"/>
  <c r="AH31" i="81" s="1"/>
  <c r="V56" i="81"/>
  <c r="AJ56" i="81" s="1"/>
  <c r="V44" i="81"/>
  <c r="AJ44" i="81" s="1"/>
  <c r="V32" i="81"/>
  <c r="AJ32" i="81" s="1"/>
  <c r="V20" i="81"/>
  <c r="V14" i="81"/>
  <c r="W68" i="81"/>
  <c r="X63" i="81"/>
  <c r="W56" i="81"/>
  <c r="X39" i="81"/>
  <c r="W32" i="81"/>
  <c r="W20" i="81"/>
  <c r="X15" i="81"/>
  <c r="W8" i="81"/>
  <c r="T54" i="81"/>
  <c r="AH54" i="81" s="1"/>
  <c r="T42" i="81"/>
  <c r="AH42" i="81" s="1"/>
  <c r="U56" i="81"/>
  <c r="AI56" i="81" s="1"/>
  <c r="U50" i="81"/>
  <c r="AI50" i="81" s="1"/>
  <c r="U38" i="81"/>
  <c r="AI38" i="81" s="1"/>
  <c r="U32" i="81"/>
  <c r="AI32" i="81" s="1"/>
  <c r="W75" i="81"/>
  <c r="X70" i="81"/>
  <c r="W63" i="81"/>
  <c r="X58" i="81"/>
  <c r="W39" i="81"/>
  <c r="X34" i="81"/>
  <c r="W27" i="81"/>
  <c r="X22" i="81"/>
  <c r="T8" i="81"/>
  <c r="AH8" i="81" s="1"/>
  <c r="V61" i="81"/>
  <c r="AJ61" i="81" s="1"/>
  <c r="V49" i="81"/>
  <c r="AJ49" i="81" s="1"/>
  <c r="V43" i="81"/>
  <c r="AJ43" i="81" s="1"/>
  <c r="V37" i="81"/>
  <c r="AJ37" i="81" s="1"/>
  <c r="V25" i="81"/>
  <c r="AJ25" i="81" s="1"/>
  <c r="V19" i="81"/>
  <c r="V7" i="81"/>
  <c r="W82" i="81"/>
  <c r="W70" i="81"/>
  <c r="W58" i="81"/>
  <c r="X53" i="81"/>
  <c r="X29" i="81"/>
  <c r="W22" i="81"/>
  <c r="T19" i="81"/>
  <c r="AH19" i="81" s="1"/>
  <c r="T7" i="81"/>
  <c r="AH7" i="81" s="1"/>
  <c r="T52" i="81"/>
  <c r="AH52" i="81" s="1"/>
  <c r="T40" i="81"/>
  <c r="AH40" i="81" s="1"/>
  <c r="T28" i="81"/>
  <c r="AH28" i="81" s="1"/>
  <c r="U49" i="81"/>
  <c r="AI49" i="81" s="1"/>
  <c r="U37" i="81"/>
  <c r="AI37" i="81" s="1"/>
  <c r="U31" i="81"/>
  <c r="AI31" i="81" s="1"/>
  <c r="U25" i="81"/>
  <c r="AI25" i="81" s="1"/>
  <c r="U19" i="81"/>
  <c r="W77" i="81"/>
  <c r="W65" i="81"/>
  <c r="W53" i="81"/>
  <c r="W29" i="81"/>
  <c r="X24" i="81"/>
  <c r="X12" i="81"/>
  <c r="X7" i="81"/>
  <c r="W4" i="81"/>
  <c r="V30" i="81"/>
  <c r="AJ30" i="81" s="1"/>
  <c r="V12" i="81"/>
  <c r="X31" i="81"/>
  <c r="T17" i="81"/>
  <c r="AH17" i="81" s="1"/>
  <c r="U36" i="81"/>
  <c r="AI36" i="81" s="1"/>
  <c r="U12" i="81"/>
  <c r="W79" i="81"/>
  <c r="W67" i="81"/>
  <c r="X62" i="81"/>
  <c r="W55" i="81"/>
  <c r="X50" i="81"/>
  <c r="W43" i="81"/>
  <c r="X14" i="81"/>
  <c r="T61" i="81"/>
  <c r="AH61" i="81" s="1"/>
  <c r="T37" i="81"/>
  <c r="AH37" i="81" s="1"/>
  <c r="V59" i="81"/>
  <c r="AJ59" i="81" s="1"/>
  <c r="V53" i="81"/>
  <c r="AJ53" i="81" s="1"/>
  <c r="V47" i="81"/>
  <c r="AJ47" i="81" s="1"/>
  <c r="V41" i="81"/>
  <c r="AJ41" i="81" s="1"/>
  <c r="V35" i="81"/>
  <c r="AJ35" i="81" s="1"/>
  <c r="V29" i="81"/>
  <c r="AJ29" i="81" s="1"/>
  <c r="V11" i="81"/>
  <c r="W74" i="81"/>
  <c r="X69" i="81"/>
  <c r="X57" i="81"/>
  <c r="W50" i="81"/>
  <c r="X45" i="81"/>
  <c r="W38" i="81"/>
  <c r="W26" i="81"/>
  <c r="W14" i="81"/>
  <c r="X3" i="81"/>
  <c r="T27" i="81"/>
  <c r="AH27" i="81" s="1"/>
  <c r="T60" i="81"/>
  <c r="AH60" i="81" s="1"/>
  <c r="T48" i="81"/>
  <c r="AH48" i="81" s="1"/>
  <c r="U59" i="81"/>
  <c r="AI59" i="81" s="1"/>
  <c r="U47" i="81"/>
  <c r="AI47" i="81" s="1"/>
  <c r="U41" i="81"/>
  <c r="AI41" i="81" s="1"/>
  <c r="U35" i="81"/>
  <c r="AI35" i="81" s="1"/>
  <c r="U29" i="81"/>
  <c r="AI29" i="81" s="1"/>
  <c r="U23" i="81"/>
  <c r="AI23" i="81" s="1"/>
  <c r="U17" i="81"/>
  <c r="U5" i="81"/>
  <c r="W69" i="81"/>
  <c r="W57" i="81"/>
  <c r="W45" i="81"/>
  <c r="X40" i="81"/>
  <c r="W33" i="81"/>
  <c r="X28" i="81"/>
  <c r="W9" i="81"/>
  <c r="AH3" i="81"/>
  <c r="T157" i="83" l="1"/>
  <c r="T158" i="83" s="1"/>
  <c r="AG6" i="81"/>
  <c r="AG5" i="81"/>
  <c r="AG7" i="81"/>
  <c r="AG3" i="81"/>
  <c r="AG4" i="81"/>
  <c r="D43" i="28" a="1"/>
  <c r="Q82" i="43"/>
  <c r="Q81" i="43"/>
  <c r="Q80" i="43"/>
  <c r="Q79" i="43"/>
  <c r="Q78" i="43"/>
  <c r="D40" i="28" a="1"/>
  <c r="D40" i="28" s="1"/>
  <c r="D9" i="28"/>
  <c r="A39" i="43"/>
  <c r="D45" i="28" s="1" a="1"/>
  <c r="D45" i="28" s="1"/>
  <c r="A40" i="43"/>
  <c r="A41" i="43"/>
  <c r="A42" i="43"/>
  <c r="A43" i="43"/>
  <c r="A44" i="43"/>
  <c r="A45" i="43"/>
  <c r="A46" i="43"/>
  <c r="A47" i="43"/>
  <c r="A48" i="43"/>
  <c r="A49" i="43"/>
  <c r="A50" i="43"/>
  <c r="A38" i="43"/>
  <c r="D38" i="28" s="1" a="1"/>
  <c r="D38" i="28" s="1"/>
  <c r="Q84" i="43" l="1"/>
  <c r="AJ3" i="81"/>
  <c r="D65" i="28" a="1"/>
  <c r="D65" i="28" s="1"/>
  <c r="X93" i="43"/>
  <c r="D46" i="28" a="1"/>
  <c r="D46" i="28" s="1"/>
  <c r="D36" i="28" a="1"/>
  <c r="D36" i="28" s="1"/>
  <c r="AJ12" i="81"/>
  <c r="X102" i="43"/>
  <c r="D35" i="28" a="1"/>
  <c r="D35" i="28" s="1"/>
  <c r="AJ13" i="81"/>
  <c r="X103" i="43"/>
  <c r="D47" i="28" a="1"/>
  <c r="D47" i="28" s="1"/>
  <c r="AJ11" i="81"/>
  <c r="X101" i="43"/>
  <c r="AJ10" i="81"/>
  <c r="X100" i="43"/>
  <c r="AJ8" i="81"/>
  <c r="X98" i="43"/>
  <c r="D49" i="28" a="1"/>
  <c r="D49" i="28" s="1"/>
  <c r="AJ7" i="81"/>
  <c r="X97" i="43"/>
  <c r="AJ6" i="81"/>
  <c r="X96" i="43"/>
  <c r="D48" i="28" a="1"/>
  <c r="D48" i="28" s="1"/>
  <c r="AJ9" i="81"/>
  <c r="X99" i="43"/>
  <c r="AJ5" i="81"/>
  <c r="X95" i="43"/>
  <c r="AJ14" i="81"/>
  <c r="Q81" i="81" s="1"/>
  <c r="X104" i="43"/>
  <c r="AJ4" i="81"/>
  <c r="R81" i="81" s="1"/>
  <c r="AG81" i="81" s="1"/>
  <c r="X94" i="43"/>
  <c r="O166" i="83"/>
  <c r="O167" i="83" s="1"/>
  <c r="D43" i="28"/>
  <c r="C4" i="26"/>
  <c r="D4" i="26"/>
  <c r="E4" i="26"/>
  <c r="F4" i="26"/>
  <c r="G4" i="26"/>
  <c r="H4" i="26"/>
  <c r="I4" i="26"/>
  <c r="J4" i="26"/>
  <c r="C5" i="26"/>
  <c r="D5" i="26"/>
  <c r="E5" i="26"/>
  <c r="F5" i="26"/>
  <c r="G5" i="26"/>
  <c r="H5" i="26"/>
  <c r="I5" i="26"/>
  <c r="J5" i="26"/>
  <c r="C6" i="26"/>
  <c r="D6" i="26"/>
  <c r="E6" i="26"/>
  <c r="F6" i="26"/>
  <c r="G6" i="26"/>
  <c r="H6" i="26"/>
  <c r="I6" i="26"/>
  <c r="J6" i="26"/>
  <c r="C7" i="26"/>
  <c r="D7" i="26"/>
  <c r="E7" i="26"/>
  <c r="F7" i="26"/>
  <c r="G7" i="26"/>
  <c r="H7" i="26"/>
  <c r="I7" i="26"/>
  <c r="J7" i="26"/>
  <c r="C8" i="26"/>
  <c r="D8" i="26"/>
  <c r="E8" i="26"/>
  <c r="F8" i="26"/>
  <c r="G8" i="26"/>
  <c r="H8" i="26"/>
  <c r="I8" i="26"/>
  <c r="J8" i="26"/>
  <c r="C9" i="26"/>
  <c r="D9" i="26"/>
  <c r="E9" i="26"/>
  <c r="F9" i="26"/>
  <c r="G9" i="26"/>
  <c r="H9" i="26"/>
  <c r="I9" i="26"/>
  <c r="J9" i="26"/>
  <c r="C10" i="26"/>
  <c r="D10" i="26"/>
  <c r="E10" i="26"/>
  <c r="F10" i="26"/>
  <c r="G10" i="26"/>
  <c r="H10" i="26"/>
  <c r="I10" i="26"/>
  <c r="J10" i="26"/>
  <c r="C11" i="26"/>
  <c r="D11" i="26"/>
  <c r="E11" i="26"/>
  <c r="F11" i="26"/>
  <c r="G11" i="26"/>
  <c r="H11" i="26"/>
  <c r="I11" i="26"/>
  <c r="J11" i="26"/>
  <c r="C12" i="26"/>
  <c r="D12" i="26"/>
  <c r="E12" i="26"/>
  <c r="F12" i="26"/>
  <c r="G12" i="26"/>
  <c r="H12" i="26"/>
  <c r="I12" i="26"/>
  <c r="J12" i="26"/>
  <c r="B13" i="26"/>
  <c r="C13" i="26"/>
  <c r="D13" i="26"/>
  <c r="E13" i="26"/>
  <c r="F13" i="26"/>
  <c r="G13" i="26"/>
  <c r="H13" i="26"/>
  <c r="I13" i="26"/>
  <c r="J13" i="26"/>
  <c r="C3" i="26"/>
  <c r="D3" i="26"/>
  <c r="E3" i="26"/>
  <c r="F3" i="26"/>
  <c r="G3" i="26"/>
  <c r="H3" i="26"/>
  <c r="I3" i="26"/>
  <c r="J3" i="26"/>
  <c r="D31" i="28" a="1"/>
  <c r="D31" i="28" s="1"/>
  <c r="Q62" i="81" l="1"/>
  <c r="R80" i="81"/>
  <c r="AG80" i="81" s="1"/>
  <c r="R62" i="81"/>
  <c r="AG62" i="81" s="1"/>
  <c r="Q30" i="81"/>
  <c r="R30" i="81"/>
  <c r="AG30" i="81" s="1"/>
  <c r="Q70" i="81"/>
  <c r="R70" i="81"/>
  <c r="AG70" i="81" s="1"/>
  <c r="Q48" i="81"/>
  <c r="R78" i="81"/>
  <c r="AG78" i="81" s="1"/>
  <c r="R48" i="81"/>
  <c r="AG48" i="81" s="1"/>
  <c r="Q40" i="81"/>
  <c r="R3" i="81"/>
  <c r="R66" i="81"/>
  <c r="AG66" i="81" s="1"/>
  <c r="R40" i="81"/>
  <c r="AG40" i="81" s="1"/>
  <c r="Q22" i="81"/>
  <c r="R27" i="81"/>
  <c r="AG27" i="81" s="1"/>
  <c r="Q5" i="81"/>
  <c r="R22" i="81"/>
  <c r="AG22" i="81" s="1"/>
  <c r="Q36" i="81"/>
  <c r="R24" i="81"/>
  <c r="AG24" i="81" s="1"/>
  <c r="R10" i="81"/>
  <c r="R76" i="81"/>
  <c r="AG76" i="81" s="1"/>
  <c r="R36" i="81"/>
  <c r="AG36" i="81" s="1"/>
  <c r="R58" i="81"/>
  <c r="AG58" i="81" s="1"/>
  <c r="Q16" i="81"/>
  <c r="R72" i="81"/>
  <c r="AG72" i="81" s="1"/>
  <c r="R52" i="81"/>
  <c r="AG52" i="81" s="1"/>
  <c r="R5" i="81"/>
  <c r="Q52" i="81"/>
  <c r="D41" i="28" a="1"/>
  <c r="D41" i="28" s="1"/>
  <c r="Q60" i="81"/>
  <c r="R56" i="81"/>
  <c r="AG56" i="81" s="1"/>
  <c r="Q80" i="81"/>
  <c r="Q14" i="81"/>
  <c r="R7" i="81"/>
  <c r="R18" i="81"/>
  <c r="R33" i="81"/>
  <c r="AG33" i="81" s="1"/>
  <c r="Q56" i="81"/>
  <c r="R14" i="81"/>
  <c r="AG20" i="81" s="1"/>
  <c r="R60" i="81"/>
  <c r="AG60" i="81" s="1"/>
  <c r="Q18" i="81"/>
  <c r="Q54" i="81"/>
  <c r="R20" i="81"/>
  <c r="R50" i="81"/>
  <c r="AG50" i="81" s="1"/>
  <c r="Q44" i="81"/>
  <c r="R44" i="81"/>
  <c r="AG44" i="81" s="1"/>
  <c r="Q20" i="81"/>
  <c r="Q78" i="81"/>
  <c r="Q10" i="81"/>
  <c r="R54" i="81"/>
  <c r="AG54" i="81" s="1"/>
  <c r="R16" i="81"/>
  <c r="AG16" i="81" s="1"/>
  <c r="P166" i="83"/>
  <c r="P167" i="83" s="1"/>
  <c r="C20" i="28"/>
  <c r="AG18" i="81" l="1"/>
  <c r="AG17" i="81"/>
  <c r="E3" i="28"/>
  <c r="E4" i="28"/>
  <c r="E5" i="28"/>
  <c r="E6" i="28"/>
  <c r="E7" i="28"/>
  <c r="E8" i="28"/>
  <c r="E9" i="28"/>
  <c r="E10" i="28"/>
  <c r="E11" i="28"/>
  <c r="E12" i="28"/>
  <c r="E2" i="28"/>
  <c r="R128" i="43"/>
  <c r="S128" i="43" s="1"/>
  <c r="R129" i="43"/>
  <c r="S129" i="43" s="1"/>
  <c r="N128" i="43"/>
  <c r="N129" i="43"/>
  <c r="V106" i="43"/>
  <c r="V107" i="43"/>
  <c r="R106" i="43"/>
  <c r="R107" i="43"/>
  <c r="N99" i="43"/>
  <c r="N100" i="43"/>
  <c r="N101" i="43"/>
  <c r="N102" i="43"/>
  <c r="N103" i="43"/>
  <c r="N104" i="43"/>
  <c r="N105" i="43"/>
  <c r="N106" i="43"/>
  <c r="N107" i="43"/>
  <c r="N108" i="43"/>
  <c r="N109" i="43"/>
  <c r="N110" i="43"/>
  <c r="B51" i="43" l="1"/>
  <c r="B54" i="43"/>
  <c r="B55" i="43"/>
  <c r="B56" i="43"/>
  <c r="C57" i="43"/>
  <c r="R116" i="43"/>
  <c r="R117" i="43"/>
  <c r="R118" i="43"/>
  <c r="R119" i="43"/>
  <c r="R120" i="43"/>
  <c r="R121" i="43"/>
  <c r="R122" i="43"/>
  <c r="R123" i="43"/>
  <c r="R124" i="43"/>
  <c r="R125" i="43"/>
  <c r="R126" i="43"/>
  <c r="R127" i="43"/>
  <c r="S127" i="43" s="1"/>
  <c r="R130" i="43"/>
  <c r="S130" i="43" s="1"/>
  <c r="R131" i="43"/>
  <c r="S131" i="43" s="1"/>
  <c r="R132" i="43"/>
  <c r="S132" i="43" s="1"/>
  <c r="R115" i="43"/>
  <c r="N116" i="43"/>
  <c r="N117" i="43"/>
  <c r="N118" i="43"/>
  <c r="N119" i="43"/>
  <c r="N120" i="43"/>
  <c r="N121" i="43"/>
  <c r="N122" i="43"/>
  <c r="N123" i="43"/>
  <c r="N124" i="43"/>
  <c r="N125" i="43"/>
  <c r="N126" i="43"/>
  <c r="N127" i="43"/>
  <c r="N130" i="43"/>
  <c r="N131" i="43"/>
  <c r="N132" i="43"/>
  <c r="N115" i="43"/>
  <c r="V94" i="43"/>
  <c r="V95" i="43"/>
  <c r="V96" i="43"/>
  <c r="V97" i="43"/>
  <c r="V98" i="43"/>
  <c r="V99" i="43"/>
  <c r="V100" i="43"/>
  <c r="V101" i="43"/>
  <c r="V102" i="43"/>
  <c r="V103" i="43"/>
  <c r="V104" i="43"/>
  <c r="V105" i="43"/>
  <c r="V108" i="43"/>
  <c r="V109" i="43"/>
  <c r="V110" i="43"/>
  <c r="V93" i="43"/>
  <c r="R94" i="43"/>
  <c r="R95" i="43"/>
  <c r="R96" i="43"/>
  <c r="R97" i="43"/>
  <c r="R98" i="43"/>
  <c r="R99" i="43"/>
  <c r="R100" i="43"/>
  <c r="R101" i="43"/>
  <c r="R102" i="43"/>
  <c r="R103" i="43"/>
  <c r="R104" i="43"/>
  <c r="R105" i="43"/>
  <c r="R108" i="43"/>
  <c r="R109" i="43"/>
  <c r="R110" i="43"/>
  <c r="R93" i="43"/>
  <c r="N94" i="43"/>
  <c r="N95" i="43"/>
  <c r="N96" i="43"/>
  <c r="N97" i="43"/>
  <c r="N98" i="43"/>
  <c r="N93" i="43"/>
  <c r="D11" i="28"/>
  <c r="G14" i="27"/>
  <c r="R114" i="43" l="1"/>
  <c r="U90" i="43"/>
  <c r="U91" i="43" s="1"/>
  <c r="M90" i="43"/>
  <c r="M91" i="43" s="1"/>
  <c r="H73" i="43" s="1"/>
  <c r="Q90" i="43"/>
  <c r="Q91" i="43" s="1"/>
  <c r="Q112" i="43"/>
  <c r="Q113" i="43" s="1"/>
  <c r="M112" i="43"/>
  <c r="M113" i="43" s="1"/>
  <c r="M135" i="43" s="1"/>
  <c r="S117" i="43"/>
  <c r="D44" i="43"/>
  <c r="D56" i="43"/>
  <c r="F56" i="43" s="1"/>
  <c r="D45" i="43"/>
  <c r="D46" i="43"/>
  <c r="D48" i="43"/>
  <c r="D40" i="43"/>
  <c r="D41" i="43"/>
  <c r="D43" i="43"/>
  <c r="D51" i="43"/>
  <c r="D54" i="43"/>
  <c r="F54" i="43" s="1"/>
  <c r="D47" i="43"/>
  <c r="D49" i="43"/>
  <c r="D55" i="43"/>
  <c r="F55" i="43" s="1"/>
  <c r="D50" i="43"/>
  <c r="D39" i="43"/>
  <c r="D52" i="43"/>
  <c r="F52" i="43" s="1"/>
  <c r="D42" i="43"/>
  <c r="D53" i="43"/>
  <c r="F53" i="43" s="1"/>
  <c r="D38" i="43"/>
  <c r="D17" i="30"/>
  <c r="P94" i="33"/>
  <c r="P106" i="33" s="1"/>
  <c r="Q94" i="33"/>
  <c r="Q106" i="33" s="1"/>
  <c r="R94" i="33"/>
  <c r="R106" i="33" s="1"/>
  <c r="S94" i="33"/>
  <c r="S106" i="33" s="1"/>
  <c r="T94" i="33"/>
  <c r="T106" i="33" s="1"/>
  <c r="U94" i="33"/>
  <c r="U106" i="33" s="1"/>
  <c r="V94" i="33"/>
  <c r="V106" i="33" s="1"/>
  <c r="W94" i="33"/>
  <c r="W106" i="33" s="1"/>
  <c r="P95" i="33"/>
  <c r="Q95" i="33"/>
  <c r="Q107" i="33" s="1"/>
  <c r="R95" i="33"/>
  <c r="R107" i="33" s="1"/>
  <c r="S95" i="33"/>
  <c r="S107" i="33" s="1"/>
  <c r="T95" i="33"/>
  <c r="T107" i="33" s="1"/>
  <c r="U95" i="33"/>
  <c r="U107" i="33" s="1"/>
  <c r="V95" i="33"/>
  <c r="V107" i="33" s="1"/>
  <c r="W95" i="33"/>
  <c r="W107" i="33" s="1"/>
  <c r="P96" i="33"/>
  <c r="Q96" i="33"/>
  <c r="Q108" i="33" s="1"/>
  <c r="R96" i="33"/>
  <c r="R108" i="33" s="1"/>
  <c r="S96" i="33"/>
  <c r="S108" i="33" s="1"/>
  <c r="T96" i="33"/>
  <c r="T108" i="33" s="1"/>
  <c r="U96" i="33"/>
  <c r="U108" i="33" s="1"/>
  <c r="V96" i="33"/>
  <c r="V108" i="33" s="1"/>
  <c r="W96" i="33"/>
  <c r="W108" i="33" s="1"/>
  <c r="P97" i="33"/>
  <c r="Q97" i="33"/>
  <c r="Q109" i="33" s="1"/>
  <c r="R97" i="33"/>
  <c r="R109" i="33" s="1"/>
  <c r="S97" i="33"/>
  <c r="S109" i="33" s="1"/>
  <c r="T97" i="33"/>
  <c r="T109" i="33" s="1"/>
  <c r="U97" i="33"/>
  <c r="U109" i="33" s="1"/>
  <c r="V97" i="33"/>
  <c r="V109" i="33" s="1"/>
  <c r="W97" i="33"/>
  <c r="W109" i="33" s="1"/>
  <c r="P98" i="33"/>
  <c r="Q98" i="33"/>
  <c r="Q110" i="33" s="1"/>
  <c r="R98" i="33"/>
  <c r="R110" i="33" s="1"/>
  <c r="S98" i="33"/>
  <c r="S110" i="33" s="1"/>
  <c r="T98" i="33"/>
  <c r="T110" i="33" s="1"/>
  <c r="U98" i="33"/>
  <c r="U110" i="33" s="1"/>
  <c r="V98" i="33"/>
  <c r="V110" i="33" s="1"/>
  <c r="W98" i="33"/>
  <c r="W110" i="33" s="1"/>
  <c r="P99" i="33"/>
  <c r="Q99" i="33"/>
  <c r="Q111" i="33" s="1"/>
  <c r="R99" i="33"/>
  <c r="R111" i="33" s="1"/>
  <c r="S99" i="33"/>
  <c r="S111" i="33" s="1"/>
  <c r="T99" i="33"/>
  <c r="T111" i="33" s="1"/>
  <c r="U99" i="33"/>
  <c r="U111" i="33" s="1"/>
  <c r="V99" i="33"/>
  <c r="V111" i="33" s="1"/>
  <c r="W99" i="33"/>
  <c r="W111" i="33" s="1"/>
  <c r="P100" i="33"/>
  <c r="Q100" i="33"/>
  <c r="Q112" i="33" s="1"/>
  <c r="R100" i="33"/>
  <c r="R112" i="33" s="1"/>
  <c r="S100" i="33"/>
  <c r="S112" i="33" s="1"/>
  <c r="T100" i="33"/>
  <c r="T112" i="33" s="1"/>
  <c r="U100" i="33"/>
  <c r="U112" i="33" s="1"/>
  <c r="V100" i="33"/>
  <c r="V112" i="33" s="1"/>
  <c r="W100" i="33"/>
  <c r="W112" i="33" s="1"/>
  <c r="P101" i="33"/>
  <c r="Q101" i="33"/>
  <c r="Q113" i="33" s="1"/>
  <c r="R101" i="33"/>
  <c r="R113" i="33" s="1"/>
  <c r="S101" i="33"/>
  <c r="S113" i="33" s="1"/>
  <c r="T101" i="33"/>
  <c r="T113" i="33" s="1"/>
  <c r="U101" i="33"/>
  <c r="U113" i="33" s="1"/>
  <c r="V101" i="33"/>
  <c r="V113" i="33" s="1"/>
  <c r="W101" i="33"/>
  <c r="W113" i="33" s="1"/>
  <c r="P102" i="33"/>
  <c r="Q102" i="33"/>
  <c r="Q114" i="33" s="1"/>
  <c r="R102" i="33"/>
  <c r="R114" i="33" s="1"/>
  <c r="S102" i="33"/>
  <c r="S114" i="33" s="1"/>
  <c r="T102" i="33"/>
  <c r="T114" i="33" s="1"/>
  <c r="U102" i="33"/>
  <c r="U114" i="33" s="1"/>
  <c r="V102" i="33"/>
  <c r="V114" i="33" s="1"/>
  <c r="W102" i="33"/>
  <c r="W114" i="33" s="1"/>
  <c r="P103" i="33"/>
  <c r="Q103" i="33"/>
  <c r="Q115" i="33" s="1"/>
  <c r="R103" i="33"/>
  <c r="R115" i="33" s="1"/>
  <c r="S103" i="33"/>
  <c r="S115" i="33" s="1"/>
  <c r="T103" i="33"/>
  <c r="T115" i="33" s="1"/>
  <c r="U103" i="33"/>
  <c r="U115" i="33" s="1"/>
  <c r="V103" i="33"/>
  <c r="V115" i="33" s="1"/>
  <c r="W103" i="33"/>
  <c r="W115" i="33" s="1"/>
  <c r="O103" i="33"/>
  <c r="O115" i="33" s="1"/>
  <c r="C15" i="30"/>
  <c r="T3" i="80"/>
  <c r="T6" i="80"/>
  <c r="T5" i="80"/>
  <c r="T7" i="80"/>
  <c r="E4" i="80"/>
  <c r="E5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260" i="80"/>
  <c r="E261" i="80"/>
  <c r="E262" i="80"/>
  <c r="E263" i="80"/>
  <c r="E264" i="80"/>
  <c r="E265" i="80"/>
  <c r="E266" i="80"/>
  <c r="E267" i="80"/>
  <c r="E268" i="80"/>
  <c r="E269" i="80"/>
  <c r="E270" i="80"/>
  <c r="E271" i="80"/>
  <c r="E272" i="80"/>
  <c r="E273" i="80"/>
  <c r="E274" i="80"/>
  <c r="E275" i="80"/>
  <c r="E276" i="80"/>
  <c r="E277" i="80"/>
  <c r="E278" i="80"/>
  <c r="E279" i="80"/>
  <c r="E280" i="80"/>
  <c r="E281" i="80"/>
  <c r="E282" i="80"/>
  <c r="E283" i="80"/>
  <c r="E284" i="80"/>
  <c r="E285" i="80"/>
  <c r="E286" i="80"/>
  <c r="E287" i="80"/>
  <c r="E288" i="80"/>
  <c r="E289" i="80"/>
  <c r="E290" i="80"/>
  <c r="E291" i="80"/>
  <c r="E292" i="80"/>
  <c r="E293" i="80"/>
  <c r="E294" i="80"/>
  <c r="E295" i="80"/>
  <c r="E296" i="80"/>
  <c r="E297" i="80"/>
  <c r="E298" i="80"/>
  <c r="E299" i="80"/>
  <c r="E300" i="80"/>
  <c r="E301" i="80"/>
  <c r="E302" i="80"/>
  <c r="E303" i="80"/>
  <c r="E304" i="80"/>
  <c r="E305" i="80"/>
  <c r="E306" i="80"/>
  <c r="E307" i="80"/>
  <c r="E308" i="80"/>
  <c r="E309" i="80"/>
  <c r="E310" i="80"/>
  <c r="E311" i="80"/>
  <c r="E312" i="80"/>
  <c r="E313" i="80"/>
  <c r="E314" i="80"/>
  <c r="E315" i="80"/>
  <c r="E316" i="80"/>
  <c r="E317" i="80"/>
  <c r="E318" i="80"/>
  <c r="E319" i="80"/>
  <c r="E320" i="80"/>
  <c r="E321" i="80"/>
  <c r="E322" i="80"/>
  <c r="E323" i="80"/>
  <c r="E324" i="80"/>
  <c r="E325" i="80"/>
  <c r="E326" i="80"/>
  <c r="E327" i="80"/>
  <c r="E328" i="80"/>
  <c r="E329" i="80"/>
  <c r="E330" i="80"/>
  <c r="E331" i="80"/>
  <c r="E332" i="80"/>
  <c r="E333" i="80"/>
  <c r="E334" i="80"/>
  <c r="E335" i="80"/>
  <c r="E336" i="80"/>
  <c r="E337" i="80"/>
  <c r="E338" i="80"/>
  <c r="E339" i="80"/>
  <c r="E340" i="80"/>
  <c r="E341" i="80"/>
  <c r="E342" i="80"/>
  <c r="E343" i="80"/>
  <c r="E344" i="80"/>
  <c r="E345" i="80"/>
  <c r="E346" i="80"/>
  <c r="E347" i="80"/>
  <c r="E348" i="80"/>
  <c r="E349" i="80"/>
  <c r="E350" i="80"/>
  <c r="E351" i="80"/>
  <c r="E352" i="80"/>
  <c r="E353" i="80"/>
  <c r="E354" i="80"/>
  <c r="E355" i="80"/>
  <c r="E356" i="80"/>
  <c r="E357" i="80"/>
  <c r="E358" i="80"/>
  <c r="E359" i="80"/>
  <c r="E360" i="80"/>
  <c r="E361" i="80"/>
  <c r="E362" i="80"/>
  <c r="E363" i="80"/>
  <c r="E364" i="80"/>
  <c r="E365" i="80"/>
  <c r="E366" i="80"/>
  <c r="E367" i="80"/>
  <c r="E368" i="80"/>
  <c r="E369" i="80"/>
  <c r="E370" i="80"/>
  <c r="E371" i="80"/>
  <c r="E372" i="80"/>
  <c r="E373" i="80"/>
  <c r="E374" i="80"/>
  <c r="E375" i="80"/>
  <c r="E376" i="80"/>
  <c r="E377" i="80"/>
  <c r="E378" i="80"/>
  <c r="E379" i="80"/>
  <c r="E380" i="80"/>
  <c r="E381" i="80"/>
  <c r="E382" i="80"/>
  <c r="E383" i="80"/>
  <c r="E384" i="80"/>
  <c r="E385" i="80"/>
  <c r="E386" i="80"/>
  <c r="E387" i="80"/>
  <c r="E388" i="80"/>
  <c r="E389" i="80"/>
  <c r="E390" i="80"/>
  <c r="E391" i="80"/>
  <c r="E392" i="80"/>
  <c r="E393" i="80"/>
  <c r="E394" i="80"/>
  <c r="E395" i="80"/>
  <c r="E396" i="80"/>
  <c r="E397" i="80"/>
  <c r="E398" i="80"/>
  <c r="E399" i="80"/>
  <c r="E400" i="80"/>
  <c r="E401" i="80"/>
  <c r="E402" i="80"/>
  <c r="E403" i="80"/>
  <c r="E404" i="80"/>
  <c r="E405" i="80"/>
  <c r="E406" i="80"/>
  <c r="E407" i="80"/>
  <c r="E408" i="80"/>
  <c r="E409" i="80"/>
  <c r="E410" i="80"/>
  <c r="E411" i="80"/>
  <c r="E412" i="80"/>
  <c r="E413" i="80"/>
  <c r="E414" i="80"/>
  <c r="E415" i="80"/>
  <c r="E416" i="80"/>
  <c r="E417" i="80"/>
  <c r="E418" i="80"/>
  <c r="E419" i="80"/>
  <c r="E420" i="80"/>
  <c r="E421" i="80"/>
  <c r="E422" i="80"/>
  <c r="E423" i="80"/>
  <c r="E424" i="80"/>
  <c r="E425" i="80"/>
  <c r="E426" i="80"/>
  <c r="E427" i="80"/>
  <c r="E428" i="80"/>
  <c r="E429" i="80"/>
  <c r="E430" i="80"/>
  <c r="E431" i="80"/>
  <c r="E432" i="80"/>
  <c r="E433" i="80"/>
  <c r="E434" i="80"/>
  <c r="E435" i="80"/>
  <c r="E436" i="80"/>
  <c r="E437" i="80"/>
  <c r="E438" i="80"/>
  <c r="E439" i="80"/>
  <c r="E440" i="80"/>
  <c r="E441" i="80"/>
  <c r="E442" i="80"/>
  <c r="E443" i="80"/>
  <c r="E444" i="80"/>
  <c r="E445" i="80"/>
  <c r="E446" i="80"/>
  <c r="E447" i="80"/>
  <c r="E448" i="80"/>
  <c r="E449" i="80"/>
  <c r="E450" i="80"/>
  <c r="E451" i="80"/>
  <c r="E452" i="80"/>
  <c r="E453" i="80"/>
  <c r="E454" i="80"/>
  <c r="E455" i="80"/>
  <c r="E456" i="80"/>
  <c r="E457" i="80"/>
  <c r="E458" i="80"/>
  <c r="E459" i="80"/>
  <c r="E460" i="80"/>
  <c r="E461" i="80"/>
  <c r="E462" i="80"/>
  <c r="E463" i="80"/>
  <c r="E464" i="80"/>
  <c r="E465" i="80"/>
  <c r="E466" i="80"/>
  <c r="E467" i="80"/>
  <c r="E468" i="80"/>
  <c r="E469" i="80"/>
  <c r="E470" i="80"/>
  <c r="E471" i="80"/>
  <c r="E472" i="80"/>
  <c r="E473" i="80"/>
  <c r="E474" i="80"/>
  <c r="E475" i="80"/>
  <c r="E476" i="80"/>
  <c r="E477" i="80"/>
  <c r="E478" i="80"/>
  <c r="E479" i="80"/>
  <c r="E480" i="80"/>
  <c r="E481" i="80"/>
  <c r="E482" i="80"/>
  <c r="E483" i="80"/>
  <c r="E484" i="80"/>
  <c r="E485" i="80"/>
  <c r="E486" i="80"/>
  <c r="E487" i="80"/>
  <c r="E488" i="80"/>
  <c r="E489" i="80"/>
  <c r="E490" i="80"/>
  <c r="E491" i="80"/>
  <c r="E492" i="80"/>
  <c r="E493" i="80"/>
  <c r="E494" i="80"/>
  <c r="E495" i="80"/>
  <c r="E496" i="80"/>
  <c r="E497" i="80"/>
  <c r="E498" i="80"/>
  <c r="E499" i="80"/>
  <c r="E500" i="80"/>
  <c r="E501" i="80"/>
  <c r="E502" i="80"/>
  <c r="E503" i="80"/>
  <c r="E504" i="80"/>
  <c r="E505" i="80"/>
  <c r="E506" i="80"/>
  <c r="E507" i="80"/>
  <c r="E508" i="80"/>
  <c r="E509" i="80"/>
  <c r="E510" i="80"/>
  <c r="E511" i="80"/>
  <c r="E512" i="80"/>
  <c r="E513" i="80"/>
  <c r="E514" i="80"/>
  <c r="E515" i="80"/>
  <c r="E516" i="80"/>
  <c r="E517" i="80"/>
  <c r="E518" i="80"/>
  <c r="E519" i="80"/>
  <c r="E520" i="80"/>
  <c r="E521" i="80"/>
  <c r="E522" i="80"/>
  <c r="E523" i="80"/>
  <c r="E524" i="80"/>
  <c r="E525" i="80"/>
  <c r="E526" i="80"/>
  <c r="E527" i="80"/>
  <c r="E528" i="80"/>
  <c r="E529" i="80"/>
  <c r="E530" i="80"/>
  <c r="E531" i="80"/>
  <c r="E532" i="80"/>
  <c r="E533" i="80"/>
  <c r="E534" i="80"/>
  <c r="E535" i="80"/>
  <c r="E536" i="80"/>
  <c r="E537" i="80"/>
  <c r="E538" i="80"/>
  <c r="E539" i="80"/>
  <c r="E540" i="80"/>
  <c r="E541" i="80"/>
  <c r="E542" i="80"/>
  <c r="E543" i="80"/>
  <c r="E544" i="80"/>
  <c r="E545" i="80"/>
  <c r="E546" i="80"/>
  <c r="E547" i="80"/>
  <c r="E548" i="80"/>
  <c r="E549" i="80"/>
  <c r="E550" i="80"/>
  <c r="E551" i="80"/>
  <c r="E552" i="80"/>
  <c r="E553" i="80"/>
  <c r="E554" i="80"/>
  <c r="E555" i="80"/>
  <c r="E556" i="80"/>
  <c r="E557" i="80"/>
  <c r="E558" i="80"/>
  <c r="E559" i="80"/>
  <c r="E560" i="80"/>
  <c r="E561" i="80"/>
  <c r="E562" i="80"/>
  <c r="E563" i="80"/>
  <c r="E564" i="80"/>
  <c r="E565" i="80"/>
  <c r="E566" i="80"/>
  <c r="E567" i="80"/>
  <c r="E568" i="80"/>
  <c r="E569" i="80"/>
  <c r="E570" i="80"/>
  <c r="E571" i="80"/>
  <c r="E572" i="80"/>
  <c r="E573" i="80"/>
  <c r="E574" i="80"/>
  <c r="E575" i="80"/>
  <c r="E576" i="80"/>
  <c r="E577" i="80"/>
  <c r="E578" i="80"/>
  <c r="E579" i="80"/>
  <c r="E580" i="80"/>
  <c r="E581" i="80"/>
  <c r="E582" i="80"/>
  <c r="E583" i="80"/>
  <c r="E584" i="80"/>
  <c r="E585" i="80"/>
  <c r="E586" i="80"/>
  <c r="E587" i="80"/>
  <c r="E588" i="80"/>
  <c r="E589" i="80"/>
  <c r="E590" i="80"/>
  <c r="E591" i="80"/>
  <c r="E592" i="80"/>
  <c r="E593" i="80"/>
  <c r="E594" i="80"/>
  <c r="E595" i="80"/>
  <c r="E596" i="80"/>
  <c r="E597" i="80"/>
  <c r="E598" i="80"/>
  <c r="E599" i="80"/>
  <c r="E600" i="80"/>
  <c r="E601" i="80"/>
  <c r="E602" i="80"/>
  <c r="E603" i="80"/>
  <c r="E604" i="80"/>
  <c r="E605" i="80"/>
  <c r="E606" i="80"/>
  <c r="E607" i="80"/>
  <c r="E608" i="80"/>
  <c r="E609" i="80"/>
  <c r="E610" i="80"/>
  <c r="E611" i="80"/>
  <c r="E612" i="80"/>
  <c r="E613" i="80"/>
  <c r="E3" i="80"/>
  <c r="P6" i="80"/>
  <c r="W3" i="80"/>
  <c r="P5" i="80"/>
  <c r="P4" i="80"/>
  <c r="I2" i="80"/>
  <c r="E23" i="30" s="1"/>
  <c r="E2" i="80" a="1"/>
  <c r="E2" i="80" s="1"/>
  <c r="K2" i="80" s="1" a="1"/>
  <c r="K2" i="80" s="1"/>
  <c r="F2" i="80" a="1"/>
  <c r="F2" i="80" s="1"/>
  <c r="W2" i="80"/>
  <c r="P3" i="80"/>
  <c r="P2" i="80"/>
  <c r="T4" i="80"/>
  <c r="T2" i="80"/>
  <c r="N85" i="43"/>
  <c r="N86" i="43"/>
  <c r="N87" i="43"/>
  <c r="N88" i="43"/>
  <c r="N84" i="43"/>
  <c r="C80" i="43"/>
  <c r="B66" i="43"/>
  <c r="B67" i="43"/>
  <c r="C35" i="43"/>
  <c r="E27" i="43"/>
  <c r="E23" i="43"/>
  <c r="E62" i="43" s="1"/>
  <c r="K93" i="43" s="1"/>
  <c r="S115" i="43" s="1"/>
  <c r="E24" i="43"/>
  <c r="E63" i="43" s="1"/>
  <c r="K94" i="43" s="1"/>
  <c r="S116" i="43" s="1"/>
  <c r="E25" i="43"/>
  <c r="E64" i="43" s="1"/>
  <c r="K95" i="43" s="1"/>
  <c r="E22" i="43"/>
  <c r="B27" i="43"/>
  <c r="B28" i="43"/>
  <c r="E28" i="43" s="1"/>
  <c r="B29" i="43"/>
  <c r="E29" i="43" s="1"/>
  <c r="B30" i="43"/>
  <c r="B69" i="43" s="1"/>
  <c r="B31" i="43"/>
  <c r="B70" i="43" s="1"/>
  <c r="B32" i="43"/>
  <c r="B71" i="43" s="1"/>
  <c r="B33" i="43"/>
  <c r="B72" i="43" s="1"/>
  <c r="B34" i="43"/>
  <c r="B73" i="43" s="1"/>
  <c r="B26" i="43"/>
  <c r="B65" i="43" s="1"/>
  <c r="H72" i="43" l="1"/>
  <c r="H69" i="43"/>
  <c r="H70" i="43"/>
  <c r="H71" i="43"/>
  <c r="T116" i="43"/>
  <c r="T115" i="43"/>
  <c r="P113" i="33"/>
  <c r="X101" i="33"/>
  <c r="AD119" i="33" s="1"/>
  <c r="P110" i="33"/>
  <c r="X98" i="33"/>
  <c r="AC116" i="33" s="1"/>
  <c r="P107" i="33"/>
  <c r="X95" i="33"/>
  <c r="AF113" i="33" s="1"/>
  <c r="P114" i="33"/>
  <c r="X102" i="33"/>
  <c r="AG120" i="33" s="1"/>
  <c r="P111" i="33"/>
  <c r="X99" i="33"/>
  <c r="AG117" i="33" s="1"/>
  <c r="P108" i="33"/>
  <c r="X96" i="33"/>
  <c r="AD114" i="33" s="1"/>
  <c r="P115" i="33"/>
  <c r="X103" i="33"/>
  <c r="AI121" i="33" s="1"/>
  <c r="P112" i="33"/>
  <c r="X100" i="33"/>
  <c r="AB118" i="33" s="1"/>
  <c r="P109" i="33"/>
  <c r="X97" i="33"/>
  <c r="AD115" i="33" s="1"/>
  <c r="T117" i="43"/>
  <c r="H61" i="43"/>
  <c r="H62" i="43"/>
  <c r="H63" i="43"/>
  <c r="H64" i="43"/>
  <c r="H65" i="43"/>
  <c r="H66" i="43"/>
  <c r="H67" i="43"/>
  <c r="H68" i="43"/>
  <c r="E71" i="43"/>
  <c r="B48" i="43"/>
  <c r="E73" i="43"/>
  <c r="B50" i="43"/>
  <c r="E66" i="43"/>
  <c r="B43" i="43"/>
  <c r="E69" i="43"/>
  <c r="B46" i="43"/>
  <c r="E72" i="43"/>
  <c r="B49" i="43"/>
  <c r="E70" i="43"/>
  <c r="B47" i="43"/>
  <c r="E67" i="43"/>
  <c r="B44" i="43"/>
  <c r="E65" i="43"/>
  <c r="B42" i="43"/>
  <c r="F51" i="43"/>
  <c r="H52" i="43" s="1"/>
  <c r="H53" i="43"/>
  <c r="S2" i="80" a="1"/>
  <c r="S2" i="80" s="1"/>
  <c r="B25" i="30" s="1"/>
  <c r="C25" i="30" s="1"/>
  <c r="S4" i="80" a="1"/>
  <c r="S4" i="80" s="1"/>
  <c r="D25" i="30" s="1"/>
  <c r="K4" i="80" a="1"/>
  <c r="K4" i="80" s="1"/>
  <c r="K6" i="80" s="1"/>
  <c r="X94" i="33"/>
  <c r="AI112" i="33" s="1"/>
  <c r="E38" i="43"/>
  <c r="F38" i="43" s="1"/>
  <c r="E61" i="43"/>
  <c r="E41" i="43"/>
  <c r="F41" i="43" s="1"/>
  <c r="E40" i="43"/>
  <c r="F40" i="43" s="1"/>
  <c r="E39" i="43"/>
  <c r="F39" i="43" s="1"/>
  <c r="D63" i="43"/>
  <c r="F63" i="43" s="1"/>
  <c r="D75" i="43"/>
  <c r="F75" i="43" s="1"/>
  <c r="D76" i="43"/>
  <c r="F76" i="43" s="1"/>
  <c r="D57" i="43"/>
  <c r="G2" i="80"/>
  <c r="H2" i="80" s="1"/>
  <c r="B23" i="30" s="1"/>
  <c r="C23" i="30" s="1"/>
  <c r="M89" i="43"/>
  <c r="B68" i="43"/>
  <c r="E26" i="43"/>
  <c r="E34" i="43"/>
  <c r="E33" i="43"/>
  <c r="E32" i="43"/>
  <c r="E31" i="43"/>
  <c r="E30" i="43"/>
  <c r="D71" i="43"/>
  <c r="F71" i="43" s="1"/>
  <c r="D62" i="43"/>
  <c r="F62" i="43" s="1"/>
  <c r="D73" i="43"/>
  <c r="F73" i="43" s="1"/>
  <c r="D70" i="43"/>
  <c r="F70" i="43" s="1"/>
  <c r="D69" i="43"/>
  <c r="F69" i="43" s="1"/>
  <c r="D68" i="43"/>
  <c r="D67" i="43"/>
  <c r="F67" i="43" s="1"/>
  <c r="D74" i="43"/>
  <c r="F74" i="43" s="1"/>
  <c r="D72" i="43"/>
  <c r="D61" i="43"/>
  <c r="D66" i="43"/>
  <c r="F66" i="43" s="1"/>
  <c r="D79" i="43"/>
  <c r="F79" i="43" s="1"/>
  <c r="D65" i="43"/>
  <c r="D78" i="43"/>
  <c r="F78" i="43" s="1"/>
  <c r="D64" i="43"/>
  <c r="F64" i="43" s="1"/>
  <c r="D77" i="43"/>
  <c r="F77" i="43" s="1"/>
  <c r="F61" i="43" l="1"/>
  <c r="J61" i="43"/>
  <c r="X108" i="33"/>
  <c r="X111" i="33"/>
  <c r="X115" i="33"/>
  <c r="X114" i="33"/>
  <c r="X109" i="33"/>
  <c r="X107" i="33"/>
  <c r="X112" i="33"/>
  <c r="X110" i="33"/>
  <c r="X113" i="33"/>
  <c r="H51" i="43"/>
  <c r="AG116" i="33"/>
  <c r="AD116" i="33"/>
  <c r="AI116" i="33"/>
  <c r="AE116" i="33"/>
  <c r="AE113" i="33"/>
  <c r="AJ116" i="33"/>
  <c r="AF116" i="33"/>
  <c r="H54" i="43"/>
  <c r="E49" i="43"/>
  <c r="F49" i="43" s="1"/>
  <c r="K103" i="43"/>
  <c r="S125" i="43" s="1"/>
  <c r="T125" i="43" s="1"/>
  <c r="E44" i="43"/>
  <c r="F44" i="43" s="1"/>
  <c r="K98" i="43"/>
  <c r="S120" i="43" s="1"/>
  <c r="T120" i="43" s="1"/>
  <c r="E46" i="43"/>
  <c r="F46" i="43" s="1"/>
  <c r="K100" i="43"/>
  <c r="S122" i="43" s="1"/>
  <c r="T122" i="43" s="1"/>
  <c r="F65" i="43"/>
  <c r="E47" i="43"/>
  <c r="F47" i="43" s="1"/>
  <c r="K101" i="43"/>
  <c r="S123" i="43" s="1"/>
  <c r="T123" i="43" s="1"/>
  <c r="E43" i="43"/>
  <c r="F43" i="43" s="1"/>
  <c r="K97" i="43"/>
  <c r="S119" i="43" s="1"/>
  <c r="T119" i="43" s="1"/>
  <c r="E42" i="43"/>
  <c r="F42" i="43" s="1"/>
  <c r="K96" i="43"/>
  <c r="H55" i="43"/>
  <c r="E50" i="43"/>
  <c r="F50" i="43" s="1"/>
  <c r="K104" i="43"/>
  <c r="S126" i="43" s="1"/>
  <c r="F72" i="43"/>
  <c r="H56" i="43"/>
  <c r="E68" i="43"/>
  <c r="B45" i="43"/>
  <c r="E48" i="43"/>
  <c r="F48" i="43" s="1"/>
  <c r="K102" i="43"/>
  <c r="S124" i="43" s="1"/>
  <c r="T124" i="43" s="1"/>
  <c r="D24" i="30"/>
  <c r="S7" i="80"/>
  <c r="E25" i="30" s="1"/>
  <c r="AH116" i="33"/>
  <c r="AB116" i="33"/>
  <c r="AH117" i="33"/>
  <c r="AI119" i="33"/>
  <c r="AH120" i="33"/>
  <c r="AI117" i="33"/>
  <c r="AB117" i="33"/>
  <c r="AF112" i="33"/>
  <c r="AJ114" i="33"/>
  <c r="AH114" i="33"/>
  <c r="AJ117" i="33"/>
  <c r="AF120" i="33"/>
  <c r="AC112" i="33"/>
  <c r="AD112" i="33"/>
  <c r="AC117" i="33"/>
  <c r="AG114" i="33"/>
  <c r="AF119" i="33"/>
  <c r="AC119" i="33"/>
  <c r="AH119" i="33"/>
  <c r="AC120" i="33"/>
  <c r="AJ119" i="33"/>
  <c r="AJ112" i="33"/>
  <c r="AE119" i="33"/>
  <c r="AD121" i="33"/>
  <c r="AG112" i="33"/>
  <c r="AD117" i="33"/>
  <c r="AF117" i="33"/>
  <c r="AG119" i="33"/>
  <c r="AB119" i="33"/>
  <c r="AE114" i="33"/>
  <c r="AE112" i="33"/>
  <c r="AE117" i="33"/>
  <c r="AC115" i="33"/>
  <c r="AJ118" i="33"/>
  <c r="AH115" i="33"/>
  <c r="AJ115" i="33"/>
  <c r="AD113" i="33"/>
  <c r="AB120" i="33"/>
  <c r="AI114" i="33"/>
  <c r="AC121" i="33"/>
  <c r="AH113" i="33"/>
  <c r="AG118" i="33"/>
  <c r="AC113" i="33"/>
  <c r="AI113" i="33"/>
  <c r="AC114" i="33"/>
  <c r="AG121" i="33"/>
  <c r="AD120" i="33"/>
  <c r="AI118" i="33"/>
  <c r="AJ121" i="33"/>
  <c r="AF115" i="33"/>
  <c r="AB115" i="33"/>
  <c r="AD118" i="33"/>
  <c r="AE115" i="33"/>
  <c r="AI115" i="33"/>
  <c r="AJ113" i="33"/>
  <c r="AF121" i="33"/>
  <c r="AJ120" i="33"/>
  <c r="AG115" i="33"/>
  <c r="AB113" i="33"/>
  <c r="AH112" i="33"/>
  <c r="AH121" i="33"/>
  <c r="AB121" i="33"/>
  <c r="AE120" i="33"/>
  <c r="AE121" i="33"/>
  <c r="AH118" i="33"/>
  <c r="AB114" i="33"/>
  <c r="AI120" i="33"/>
  <c r="AG113" i="33"/>
  <c r="AF118" i="33"/>
  <c r="AE118" i="33"/>
  <c r="AC118" i="33"/>
  <c r="AF114" i="33"/>
  <c r="AB112" i="33"/>
  <c r="D23" i="30"/>
  <c r="S3" i="80"/>
  <c r="D80" i="43"/>
  <c r="B7" i="27"/>
  <c r="G11" i="27"/>
  <c r="G12" i="27"/>
  <c r="G13" i="27"/>
  <c r="B3" i="27"/>
  <c r="B4" i="27"/>
  <c r="B5" i="27"/>
  <c r="B6" i="27"/>
  <c r="B8" i="27"/>
  <c r="B9" i="27"/>
  <c r="B10" i="27"/>
  <c r="B11" i="27"/>
  <c r="B12" i="27"/>
  <c r="B13" i="27"/>
  <c r="B14" i="27"/>
  <c r="B2" i="27"/>
  <c r="E45" i="43" l="1"/>
  <c r="F45" i="43" s="1"/>
  <c r="F57" i="43" s="1"/>
  <c r="K99" i="43"/>
  <c r="S121" i="43" s="1"/>
  <c r="T121" i="43" s="1"/>
  <c r="F68" i="43"/>
  <c r="F80" i="43" s="1"/>
  <c r="G65" i="43" s="1"/>
  <c r="V92" i="43"/>
  <c r="S118" i="43"/>
  <c r="T118" i="43" s="1"/>
  <c r="R92" i="43"/>
  <c r="N114" i="43"/>
  <c r="N92" i="43"/>
  <c r="W87" i="18"/>
  <c r="W88" i="18"/>
  <c r="O81" i="18"/>
  <c r="P81" i="18"/>
  <c r="R81" i="18"/>
  <c r="T81" i="18"/>
  <c r="V81" i="18"/>
  <c r="O82" i="18"/>
  <c r="P82" i="18"/>
  <c r="R82" i="18"/>
  <c r="T82" i="18"/>
  <c r="V82" i="18"/>
  <c r="O83" i="18"/>
  <c r="P83" i="18"/>
  <c r="R83" i="18"/>
  <c r="T83" i="18"/>
  <c r="V83" i="18"/>
  <c r="O84" i="18"/>
  <c r="P84" i="18"/>
  <c r="R84" i="18"/>
  <c r="T84" i="18"/>
  <c r="V84" i="18"/>
  <c r="O85" i="18"/>
  <c r="P85" i="18"/>
  <c r="R85" i="18"/>
  <c r="T85" i="18"/>
  <c r="V85" i="18"/>
  <c r="O86" i="18"/>
  <c r="W86" i="18"/>
  <c r="O87" i="18"/>
  <c r="O88" i="18"/>
  <c r="O89" i="18"/>
  <c r="W89" i="18"/>
  <c r="P80" i="18"/>
  <c r="R80" i="18"/>
  <c r="T80" i="18"/>
  <c r="V80" i="18"/>
  <c r="O80" i="18"/>
  <c r="O118" i="43" l="1"/>
  <c r="O116" i="43"/>
  <c r="O123" i="43"/>
  <c r="O122" i="43"/>
  <c r="O121" i="43"/>
  <c r="O117" i="43"/>
  <c r="O120" i="43"/>
  <c r="O115" i="43"/>
  <c r="O119" i="43"/>
  <c r="O129" i="43"/>
  <c r="O128" i="43"/>
  <c r="O126" i="43"/>
  <c r="O125" i="43"/>
  <c r="O124" i="43"/>
  <c r="O131" i="43"/>
  <c r="O130" i="43"/>
  <c r="O127" i="43"/>
  <c r="O132" i="43"/>
  <c r="S107" i="43"/>
  <c r="S106" i="43"/>
  <c r="S109" i="43"/>
  <c r="S108" i="43"/>
  <c r="S110" i="43"/>
  <c r="S105" i="43"/>
  <c r="S98" i="43"/>
  <c r="S97" i="43"/>
  <c r="S93" i="43"/>
  <c r="S94" i="43"/>
  <c r="S100" i="43"/>
  <c r="S96" i="43"/>
  <c r="S99" i="43"/>
  <c r="S103" i="43"/>
  <c r="S102" i="43"/>
  <c r="S95" i="43"/>
  <c r="S101" i="43"/>
  <c r="S104" i="43"/>
  <c r="G64" i="43"/>
  <c r="G70" i="43"/>
  <c r="G61" i="43"/>
  <c r="G69" i="43"/>
  <c r="G63" i="43"/>
  <c r="G79" i="43"/>
  <c r="G62" i="43"/>
  <c r="G74" i="43"/>
  <c r="G68" i="43"/>
  <c r="G76" i="43"/>
  <c r="G78" i="43"/>
  <c r="G71" i="43"/>
  <c r="G67" i="43"/>
  <c r="G72" i="43"/>
  <c r="G75" i="43"/>
  <c r="G66" i="43"/>
  <c r="G73" i="43"/>
  <c r="G77" i="43"/>
  <c r="H49" i="43"/>
  <c r="H47" i="43"/>
  <c r="H45" i="43"/>
  <c r="H50" i="43"/>
  <c r="H39" i="43"/>
  <c r="H43" i="43"/>
  <c r="H44" i="43"/>
  <c r="H46" i="43"/>
  <c r="H42" i="43"/>
  <c r="H48" i="43"/>
  <c r="H40" i="43"/>
  <c r="H41" i="43"/>
  <c r="Z84" i="33"/>
  <c r="AA84" i="33"/>
  <c r="AB84" i="33"/>
  <c r="AC84" i="33"/>
  <c r="AD84" i="33"/>
  <c r="AE84" i="33"/>
  <c r="AF84" i="33"/>
  <c r="AG84" i="33"/>
  <c r="AH84" i="33"/>
  <c r="Z85" i="33"/>
  <c r="AA85" i="33"/>
  <c r="AB85" i="33"/>
  <c r="AC85" i="33"/>
  <c r="AD85" i="33"/>
  <c r="AE85" i="33"/>
  <c r="AF85" i="33"/>
  <c r="AG85" i="33"/>
  <c r="AH85" i="33"/>
  <c r="Z86" i="33"/>
  <c r="AA86" i="33"/>
  <c r="AB86" i="33"/>
  <c r="AC86" i="33"/>
  <c r="AD86" i="33"/>
  <c r="AE86" i="33"/>
  <c r="AF86" i="33"/>
  <c r="AG86" i="33"/>
  <c r="AH86" i="33"/>
  <c r="Z87" i="33"/>
  <c r="AA87" i="33"/>
  <c r="AB87" i="33"/>
  <c r="AC87" i="33"/>
  <c r="AD87" i="33"/>
  <c r="AE87" i="33"/>
  <c r="AF87" i="33"/>
  <c r="AG87" i="33"/>
  <c r="AH87" i="33"/>
  <c r="Z88" i="33"/>
  <c r="AA88" i="33"/>
  <c r="AB88" i="33"/>
  <c r="AC88" i="33"/>
  <c r="AD88" i="33"/>
  <c r="AE88" i="33"/>
  <c r="AF88" i="33"/>
  <c r="AG88" i="33"/>
  <c r="AH88" i="33"/>
  <c r="Z89" i="33"/>
  <c r="AA89" i="33"/>
  <c r="AB89" i="33"/>
  <c r="AC89" i="33"/>
  <c r="AD89" i="33"/>
  <c r="AE89" i="33"/>
  <c r="AF89" i="33"/>
  <c r="AG89" i="33"/>
  <c r="AH89" i="33"/>
  <c r="Z90" i="33"/>
  <c r="AA90" i="33"/>
  <c r="AB90" i="33"/>
  <c r="AC90" i="33"/>
  <c r="AD90" i="33"/>
  <c r="AE90" i="33"/>
  <c r="AF90" i="33"/>
  <c r="AG90" i="33"/>
  <c r="AH90" i="33"/>
  <c r="Z91" i="33"/>
  <c r="AA91" i="33"/>
  <c r="AB91" i="33"/>
  <c r="AC91" i="33"/>
  <c r="AD91" i="33"/>
  <c r="AE91" i="33"/>
  <c r="AF91" i="33"/>
  <c r="AG91" i="33"/>
  <c r="AH91" i="33"/>
  <c r="AH83" i="33"/>
  <c r="AG83" i="33"/>
  <c r="AF83" i="33"/>
  <c r="AE83" i="33"/>
  <c r="AD83" i="33"/>
  <c r="AC83" i="33"/>
  <c r="AB83" i="33"/>
  <c r="AA83" i="33"/>
  <c r="Z83" i="33"/>
  <c r="AI112" i="32"/>
  <c r="AJ112" i="32"/>
  <c r="AK112" i="32"/>
  <c r="AL112" i="32"/>
  <c r="AM112" i="32"/>
  <c r="AI113" i="32"/>
  <c r="AJ113" i="32"/>
  <c r="AK113" i="32"/>
  <c r="AL113" i="32"/>
  <c r="AM113" i="32"/>
  <c r="AI114" i="32"/>
  <c r="AJ114" i="32"/>
  <c r="AK114" i="32"/>
  <c r="AL114" i="32"/>
  <c r="AM114" i="32"/>
  <c r="AI115" i="32"/>
  <c r="AJ115" i="32"/>
  <c r="AK115" i="32"/>
  <c r="AL115" i="32"/>
  <c r="AM115" i="32"/>
  <c r="AI116" i="32"/>
  <c r="AJ116" i="32"/>
  <c r="AK116" i="32"/>
  <c r="AL116" i="32"/>
  <c r="AM116" i="32"/>
  <c r="AI117" i="32"/>
  <c r="AJ117" i="32"/>
  <c r="AK117" i="32"/>
  <c r="AL117" i="32"/>
  <c r="AM117" i="32"/>
  <c r="AI118" i="32"/>
  <c r="AJ118" i="32"/>
  <c r="AK118" i="32"/>
  <c r="AL118" i="32"/>
  <c r="AM118" i="32"/>
  <c r="AI119" i="32"/>
  <c r="AJ119" i="32"/>
  <c r="AK119" i="32"/>
  <c r="AL119" i="32"/>
  <c r="AM119" i="32"/>
  <c r="AI10" i="32"/>
  <c r="AJ10" i="32"/>
  <c r="AK10" i="32"/>
  <c r="AL10" i="32"/>
  <c r="AM10" i="32"/>
  <c r="AI11" i="32"/>
  <c r="AJ11" i="32"/>
  <c r="AK11" i="32"/>
  <c r="AL11" i="32"/>
  <c r="AM11" i="32"/>
  <c r="AI12" i="32"/>
  <c r="AJ12" i="32"/>
  <c r="AK12" i="32"/>
  <c r="AL12" i="32"/>
  <c r="AM12" i="32"/>
  <c r="AI13" i="32"/>
  <c r="AJ13" i="32"/>
  <c r="AK13" i="32"/>
  <c r="AL13" i="32"/>
  <c r="AM13" i="32"/>
  <c r="AI14" i="32"/>
  <c r="AJ14" i="32"/>
  <c r="AK14" i="32"/>
  <c r="AL14" i="32"/>
  <c r="AM14" i="32"/>
  <c r="AI15" i="32"/>
  <c r="AJ15" i="32"/>
  <c r="AK15" i="32"/>
  <c r="AL15" i="32"/>
  <c r="AM15" i="32"/>
  <c r="AI16" i="32"/>
  <c r="AJ16" i="32"/>
  <c r="AK16" i="32"/>
  <c r="AL16" i="32"/>
  <c r="AM16" i="32"/>
  <c r="AI17" i="32"/>
  <c r="AJ17" i="32"/>
  <c r="AK17" i="32"/>
  <c r="AL17" i="32"/>
  <c r="AM17" i="32"/>
  <c r="AI18" i="32"/>
  <c r="AJ18" i="32"/>
  <c r="AK18" i="32"/>
  <c r="AL18" i="32"/>
  <c r="AM18" i="32"/>
  <c r="AI19" i="32"/>
  <c r="AJ19" i="32"/>
  <c r="AK19" i="32"/>
  <c r="AL19" i="32"/>
  <c r="AM19" i="32"/>
  <c r="AI20" i="32"/>
  <c r="AJ20" i="32"/>
  <c r="AK20" i="32"/>
  <c r="AL20" i="32"/>
  <c r="AM20" i="32"/>
  <c r="AI21" i="32"/>
  <c r="AJ21" i="32"/>
  <c r="AK21" i="32"/>
  <c r="AL21" i="32"/>
  <c r="AM21" i="32"/>
  <c r="AI22" i="32"/>
  <c r="AJ22" i="32"/>
  <c r="AK22" i="32"/>
  <c r="AL22" i="32"/>
  <c r="AM22" i="32"/>
  <c r="AI23" i="32"/>
  <c r="AJ23" i="32"/>
  <c r="AK23" i="32"/>
  <c r="AL23" i="32"/>
  <c r="AM23" i="32"/>
  <c r="AI24" i="32"/>
  <c r="AJ24" i="32"/>
  <c r="AK24" i="32"/>
  <c r="AL24" i="32"/>
  <c r="AM24" i="32"/>
  <c r="AI25" i="32"/>
  <c r="AJ25" i="32"/>
  <c r="AK25" i="32"/>
  <c r="AL25" i="32"/>
  <c r="AM25" i="32"/>
  <c r="AI26" i="32"/>
  <c r="AJ26" i="32"/>
  <c r="AK26" i="32"/>
  <c r="AL26" i="32"/>
  <c r="AM26" i="32"/>
  <c r="AI27" i="32"/>
  <c r="AJ27" i="32"/>
  <c r="AK27" i="32"/>
  <c r="AL27" i="32"/>
  <c r="AM27" i="32"/>
  <c r="AI28" i="32"/>
  <c r="AJ28" i="32"/>
  <c r="AK28" i="32"/>
  <c r="AL28" i="32"/>
  <c r="AM28" i="32"/>
  <c r="AI29" i="32"/>
  <c r="AJ29" i="32"/>
  <c r="AK29" i="32"/>
  <c r="AL29" i="32"/>
  <c r="AM29" i="32"/>
  <c r="AI30" i="32"/>
  <c r="AJ30" i="32"/>
  <c r="AK30" i="32"/>
  <c r="AL30" i="32"/>
  <c r="AM30" i="32"/>
  <c r="AI31" i="32"/>
  <c r="AJ31" i="32"/>
  <c r="AK31" i="32"/>
  <c r="AL31" i="32"/>
  <c r="AM31" i="32"/>
  <c r="AI32" i="32"/>
  <c r="AJ32" i="32"/>
  <c r="AK32" i="32"/>
  <c r="AL32" i="32"/>
  <c r="AM32" i="32"/>
  <c r="AI33" i="32"/>
  <c r="AJ33" i="32"/>
  <c r="AK33" i="32"/>
  <c r="AL33" i="32"/>
  <c r="AM33" i="32"/>
  <c r="AI34" i="32"/>
  <c r="AJ34" i="32"/>
  <c r="AK34" i="32"/>
  <c r="AL34" i="32"/>
  <c r="AM34" i="32"/>
  <c r="AI35" i="32"/>
  <c r="AJ35" i="32"/>
  <c r="AK35" i="32"/>
  <c r="AL35" i="32"/>
  <c r="AM35" i="32"/>
  <c r="AI36" i="32"/>
  <c r="AJ36" i="32"/>
  <c r="AK36" i="32"/>
  <c r="AL36" i="32"/>
  <c r="AM36" i="32"/>
  <c r="AI37" i="32"/>
  <c r="AJ37" i="32"/>
  <c r="AK37" i="32"/>
  <c r="AL37" i="32"/>
  <c r="AM37" i="32"/>
  <c r="AI38" i="32"/>
  <c r="AJ38" i="32"/>
  <c r="AK38" i="32"/>
  <c r="AL38" i="32"/>
  <c r="AM38" i="32"/>
  <c r="AI39" i="32"/>
  <c r="AJ39" i="32"/>
  <c r="AK39" i="32"/>
  <c r="AL39" i="32"/>
  <c r="AM39" i="32"/>
  <c r="AI40" i="32"/>
  <c r="AJ40" i="32"/>
  <c r="AK40" i="32"/>
  <c r="AL40" i="32"/>
  <c r="AM40" i="32"/>
  <c r="AI41" i="32"/>
  <c r="AJ41" i="32"/>
  <c r="AK41" i="32"/>
  <c r="AL41" i="32"/>
  <c r="AM41" i="32"/>
  <c r="AI42" i="32"/>
  <c r="AJ42" i="32"/>
  <c r="AK42" i="32"/>
  <c r="AL42" i="32"/>
  <c r="AM42" i="32"/>
  <c r="AI43" i="32"/>
  <c r="AJ43" i="32"/>
  <c r="AK43" i="32"/>
  <c r="AL43" i="32"/>
  <c r="AM43" i="32"/>
  <c r="AI44" i="32"/>
  <c r="AJ44" i="32"/>
  <c r="AK44" i="32"/>
  <c r="AL44" i="32"/>
  <c r="AM44" i="32"/>
  <c r="AI45" i="32"/>
  <c r="AJ45" i="32"/>
  <c r="AK45" i="32"/>
  <c r="AL45" i="32"/>
  <c r="AM45" i="32"/>
  <c r="AI46" i="32"/>
  <c r="AJ46" i="32"/>
  <c r="AK46" i="32"/>
  <c r="AL46" i="32"/>
  <c r="AM46" i="32"/>
  <c r="AI47" i="32"/>
  <c r="AJ47" i="32"/>
  <c r="AK47" i="32"/>
  <c r="AL47" i="32"/>
  <c r="AM47" i="32"/>
  <c r="AI48" i="32"/>
  <c r="AJ48" i="32"/>
  <c r="AK48" i="32"/>
  <c r="AL48" i="32"/>
  <c r="AM48" i="32"/>
  <c r="AI49" i="32"/>
  <c r="AJ49" i="32"/>
  <c r="AK49" i="32"/>
  <c r="AL49" i="32"/>
  <c r="AM49" i="32"/>
  <c r="AI50" i="32"/>
  <c r="AJ50" i="32"/>
  <c r="AK50" i="32"/>
  <c r="AL50" i="32"/>
  <c r="AM50" i="32"/>
  <c r="AI51" i="32"/>
  <c r="AJ51" i="32"/>
  <c r="AK51" i="32"/>
  <c r="AL51" i="32"/>
  <c r="AM51" i="32"/>
  <c r="AI52" i="32"/>
  <c r="AJ52" i="32"/>
  <c r="AK52" i="32"/>
  <c r="AL52" i="32"/>
  <c r="AM52" i="32"/>
  <c r="AI53" i="32"/>
  <c r="AJ53" i="32"/>
  <c r="AK53" i="32"/>
  <c r="AL53" i="32"/>
  <c r="AM53" i="32"/>
  <c r="AI54" i="32"/>
  <c r="AJ54" i="32"/>
  <c r="AK54" i="32"/>
  <c r="AL54" i="32"/>
  <c r="AM54" i="32"/>
  <c r="AI55" i="32"/>
  <c r="AJ55" i="32"/>
  <c r="AK55" i="32"/>
  <c r="AL55" i="32"/>
  <c r="AM55" i="32"/>
  <c r="AI56" i="32"/>
  <c r="AJ56" i="32"/>
  <c r="AK56" i="32"/>
  <c r="AL56" i="32"/>
  <c r="AM56" i="32"/>
  <c r="AI57" i="32"/>
  <c r="AJ57" i="32"/>
  <c r="AK57" i="32"/>
  <c r="AL57" i="32"/>
  <c r="AM57" i="32"/>
  <c r="AI58" i="32"/>
  <c r="AJ58" i="32"/>
  <c r="AK58" i="32"/>
  <c r="AL58" i="32"/>
  <c r="AM58" i="32"/>
  <c r="AI59" i="32"/>
  <c r="AJ59" i="32"/>
  <c r="AK59" i="32"/>
  <c r="AL59" i="32"/>
  <c r="AM59" i="32"/>
  <c r="AI60" i="32"/>
  <c r="AJ60" i="32"/>
  <c r="AK60" i="32"/>
  <c r="AL60" i="32"/>
  <c r="AM60" i="32"/>
  <c r="AI61" i="32"/>
  <c r="AJ61" i="32"/>
  <c r="AK61" i="32"/>
  <c r="AL61" i="32"/>
  <c r="AM61" i="32"/>
  <c r="AI62" i="32"/>
  <c r="AJ62" i="32"/>
  <c r="AK62" i="32"/>
  <c r="AL62" i="32"/>
  <c r="AM62" i="32"/>
  <c r="AI63" i="32"/>
  <c r="AJ63" i="32"/>
  <c r="AK63" i="32"/>
  <c r="AL63" i="32"/>
  <c r="AM63" i="32"/>
  <c r="AM9" i="32"/>
  <c r="AO9" i="32"/>
  <c r="AJ9" i="32"/>
  <c r="AK9" i="32"/>
  <c r="AL9" i="32"/>
  <c r="AI9" i="32"/>
  <c r="P132" i="33"/>
  <c r="Q132" i="33"/>
  <c r="R132" i="33"/>
  <c r="O132" i="33"/>
  <c r="AC10" i="32" a="1"/>
  <c r="AC10" i="32" s="1"/>
  <c r="AD10" i="32"/>
  <c r="AE10" i="32"/>
  <c r="AF10" i="32" a="1"/>
  <c r="AF10" i="32" s="1"/>
  <c r="AG10" i="32" a="1"/>
  <c r="AG10" i="32" s="1"/>
  <c r="AC11" i="32" a="1"/>
  <c r="AC11" i="32" s="1"/>
  <c r="AD11" i="32"/>
  <c r="AE11" i="32"/>
  <c r="AF11" i="32" a="1"/>
  <c r="AF11" i="32" s="1"/>
  <c r="AG11" i="32" a="1"/>
  <c r="AG11" i="32" s="1"/>
  <c r="AC12" i="32" a="1"/>
  <c r="AC12" i="32" s="1"/>
  <c r="AD12" i="32"/>
  <c r="AE12" i="32"/>
  <c r="AF12" i="32" a="1"/>
  <c r="AF12" i="32" s="1"/>
  <c r="AG12" i="32" a="1"/>
  <c r="AG12" i="32" s="1"/>
  <c r="AC13" i="32" a="1"/>
  <c r="AC13" i="32" s="1"/>
  <c r="AD13" i="32"/>
  <c r="AE13" i="32"/>
  <c r="AF13" i="32" a="1"/>
  <c r="AF13" i="32" s="1"/>
  <c r="AG13" i="32" a="1"/>
  <c r="AG13" i="32" s="1"/>
  <c r="AC14" i="32" a="1"/>
  <c r="AC14" i="32" s="1"/>
  <c r="AD14" i="32"/>
  <c r="AE14" i="32"/>
  <c r="AF14" i="32" a="1"/>
  <c r="AF14" i="32" s="1"/>
  <c r="AG14" i="32" a="1"/>
  <c r="AG14" i="32" s="1"/>
  <c r="AC15" i="32" a="1"/>
  <c r="AC15" i="32" s="1"/>
  <c r="AD15" i="32"/>
  <c r="AE15" i="32"/>
  <c r="AF15" i="32" a="1"/>
  <c r="AF15" i="32" s="1"/>
  <c r="AG15" i="32" a="1"/>
  <c r="AG15" i="32" s="1"/>
  <c r="AC16" i="32" a="1"/>
  <c r="AC16" i="32" s="1"/>
  <c r="AD16" i="32"/>
  <c r="AE16" i="32"/>
  <c r="AF16" i="32" a="1"/>
  <c r="AF16" i="32" s="1"/>
  <c r="AG16" i="32" a="1"/>
  <c r="AG16" i="32" s="1"/>
  <c r="AC17" i="32" a="1"/>
  <c r="AC17" i="32" s="1"/>
  <c r="AD17" i="32"/>
  <c r="AE17" i="32"/>
  <c r="AF17" i="32" a="1"/>
  <c r="AF17" i="32" s="1"/>
  <c r="AG17" i="32" a="1"/>
  <c r="AG17" i="32" s="1"/>
  <c r="AC18" i="32" a="1"/>
  <c r="AC18" i="32" s="1"/>
  <c r="AD18" i="32"/>
  <c r="AE18" i="32"/>
  <c r="AF18" i="32" a="1"/>
  <c r="AF18" i="32" s="1"/>
  <c r="AG18" i="32" a="1"/>
  <c r="AG18" i="32" s="1"/>
  <c r="AC19" i="32" a="1"/>
  <c r="AC19" i="32" s="1"/>
  <c r="AD19" i="32"/>
  <c r="AE19" i="32"/>
  <c r="AF19" i="32" a="1"/>
  <c r="AF19" i="32" s="1"/>
  <c r="AG19" i="32" a="1"/>
  <c r="AG19" i="32" s="1"/>
  <c r="AC20" i="32" a="1"/>
  <c r="AC20" i="32" s="1"/>
  <c r="AD20" i="32"/>
  <c r="AE20" i="32"/>
  <c r="AF20" i="32" a="1"/>
  <c r="AF20" i="32" s="1"/>
  <c r="AG20" i="32" a="1"/>
  <c r="AG20" i="32" s="1"/>
  <c r="AC21" i="32" a="1"/>
  <c r="AC21" i="32" s="1"/>
  <c r="AD21" i="32"/>
  <c r="AE21" i="32"/>
  <c r="AF21" i="32" a="1"/>
  <c r="AF21" i="32" s="1"/>
  <c r="AG21" i="32" a="1"/>
  <c r="AG21" i="32" s="1"/>
  <c r="AC22" i="32" a="1"/>
  <c r="AC22" i="32" s="1"/>
  <c r="AD22" i="32"/>
  <c r="AE22" i="32"/>
  <c r="AF22" i="32" a="1"/>
  <c r="AF22" i="32" s="1"/>
  <c r="AG22" i="32" a="1"/>
  <c r="AG22" i="32" s="1"/>
  <c r="AC23" i="32" a="1"/>
  <c r="AC23" i="32" s="1"/>
  <c r="AD23" i="32"/>
  <c r="AE23" i="32"/>
  <c r="AF23" i="32" a="1"/>
  <c r="AF23" i="32" s="1"/>
  <c r="AG23" i="32" a="1"/>
  <c r="AG23" i="32" s="1"/>
  <c r="AC24" i="32" a="1"/>
  <c r="AC24" i="32" s="1"/>
  <c r="AD24" i="32"/>
  <c r="AE24" i="32"/>
  <c r="AF24" i="32" a="1"/>
  <c r="AF24" i="32" s="1"/>
  <c r="AG24" i="32" a="1"/>
  <c r="AG24" i="32" s="1"/>
  <c r="AC25" i="32" a="1"/>
  <c r="AC25" i="32" s="1"/>
  <c r="AD25" i="32"/>
  <c r="AE25" i="32"/>
  <c r="AF25" i="32" a="1"/>
  <c r="AF25" i="32" s="1"/>
  <c r="AG25" i="32" a="1"/>
  <c r="AG25" i="32" s="1"/>
  <c r="AC26" i="32" a="1"/>
  <c r="AC26" i="32" s="1"/>
  <c r="AD26" i="32"/>
  <c r="AE26" i="32"/>
  <c r="AF26" i="32" a="1"/>
  <c r="AF26" i="32" s="1"/>
  <c r="AG26" i="32" a="1"/>
  <c r="AG26" i="32" s="1"/>
  <c r="AC27" i="32" a="1"/>
  <c r="AC27" i="32" s="1"/>
  <c r="AD27" i="32"/>
  <c r="AE27" i="32"/>
  <c r="AF27" i="32" a="1"/>
  <c r="AF27" i="32" s="1"/>
  <c r="AG27" i="32" a="1"/>
  <c r="AG27" i="32" s="1"/>
  <c r="AC28" i="32" a="1"/>
  <c r="AC28" i="32" s="1"/>
  <c r="AD28" i="32"/>
  <c r="AE28" i="32"/>
  <c r="AF28" i="32" a="1"/>
  <c r="AF28" i="32" s="1"/>
  <c r="AG28" i="32" a="1"/>
  <c r="AG28" i="32" s="1"/>
  <c r="AC29" i="32" a="1"/>
  <c r="AC29" i="32" s="1"/>
  <c r="AD29" i="32"/>
  <c r="AE29" i="32"/>
  <c r="AF29" i="32" a="1"/>
  <c r="AF29" i="32" s="1"/>
  <c r="AG29" i="32" a="1"/>
  <c r="AG29" i="32" s="1"/>
  <c r="AC30" i="32" a="1"/>
  <c r="AC30" i="32" s="1"/>
  <c r="AD30" i="32"/>
  <c r="AE30" i="32"/>
  <c r="AF30" i="32" a="1"/>
  <c r="AF30" i="32" s="1"/>
  <c r="AG30" i="32" a="1"/>
  <c r="AG30" i="32" s="1"/>
  <c r="AC31" i="32" a="1"/>
  <c r="AC31" i="32" s="1"/>
  <c r="AD31" i="32"/>
  <c r="AE31" i="32"/>
  <c r="AF31" i="32" a="1"/>
  <c r="AF31" i="32" s="1"/>
  <c r="AG31" i="32" a="1"/>
  <c r="AG31" i="32" s="1"/>
  <c r="AC32" i="32" a="1"/>
  <c r="AC32" i="32" s="1"/>
  <c r="AD32" i="32"/>
  <c r="AE32" i="32"/>
  <c r="AF32" i="32" a="1"/>
  <c r="AF32" i="32" s="1"/>
  <c r="AG32" i="32" a="1"/>
  <c r="AG32" i="32" s="1"/>
  <c r="AC33" i="32" a="1"/>
  <c r="AC33" i="32" s="1"/>
  <c r="AD33" i="32"/>
  <c r="AE33" i="32"/>
  <c r="AF33" i="32" a="1"/>
  <c r="AF33" i="32" s="1"/>
  <c r="AG33" i="32" a="1"/>
  <c r="AG33" i="32" s="1"/>
  <c r="AC34" i="32" a="1"/>
  <c r="AC34" i="32" s="1"/>
  <c r="AD34" i="32"/>
  <c r="AE34" i="32"/>
  <c r="AF34" i="32" a="1"/>
  <c r="AF34" i="32" s="1"/>
  <c r="AG34" i="32" a="1"/>
  <c r="AG34" i="32" s="1"/>
  <c r="AC35" i="32" a="1"/>
  <c r="AC35" i="32" s="1"/>
  <c r="AD35" i="32"/>
  <c r="AE35" i="32"/>
  <c r="AF35" i="32" a="1"/>
  <c r="AF35" i="32" s="1"/>
  <c r="AG35" i="32" a="1"/>
  <c r="AG35" i="32" s="1"/>
  <c r="AC36" i="32" a="1"/>
  <c r="AC36" i="32" s="1"/>
  <c r="AD36" i="32"/>
  <c r="AE36" i="32"/>
  <c r="AF36" i="32" a="1"/>
  <c r="AF36" i="32" s="1"/>
  <c r="AG36" i="32" a="1"/>
  <c r="AG36" i="32" s="1"/>
  <c r="AC37" i="32" a="1"/>
  <c r="AC37" i="32" s="1"/>
  <c r="AD37" i="32"/>
  <c r="AE37" i="32"/>
  <c r="AF37" i="32" a="1"/>
  <c r="AF37" i="32" s="1"/>
  <c r="AG37" i="32" a="1"/>
  <c r="AG37" i="32" s="1"/>
  <c r="AC38" i="32" a="1"/>
  <c r="AC38" i="32" s="1"/>
  <c r="AD38" i="32"/>
  <c r="AE38" i="32"/>
  <c r="AF38" i="32" a="1"/>
  <c r="AF38" i="32" s="1"/>
  <c r="AG38" i="32" a="1"/>
  <c r="AG38" i="32" s="1"/>
  <c r="AC39" i="32" a="1"/>
  <c r="AC39" i="32" s="1"/>
  <c r="AD39" i="32"/>
  <c r="AE39" i="32"/>
  <c r="AF39" i="32" a="1"/>
  <c r="AF39" i="32" s="1"/>
  <c r="AG39" i="32" a="1"/>
  <c r="AG39" i="32" s="1"/>
  <c r="AC40" i="32" a="1"/>
  <c r="AC40" i="32" s="1"/>
  <c r="AD40" i="32"/>
  <c r="AE40" i="32"/>
  <c r="AF40" i="32" a="1"/>
  <c r="AF40" i="32" s="1"/>
  <c r="AG40" i="32" a="1"/>
  <c r="AG40" i="32" s="1"/>
  <c r="AC41" i="32" a="1"/>
  <c r="AC41" i="32" s="1"/>
  <c r="AD41" i="32"/>
  <c r="AE41" i="32"/>
  <c r="AF41" i="32" a="1"/>
  <c r="AF41" i="32" s="1"/>
  <c r="AG41" i="32" a="1"/>
  <c r="AG41" i="32" s="1"/>
  <c r="AC42" i="32" a="1"/>
  <c r="AC42" i="32" s="1"/>
  <c r="AD42" i="32"/>
  <c r="AE42" i="32"/>
  <c r="AF42" i="32" a="1"/>
  <c r="AF42" i="32" s="1"/>
  <c r="AG42" i="32" a="1"/>
  <c r="AG42" i="32" s="1"/>
  <c r="AC43" i="32" a="1"/>
  <c r="AC43" i="32" s="1"/>
  <c r="AD43" i="32"/>
  <c r="AE43" i="32"/>
  <c r="AF43" i="32" a="1"/>
  <c r="AF43" i="32" s="1"/>
  <c r="AG43" i="32" a="1"/>
  <c r="AG43" i="32" s="1"/>
  <c r="AC44" i="32" a="1"/>
  <c r="AC44" i="32" s="1"/>
  <c r="AD44" i="32"/>
  <c r="AE44" i="32"/>
  <c r="AF44" i="32" a="1"/>
  <c r="AF44" i="32" s="1"/>
  <c r="AG44" i="32" a="1"/>
  <c r="AG44" i="32" s="1"/>
  <c r="AC45" i="32" a="1"/>
  <c r="AC45" i="32" s="1"/>
  <c r="AD45" i="32"/>
  <c r="AE45" i="32"/>
  <c r="AF45" i="32" a="1"/>
  <c r="AF45" i="32" s="1"/>
  <c r="AG45" i="32" a="1"/>
  <c r="AG45" i="32" s="1"/>
  <c r="AC46" i="32" a="1"/>
  <c r="AC46" i="32" s="1"/>
  <c r="AD46" i="32"/>
  <c r="AE46" i="32"/>
  <c r="AF46" i="32" a="1"/>
  <c r="AF46" i="32" s="1"/>
  <c r="AG46" i="32" a="1"/>
  <c r="AG46" i="32" s="1"/>
  <c r="AC47" i="32" a="1"/>
  <c r="AC47" i="32" s="1"/>
  <c r="AD47" i="32"/>
  <c r="AE47" i="32"/>
  <c r="AF47" i="32" a="1"/>
  <c r="AF47" i="32" s="1"/>
  <c r="AG47" i="32" a="1"/>
  <c r="AG47" i="32" s="1"/>
  <c r="AC48" i="32" a="1"/>
  <c r="AC48" i="32" s="1"/>
  <c r="AD48" i="32"/>
  <c r="AE48" i="32"/>
  <c r="AF48" i="32" a="1"/>
  <c r="AF48" i="32" s="1"/>
  <c r="AG48" i="32" a="1"/>
  <c r="AG48" i="32" s="1"/>
  <c r="AC49" i="32" a="1"/>
  <c r="AC49" i="32" s="1"/>
  <c r="AD49" i="32"/>
  <c r="AE49" i="32"/>
  <c r="AF49" i="32" a="1"/>
  <c r="AF49" i="32" s="1"/>
  <c r="AG49" i="32" a="1"/>
  <c r="AG49" i="32" s="1"/>
  <c r="AC50" i="32" a="1"/>
  <c r="AC50" i="32" s="1"/>
  <c r="AD50" i="32"/>
  <c r="AE50" i="32"/>
  <c r="AF50" i="32" a="1"/>
  <c r="AF50" i="32" s="1"/>
  <c r="AG50" i="32" a="1"/>
  <c r="AG50" i="32" s="1"/>
  <c r="AC51" i="32" a="1"/>
  <c r="AC51" i="32" s="1"/>
  <c r="AD51" i="32"/>
  <c r="AE51" i="32"/>
  <c r="AF51" i="32" a="1"/>
  <c r="AF51" i="32" s="1"/>
  <c r="AG51" i="32" a="1"/>
  <c r="AG51" i="32" s="1"/>
  <c r="AC52" i="32" a="1"/>
  <c r="AC52" i="32" s="1"/>
  <c r="AD52" i="32"/>
  <c r="AE52" i="32"/>
  <c r="AF52" i="32" a="1"/>
  <c r="AF52" i="32" s="1"/>
  <c r="AG52" i="32" a="1"/>
  <c r="AG52" i="32" s="1"/>
  <c r="AC53" i="32" a="1"/>
  <c r="AC53" i="32" s="1"/>
  <c r="AD53" i="32"/>
  <c r="AE53" i="32"/>
  <c r="AF53" i="32" a="1"/>
  <c r="AF53" i="32" s="1"/>
  <c r="AG53" i="32" a="1"/>
  <c r="AG53" i="32" s="1"/>
  <c r="AC54" i="32" a="1"/>
  <c r="AC54" i="32" s="1"/>
  <c r="AD54" i="32"/>
  <c r="AE54" i="32"/>
  <c r="AF54" i="32" a="1"/>
  <c r="AF54" i="32" s="1"/>
  <c r="AG54" i="32" a="1"/>
  <c r="AG54" i="32" s="1"/>
  <c r="AC55" i="32" a="1"/>
  <c r="AC55" i="32" s="1"/>
  <c r="AD55" i="32"/>
  <c r="AE55" i="32"/>
  <c r="AF55" i="32" a="1"/>
  <c r="AF55" i="32" s="1"/>
  <c r="AG55" i="32" a="1"/>
  <c r="AG55" i="32" s="1"/>
  <c r="AC56" i="32" a="1"/>
  <c r="AC56" i="32" s="1"/>
  <c r="AD56" i="32"/>
  <c r="AE56" i="32"/>
  <c r="AF56" i="32" a="1"/>
  <c r="AF56" i="32" s="1"/>
  <c r="AG56" i="32" a="1"/>
  <c r="AG56" i="32" s="1"/>
  <c r="AC57" i="32" a="1"/>
  <c r="AC57" i="32" s="1"/>
  <c r="AD57" i="32"/>
  <c r="AE57" i="32"/>
  <c r="AF57" i="32" a="1"/>
  <c r="AF57" i="32" s="1"/>
  <c r="AG57" i="32" a="1"/>
  <c r="AG57" i="32" s="1"/>
  <c r="AC58" i="32" a="1"/>
  <c r="AC58" i="32" s="1"/>
  <c r="AD58" i="32"/>
  <c r="AE58" i="32"/>
  <c r="AF58" i="32" a="1"/>
  <c r="AF58" i="32" s="1"/>
  <c r="AG58" i="32" a="1"/>
  <c r="AG58" i="32" s="1"/>
  <c r="AC59" i="32" a="1"/>
  <c r="AC59" i="32" s="1"/>
  <c r="AD59" i="32"/>
  <c r="AE59" i="32"/>
  <c r="AF59" i="32" a="1"/>
  <c r="AF59" i="32" s="1"/>
  <c r="AG59" i="32" a="1"/>
  <c r="AG59" i="32" s="1"/>
  <c r="AC60" i="32" a="1"/>
  <c r="AC60" i="32" s="1"/>
  <c r="AD60" i="32"/>
  <c r="AE60" i="32"/>
  <c r="AF60" i="32" a="1"/>
  <c r="AF60" i="32" s="1"/>
  <c r="AG60" i="32" a="1"/>
  <c r="AG60" i="32" s="1"/>
  <c r="AC61" i="32" a="1"/>
  <c r="AC61" i="32" s="1"/>
  <c r="AD61" i="32"/>
  <c r="AE61" i="32"/>
  <c r="AF61" i="32" a="1"/>
  <c r="AF61" i="32" s="1"/>
  <c r="AG61" i="32" a="1"/>
  <c r="AG61" i="32" s="1"/>
  <c r="AC62" i="32" a="1"/>
  <c r="AC62" i="32" s="1"/>
  <c r="AD62" i="32"/>
  <c r="AE62" i="32"/>
  <c r="AF62" i="32" a="1"/>
  <c r="AF62" i="32" s="1"/>
  <c r="AG62" i="32" a="1"/>
  <c r="AG62" i="32" s="1"/>
  <c r="AC63" i="32" a="1"/>
  <c r="AC63" i="32" s="1"/>
  <c r="AD63" i="32"/>
  <c r="AE63" i="32"/>
  <c r="AF63" i="32" a="1"/>
  <c r="AF63" i="32" s="1"/>
  <c r="AG63" i="32" a="1"/>
  <c r="AG63" i="32" s="1"/>
  <c r="AC64" i="32" a="1"/>
  <c r="AC64" i="32" s="1"/>
  <c r="AD64" i="32"/>
  <c r="AE64" i="32"/>
  <c r="AF64" i="32" a="1"/>
  <c r="AF64" i="32" s="1"/>
  <c r="AG64" i="32" a="1"/>
  <c r="AG64" i="32" s="1"/>
  <c r="AC65" i="32" a="1"/>
  <c r="AC65" i="32" s="1"/>
  <c r="AD65" i="32"/>
  <c r="AE65" i="32"/>
  <c r="AF65" i="32" a="1"/>
  <c r="AF65" i="32" s="1"/>
  <c r="AG65" i="32" a="1"/>
  <c r="AG65" i="32" s="1"/>
  <c r="AC66" i="32" a="1"/>
  <c r="AC66" i="32" s="1"/>
  <c r="AD66" i="32"/>
  <c r="AE66" i="32"/>
  <c r="AF66" i="32" a="1"/>
  <c r="AF66" i="32" s="1"/>
  <c r="AG66" i="32" a="1"/>
  <c r="AG66" i="32" s="1"/>
  <c r="AC67" i="32" a="1"/>
  <c r="AC67" i="32" s="1"/>
  <c r="AD67" i="32"/>
  <c r="AE67" i="32"/>
  <c r="AF67" i="32" a="1"/>
  <c r="AF67" i="32" s="1"/>
  <c r="AG67" i="32" a="1"/>
  <c r="AG67" i="32" s="1"/>
  <c r="AC68" i="32" a="1"/>
  <c r="AC68" i="32" s="1"/>
  <c r="AD68" i="32"/>
  <c r="AE68" i="32"/>
  <c r="AF68" i="32" a="1"/>
  <c r="AF68" i="32" s="1"/>
  <c r="AG68" i="32" a="1"/>
  <c r="AG68" i="32" s="1"/>
  <c r="AC69" i="32" a="1"/>
  <c r="AC69" i="32" s="1"/>
  <c r="AD69" i="32"/>
  <c r="AE69" i="32"/>
  <c r="AF69" i="32" a="1"/>
  <c r="AF69" i="32" s="1"/>
  <c r="AG69" i="32" a="1"/>
  <c r="AG69" i="32" s="1"/>
  <c r="AC70" i="32" a="1"/>
  <c r="AC70" i="32" s="1"/>
  <c r="AD70" i="32"/>
  <c r="AE70" i="32"/>
  <c r="AF70" i="32" a="1"/>
  <c r="AF70" i="32" s="1"/>
  <c r="AG70" i="32" a="1"/>
  <c r="AG70" i="32" s="1"/>
  <c r="AC71" i="32" a="1"/>
  <c r="AC71" i="32" s="1"/>
  <c r="AD71" i="32"/>
  <c r="AE71" i="32"/>
  <c r="AF71" i="32" a="1"/>
  <c r="AF71" i="32" s="1"/>
  <c r="AG71" i="32" a="1"/>
  <c r="AG71" i="32" s="1"/>
  <c r="AC72" i="32" a="1"/>
  <c r="AC72" i="32" s="1"/>
  <c r="AD72" i="32"/>
  <c r="AE72" i="32"/>
  <c r="AF72" i="32" a="1"/>
  <c r="AF72" i="32" s="1"/>
  <c r="AG72" i="32" a="1"/>
  <c r="AG72" i="32" s="1"/>
  <c r="AC73" i="32" a="1"/>
  <c r="AC73" i="32" s="1"/>
  <c r="AD73" i="32"/>
  <c r="AE73" i="32"/>
  <c r="AF73" i="32" a="1"/>
  <c r="AF73" i="32" s="1"/>
  <c r="AG73" i="32" a="1"/>
  <c r="AG73" i="32" s="1"/>
  <c r="AC74" i="32" a="1"/>
  <c r="AC74" i="32" s="1"/>
  <c r="AD74" i="32"/>
  <c r="AE74" i="32"/>
  <c r="AF74" i="32" a="1"/>
  <c r="AF74" i="32" s="1"/>
  <c r="AG74" i="32" a="1"/>
  <c r="AG74" i="32" s="1"/>
  <c r="AC75" i="32" a="1"/>
  <c r="AC75" i="32" s="1"/>
  <c r="AD75" i="32"/>
  <c r="AE75" i="32"/>
  <c r="AF75" i="32" a="1"/>
  <c r="AF75" i="32" s="1"/>
  <c r="AG75" i="32" a="1"/>
  <c r="AG75" i="32" s="1"/>
  <c r="AC76" i="32" a="1"/>
  <c r="AC76" i="32" s="1"/>
  <c r="AD76" i="32"/>
  <c r="AE76" i="32"/>
  <c r="AF76" i="32" a="1"/>
  <c r="AF76" i="32" s="1"/>
  <c r="AG76" i="32" a="1"/>
  <c r="AG76" i="32" s="1"/>
  <c r="AC77" i="32" a="1"/>
  <c r="AC77" i="32" s="1"/>
  <c r="AD77" i="32"/>
  <c r="AE77" i="32"/>
  <c r="AF77" i="32" a="1"/>
  <c r="AF77" i="32" s="1"/>
  <c r="AG77" i="32" a="1"/>
  <c r="AG77" i="32" s="1"/>
  <c r="AC78" i="32" a="1"/>
  <c r="AC78" i="32" s="1"/>
  <c r="AD78" i="32"/>
  <c r="AE78" i="32"/>
  <c r="AF78" i="32" a="1"/>
  <c r="AF78" i="32" s="1"/>
  <c r="AG78" i="32" a="1"/>
  <c r="AG78" i="32" s="1"/>
  <c r="AC79" i="32" a="1"/>
  <c r="AC79" i="32" s="1"/>
  <c r="AD79" i="32"/>
  <c r="AE79" i="32"/>
  <c r="AF79" i="32" a="1"/>
  <c r="AF79" i="32" s="1"/>
  <c r="AG79" i="32" a="1"/>
  <c r="AG79" i="32" s="1"/>
  <c r="AC80" i="32" a="1"/>
  <c r="AC80" i="32" s="1"/>
  <c r="AD80" i="32"/>
  <c r="AE80" i="32"/>
  <c r="AF80" i="32" a="1"/>
  <c r="AF80" i="32" s="1"/>
  <c r="AG80" i="32" a="1"/>
  <c r="AG80" i="32" s="1"/>
  <c r="AC81" i="32" a="1"/>
  <c r="AC81" i="32" s="1"/>
  <c r="AD81" i="32"/>
  <c r="AE81" i="32"/>
  <c r="AF81" i="32" a="1"/>
  <c r="AF81" i="32" s="1"/>
  <c r="AG81" i="32" a="1"/>
  <c r="AG81" i="32" s="1"/>
  <c r="AC82" i="32" a="1"/>
  <c r="AC82" i="32" s="1"/>
  <c r="AD82" i="32"/>
  <c r="AE82" i="32"/>
  <c r="AF82" i="32" a="1"/>
  <c r="AF82" i="32" s="1"/>
  <c r="AG82" i="32" a="1"/>
  <c r="AG82" i="32" s="1"/>
  <c r="AC83" i="32" a="1"/>
  <c r="AC83" i="32" s="1"/>
  <c r="AD83" i="32"/>
  <c r="AE83" i="32"/>
  <c r="AF83" i="32" a="1"/>
  <c r="AF83" i="32" s="1"/>
  <c r="AG83" i="32" a="1"/>
  <c r="AG83" i="32" s="1"/>
  <c r="AC84" i="32" a="1"/>
  <c r="AC84" i="32" s="1"/>
  <c r="AD84" i="32"/>
  <c r="AE84" i="32"/>
  <c r="AF84" i="32" a="1"/>
  <c r="AF84" i="32" s="1"/>
  <c r="AG84" i="32" a="1"/>
  <c r="AG84" i="32" s="1"/>
  <c r="AC85" i="32" a="1"/>
  <c r="AC85" i="32" s="1"/>
  <c r="AD85" i="32"/>
  <c r="AE85" i="32"/>
  <c r="AF85" i="32" a="1"/>
  <c r="AF85" i="32" s="1"/>
  <c r="AG85" i="32" a="1"/>
  <c r="AG85" i="32" s="1"/>
  <c r="AC86" i="32" a="1"/>
  <c r="AC86" i="32" s="1"/>
  <c r="AD86" i="32"/>
  <c r="AE86" i="32"/>
  <c r="AF86" i="32" a="1"/>
  <c r="AF86" i="32" s="1"/>
  <c r="AG86" i="32" a="1"/>
  <c r="AG86" i="32" s="1"/>
  <c r="AC87" i="32" a="1"/>
  <c r="AC87" i="32" s="1"/>
  <c r="AD87" i="32"/>
  <c r="AE87" i="32"/>
  <c r="AF87" i="32" a="1"/>
  <c r="AF87" i="32" s="1"/>
  <c r="AG87" i="32" a="1"/>
  <c r="AG87" i="32" s="1"/>
  <c r="AC88" i="32" a="1"/>
  <c r="AC88" i="32" s="1"/>
  <c r="AD88" i="32"/>
  <c r="AE88" i="32"/>
  <c r="AF88" i="32" a="1"/>
  <c r="AF88" i="32" s="1"/>
  <c r="AG88" i="32" a="1"/>
  <c r="AG88" i="32" s="1"/>
  <c r="AC89" i="32" a="1"/>
  <c r="AC89" i="32" s="1"/>
  <c r="AD89" i="32"/>
  <c r="AE89" i="32"/>
  <c r="AF89" i="32" a="1"/>
  <c r="AF89" i="32" s="1"/>
  <c r="AG89" i="32" a="1"/>
  <c r="AG89" i="32" s="1"/>
  <c r="AC90" i="32" a="1"/>
  <c r="AC90" i="32" s="1"/>
  <c r="AD90" i="32"/>
  <c r="AE90" i="32"/>
  <c r="AF90" i="32" a="1"/>
  <c r="AF90" i="32" s="1"/>
  <c r="AG90" i="32" a="1"/>
  <c r="AG90" i="32" s="1"/>
  <c r="AC91" i="32" a="1"/>
  <c r="AC91" i="32" s="1"/>
  <c r="AD91" i="32"/>
  <c r="AE91" i="32"/>
  <c r="AF91" i="32" a="1"/>
  <c r="AF91" i="32" s="1"/>
  <c r="AG91" i="32" a="1"/>
  <c r="AG91" i="32" s="1"/>
  <c r="AC92" i="32" a="1"/>
  <c r="AC92" i="32" s="1"/>
  <c r="AD92" i="32"/>
  <c r="AE92" i="32"/>
  <c r="AF92" i="32" a="1"/>
  <c r="AF92" i="32" s="1"/>
  <c r="AG92" i="32" a="1"/>
  <c r="AG92" i="32" s="1"/>
  <c r="AC93" i="32" a="1"/>
  <c r="AC93" i="32" s="1"/>
  <c r="AD93" i="32"/>
  <c r="AE93" i="32"/>
  <c r="AF93" i="32" a="1"/>
  <c r="AF93" i="32" s="1"/>
  <c r="AG93" i="32" a="1"/>
  <c r="AG93" i="32" s="1"/>
  <c r="AC94" i="32" a="1"/>
  <c r="AC94" i="32" s="1"/>
  <c r="AD94" i="32"/>
  <c r="AE94" i="32"/>
  <c r="AF94" i="32" a="1"/>
  <c r="AF94" i="32" s="1"/>
  <c r="AG94" i="32" a="1"/>
  <c r="AG94" i="32" s="1"/>
  <c r="AC95" i="32" a="1"/>
  <c r="AC95" i="32" s="1"/>
  <c r="AD95" i="32"/>
  <c r="AE95" i="32"/>
  <c r="AF95" i="32" a="1"/>
  <c r="AF95" i="32" s="1"/>
  <c r="AG95" i="32" a="1"/>
  <c r="AG95" i="32" s="1"/>
  <c r="AC96" i="32" a="1"/>
  <c r="AC96" i="32" s="1"/>
  <c r="AD96" i="32"/>
  <c r="AE96" i="32"/>
  <c r="AF96" i="32" a="1"/>
  <c r="AF96" i="32" s="1"/>
  <c r="AG96" i="32" a="1"/>
  <c r="AG96" i="32" s="1"/>
  <c r="AC97" i="32" a="1"/>
  <c r="AC97" i="32" s="1"/>
  <c r="AD97" i="32"/>
  <c r="AE97" i="32"/>
  <c r="AF97" i="32" a="1"/>
  <c r="AF97" i="32" s="1"/>
  <c r="AG97" i="32" a="1"/>
  <c r="AG97" i="32" s="1"/>
  <c r="AC98" i="32" a="1"/>
  <c r="AC98" i="32" s="1"/>
  <c r="AD98" i="32"/>
  <c r="AE98" i="32"/>
  <c r="AF98" i="32" a="1"/>
  <c r="AF98" i="32" s="1"/>
  <c r="AG98" i="32" a="1"/>
  <c r="AG98" i="32" s="1"/>
  <c r="AC99" i="32" a="1"/>
  <c r="AC99" i="32" s="1"/>
  <c r="AD99" i="32"/>
  <c r="AE99" i="32"/>
  <c r="AF99" i="32" a="1"/>
  <c r="AF99" i="32" s="1"/>
  <c r="AG99" i="32" a="1"/>
  <c r="AG99" i="32" s="1"/>
  <c r="AC100" i="32" a="1"/>
  <c r="AC100" i="32" s="1"/>
  <c r="AD100" i="32"/>
  <c r="AE100" i="32"/>
  <c r="AF100" i="32" a="1"/>
  <c r="AF100" i="32" s="1"/>
  <c r="AG100" i="32" a="1"/>
  <c r="AG100" i="32" s="1"/>
  <c r="AC101" i="32" a="1"/>
  <c r="AC101" i="32" s="1"/>
  <c r="AD101" i="32"/>
  <c r="AE101" i="32"/>
  <c r="AF101" i="32" a="1"/>
  <c r="AF101" i="32" s="1"/>
  <c r="AG101" i="32" a="1"/>
  <c r="AG101" i="32" s="1"/>
  <c r="AC102" i="32" a="1"/>
  <c r="AC102" i="32" s="1"/>
  <c r="AD102" i="32"/>
  <c r="AE102" i="32"/>
  <c r="AF102" i="32" a="1"/>
  <c r="AF102" i="32" s="1"/>
  <c r="AG102" i="32" a="1"/>
  <c r="AG102" i="32" s="1"/>
  <c r="AC103" i="32" a="1"/>
  <c r="AC103" i="32" s="1"/>
  <c r="AD103" i="32"/>
  <c r="AE103" i="32"/>
  <c r="AF103" i="32" a="1"/>
  <c r="AF103" i="32" s="1"/>
  <c r="AG103" i="32" a="1"/>
  <c r="AG103" i="32" s="1"/>
  <c r="AC104" i="32" a="1"/>
  <c r="AC104" i="32" s="1"/>
  <c r="AD104" i="32"/>
  <c r="AE104" i="32"/>
  <c r="AF104" i="32" a="1"/>
  <c r="AF104" i="32" s="1"/>
  <c r="AG104" i="32" a="1"/>
  <c r="AG104" i="32" s="1"/>
  <c r="AC105" i="32" a="1"/>
  <c r="AC105" i="32" s="1"/>
  <c r="AD105" i="32"/>
  <c r="AE105" i="32"/>
  <c r="AF105" i="32" a="1"/>
  <c r="AF105" i="32" s="1"/>
  <c r="AG105" i="32" a="1"/>
  <c r="AG105" i="32" s="1"/>
  <c r="AC106" i="32" a="1"/>
  <c r="AC106" i="32" s="1"/>
  <c r="AD106" i="32"/>
  <c r="AE106" i="32"/>
  <c r="AF106" i="32" a="1"/>
  <c r="AF106" i="32" s="1"/>
  <c r="AG106" i="32" a="1"/>
  <c r="AG106" i="32" s="1"/>
  <c r="AC107" i="32" a="1"/>
  <c r="AC107" i="32" s="1"/>
  <c r="AD107" i="32"/>
  <c r="AE107" i="32"/>
  <c r="AF107" i="32" a="1"/>
  <c r="AF107" i="32" s="1"/>
  <c r="AG107" i="32" a="1"/>
  <c r="AG107" i="32" s="1"/>
  <c r="AC108" i="32" a="1"/>
  <c r="AC108" i="32" s="1"/>
  <c r="AD108" i="32"/>
  <c r="AE108" i="32"/>
  <c r="AF108" i="32" a="1"/>
  <c r="AF108" i="32" s="1"/>
  <c r="AG108" i="32" a="1"/>
  <c r="AG108" i="32" s="1"/>
  <c r="AC109" i="32" a="1"/>
  <c r="AC109" i="32" s="1"/>
  <c r="AD109" i="32"/>
  <c r="AE109" i="32"/>
  <c r="AF109" i="32" a="1"/>
  <c r="AF109" i="32" s="1"/>
  <c r="AG109" i="32" a="1"/>
  <c r="AG109" i="32" s="1"/>
  <c r="AC110" i="32" a="1"/>
  <c r="AC110" i="32" s="1"/>
  <c r="AD110" i="32"/>
  <c r="AE110" i="32"/>
  <c r="AF110" i="32" a="1"/>
  <c r="AF110" i="32" s="1"/>
  <c r="AG110" i="32" a="1"/>
  <c r="AG110" i="32" s="1"/>
  <c r="AC111" i="32" a="1"/>
  <c r="AC111" i="32" s="1"/>
  <c r="AD111" i="32"/>
  <c r="AE111" i="32"/>
  <c r="AF111" i="32" a="1"/>
  <c r="AF111" i="32" s="1"/>
  <c r="AG111" i="32" a="1"/>
  <c r="AG111" i="32" s="1"/>
  <c r="AC112" i="32" a="1"/>
  <c r="AC112" i="32" s="1"/>
  <c r="AD112" i="32"/>
  <c r="AE112" i="32"/>
  <c r="AF112" i="32" a="1"/>
  <c r="AF112" i="32" s="1"/>
  <c r="AG112" i="32" a="1"/>
  <c r="AG112" i="32" s="1"/>
  <c r="AC113" i="32" a="1"/>
  <c r="AC113" i="32" s="1"/>
  <c r="AD113" i="32"/>
  <c r="AE113" i="32"/>
  <c r="AF113" i="32" a="1"/>
  <c r="AF113" i="32" s="1"/>
  <c r="AG113" i="32" a="1"/>
  <c r="AG113" i="32" s="1"/>
  <c r="AC9" i="32" a="1"/>
  <c r="AC9" i="32" s="1"/>
  <c r="AG9" i="32" a="1"/>
  <c r="AG9" i="32" s="1"/>
  <c r="AF9" i="32" a="1"/>
  <c r="AF9" i="32" s="1"/>
  <c r="AE9" i="32"/>
  <c r="AD9" i="32"/>
  <c r="N101" i="18"/>
  <c r="N107" i="33"/>
  <c r="N108" i="33"/>
  <c r="N109" i="33"/>
  <c r="N110" i="33"/>
  <c r="N111" i="33"/>
  <c r="N112" i="33"/>
  <c r="N113" i="33"/>
  <c r="N114" i="33"/>
  <c r="N115" i="33"/>
  <c r="N106" i="33"/>
  <c r="BF684" i="33"/>
  <c r="BE684" i="33"/>
  <c r="BD684" i="33"/>
  <c r="BC684" i="33"/>
  <c r="BB684" i="33"/>
  <c r="BF683" i="33"/>
  <c r="BE683" i="33"/>
  <c r="BD683" i="33"/>
  <c r="BC683" i="33"/>
  <c r="BB683" i="33"/>
  <c r="BF682" i="33"/>
  <c r="BE682" i="33"/>
  <c r="BD682" i="33"/>
  <c r="BC682" i="33"/>
  <c r="BB682" i="33"/>
  <c r="BF681" i="33"/>
  <c r="BE681" i="33"/>
  <c r="BD681" i="33"/>
  <c r="BC681" i="33"/>
  <c r="BB681" i="33"/>
  <c r="BF680" i="33"/>
  <c r="BE680" i="33"/>
  <c r="BD680" i="33"/>
  <c r="BC680" i="33"/>
  <c r="BB680" i="33"/>
  <c r="BF679" i="33"/>
  <c r="BE679" i="33"/>
  <c r="BD679" i="33"/>
  <c r="BC679" i="33"/>
  <c r="BB679" i="33"/>
  <c r="BF678" i="33"/>
  <c r="BE678" i="33"/>
  <c r="BD678" i="33"/>
  <c r="BC678" i="33"/>
  <c r="BB678" i="33"/>
  <c r="BF677" i="33"/>
  <c r="BE677" i="33"/>
  <c r="BD677" i="33"/>
  <c r="BC677" i="33"/>
  <c r="BB677" i="33"/>
  <c r="BF676" i="33"/>
  <c r="BE676" i="33"/>
  <c r="BD676" i="33"/>
  <c r="BC676" i="33"/>
  <c r="BB676" i="33"/>
  <c r="BF675" i="33"/>
  <c r="BE675" i="33"/>
  <c r="BD675" i="33"/>
  <c r="BC675" i="33"/>
  <c r="BB675" i="33"/>
  <c r="BF674" i="33"/>
  <c r="BE674" i="33"/>
  <c r="BD674" i="33"/>
  <c r="BC674" i="33"/>
  <c r="BB674" i="33"/>
  <c r="BF673" i="33"/>
  <c r="BE673" i="33"/>
  <c r="BD673" i="33"/>
  <c r="BC673" i="33"/>
  <c r="BB673" i="33"/>
  <c r="BF672" i="33"/>
  <c r="BE672" i="33"/>
  <c r="BD672" i="33"/>
  <c r="BC672" i="33"/>
  <c r="BB672" i="33"/>
  <c r="BF671" i="33"/>
  <c r="BE671" i="33"/>
  <c r="BD671" i="33"/>
  <c r="BC671" i="33"/>
  <c r="BB671" i="33"/>
  <c r="BF670" i="33"/>
  <c r="BE670" i="33"/>
  <c r="BD670" i="33"/>
  <c r="BC670" i="33"/>
  <c r="BB670" i="33"/>
  <c r="BF669" i="33"/>
  <c r="BE669" i="33"/>
  <c r="BD669" i="33"/>
  <c r="BC669" i="33"/>
  <c r="BB669" i="33"/>
  <c r="BF668" i="33"/>
  <c r="BE668" i="33"/>
  <c r="BD668" i="33"/>
  <c r="BC668" i="33"/>
  <c r="BB668" i="33"/>
  <c r="BF667" i="33"/>
  <c r="BE667" i="33"/>
  <c r="BD667" i="33"/>
  <c r="BC667" i="33"/>
  <c r="BB667" i="33"/>
  <c r="BF666" i="33"/>
  <c r="BE666" i="33"/>
  <c r="BD666" i="33"/>
  <c r="BC666" i="33"/>
  <c r="BB666" i="33"/>
  <c r="BF665" i="33"/>
  <c r="BE665" i="33"/>
  <c r="BD665" i="33"/>
  <c r="BC665" i="33"/>
  <c r="BB665" i="33"/>
  <c r="BF664" i="33"/>
  <c r="BE664" i="33"/>
  <c r="BD664" i="33"/>
  <c r="BC664" i="33"/>
  <c r="BB664" i="33"/>
  <c r="BF663" i="33"/>
  <c r="BE663" i="33"/>
  <c r="BD663" i="33"/>
  <c r="BC663" i="33"/>
  <c r="BB663" i="33"/>
  <c r="BF662" i="33"/>
  <c r="BE662" i="33"/>
  <c r="BD662" i="33"/>
  <c r="BC662" i="33"/>
  <c r="BB662" i="33"/>
  <c r="BF661" i="33"/>
  <c r="BE661" i="33"/>
  <c r="BD661" i="33"/>
  <c r="BC661" i="33"/>
  <c r="BB661" i="33"/>
  <c r="BF660" i="33"/>
  <c r="BE660" i="33"/>
  <c r="BD660" i="33"/>
  <c r="BC660" i="33"/>
  <c r="BB660" i="33"/>
  <c r="BF659" i="33"/>
  <c r="BE659" i="33"/>
  <c r="BD659" i="33"/>
  <c r="BC659" i="33"/>
  <c r="BB659" i="33"/>
  <c r="BF658" i="33"/>
  <c r="BE658" i="33"/>
  <c r="BD658" i="33"/>
  <c r="BC658" i="33"/>
  <c r="BB658" i="33"/>
  <c r="BF657" i="33"/>
  <c r="BE657" i="33"/>
  <c r="BD657" i="33"/>
  <c r="BC657" i="33"/>
  <c r="BB657" i="33"/>
  <c r="BF656" i="33"/>
  <c r="BE656" i="33"/>
  <c r="BD656" i="33"/>
  <c r="BC656" i="33"/>
  <c r="BB656" i="33"/>
  <c r="BF655" i="33"/>
  <c r="BE655" i="33"/>
  <c r="BD655" i="33"/>
  <c r="BC655" i="33"/>
  <c r="BB655" i="33"/>
  <c r="BF654" i="33"/>
  <c r="BE654" i="33"/>
  <c r="BD654" i="33"/>
  <c r="BC654" i="33"/>
  <c r="BB654" i="33"/>
  <c r="BF653" i="33"/>
  <c r="BE653" i="33"/>
  <c r="BD653" i="33"/>
  <c r="BC653" i="33"/>
  <c r="BB653" i="33"/>
  <c r="BF652" i="33"/>
  <c r="BE652" i="33"/>
  <c r="BD652" i="33"/>
  <c r="BC652" i="33"/>
  <c r="BB652" i="33"/>
  <c r="BF651" i="33"/>
  <c r="BE651" i="33"/>
  <c r="BD651" i="33"/>
  <c r="BC651" i="33"/>
  <c r="BB651" i="33"/>
  <c r="BF650" i="33"/>
  <c r="BE650" i="33"/>
  <c r="BD650" i="33"/>
  <c r="BC650" i="33"/>
  <c r="BB650" i="33"/>
  <c r="BF649" i="33"/>
  <c r="BE649" i="33"/>
  <c r="BD649" i="33"/>
  <c r="BC649" i="33"/>
  <c r="BB649" i="33"/>
  <c r="BF648" i="33"/>
  <c r="BE648" i="33"/>
  <c r="BD648" i="33"/>
  <c r="BC648" i="33"/>
  <c r="BB648" i="33"/>
  <c r="BF647" i="33"/>
  <c r="BE647" i="33"/>
  <c r="BD647" i="33"/>
  <c r="BC647" i="33"/>
  <c r="BB647" i="33"/>
  <c r="BF646" i="33"/>
  <c r="BE646" i="33"/>
  <c r="BD646" i="33"/>
  <c r="BC646" i="33"/>
  <c r="BB646" i="33"/>
  <c r="BF645" i="33"/>
  <c r="BE645" i="33"/>
  <c r="BD645" i="33"/>
  <c r="BC645" i="33"/>
  <c r="BB645" i="33"/>
  <c r="BF644" i="33"/>
  <c r="BE644" i="33"/>
  <c r="BD644" i="33"/>
  <c r="BC644" i="33"/>
  <c r="BB644" i="33"/>
  <c r="BF643" i="33"/>
  <c r="BE643" i="33"/>
  <c r="BD643" i="33"/>
  <c r="BC643" i="33"/>
  <c r="BB643" i="33"/>
  <c r="BF642" i="33"/>
  <c r="BE642" i="33"/>
  <c r="BD642" i="33"/>
  <c r="BC642" i="33"/>
  <c r="BB642" i="33"/>
  <c r="BF641" i="33"/>
  <c r="BE641" i="33"/>
  <c r="BD641" i="33"/>
  <c r="BC641" i="33"/>
  <c r="BB641" i="33"/>
  <c r="BF640" i="33"/>
  <c r="BE640" i="33"/>
  <c r="BD640" i="33"/>
  <c r="BC640" i="33"/>
  <c r="BB640" i="33"/>
  <c r="BF639" i="33"/>
  <c r="BE639" i="33"/>
  <c r="BD639" i="33"/>
  <c r="BC639" i="33"/>
  <c r="BB639" i="33"/>
  <c r="BF638" i="33"/>
  <c r="BE638" i="33"/>
  <c r="BD638" i="33"/>
  <c r="BC638" i="33"/>
  <c r="BB638" i="33"/>
  <c r="BF637" i="33"/>
  <c r="BE637" i="33"/>
  <c r="BD637" i="33"/>
  <c r="BC637" i="33"/>
  <c r="BB637" i="33"/>
  <c r="BF636" i="33"/>
  <c r="BE636" i="33"/>
  <c r="BD636" i="33"/>
  <c r="BC636" i="33"/>
  <c r="BB636" i="33"/>
  <c r="BF635" i="33"/>
  <c r="BE635" i="33"/>
  <c r="BD635" i="33"/>
  <c r="BC635" i="33"/>
  <c r="BB635" i="33"/>
  <c r="BF634" i="33"/>
  <c r="BE634" i="33"/>
  <c r="BD634" i="33"/>
  <c r="BC634" i="33"/>
  <c r="BB634" i="33"/>
  <c r="BF633" i="33"/>
  <c r="BE633" i="33"/>
  <c r="BD633" i="33"/>
  <c r="BC633" i="33"/>
  <c r="BB633" i="33"/>
  <c r="BF632" i="33"/>
  <c r="BE632" i="33"/>
  <c r="BD632" i="33"/>
  <c r="BC632" i="33"/>
  <c r="BB632" i="33"/>
  <c r="BF631" i="33"/>
  <c r="BE631" i="33"/>
  <c r="BD631" i="33"/>
  <c r="BC631" i="33"/>
  <c r="BB631" i="33"/>
  <c r="BF630" i="33"/>
  <c r="BE630" i="33"/>
  <c r="BD630" i="33"/>
  <c r="BC630" i="33"/>
  <c r="BB630" i="33"/>
  <c r="BF629" i="33"/>
  <c r="BE629" i="33"/>
  <c r="BD629" i="33"/>
  <c r="BC629" i="33"/>
  <c r="BB629" i="33"/>
  <c r="BF628" i="33"/>
  <c r="BE628" i="33"/>
  <c r="BD628" i="33"/>
  <c r="BC628" i="33"/>
  <c r="BB628" i="33"/>
  <c r="BF627" i="33"/>
  <c r="BE627" i="33"/>
  <c r="BD627" i="33"/>
  <c r="BC627" i="33"/>
  <c r="BB627" i="33"/>
  <c r="BF626" i="33"/>
  <c r="BE626" i="33"/>
  <c r="BD626" i="33"/>
  <c r="BC626" i="33"/>
  <c r="BB626" i="33"/>
  <c r="BF625" i="33"/>
  <c r="BE625" i="33"/>
  <c r="BD625" i="33"/>
  <c r="BC625" i="33"/>
  <c r="BB625" i="33"/>
  <c r="BF624" i="33"/>
  <c r="BE624" i="33"/>
  <c r="BD624" i="33"/>
  <c r="BC624" i="33"/>
  <c r="BB624" i="33"/>
  <c r="BF623" i="33"/>
  <c r="BE623" i="33"/>
  <c r="BD623" i="33"/>
  <c r="BC623" i="33"/>
  <c r="BB623" i="33"/>
  <c r="BF622" i="33"/>
  <c r="BE622" i="33"/>
  <c r="BD622" i="33"/>
  <c r="BC622" i="33"/>
  <c r="BB622" i="33"/>
  <c r="BF621" i="33"/>
  <c r="BE621" i="33"/>
  <c r="BD621" i="33"/>
  <c r="BC621" i="33"/>
  <c r="BB621" i="33"/>
  <c r="BF620" i="33"/>
  <c r="BE620" i="33"/>
  <c r="BD620" i="33"/>
  <c r="BC620" i="33"/>
  <c r="BB620" i="33"/>
  <c r="BF619" i="33"/>
  <c r="BE619" i="33"/>
  <c r="BD619" i="33"/>
  <c r="BC619" i="33"/>
  <c r="BB619" i="33"/>
  <c r="BF618" i="33"/>
  <c r="BE618" i="33"/>
  <c r="BD618" i="33"/>
  <c r="BC618" i="33"/>
  <c r="BB618" i="33"/>
  <c r="BF617" i="33"/>
  <c r="BE617" i="33"/>
  <c r="BD617" i="33"/>
  <c r="BC617" i="33"/>
  <c r="BB617" i="33"/>
  <c r="BF616" i="33"/>
  <c r="BE616" i="33"/>
  <c r="BD616" i="33"/>
  <c r="BC616" i="33"/>
  <c r="BB616" i="33"/>
  <c r="BF615" i="33"/>
  <c r="BE615" i="33"/>
  <c r="BD615" i="33"/>
  <c r="BC615" i="33"/>
  <c r="BB615" i="33"/>
  <c r="BF614" i="33"/>
  <c r="BE614" i="33"/>
  <c r="BD614" i="33"/>
  <c r="BC614" i="33"/>
  <c r="BB614" i="33"/>
  <c r="BF613" i="33"/>
  <c r="BE613" i="33"/>
  <c r="BD613" i="33"/>
  <c r="BC613" i="33"/>
  <c r="BB613" i="33"/>
  <c r="BF612" i="33"/>
  <c r="BE612" i="33"/>
  <c r="BD612" i="33"/>
  <c r="BC612" i="33"/>
  <c r="BB612" i="33"/>
  <c r="BF611" i="33"/>
  <c r="BE611" i="33"/>
  <c r="BD611" i="33"/>
  <c r="BC611" i="33"/>
  <c r="BB611" i="33"/>
  <c r="BF610" i="33"/>
  <c r="BE610" i="33"/>
  <c r="BD610" i="33"/>
  <c r="BC610" i="33"/>
  <c r="BB610" i="33"/>
  <c r="BF609" i="33"/>
  <c r="BE609" i="33"/>
  <c r="BD609" i="33"/>
  <c r="BC609" i="33"/>
  <c r="BB609" i="33"/>
  <c r="BF608" i="33"/>
  <c r="BE608" i="33"/>
  <c r="BD608" i="33"/>
  <c r="BC608" i="33"/>
  <c r="BB608" i="33"/>
  <c r="BF607" i="33"/>
  <c r="BE607" i="33"/>
  <c r="BD607" i="33"/>
  <c r="BC607" i="33"/>
  <c r="BB607" i="33"/>
  <c r="BF606" i="33"/>
  <c r="BE606" i="33"/>
  <c r="BD606" i="33"/>
  <c r="BC606" i="33"/>
  <c r="BB606" i="33"/>
  <c r="BF605" i="33"/>
  <c r="BE605" i="33"/>
  <c r="BD605" i="33"/>
  <c r="BC605" i="33"/>
  <c r="BB605" i="33"/>
  <c r="BF604" i="33"/>
  <c r="BE604" i="33"/>
  <c r="BD604" i="33"/>
  <c r="BC604" i="33"/>
  <c r="BB604" i="33"/>
  <c r="BF603" i="33"/>
  <c r="BE603" i="33"/>
  <c r="BD603" i="33"/>
  <c r="BC603" i="33"/>
  <c r="BB603" i="33"/>
  <c r="BF602" i="33"/>
  <c r="BE602" i="33"/>
  <c r="BD602" i="33"/>
  <c r="BC602" i="33"/>
  <c r="BB602" i="33"/>
  <c r="BF601" i="33"/>
  <c r="BE601" i="33"/>
  <c r="BD601" i="33"/>
  <c r="BC601" i="33"/>
  <c r="BB601" i="33"/>
  <c r="BF600" i="33"/>
  <c r="BE600" i="33"/>
  <c r="BD600" i="33"/>
  <c r="BC600" i="33"/>
  <c r="BB600" i="33"/>
  <c r="BF599" i="33"/>
  <c r="BE599" i="33"/>
  <c r="BD599" i="33"/>
  <c r="BC599" i="33"/>
  <c r="BB599" i="33"/>
  <c r="BF598" i="33"/>
  <c r="BE598" i="33"/>
  <c r="BD598" i="33"/>
  <c r="BC598" i="33"/>
  <c r="BB598" i="33"/>
  <c r="BF597" i="33"/>
  <c r="BE597" i="33"/>
  <c r="BD597" i="33"/>
  <c r="BC597" i="33"/>
  <c r="BB597" i="33"/>
  <c r="BF596" i="33"/>
  <c r="BE596" i="33"/>
  <c r="BD596" i="33"/>
  <c r="BC596" i="33"/>
  <c r="BB596" i="33"/>
  <c r="BF595" i="33"/>
  <c r="BE595" i="33"/>
  <c r="BD595" i="33"/>
  <c r="BC595" i="33"/>
  <c r="BB595" i="33"/>
  <c r="BF594" i="33"/>
  <c r="BE594" i="33"/>
  <c r="BD594" i="33"/>
  <c r="BC594" i="33"/>
  <c r="BB594" i="33"/>
  <c r="BF593" i="33"/>
  <c r="BE593" i="33"/>
  <c r="BD593" i="33"/>
  <c r="BC593" i="33"/>
  <c r="BB593" i="33"/>
  <c r="BF592" i="33"/>
  <c r="BE592" i="33"/>
  <c r="BD592" i="33"/>
  <c r="BC592" i="33"/>
  <c r="BB592" i="33"/>
  <c r="BF591" i="33"/>
  <c r="BE591" i="33"/>
  <c r="BD591" i="33"/>
  <c r="BC591" i="33"/>
  <c r="BB591" i="33"/>
  <c r="BF590" i="33"/>
  <c r="BE590" i="33"/>
  <c r="BD590" i="33"/>
  <c r="BC590" i="33"/>
  <c r="BB590" i="33"/>
  <c r="BF589" i="33"/>
  <c r="BE589" i="33"/>
  <c r="BD589" i="33"/>
  <c r="BC589" i="33"/>
  <c r="BB589" i="33"/>
  <c r="BF588" i="33"/>
  <c r="BE588" i="33"/>
  <c r="BD588" i="33"/>
  <c r="BC588" i="33"/>
  <c r="BB588" i="33"/>
  <c r="BF587" i="33"/>
  <c r="BE587" i="33"/>
  <c r="BD587" i="33"/>
  <c r="BC587" i="33"/>
  <c r="BB587" i="33"/>
  <c r="BF586" i="33"/>
  <c r="BE586" i="33"/>
  <c r="BD586" i="33"/>
  <c r="BC586" i="33"/>
  <c r="BB586" i="33"/>
  <c r="BF585" i="33"/>
  <c r="BE585" i="33"/>
  <c r="BD585" i="33"/>
  <c r="BC585" i="33"/>
  <c r="BB585" i="33"/>
  <c r="BF584" i="33"/>
  <c r="BE584" i="33"/>
  <c r="BD584" i="33"/>
  <c r="BC584" i="33"/>
  <c r="BB584" i="33"/>
  <c r="BF583" i="33"/>
  <c r="BE583" i="33"/>
  <c r="BD583" i="33"/>
  <c r="BC583" i="33"/>
  <c r="BB583" i="33"/>
  <c r="BF582" i="33"/>
  <c r="BE582" i="33"/>
  <c r="BD582" i="33"/>
  <c r="BC582" i="33"/>
  <c r="BB582" i="33"/>
  <c r="BF581" i="33"/>
  <c r="BE581" i="33"/>
  <c r="BD581" i="33"/>
  <c r="BC581" i="33"/>
  <c r="BB581" i="33"/>
  <c r="BF580" i="33"/>
  <c r="BE580" i="33"/>
  <c r="BD580" i="33"/>
  <c r="BC580" i="33"/>
  <c r="BB580" i="33"/>
  <c r="BF579" i="33"/>
  <c r="BE579" i="33"/>
  <c r="BD579" i="33"/>
  <c r="BC579" i="33"/>
  <c r="BB579" i="33"/>
  <c r="BF578" i="33"/>
  <c r="BE578" i="33"/>
  <c r="BD578" i="33"/>
  <c r="BC578" i="33"/>
  <c r="BB578" i="33"/>
  <c r="BF577" i="33"/>
  <c r="BE577" i="33"/>
  <c r="BD577" i="33"/>
  <c r="BC577" i="33"/>
  <c r="BB577" i="33"/>
  <c r="BF576" i="33"/>
  <c r="BE576" i="33"/>
  <c r="BD576" i="33"/>
  <c r="BC576" i="33"/>
  <c r="BB576" i="33"/>
  <c r="BF575" i="33"/>
  <c r="BE575" i="33"/>
  <c r="BD575" i="33"/>
  <c r="BC575" i="33"/>
  <c r="BB575" i="33"/>
  <c r="BF574" i="33"/>
  <c r="BE574" i="33"/>
  <c r="BD574" i="33"/>
  <c r="BC574" i="33"/>
  <c r="BB574" i="33"/>
  <c r="BF573" i="33"/>
  <c r="BE573" i="33"/>
  <c r="BD573" i="33"/>
  <c r="BC573" i="33"/>
  <c r="BB573" i="33"/>
  <c r="BF572" i="33"/>
  <c r="BE572" i="33"/>
  <c r="BD572" i="33"/>
  <c r="BC572" i="33"/>
  <c r="BB572" i="33"/>
  <c r="BF571" i="33"/>
  <c r="BE571" i="33"/>
  <c r="BD571" i="33"/>
  <c r="BC571" i="33"/>
  <c r="BB571" i="33"/>
  <c r="BF570" i="33"/>
  <c r="BE570" i="33"/>
  <c r="BD570" i="33"/>
  <c r="BC570" i="33"/>
  <c r="BB570" i="33"/>
  <c r="BF569" i="33"/>
  <c r="BE569" i="33"/>
  <c r="BD569" i="33"/>
  <c r="BC569" i="33"/>
  <c r="BB569" i="33"/>
  <c r="BF568" i="33"/>
  <c r="BE568" i="33"/>
  <c r="BD568" i="33"/>
  <c r="BC568" i="33"/>
  <c r="BB568" i="33"/>
  <c r="BF567" i="33"/>
  <c r="BE567" i="33"/>
  <c r="BD567" i="33"/>
  <c r="BC567" i="33"/>
  <c r="BB567" i="33"/>
  <c r="BF566" i="33"/>
  <c r="BE566" i="33"/>
  <c r="BD566" i="33"/>
  <c r="BC566" i="33"/>
  <c r="BB566" i="33"/>
  <c r="BF565" i="33"/>
  <c r="BE565" i="33"/>
  <c r="BD565" i="33"/>
  <c r="BC565" i="33"/>
  <c r="BB565" i="33"/>
  <c r="BF564" i="33"/>
  <c r="BE564" i="33"/>
  <c r="BD564" i="33"/>
  <c r="BC564" i="33"/>
  <c r="BB564" i="33"/>
  <c r="BF563" i="33"/>
  <c r="BE563" i="33"/>
  <c r="BD563" i="33"/>
  <c r="BC563" i="33"/>
  <c r="BB563" i="33"/>
  <c r="BF562" i="33"/>
  <c r="BE562" i="33"/>
  <c r="BD562" i="33"/>
  <c r="BC562" i="33"/>
  <c r="BB562" i="33"/>
  <c r="BF561" i="33"/>
  <c r="BE561" i="33"/>
  <c r="BD561" i="33"/>
  <c r="BC561" i="33"/>
  <c r="BB561" i="33"/>
  <c r="BF560" i="33"/>
  <c r="BE560" i="33"/>
  <c r="BD560" i="33"/>
  <c r="BC560" i="33"/>
  <c r="BB560" i="33"/>
  <c r="BF559" i="33"/>
  <c r="BE559" i="33"/>
  <c r="BD559" i="33"/>
  <c r="BC559" i="33"/>
  <c r="BB559" i="33"/>
  <c r="BF558" i="33"/>
  <c r="BE558" i="33"/>
  <c r="BD558" i="33"/>
  <c r="BC558" i="33"/>
  <c r="BB558" i="33"/>
  <c r="BF557" i="33"/>
  <c r="BE557" i="33"/>
  <c r="BD557" i="33"/>
  <c r="BC557" i="33"/>
  <c r="BB557" i="33"/>
  <c r="BF556" i="33"/>
  <c r="BE556" i="33"/>
  <c r="BD556" i="33"/>
  <c r="BC556" i="33"/>
  <c r="BB556" i="33"/>
  <c r="BF555" i="33"/>
  <c r="BE555" i="33"/>
  <c r="BD555" i="33"/>
  <c r="BC555" i="33"/>
  <c r="BB555" i="33"/>
  <c r="BF554" i="33"/>
  <c r="BE554" i="33"/>
  <c r="BD554" i="33"/>
  <c r="BC554" i="33"/>
  <c r="BB554" i="33"/>
  <c r="BF553" i="33"/>
  <c r="BE553" i="33"/>
  <c r="BD553" i="33"/>
  <c r="BC553" i="33"/>
  <c r="BB553" i="33"/>
  <c r="BF552" i="33"/>
  <c r="BE552" i="33"/>
  <c r="BD552" i="33"/>
  <c r="BC552" i="33"/>
  <c r="BB552" i="33"/>
  <c r="BF551" i="33"/>
  <c r="BE551" i="33"/>
  <c r="BD551" i="33"/>
  <c r="BC551" i="33"/>
  <c r="BB551" i="33"/>
  <c r="BF550" i="33"/>
  <c r="BE550" i="33"/>
  <c r="BD550" i="33"/>
  <c r="BC550" i="33"/>
  <c r="BB550" i="33"/>
  <c r="BF549" i="33"/>
  <c r="BE549" i="33"/>
  <c r="BD549" i="33"/>
  <c r="BC549" i="33"/>
  <c r="BB549" i="33"/>
  <c r="BF548" i="33"/>
  <c r="BE548" i="33"/>
  <c r="BD548" i="33"/>
  <c r="BC548" i="33"/>
  <c r="BB548" i="33"/>
  <c r="BF547" i="33"/>
  <c r="BE547" i="33"/>
  <c r="BD547" i="33"/>
  <c r="BC547" i="33"/>
  <c r="BB547" i="33"/>
  <c r="BF546" i="33"/>
  <c r="BE546" i="33"/>
  <c r="BD546" i="33"/>
  <c r="BC546" i="33"/>
  <c r="BB546" i="33"/>
  <c r="BF545" i="33"/>
  <c r="BE545" i="33"/>
  <c r="BD545" i="33"/>
  <c r="BC545" i="33"/>
  <c r="BB545" i="33"/>
  <c r="BF544" i="33"/>
  <c r="BE544" i="33"/>
  <c r="BD544" i="33"/>
  <c r="BC544" i="33"/>
  <c r="BB544" i="33"/>
  <c r="BF543" i="33"/>
  <c r="BE543" i="33"/>
  <c r="BD543" i="33"/>
  <c r="BC543" i="33"/>
  <c r="BB543" i="33"/>
  <c r="BF542" i="33"/>
  <c r="BE542" i="33"/>
  <c r="BD542" i="33"/>
  <c r="BC542" i="33"/>
  <c r="BB542" i="33"/>
  <c r="BF541" i="33"/>
  <c r="BE541" i="33"/>
  <c r="BD541" i="33"/>
  <c r="BC541" i="33"/>
  <c r="BB541" i="33"/>
  <c r="BF540" i="33"/>
  <c r="BE540" i="33"/>
  <c r="BD540" i="33"/>
  <c r="BC540" i="33"/>
  <c r="BB540" i="33"/>
  <c r="BF539" i="33"/>
  <c r="BE539" i="33"/>
  <c r="BD539" i="33"/>
  <c r="BC539" i="33"/>
  <c r="BB539" i="33"/>
  <c r="BF538" i="33"/>
  <c r="BE538" i="33"/>
  <c r="BD538" i="33"/>
  <c r="BC538" i="33"/>
  <c r="BB538" i="33"/>
  <c r="BF537" i="33"/>
  <c r="BE537" i="33"/>
  <c r="BD537" i="33"/>
  <c r="BC537" i="33"/>
  <c r="BB537" i="33"/>
  <c r="BF536" i="33"/>
  <c r="BE536" i="33"/>
  <c r="BD536" i="33"/>
  <c r="BC536" i="33"/>
  <c r="BB536" i="33"/>
  <c r="BF535" i="33"/>
  <c r="BE535" i="33"/>
  <c r="BD535" i="33"/>
  <c r="BC535" i="33"/>
  <c r="BB535" i="33"/>
  <c r="BF534" i="33"/>
  <c r="BE534" i="33"/>
  <c r="BD534" i="33"/>
  <c r="BC534" i="33"/>
  <c r="BB534" i="33"/>
  <c r="BF533" i="33"/>
  <c r="BE533" i="33"/>
  <c r="BD533" i="33"/>
  <c r="BC533" i="33"/>
  <c r="BB533" i="33"/>
  <c r="BF532" i="33"/>
  <c r="BE532" i="33"/>
  <c r="BD532" i="33"/>
  <c r="BC532" i="33"/>
  <c r="BB532" i="33"/>
  <c r="BF531" i="33"/>
  <c r="BE531" i="33"/>
  <c r="BD531" i="33"/>
  <c r="BC531" i="33"/>
  <c r="BB531" i="33"/>
  <c r="BF530" i="33"/>
  <c r="BE530" i="33"/>
  <c r="BD530" i="33"/>
  <c r="BC530" i="33"/>
  <c r="BB530" i="33"/>
  <c r="BF529" i="33"/>
  <c r="BE529" i="33"/>
  <c r="BD529" i="33"/>
  <c r="BC529" i="33"/>
  <c r="BB529" i="33"/>
  <c r="BF528" i="33"/>
  <c r="BE528" i="33"/>
  <c r="BD528" i="33"/>
  <c r="BC528" i="33"/>
  <c r="BB528" i="33"/>
  <c r="BF527" i="33"/>
  <c r="BE527" i="33"/>
  <c r="BD527" i="33"/>
  <c r="BC527" i="33"/>
  <c r="BB527" i="33"/>
  <c r="BF526" i="33"/>
  <c r="BE526" i="33"/>
  <c r="BD526" i="33"/>
  <c r="BC526" i="33"/>
  <c r="BB526" i="33"/>
  <c r="BF525" i="33"/>
  <c r="BE525" i="33"/>
  <c r="BD525" i="33"/>
  <c r="BC525" i="33"/>
  <c r="BB525" i="33"/>
  <c r="BF524" i="33"/>
  <c r="BE524" i="33"/>
  <c r="BD524" i="33"/>
  <c r="BC524" i="33"/>
  <c r="BB524" i="33"/>
  <c r="BF523" i="33"/>
  <c r="BE523" i="33"/>
  <c r="BD523" i="33"/>
  <c r="BC523" i="33"/>
  <c r="BB523" i="33"/>
  <c r="BF522" i="33"/>
  <c r="BE522" i="33"/>
  <c r="BD522" i="33"/>
  <c r="BC522" i="33"/>
  <c r="BB522" i="33"/>
  <c r="BF521" i="33"/>
  <c r="BE521" i="33"/>
  <c r="BD521" i="33"/>
  <c r="BC521" i="33"/>
  <c r="BB521" i="33"/>
  <c r="BF520" i="33"/>
  <c r="BE520" i="33"/>
  <c r="BD520" i="33"/>
  <c r="BC520" i="33"/>
  <c r="BB520" i="33"/>
  <c r="BF519" i="33"/>
  <c r="BE519" i="33"/>
  <c r="BD519" i="33"/>
  <c r="BC519" i="33"/>
  <c r="BB519" i="33"/>
  <c r="BF518" i="33"/>
  <c r="BE518" i="33"/>
  <c r="BD518" i="33"/>
  <c r="BC518" i="33"/>
  <c r="BB518" i="33"/>
  <c r="BF517" i="33"/>
  <c r="BE517" i="33"/>
  <c r="BD517" i="33"/>
  <c r="BC517" i="33"/>
  <c r="BB517" i="33"/>
  <c r="BF516" i="33"/>
  <c r="BE516" i="33"/>
  <c r="BD516" i="33"/>
  <c r="BC516" i="33"/>
  <c r="BB516" i="33"/>
  <c r="BF515" i="33"/>
  <c r="BE515" i="33"/>
  <c r="BD515" i="33"/>
  <c r="BC515" i="33"/>
  <c r="BB515" i="33"/>
  <c r="BF514" i="33"/>
  <c r="BE514" i="33"/>
  <c r="BD514" i="33"/>
  <c r="BC514" i="33"/>
  <c r="BB514" i="33"/>
  <c r="BF513" i="33"/>
  <c r="BE513" i="33"/>
  <c r="BD513" i="33"/>
  <c r="BC513" i="33"/>
  <c r="BB513" i="33"/>
  <c r="BF512" i="33"/>
  <c r="BE512" i="33"/>
  <c r="BD512" i="33"/>
  <c r="BC512" i="33"/>
  <c r="BB512" i="33"/>
  <c r="BF511" i="33"/>
  <c r="BE511" i="33"/>
  <c r="BD511" i="33"/>
  <c r="BC511" i="33"/>
  <c r="BB511" i="33"/>
  <c r="BF510" i="33"/>
  <c r="BE510" i="33"/>
  <c r="BD510" i="33"/>
  <c r="BC510" i="33"/>
  <c r="BB510" i="33"/>
  <c r="BF509" i="33"/>
  <c r="BE509" i="33"/>
  <c r="BD509" i="33"/>
  <c r="BC509" i="33"/>
  <c r="BB509" i="33"/>
  <c r="BF508" i="33"/>
  <c r="BE508" i="33"/>
  <c r="BD508" i="33"/>
  <c r="BC508" i="33"/>
  <c r="BB508" i="33"/>
  <c r="BF507" i="33"/>
  <c r="BE507" i="33"/>
  <c r="BD507" i="33"/>
  <c r="BC507" i="33"/>
  <c r="BB507" i="33"/>
  <c r="BF506" i="33"/>
  <c r="BE506" i="33"/>
  <c r="BD506" i="33"/>
  <c r="BC506" i="33"/>
  <c r="BB506" i="33"/>
  <c r="BF505" i="33"/>
  <c r="BE505" i="33"/>
  <c r="BD505" i="33"/>
  <c r="BC505" i="33"/>
  <c r="BB505" i="33"/>
  <c r="BF504" i="33"/>
  <c r="BE504" i="33"/>
  <c r="BD504" i="33"/>
  <c r="BC504" i="33"/>
  <c r="BB504" i="33"/>
  <c r="BF503" i="33"/>
  <c r="BE503" i="33"/>
  <c r="BD503" i="33"/>
  <c r="BC503" i="33"/>
  <c r="BB503" i="33"/>
  <c r="BF502" i="33"/>
  <c r="BE502" i="33"/>
  <c r="BD502" i="33"/>
  <c r="BC502" i="33"/>
  <c r="BB502" i="33"/>
  <c r="BF501" i="33"/>
  <c r="BE501" i="33"/>
  <c r="BD501" i="33"/>
  <c r="BC501" i="33"/>
  <c r="BB501" i="33"/>
  <c r="BF500" i="33"/>
  <c r="BE500" i="33"/>
  <c r="BD500" i="33"/>
  <c r="BC500" i="33"/>
  <c r="BB500" i="33"/>
  <c r="BF499" i="33"/>
  <c r="BE499" i="33"/>
  <c r="BD499" i="33"/>
  <c r="BC499" i="33"/>
  <c r="BB499" i="33"/>
  <c r="BF498" i="33"/>
  <c r="BE498" i="33"/>
  <c r="BD498" i="33"/>
  <c r="BC498" i="33"/>
  <c r="BB498" i="33"/>
  <c r="BF497" i="33"/>
  <c r="BE497" i="33"/>
  <c r="BD497" i="33"/>
  <c r="BC497" i="33"/>
  <c r="BB497" i="33"/>
  <c r="BF496" i="33"/>
  <c r="BE496" i="33"/>
  <c r="BD496" i="33"/>
  <c r="BC496" i="33"/>
  <c r="BB496" i="33"/>
  <c r="BF495" i="33"/>
  <c r="BE495" i="33"/>
  <c r="BD495" i="33"/>
  <c r="BC495" i="33"/>
  <c r="BB495" i="33"/>
  <c r="BF494" i="33"/>
  <c r="BE494" i="33"/>
  <c r="BD494" i="33"/>
  <c r="BC494" i="33"/>
  <c r="BB494" i="33"/>
  <c r="BF493" i="33"/>
  <c r="BE493" i="33"/>
  <c r="BD493" i="33"/>
  <c r="BC493" i="33"/>
  <c r="BB493" i="33"/>
  <c r="BF492" i="33"/>
  <c r="BE492" i="33"/>
  <c r="BD492" i="33"/>
  <c r="BC492" i="33"/>
  <c r="BB492" i="33"/>
  <c r="BF491" i="33"/>
  <c r="BE491" i="33"/>
  <c r="BD491" i="33"/>
  <c r="BC491" i="33"/>
  <c r="BB491" i="33"/>
  <c r="BF490" i="33"/>
  <c r="BE490" i="33"/>
  <c r="BD490" i="33"/>
  <c r="BC490" i="33"/>
  <c r="BB490" i="33"/>
  <c r="BF489" i="33"/>
  <c r="BE489" i="33"/>
  <c r="BD489" i="33"/>
  <c r="BC489" i="33"/>
  <c r="BB489" i="33"/>
  <c r="BF488" i="33"/>
  <c r="BE488" i="33"/>
  <c r="BD488" i="33"/>
  <c r="BC488" i="33"/>
  <c r="BB488" i="33"/>
  <c r="BF487" i="33"/>
  <c r="BE487" i="33"/>
  <c r="BD487" i="33"/>
  <c r="BC487" i="33"/>
  <c r="BB487" i="33"/>
  <c r="BF486" i="33"/>
  <c r="BE486" i="33"/>
  <c r="BD486" i="33"/>
  <c r="BC486" i="33"/>
  <c r="BB486" i="33"/>
  <c r="BF485" i="33"/>
  <c r="BE485" i="33"/>
  <c r="BD485" i="33"/>
  <c r="BC485" i="33"/>
  <c r="BB485" i="33"/>
  <c r="BF484" i="33"/>
  <c r="BE484" i="33"/>
  <c r="BD484" i="33"/>
  <c r="BC484" i="33"/>
  <c r="BB484" i="33"/>
  <c r="BF483" i="33"/>
  <c r="BE483" i="33"/>
  <c r="BD483" i="33"/>
  <c r="BC483" i="33"/>
  <c r="BB483" i="33"/>
  <c r="BF482" i="33"/>
  <c r="BE482" i="33"/>
  <c r="BD482" i="33"/>
  <c r="BC482" i="33"/>
  <c r="BB482" i="33"/>
  <c r="BF481" i="33"/>
  <c r="BE481" i="33"/>
  <c r="BD481" i="33"/>
  <c r="BC481" i="33"/>
  <c r="BB481" i="33"/>
  <c r="BF480" i="33"/>
  <c r="BE480" i="33"/>
  <c r="BD480" i="33"/>
  <c r="BC480" i="33"/>
  <c r="BB480" i="33"/>
  <c r="BF479" i="33"/>
  <c r="BE479" i="33"/>
  <c r="BD479" i="33"/>
  <c r="BC479" i="33"/>
  <c r="BB479" i="33"/>
  <c r="BF478" i="33"/>
  <c r="BE478" i="33"/>
  <c r="BD478" i="33"/>
  <c r="BC478" i="33"/>
  <c r="BB478" i="33"/>
  <c r="BF477" i="33"/>
  <c r="BE477" i="33"/>
  <c r="BD477" i="33"/>
  <c r="BC477" i="33"/>
  <c r="BB477" i="33"/>
  <c r="BF476" i="33"/>
  <c r="BE476" i="33"/>
  <c r="BD476" i="33"/>
  <c r="BC476" i="33"/>
  <c r="BB476" i="33"/>
  <c r="BF475" i="33"/>
  <c r="BE475" i="33"/>
  <c r="BD475" i="33"/>
  <c r="BC475" i="33"/>
  <c r="BB475" i="33"/>
  <c r="BF474" i="33"/>
  <c r="BE474" i="33"/>
  <c r="BD474" i="33"/>
  <c r="BC474" i="33"/>
  <c r="BB474" i="33"/>
  <c r="BF473" i="33"/>
  <c r="BE473" i="33"/>
  <c r="BD473" i="33"/>
  <c r="BC473" i="33"/>
  <c r="BB473" i="33"/>
  <c r="BF472" i="33"/>
  <c r="BE472" i="33"/>
  <c r="BD472" i="33"/>
  <c r="BC472" i="33"/>
  <c r="BB472" i="33"/>
  <c r="BF471" i="33"/>
  <c r="BE471" i="33"/>
  <c r="BD471" i="33"/>
  <c r="BC471" i="33"/>
  <c r="BB471" i="33"/>
  <c r="BF470" i="33"/>
  <c r="BE470" i="33"/>
  <c r="BD470" i="33"/>
  <c r="BC470" i="33"/>
  <c r="BB470" i="33"/>
  <c r="BF469" i="33"/>
  <c r="BE469" i="33"/>
  <c r="BD469" i="33"/>
  <c r="BC469" i="33"/>
  <c r="BB469" i="33"/>
  <c r="BF468" i="33"/>
  <c r="BE468" i="33"/>
  <c r="BD468" i="33"/>
  <c r="BC468" i="33"/>
  <c r="BB468" i="33"/>
  <c r="N145" i="33"/>
  <c r="N126" i="33"/>
  <c r="N130" i="33" s="1"/>
  <c r="N80" i="33"/>
  <c r="T80" i="33" s="1"/>
  <c r="Z80" i="33" s="1"/>
  <c r="AE80" i="33" s="1"/>
  <c r="AI80" i="33" s="1"/>
  <c r="R66" i="33"/>
  <c r="Q66" i="33"/>
  <c r="P66" i="33"/>
  <c r="O66" i="33"/>
  <c r="AH45" i="33"/>
  <c r="AG45" i="33"/>
  <c r="AF45" i="33"/>
  <c r="AD45" i="33"/>
  <c r="AA42" i="33"/>
  <c r="AG42" i="33" s="1"/>
  <c r="AM42" i="33" s="1"/>
  <c r="AR42" i="33" s="1"/>
  <c r="AV42" i="33" s="1"/>
  <c r="N42" i="33"/>
  <c r="AD61" i="33" s="1"/>
  <c r="AE41" i="33"/>
  <c r="AA41" i="33"/>
  <c r="AG41" i="33" s="1"/>
  <c r="AM41" i="33" s="1"/>
  <c r="AR41" i="33" s="1"/>
  <c r="AV41" i="33" s="1"/>
  <c r="N41" i="33"/>
  <c r="AD60" i="33" s="1"/>
  <c r="AE40" i="33"/>
  <c r="AA40" i="33"/>
  <c r="AG40" i="33" s="1"/>
  <c r="AM40" i="33" s="1"/>
  <c r="AR40" i="33" s="1"/>
  <c r="AV40" i="33" s="1"/>
  <c r="N40" i="33"/>
  <c r="AD59" i="33" s="1"/>
  <c r="AE39" i="33"/>
  <c r="AA39" i="33"/>
  <c r="AG39" i="33" s="1"/>
  <c r="AM39" i="33" s="1"/>
  <c r="AR39" i="33" s="1"/>
  <c r="AV39" i="33" s="1"/>
  <c r="N39" i="33"/>
  <c r="N58" i="33" s="1"/>
  <c r="X28" i="33"/>
  <c r="W28" i="33"/>
  <c r="V28" i="33"/>
  <c r="X26" i="33"/>
  <c r="W26" i="33"/>
  <c r="V26" i="33"/>
  <c r="U26" i="33"/>
  <c r="N17" i="33"/>
  <c r="U17" i="33" s="1"/>
  <c r="N16" i="33"/>
  <c r="N15" i="33"/>
  <c r="U15" i="33" s="1"/>
  <c r="N14" i="33"/>
  <c r="N13" i="33"/>
  <c r="N12" i="33"/>
  <c r="N11" i="33"/>
  <c r="U11" i="33" s="1"/>
  <c r="N10" i="33"/>
  <c r="N9" i="33"/>
  <c r="N8" i="33"/>
  <c r="U8" i="33" s="1"/>
  <c r="N7" i="33"/>
  <c r="U7" i="33" s="1"/>
  <c r="N6" i="33"/>
  <c r="U6" i="33" s="1"/>
  <c r="K5" i="33"/>
  <c r="J5" i="33"/>
  <c r="I5" i="33"/>
  <c r="H5" i="33"/>
  <c r="G5" i="33"/>
  <c r="F5" i="33"/>
  <c r="E5" i="33"/>
  <c r="D5" i="33"/>
  <c r="P139" i="33" s="1" a="1"/>
  <c r="P139" i="33" s="1"/>
  <c r="C5" i="33"/>
  <c r="B5" i="33"/>
  <c r="O139" i="33" s="1" a="1"/>
  <c r="O139" i="33" s="1"/>
  <c r="BL4" i="33"/>
  <c r="BK4" i="33"/>
  <c r="BI4" i="33"/>
  <c r="BG4" i="33"/>
  <c r="BF4" i="33"/>
  <c r="D7" i="25" s="1" a="1"/>
  <c r="D7" i="25" s="1"/>
  <c r="BE4" i="33"/>
  <c r="BD4" i="33"/>
  <c r="BC4" i="33"/>
  <c r="K4" i="33"/>
  <c r="J4" i="33"/>
  <c r="I4" i="33"/>
  <c r="H4" i="33"/>
  <c r="G4" i="33"/>
  <c r="F4" i="33"/>
  <c r="E4" i="33"/>
  <c r="D4" i="33"/>
  <c r="C4" i="33"/>
  <c r="B4" i="3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AU35" i="43"/>
  <c r="AT34" i="43" a="1"/>
  <c r="AT34" i="43" s="1"/>
  <c r="AT35" i="43" s="1"/>
  <c r="AS34" i="43" a="1"/>
  <c r="AS34" i="43" s="1"/>
  <c r="AR34" i="43" a="1"/>
  <c r="AR34" i="43" s="1"/>
  <c r="AQ34" i="43" a="1"/>
  <c r="AQ34" i="43" s="1"/>
  <c r="AP34" i="43" a="1"/>
  <c r="AP34" i="43" s="1"/>
  <c r="AO34" i="43" a="1"/>
  <c r="AO34" i="43" s="1"/>
  <c r="AN34" i="43" a="1"/>
  <c r="AN34" i="43" s="1"/>
  <c r="AM34" i="43" a="1"/>
  <c r="AM34" i="43" s="1"/>
  <c r="AL34" i="43" a="1"/>
  <c r="AL34" i="43" s="1"/>
  <c r="AK34" i="43" a="1"/>
  <c r="AK34" i="43" s="1"/>
  <c r="AJ34" i="43" a="1"/>
  <c r="AJ34" i="43" s="1"/>
  <c r="AI34" i="43" a="1"/>
  <c r="AI34" i="43" s="1"/>
  <c r="AH34" i="43" a="1"/>
  <c r="AH34" i="43" s="1"/>
  <c r="AG34" i="43" a="1"/>
  <c r="AG34" i="43" s="1"/>
  <c r="AF34" i="43" a="1"/>
  <c r="AF34" i="43" s="1"/>
  <c r="AE34" i="43" a="1"/>
  <c r="AE34" i="43" s="1"/>
  <c r="N53" i="43" s="1"/>
  <c r="P34" i="43"/>
  <c r="AS33" i="43" a="1"/>
  <c r="AS33" i="43" s="1"/>
  <c r="AR33" i="43" a="1"/>
  <c r="AR33" i="43" s="1"/>
  <c r="AQ33" i="43" a="1"/>
  <c r="AQ33" i="43" s="1"/>
  <c r="AP33" i="43" a="1"/>
  <c r="AP33" i="43" s="1"/>
  <c r="AO33" i="43" a="1"/>
  <c r="AO33" i="43" s="1"/>
  <c r="AN33" i="43" a="1"/>
  <c r="AN33" i="43" s="1"/>
  <c r="AM33" i="43" a="1"/>
  <c r="AM33" i="43" s="1"/>
  <c r="AL33" i="43" a="1"/>
  <c r="AL33" i="43" s="1"/>
  <c r="AK33" i="43" a="1"/>
  <c r="AK33" i="43" s="1"/>
  <c r="AJ33" i="43" a="1"/>
  <c r="AJ33" i="43" s="1"/>
  <c r="AI33" i="43" a="1"/>
  <c r="AI33" i="43" s="1"/>
  <c r="AH33" i="43" a="1"/>
  <c r="AH33" i="43" s="1"/>
  <c r="AG33" i="43" a="1"/>
  <c r="AG33" i="43" s="1"/>
  <c r="AF33" i="43" a="1"/>
  <c r="AF33" i="43" s="1"/>
  <c r="AE33" i="43" a="1"/>
  <c r="AE33" i="43" s="1"/>
  <c r="P33" i="43"/>
  <c r="AR32" i="43" a="1"/>
  <c r="AR32" i="43" s="1"/>
  <c r="AQ32" i="43" a="1"/>
  <c r="AQ32" i="43" s="1"/>
  <c r="AP32" i="43" a="1"/>
  <c r="AP32" i="43" s="1"/>
  <c r="AO32" i="43" a="1"/>
  <c r="AO32" i="43" s="1"/>
  <c r="AN32" i="43" a="1"/>
  <c r="AN32" i="43" s="1"/>
  <c r="AM32" i="43" a="1"/>
  <c r="AM32" i="43" s="1"/>
  <c r="AL32" i="43" a="1"/>
  <c r="AL32" i="43" s="1"/>
  <c r="AK32" i="43" a="1"/>
  <c r="AK32" i="43" s="1"/>
  <c r="AJ32" i="43" a="1"/>
  <c r="AJ32" i="43" s="1"/>
  <c r="AI32" i="43" a="1"/>
  <c r="AI32" i="43" s="1"/>
  <c r="AH32" i="43" a="1"/>
  <c r="AH32" i="43" s="1"/>
  <c r="AG32" i="43" a="1"/>
  <c r="AG32" i="43" s="1"/>
  <c r="AF32" i="43" a="1"/>
  <c r="AF32" i="43" s="1"/>
  <c r="AE32" i="43" a="1"/>
  <c r="AE32" i="43" s="1"/>
  <c r="P32" i="43"/>
  <c r="AQ31" i="43" a="1"/>
  <c r="AQ31" i="43" s="1"/>
  <c r="AP31" i="43" a="1"/>
  <c r="AP31" i="43" s="1"/>
  <c r="AO31" i="43" a="1"/>
  <c r="AO31" i="43" s="1"/>
  <c r="AN31" i="43" a="1"/>
  <c r="AN31" i="43" s="1"/>
  <c r="AM31" i="43" a="1"/>
  <c r="AM31" i="43" s="1"/>
  <c r="AL31" i="43" a="1"/>
  <c r="AL31" i="43" s="1"/>
  <c r="AK31" i="43" a="1"/>
  <c r="AK31" i="43" s="1"/>
  <c r="AJ31" i="43" a="1"/>
  <c r="AJ31" i="43" s="1"/>
  <c r="AI31" i="43" a="1"/>
  <c r="AI31" i="43" s="1"/>
  <c r="AH31" i="43" a="1"/>
  <c r="AH31" i="43" s="1"/>
  <c r="AG31" i="43" a="1"/>
  <c r="AG31" i="43" s="1"/>
  <c r="AF31" i="43" a="1"/>
  <c r="AF31" i="43" s="1"/>
  <c r="AE31" i="43" a="1"/>
  <c r="AE31" i="43" s="1"/>
  <c r="P31" i="43"/>
  <c r="AP30" i="43" a="1"/>
  <c r="AP30" i="43" s="1"/>
  <c r="AO30" i="43" a="1"/>
  <c r="AO30" i="43" s="1"/>
  <c r="AN30" i="43" a="1"/>
  <c r="AN30" i="43" s="1"/>
  <c r="AM30" i="43" a="1"/>
  <c r="AM30" i="43" s="1"/>
  <c r="AL30" i="43" a="1"/>
  <c r="AL30" i="43" s="1"/>
  <c r="AK30" i="43" a="1"/>
  <c r="AK30" i="43" s="1"/>
  <c r="AJ30" i="43" a="1"/>
  <c r="AJ30" i="43" s="1"/>
  <c r="AI30" i="43" a="1"/>
  <c r="AI30" i="43" s="1"/>
  <c r="AH30" i="43" a="1"/>
  <c r="AH30" i="43" s="1"/>
  <c r="AG30" i="43" a="1"/>
  <c r="AG30" i="43" s="1"/>
  <c r="AF30" i="43" a="1"/>
  <c r="AF30" i="43" s="1"/>
  <c r="AE30" i="43" a="1"/>
  <c r="AE30" i="43" s="1"/>
  <c r="P30" i="43"/>
  <c r="AO29" i="43" a="1"/>
  <c r="AO29" i="43" s="1"/>
  <c r="AN29" i="43" a="1"/>
  <c r="AN29" i="43" s="1"/>
  <c r="AM29" i="43" a="1"/>
  <c r="AM29" i="43" s="1"/>
  <c r="AL29" i="43" a="1"/>
  <c r="AL29" i="43" s="1"/>
  <c r="AK29" i="43" a="1"/>
  <c r="AK29" i="43" s="1"/>
  <c r="AJ29" i="43" a="1"/>
  <c r="AJ29" i="43" s="1"/>
  <c r="AI29" i="43" a="1"/>
  <c r="AI29" i="43" s="1"/>
  <c r="AH29" i="43" a="1"/>
  <c r="AH29" i="43" s="1"/>
  <c r="AG29" i="43" a="1"/>
  <c r="AG29" i="43" s="1"/>
  <c r="AF29" i="43" a="1"/>
  <c r="AF29" i="43" s="1"/>
  <c r="AE29" i="43" a="1"/>
  <c r="AE29" i="43" s="1"/>
  <c r="P29" i="43"/>
  <c r="AP28" i="43" a="1"/>
  <c r="AP28" i="43" s="1"/>
  <c r="AN28" i="43" a="1"/>
  <c r="AN28" i="43" s="1"/>
  <c r="AM28" i="43" a="1"/>
  <c r="AM28" i="43" s="1"/>
  <c r="AL28" i="43" a="1"/>
  <c r="AL28" i="43" s="1"/>
  <c r="AK28" i="43" a="1"/>
  <c r="AK28" i="43" s="1"/>
  <c r="AJ28" i="43" a="1"/>
  <c r="AJ28" i="43" s="1"/>
  <c r="AI28" i="43" a="1"/>
  <c r="AI28" i="43" s="1"/>
  <c r="AH28" i="43" a="1"/>
  <c r="AH28" i="43" s="1"/>
  <c r="AG28" i="43" a="1"/>
  <c r="AG28" i="43" s="1"/>
  <c r="AF28" i="43" a="1"/>
  <c r="AF28" i="43" s="1"/>
  <c r="AE28" i="43" a="1"/>
  <c r="AE28" i="43" s="1"/>
  <c r="P28" i="43"/>
  <c r="AP27" i="43" a="1"/>
  <c r="AP27" i="43" s="1"/>
  <c r="AO27" i="43" a="1"/>
  <c r="AO27" i="43" s="1"/>
  <c r="AM27" i="43" a="1"/>
  <c r="AM27" i="43" s="1"/>
  <c r="AL27" i="43" a="1"/>
  <c r="AL27" i="43" s="1"/>
  <c r="AK27" i="43" a="1"/>
  <c r="AK27" i="43" s="1"/>
  <c r="AJ27" i="43" a="1"/>
  <c r="AJ27" i="43" s="1"/>
  <c r="AI27" i="43" a="1"/>
  <c r="AI27" i="43" s="1"/>
  <c r="AH27" i="43" a="1"/>
  <c r="AH27" i="43" s="1"/>
  <c r="AG27" i="43" a="1"/>
  <c r="AG27" i="43" s="1"/>
  <c r="AF27" i="43" a="1"/>
  <c r="AF27" i="43" s="1"/>
  <c r="AE27" i="43" a="1"/>
  <c r="AE27" i="43" s="1"/>
  <c r="P27" i="43"/>
  <c r="AP26" i="43" a="1"/>
  <c r="AP26" i="43" s="1"/>
  <c r="AO26" i="43" a="1"/>
  <c r="AO26" i="43" s="1"/>
  <c r="AN26" i="43" a="1"/>
  <c r="AN26" i="43" s="1"/>
  <c r="AL26" i="43" a="1"/>
  <c r="AL26" i="43" s="1"/>
  <c r="AK26" i="43" a="1"/>
  <c r="AK26" i="43" s="1"/>
  <c r="AJ26" i="43" a="1"/>
  <c r="AJ26" i="43" s="1"/>
  <c r="AI26" i="43" a="1"/>
  <c r="AI26" i="43" s="1"/>
  <c r="AH26" i="43" a="1"/>
  <c r="AH26" i="43" s="1"/>
  <c r="AG26" i="43" a="1"/>
  <c r="AG26" i="43" s="1"/>
  <c r="AF26" i="43" a="1"/>
  <c r="AF26" i="43" s="1"/>
  <c r="AE26" i="43" a="1"/>
  <c r="AE26" i="43" s="1"/>
  <c r="P26" i="43"/>
  <c r="AP25" i="43" a="1"/>
  <c r="AP25" i="43" s="1"/>
  <c r="AO25" i="43" a="1"/>
  <c r="AO25" i="43" s="1"/>
  <c r="AN25" i="43" a="1"/>
  <c r="AN25" i="43" s="1"/>
  <c r="AM25" i="43" a="1"/>
  <c r="AM25" i="43" s="1"/>
  <c r="AK25" i="43" a="1"/>
  <c r="AK25" i="43" s="1"/>
  <c r="AJ25" i="43" a="1"/>
  <c r="AJ25" i="43" s="1"/>
  <c r="AI25" i="43" a="1"/>
  <c r="AI25" i="43" s="1"/>
  <c r="AH25" i="43" a="1"/>
  <c r="AH25" i="43" s="1"/>
  <c r="AG25" i="43" a="1"/>
  <c r="AG25" i="43" s="1"/>
  <c r="AF25" i="43" a="1"/>
  <c r="AF25" i="43" s="1"/>
  <c r="AE25" i="43" a="1"/>
  <c r="AE25" i="43" s="1"/>
  <c r="P25" i="43"/>
  <c r="AP24" i="43" a="1"/>
  <c r="AP24" i="43" s="1"/>
  <c r="AO24" i="43" a="1"/>
  <c r="AO24" i="43" s="1"/>
  <c r="AN24" i="43" a="1"/>
  <c r="AN24" i="43" s="1"/>
  <c r="AM24" i="43" a="1"/>
  <c r="AM24" i="43" s="1"/>
  <c r="AL24" i="43" a="1"/>
  <c r="AL24" i="43" s="1"/>
  <c r="AJ24" i="43" a="1"/>
  <c r="AJ24" i="43" s="1"/>
  <c r="AI24" i="43" a="1"/>
  <c r="AI24" i="43" s="1"/>
  <c r="AH24" i="43" a="1"/>
  <c r="AH24" i="43" s="1"/>
  <c r="AG24" i="43" a="1"/>
  <c r="AG24" i="43" s="1"/>
  <c r="AF24" i="43" a="1"/>
  <c r="AF24" i="43" s="1"/>
  <c r="AE24" i="43" a="1"/>
  <c r="AE24" i="43" s="1"/>
  <c r="P24" i="43"/>
  <c r="AP23" i="43" a="1"/>
  <c r="AP23" i="43" s="1"/>
  <c r="AO23" i="43" a="1"/>
  <c r="AO23" i="43" s="1"/>
  <c r="AN23" i="43" a="1"/>
  <c r="AN23" i="43" s="1"/>
  <c r="AM23" i="43" a="1"/>
  <c r="AM23" i="43" s="1"/>
  <c r="AL23" i="43" a="1"/>
  <c r="AL23" i="43" s="1"/>
  <c r="AK23" i="43" a="1"/>
  <c r="AK23" i="43" s="1"/>
  <c r="AI23" i="43" a="1"/>
  <c r="AI23" i="43" s="1"/>
  <c r="AH23" i="43" a="1"/>
  <c r="AH23" i="43" s="1"/>
  <c r="AG23" i="43" a="1"/>
  <c r="AG23" i="43" s="1"/>
  <c r="AF23" i="43" a="1"/>
  <c r="AF23" i="43" s="1"/>
  <c r="AE23" i="43" a="1"/>
  <c r="AE23" i="43" s="1"/>
  <c r="P23" i="43"/>
  <c r="AP22" i="43" a="1"/>
  <c r="AP22" i="43" s="1"/>
  <c r="AO22" i="43" a="1"/>
  <c r="AO22" i="43" s="1"/>
  <c r="AN22" i="43" a="1"/>
  <c r="AN22" i="43" s="1"/>
  <c r="AM22" i="43" a="1"/>
  <c r="AM22" i="43" s="1"/>
  <c r="AL22" i="43" a="1"/>
  <c r="AL22" i="43" s="1"/>
  <c r="AK22" i="43" a="1"/>
  <c r="AK22" i="43" s="1"/>
  <c r="AJ22" i="43" a="1"/>
  <c r="AJ22" i="43" s="1"/>
  <c r="AH22" i="43" a="1"/>
  <c r="AH22" i="43" s="1"/>
  <c r="AG22" i="43" a="1"/>
  <c r="AG22" i="43" s="1"/>
  <c r="AF22" i="43" a="1"/>
  <c r="AF22" i="43" s="1"/>
  <c r="AE22" i="43" a="1"/>
  <c r="AE22" i="43" s="1"/>
  <c r="P22" i="43"/>
  <c r="AP21" i="43" a="1"/>
  <c r="AP21" i="43" s="1"/>
  <c r="AO21" i="43" a="1"/>
  <c r="AO21" i="43" s="1"/>
  <c r="AN21" i="43" a="1"/>
  <c r="AN21" i="43" s="1"/>
  <c r="AM21" i="43" a="1"/>
  <c r="AM21" i="43" s="1"/>
  <c r="AL21" i="43" a="1"/>
  <c r="AL21" i="43" s="1"/>
  <c r="AK21" i="43" a="1"/>
  <c r="AK21" i="43" s="1"/>
  <c r="AJ21" i="43" a="1"/>
  <c r="AJ21" i="43" s="1"/>
  <c r="AI21" i="43" a="1"/>
  <c r="AI21" i="43" s="1"/>
  <c r="AG21" i="43" a="1"/>
  <c r="AG21" i="43" s="1"/>
  <c r="AF21" i="43" a="1"/>
  <c r="AF21" i="43" s="1"/>
  <c r="AE21" i="43" a="1"/>
  <c r="AE21" i="43" s="1"/>
  <c r="P21" i="43"/>
  <c r="AP20" i="43" a="1"/>
  <c r="AP20" i="43" s="1"/>
  <c r="AO20" i="43" a="1"/>
  <c r="AO20" i="43" s="1"/>
  <c r="AN20" i="43" a="1"/>
  <c r="AN20" i="43" s="1"/>
  <c r="AM20" i="43" a="1"/>
  <c r="AM20" i="43" s="1"/>
  <c r="AL20" i="43" a="1"/>
  <c r="AL20" i="43" s="1"/>
  <c r="AK20" i="43" a="1"/>
  <c r="AK20" i="43" s="1"/>
  <c r="AJ20" i="43" a="1"/>
  <c r="AJ20" i="43" s="1"/>
  <c r="AI20" i="43" a="1"/>
  <c r="AI20" i="43" s="1"/>
  <c r="AH20" i="43" a="1"/>
  <c r="AH20" i="43" s="1"/>
  <c r="AF20" i="43" a="1"/>
  <c r="AF20" i="43" s="1"/>
  <c r="AE20" i="43" a="1"/>
  <c r="AE20" i="43" s="1"/>
  <c r="AE19" i="43" a="1"/>
  <c r="AE19" i="43" s="1"/>
  <c r="S15" i="43" a="1"/>
  <c r="S15" i="43" s="1"/>
  <c r="R14" i="43" a="1"/>
  <c r="R14" i="43" s="1"/>
  <c r="V18" i="43" a="1"/>
  <c r="V18" i="43" s="1"/>
  <c r="V12" i="43" a="1"/>
  <c r="V12" i="43" s="1"/>
  <c r="S12" i="43" a="1"/>
  <c r="S12" i="43" s="1"/>
  <c r="U12" i="43" a="1"/>
  <c r="U12" i="43" s="1"/>
  <c r="T16" i="43" a="1"/>
  <c r="T16" i="43" s="1"/>
  <c r="X10" i="43"/>
  <c r="T10" i="43" a="1"/>
  <c r="T10" i="43" s="1"/>
  <c r="S10" i="43" a="1"/>
  <c r="S10" i="43" s="1"/>
  <c r="R10" i="43" a="1"/>
  <c r="R10" i="43" s="1"/>
  <c r="S8" i="43" a="1"/>
  <c r="S8" i="43" s="1"/>
  <c r="S13" i="43" a="1"/>
  <c r="S13" i="43" s="1"/>
  <c r="X9" i="43"/>
  <c r="W9" i="43"/>
  <c r="R9" i="43" a="1"/>
  <c r="R9" i="43" s="1"/>
  <c r="X8" i="43"/>
  <c r="W8" i="43"/>
  <c r="V8" i="43"/>
  <c r="Q14" i="43" a="1"/>
  <c r="Q14" i="43" s="1"/>
  <c r="X7" i="43"/>
  <c r="W7" i="43"/>
  <c r="V7" i="43"/>
  <c r="S7" i="43" a="1"/>
  <c r="S7" i="43" s="1"/>
  <c r="P4" i="43" a="1"/>
  <c r="P4" i="43" s="1"/>
  <c r="P19" i="43" a="1"/>
  <c r="P19" i="43" s="1"/>
  <c r="P16" i="43" a="1"/>
  <c r="P16" i="43" s="1"/>
  <c r="X6" i="43"/>
  <c r="W6" i="43"/>
  <c r="V6" i="43"/>
  <c r="X5" i="43"/>
  <c r="W5" i="43"/>
  <c r="V5" i="43"/>
  <c r="X4" i="43"/>
  <c r="W4" i="43"/>
  <c r="V4" i="43"/>
  <c r="N34" i="33" l="1"/>
  <c r="U13" i="33"/>
  <c r="AA35" i="33"/>
  <c r="AG35" i="33" s="1"/>
  <c r="AM35" i="33" s="1"/>
  <c r="AR35" i="33" s="1"/>
  <c r="AV35" i="33" s="1"/>
  <c r="U14" i="33"/>
  <c r="AA37" i="33"/>
  <c r="AG37" i="33" s="1"/>
  <c r="AM37" i="33" s="1"/>
  <c r="AR37" i="33" s="1"/>
  <c r="AV37" i="33" s="1"/>
  <c r="U16" i="33"/>
  <c r="N30" i="33"/>
  <c r="N49" i="33" s="1"/>
  <c r="U9" i="33"/>
  <c r="AA33" i="33"/>
  <c r="AG33" i="33" s="1"/>
  <c r="AM33" i="33" s="1"/>
  <c r="AR33" i="33" s="1"/>
  <c r="AV33" i="33" s="1"/>
  <c r="U12" i="33"/>
  <c r="N31" i="33"/>
  <c r="T31" i="33" s="1"/>
  <c r="U10" i="33"/>
  <c r="R80" i="43"/>
  <c r="R79" i="43"/>
  <c r="R78" i="43"/>
  <c r="R81" i="43"/>
  <c r="O107" i="18"/>
  <c r="B10" i="30" s="1"/>
  <c r="T39" i="33"/>
  <c r="Y28" i="33"/>
  <c r="Q6" i="33" a="1"/>
  <c r="Q6" i="33" s="1"/>
  <c r="R15" i="33" a="1"/>
  <c r="R15" i="33" s="1"/>
  <c r="S10" i="33" a="1"/>
  <c r="S10" i="33" s="1"/>
  <c r="AS35" i="43"/>
  <c r="AQ35" i="43"/>
  <c r="G12" i="32"/>
  <c r="G11" i="32"/>
  <c r="G9" i="32"/>
  <c r="G8" i="32"/>
  <c r="G10" i="32"/>
  <c r="N33" i="33"/>
  <c r="AD52" i="33" s="1"/>
  <c r="T40" i="33"/>
  <c r="R7" i="33" a="1"/>
  <c r="R7" i="33" s="1"/>
  <c r="O16" i="33" a="1"/>
  <c r="O16" i="33" s="1"/>
  <c r="O10" i="33" a="1"/>
  <c r="O10" i="33" s="1"/>
  <c r="P7" i="33" a="1"/>
  <c r="P7" i="33" s="1"/>
  <c r="P16" i="33" a="1"/>
  <c r="P16" i="33" s="1"/>
  <c r="N77" i="33"/>
  <c r="T77" i="33" s="1"/>
  <c r="Z77" i="33" s="1"/>
  <c r="AE77" i="33" s="1"/>
  <c r="AI77" i="33" s="1"/>
  <c r="AA28" i="33"/>
  <c r="AG28" i="33" s="1"/>
  <c r="AM28" i="33" s="1"/>
  <c r="AR28" i="33" s="1"/>
  <c r="AV28" i="33" s="1"/>
  <c r="AD58" i="33"/>
  <c r="O13" i="33" a="1"/>
  <c r="O13" i="33" s="1"/>
  <c r="P13" i="33" a="1"/>
  <c r="P13" i="33" s="1"/>
  <c r="Q15" i="33" a="1"/>
  <c r="Q15" i="33" s="1"/>
  <c r="N27" i="33"/>
  <c r="N37" i="33"/>
  <c r="T37" i="33" s="1"/>
  <c r="O7" i="33" a="1"/>
  <c r="O7" i="33" s="1"/>
  <c r="P10" i="33" a="1"/>
  <c r="P10" i="33" s="1"/>
  <c r="AA31" i="33"/>
  <c r="AG31" i="33" s="1"/>
  <c r="AM31" i="33" s="1"/>
  <c r="AR31" i="33" s="1"/>
  <c r="AV31" i="33" s="1"/>
  <c r="O12" i="33" a="1"/>
  <c r="O12" i="33" s="1"/>
  <c r="R12" i="33" a="1"/>
  <c r="R12" i="33" s="1"/>
  <c r="N59" i="33"/>
  <c r="O6" i="33" a="1"/>
  <c r="O6" i="33" s="1"/>
  <c r="O9" i="33" a="1"/>
  <c r="O9" i="33" s="1"/>
  <c r="R6" i="33" a="1"/>
  <c r="R6" i="33" s="1"/>
  <c r="R9" i="33" a="1"/>
  <c r="R9" i="33" s="1"/>
  <c r="R139" i="33" a="1"/>
  <c r="R139" i="33" s="1"/>
  <c r="S9" i="33" a="1"/>
  <c r="S9" i="33" s="1"/>
  <c r="N28" i="33"/>
  <c r="N47" i="33" s="1"/>
  <c r="T41" i="33"/>
  <c r="S6" i="33" a="1"/>
  <c r="S6" i="33" s="1"/>
  <c r="AA34" i="33"/>
  <c r="AG34" i="33" s="1"/>
  <c r="AM34" i="33" s="1"/>
  <c r="AR34" i="33" s="1"/>
  <c r="AV34" i="33" s="1"/>
  <c r="S139" i="33" a="1"/>
  <c r="S139" i="33" s="1"/>
  <c r="Q7" i="33" a="1"/>
  <c r="Q7" i="33" s="1"/>
  <c r="Q16" i="33" a="1"/>
  <c r="Q16" i="33" s="1"/>
  <c r="Q13" i="33" a="1"/>
  <c r="Q13" i="33" s="1"/>
  <c r="Q10" i="33" a="1"/>
  <c r="Q10" i="33" s="1"/>
  <c r="S8" i="33" a="1"/>
  <c r="S8" i="33" s="1"/>
  <c r="O8" i="33" a="1"/>
  <c r="O8" i="33" s="1"/>
  <c r="R8" i="33" a="1"/>
  <c r="R8" i="33" s="1"/>
  <c r="Q8" i="33" a="1"/>
  <c r="Q8" i="33" s="1"/>
  <c r="P8" i="33" a="1"/>
  <c r="P8" i="33" s="1"/>
  <c r="N29" i="33"/>
  <c r="AD49" i="33"/>
  <c r="T30" i="33"/>
  <c r="AA32" i="33"/>
  <c r="AG32" i="33" s="1"/>
  <c r="AM32" i="33" s="1"/>
  <c r="AR32" i="33" s="1"/>
  <c r="AV32" i="33" s="1"/>
  <c r="S11" i="33" a="1"/>
  <c r="S11" i="33" s="1"/>
  <c r="R11" i="33" a="1"/>
  <c r="R11" i="33" s="1"/>
  <c r="Q11" i="33" a="1"/>
  <c r="Q11" i="33" s="1"/>
  <c r="P11" i="33" a="1"/>
  <c r="P11" i="33" s="1"/>
  <c r="N32" i="33"/>
  <c r="O11" i="33" a="1"/>
  <c r="O11" i="33" s="1"/>
  <c r="S14" i="33" a="1"/>
  <c r="S14" i="33" s="1"/>
  <c r="R14" i="33" a="1"/>
  <c r="R14" i="33" s="1"/>
  <c r="Q14" i="33" a="1"/>
  <c r="Q14" i="33" s="1"/>
  <c r="N35" i="33"/>
  <c r="P14" i="33" a="1"/>
  <c r="P14" i="33" s="1"/>
  <c r="O14" i="33" a="1"/>
  <c r="O14" i="33" s="1"/>
  <c r="AA38" i="33"/>
  <c r="AG38" i="33" s="1"/>
  <c r="AM38" i="33" s="1"/>
  <c r="AR38" i="33" s="1"/>
  <c r="AV38" i="33" s="1"/>
  <c r="S17" i="33" a="1"/>
  <c r="S17" i="33" s="1"/>
  <c r="R17" i="33" a="1"/>
  <c r="R17" i="33" s="1"/>
  <c r="Q17" i="33" a="1"/>
  <c r="Q17" i="33" s="1"/>
  <c r="P17" i="33" a="1"/>
  <c r="P17" i="33" s="1"/>
  <c r="N38" i="33"/>
  <c r="O17" i="33" a="1"/>
  <c r="O17" i="33" s="1"/>
  <c r="AA29" i="33"/>
  <c r="AG29" i="33" s="1"/>
  <c r="AM29" i="33" s="1"/>
  <c r="AR29" i="33" s="1"/>
  <c r="AV29" i="33" s="1"/>
  <c r="N53" i="33"/>
  <c r="AD53" i="33"/>
  <c r="T34" i="33"/>
  <c r="S12" i="33" a="1"/>
  <c r="S12" i="33" s="1"/>
  <c r="S15" i="33" a="1"/>
  <c r="S15" i="33" s="1"/>
  <c r="T42" i="33"/>
  <c r="AA27" i="33"/>
  <c r="AG27" i="33" s="1"/>
  <c r="AM27" i="33" s="1"/>
  <c r="AR27" i="33" s="1"/>
  <c r="AV27" i="33" s="1"/>
  <c r="N60" i="33"/>
  <c r="R10" i="33" a="1"/>
  <c r="R10" i="33" s="1"/>
  <c r="R13" i="33" a="1"/>
  <c r="R13" i="33" s="1"/>
  <c r="R16" i="33" a="1"/>
  <c r="R16" i="33" s="1"/>
  <c r="AA36" i="33"/>
  <c r="AG36" i="33" s="1"/>
  <c r="AM36" i="33" s="1"/>
  <c r="AR36" i="33" s="1"/>
  <c r="AV36" i="33" s="1"/>
  <c r="N61" i="33"/>
  <c r="S7" i="33" a="1"/>
  <c r="S7" i="33" s="1"/>
  <c r="S16" i="33" a="1"/>
  <c r="S16" i="33" s="1"/>
  <c r="O121" i="33" a="1"/>
  <c r="O121" i="33" s="1"/>
  <c r="O142" i="33" a="1"/>
  <c r="O142" i="33" s="1"/>
  <c r="O140" i="33" a="1"/>
  <c r="O140" i="33" s="1"/>
  <c r="O120" i="33" a="1"/>
  <c r="O120" i="33" s="1"/>
  <c r="O141" i="33" a="1"/>
  <c r="O141" i="33" s="1"/>
  <c r="P121" i="33" a="1"/>
  <c r="P121" i="33" s="1"/>
  <c r="P142" i="33" a="1"/>
  <c r="P142" i="33" s="1"/>
  <c r="P120" i="33" a="1"/>
  <c r="P120" i="33" s="1"/>
  <c r="P141" i="33" a="1"/>
  <c r="P141" i="33" s="1"/>
  <c r="P140" i="33" a="1"/>
  <c r="P140" i="33" s="1"/>
  <c r="Q121" i="33" a="1"/>
  <c r="Q121" i="33" s="1"/>
  <c r="Q142" i="33" a="1"/>
  <c r="Q142" i="33" s="1"/>
  <c r="Q140" i="33" a="1"/>
  <c r="Q140" i="33" s="1"/>
  <c r="Q120" i="33" a="1"/>
  <c r="Q120" i="33" s="1"/>
  <c r="Q141" i="33" a="1"/>
  <c r="Q141" i="33" s="1"/>
  <c r="Q139" i="33" a="1"/>
  <c r="Q139" i="33" s="1"/>
  <c r="S13" i="33" a="1"/>
  <c r="S13" i="33" s="1"/>
  <c r="O15" i="33" a="1"/>
  <c r="O15" i="33" s="1"/>
  <c r="N78" i="33"/>
  <c r="T78" i="33" s="1"/>
  <c r="Z78" i="33" s="1"/>
  <c r="AE78" i="33" s="1"/>
  <c r="AI78" i="33" s="1"/>
  <c r="R142" i="33" a="1"/>
  <c r="R142" i="33" s="1"/>
  <c r="R120" i="33" a="1"/>
  <c r="R120" i="33" s="1"/>
  <c r="R141" i="33" a="1"/>
  <c r="R141" i="33" s="1"/>
  <c r="R121" i="33" a="1"/>
  <c r="R121" i="33" s="1"/>
  <c r="R140" i="33" a="1"/>
  <c r="R140" i="33" s="1"/>
  <c r="P6" i="33" a="1"/>
  <c r="P6" i="33" s="1"/>
  <c r="P9" i="33" a="1"/>
  <c r="P9" i="33" s="1"/>
  <c r="P12" i="33" a="1"/>
  <c r="P12" i="33" s="1"/>
  <c r="P15" i="33" a="1"/>
  <c r="P15" i="33" s="1"/>
  <c r="AA30" i="33"/>
  <c r="AG30" i="33" s="1"/>
  <c r="AM30" i="33" s="1"/>
  <c r="AR30" i="33" s="1"/>
  <c r="AV30" i="33" s="1"/>
  <c r="AD50" i="33"/>
  <c r="N36" i="33"/>
  <c r="S120" i="33" a="1"/>
  <c r="S120" i="33" s="1"/>
  <c r="S141" i="33" a="1"/>
  <c r="S141" i="33" s="1"/>
  <c r="S121" i="33" a="1"/>
  <c r="S121" i="33" s="1"/>
  <c r="S142" i="33" a="1"/>
  <c r="S142" i="33" s="1"/>
  <c r="S140" i="33" a="1"/>
  <c r="S140" i="33" s="1"/>
  <c r="Q12" i="33" a="1"/>
  <c r="Q12" i="33" s="1"/>
  <c r="Q9" i="33" a="1"/>
  <c r="Q9" i="33" s="1"/>
  <c r="AR35" i="43"/>
  <c r="P12" i="43" a="1"/>
  <c r="P12" i="43" s="1"/>
  <c r="AH35" i="43"/>
  <c r="U15" i="43" a="1"/>
  <c r="U15" i="43" s="1"/>
  <c r="S9" i="43" a="1"/>
  <c r="S9" i="43" s="1"/>
  <c r="T21" i="43" a="1"/>
  <c r="T21" i="43" s="1"/>
  <c r="V22" i="43" a="1"/>
  <c r="V22" i="43" s="1"/>
  <c r="P7" i="43" a="1"/>
  <c r="P7" i="43" s="1"/>
  <c r="R19" i="43" a="1"/>
  <c r="R19" i="43" s="1"/>
  <c r="Q19" i="43" a="1"/>
  <c r="Q19" i="43" s="1"/>
  <c r="S11" i="43" a="1"/>
  <c r="S11" i="43" s="1"/>
  <c r="P9" i="43" a="1"/>
  <c r="P9" i="43" s="1"/>
  <c r="P6" i="43" a="1"/>
  <c r="P6" i="43" s="1"/>
  <c r="S16" i="43" a="1"/>
  <c r="S16" i="43" s="1"/>
  <c r="U13" i="43" a="1"/>
  <c r="U13" i="43" s="1"/>
  <c r="V16" i="43" a="1"/>
  <c r="V16" i="43" s="1"/>
  <c r="R8" i="43" a="1"/>
  <c r="R8" i="43" s="1"/>
  <c r="U10" i="43" a="1"/>
  <c r="U10" i="43" s="1"/>
  <c r="U11" i="43" a="1"/>
  <c r="U11" i="43" s="1"/>
  <c r="P15" i="43" a="1"/>
  <c r="P15" i="43" s="1"/>
  <c r="U9" i="43" a="1"/>
  <c r="U9" i="43" s="1"/>
  <c r="U14" i="43" a="1"/>
  <c r="U14" i="43" s="1"/>
  <c r="AL35" i="43"/>
  <c r="AG35" i="43"/>
  <c r="AN35" i="43"/>
  <c r="P10" i="43" a="1"/>
  <c r="P10" i="43" s="1"/>
  <c r="V10" i="43" a="1"/>
  <c r="V10" i="43" s="1"/>
  <c r="Q13" i="43" a="1"/>
  <c r="Q13" i="43" s="1"/>
  <c r="Q15" i="43" a="1"/>
  <c r="Q15" i="43" s="1"/>
  <c r="S17" i="43" a="1"/>
  <c r="S17" i="43" s="1"/>
  <c r="P18" i="43" a="1"/>
  <c r="P18" i="43" s="1"/>
  <c r="S19" i="43" a="1"/>
  <c r="S19" i="43" s="1"/>
  <c r="V20" i="43" a="1"/>
  <c r="V20" i="43" s="1"/>
  <c r="Q10" i="43" a="1"/>
  <c r="Q10" i="43" s="1"/>
  <c r="T11" i="43" a="1"/>
  <c r="T11" i="43" s="1"/>
  <c r="R13" i="43" a="1"/>
  <c r="R13" i="43" s="1"/>
  <c r="R15" i="43" a="1"/>
  <c r="R15" i="43" s="1"/>
  <c r="T17" i="43" a="1"/>
  <c r="T17" i="43" s="1"/>
  <c r="Q18" i="43" a="1"/>
  <c r="Q18" i="43" s="1"/>
  <c r="T19" i="43" a="1"/>
  <c r="T19" i="43" s="1"/>
  <c r="S22" i="43" a="1"/>
  <c r="S22" i="43" s="1"/>
  <c r="N41" i="43" s="1"/>
  <c r="AJ35" i="43"/>
  <c r="Q6" i="43" a="1"/>
  <c r="Q6" i="43" s="1"/>
  <c r="Q7" i="43" a="1"/>
  <c r="Q7" i="43" s="1"/>
  <c r="P8" i="43" a="1"/>
  <c r="P8" i="43" s="1"/>
  <c r="T9" i="43" a="1"/>
  <c r="T9" i="43" s="1"/>
  <c r="Q12" i="43" a="1"/>
  <c r="Q12" i="43" s="1"/>
  <c r="S14" i="43" a="1"/>
  <c r="S14" i="43" s="1"/>
  <c r="Q16" i="43" a="1"/>
  <c r="Q16" i="43" s="1"/>
  <c r="Q20" i="43" a="1"/>
  <c r="Q20" i="43" s="1"/>
  <c r="AK35" i="43"/>
  <c r="T22" i="43" a="1"/>
  <c r="T22" i="43" s="1"/>
  <c r="U17" i="43" a="1"/>
  <c r="U17" i="43" s="1"/>
  <c r="R18" i="43" a="1"/>
  <c r="R18" i="43" s="1"/>
  <c r="U19" i="43" a="1"/>
  <c r="U19" i="43" s="1"/>
  <c r="R6" i="43" a="1"/>
  <c r="R6" i="43" s="1"/>
  <c r="R7" i="43" a="1"/>
  <c r="R7" i="43" s="1"/>
  <c r="Q8" i="43" a="1"/>
  <c r="Q8" i="43" s="1"/>
  <c r="R20" i="43" a="1"/>
  <c r="R20" i="43" s="1"/>
  <c r="R12" i="43" a="1"/>
  <c r="R12" i="43" s="1"/>
  <c r="T14" i="43" a="1"/>
  <c r="T14" i="43" s="1"/>
  <c r="R16" i="43" a="1"/>
  <c r="R16" i="43" s="1"/>
  <c r="R21" i="43" a="1"/>
  <c r="R21" i="43" s="1"/>
  <c r="U22" i="43" a="1"/>
  <c r="U22" i="43" s="1"/>
  <c r="T23" i="43" a="1"/>
  <c r="T23" i="43" s="1"/>
  <c r="N42" i="43" s="1"/>
  <c r="AP35" i="43"/>
  <c r="P11" i="43" a="1"/>
  <c r="P11" i="43" s="1"/>
  <c r="V11" i="43" a="1"/>
  <c r="V11" i="43" s="1"/>
  <c r="T13" i="43" a="1"/>
  <c r="T13" i="43" s="1"/>
  <c r="W20" i="43" a="1"/>
  <c r="W20" i="43" s="1"/>
  <c r="T15" i="43" a="1"/>
  <c r="T15" i="43" s="1"/>
  <c r="P17" i="43" a="1"/>
  <c r="P17" i="43" s="1"/>
  <c r="V17" i="43" a="1"/>
  <c r="V17" i="43" s="1"/>
  <c r="S18" i="43" a="1"/>
  <c r="S18" i="43" s="1"/>
  <c r="V19" i="43" a="1"/>
  <c r="V19" i="43" s="1"/>
  <c r="S20" i="43" a="1"/>
  <c r="S20" i="43" s="1"/>
  <c r="AF35" i="43"/>
  <c r="AM35" i="43"/>
  <c r="S21" i="43" a="1"/>
  <c r="S21" i="43" s="1"/>
  <c r="U23" i="43" a="1"/>
  <c r="U23" i="43" s="1"/>
  <c r="Q5" i="43" a="1"/>
  <c r="Q5" i="43" s="1"/>
  <c r="T18" i="43" a="1"/>
  <c r="T18" i="43" s="1"/>
  <c r="T20" i="43" a="1"/>
  <c r="T20" i="43" s="1"/>
  <c r="Q9" i="43" a="1"/>
  <c r="Q9" i="43" s="1"/>
  <c r="T12" i="43" a="1"/>
  <c r="T12" i="43" s="1"/>
  <c r="P14" i="43" a="1"/>
  <c r="P14" i="43" s="1"/>
  <c r="V14" i="43" a="1"/>
  <c r="V14" i="43" s="1"/>
  <c r="Q11" i="43" a="1"/>
  <c r="Q11" i="43" s="1"/>
  <c r="V23" i="43" a="1"/>
  <c r="V23" i="43" s="1"/>
  <c r="V21" i="43" a="1"/>
  <c r="V21" i="43" s="1"/>
  <c r="Q17" i="43" a="1"/>
  <c r="Q17" i="43" s="1"/>
  <c r="R11" i="43" a="1"/>
  <c r="R11" i="43" s="1"/>
  <c r="U18" i="43" a="1"/>
  <c r="U18" i="43" s="1"/>
  <c r="P13" i="43" a="1"/>
  <c r="P13" i="43" s="1"/>
  <c r="V13" i="43" a="1"/>
  <c r="V13" i="43" s="1"/>
  <c r="V15" i="43" a="1"/>
  <c r="V15" i="43" s="1"/>
  <c r="R17" i="43" a="1"/>
  <c r="R17" i="43" s="1"/>
  <c r="U20" i="43" a="1"/>
  <c r="U20" i="43" s="1"/>
  <c r="U21" i="43" a="1"/>
  <c r="U21" i="43" s="1"/>
  <c r="U24" i="43" a="1"/>
  <c r="U24" i="43" s="1"/>
  <c r="N43" i="43" s="1"/>
  <c r="V25" i="43" a="1"/>
  <c r="V25" i="43" s="1"/>
  <c r="N44" i="43" s="1"/>
  <c r="T8" i="43" a="1"/>
  <c r="T8" i="43" s="1"/>
  <c r="U16" i="43" a="1"/>
  <c r="U16" i="43" s="1"/>
  <c r="AE35" i="43"/>
  <c r="AI35" i="43"/>
  <c r="AO35" i="43"/>
  <c r="V24" i="43" a="1"/>
  <c r="V24" i="43" s="1"/>
  <c r="AD46" i="33" l="1"/>
  <c r="T27" i="33"/>
  <c r="N50" i="33"/>
  <c r="T33" i="33"/>
  <c r="AD47" i="33"/>
  <c r="T28" i="33"/>
  <c r="AD56" i="33"/>
  <c r="N56" i="33"/>
  <c r="N52" i="33"/>
  <c r="N71" i="33" s="1"/>
  <c r="T71" i="33" s="1"/>
  <c r="Z71" i="33" s="1"/>
  <c r="AE71" i="33" s="1"/>
  <c r="AI71" i="33" s="1"/>
  <c r="N46" i="33"/>
  <c r="N65" i="33" s="1"/>
  <c r="T65" i="33" s="1"/>
  <c r="Z65" i="33" s="1"/>
  <c r="AE65" i="33" s="1"/>
  <c r="AI65" i="33" s="1"/>
  <c r="R126" i="33"/>
  <c r="AT42" i="33" a="1"/>
  <c r="AT42" i="33" s="1"/>
  <c r="V49" i="33"/>
  <c r="AA59" i="33"/>
  <c r="AA53" i="33"/>
  <c r="V50" i="33"/>
  <c r="R54" i="33"/>
  <c r="P145" i="33"/>
  <c r="V59" i="33"/>
  <c r="V57" i="33"/>
  <c r="V48" i="33"/>
  <c r="V60" i="33"/>
  <c r="Y145" i="33"/>
  <c r="V61" i="33"/>
  <c r="Z145" i="33"/>
  <c r="V54" i="33"/>
  <c r="R57" i="33"/>
  <c r="AW31" i="33"/>
  <c r="U145" i="33"/>
  <c r="Y56" i="33"/>
  <c r="AK39" i="33" a="1"/>
  <c r="AK39" i="33" s="1"/>
  <c r="W145" i="33"/>
  <c r="AK33" i="33" a="1"/>
  <c r="AK33" i="33" s="1"/>
  <c r="AP30" i="33" a="1"/>
  <c r="AP30" i="33" s="1"/>
  <c r="N69" i="33"/>
  <c r="T69" i="33" s="1"/>
  <c r="Z69" i="33" s="1"/>
  <c r="AE69" i="33" s="1"/>
  <c r="AI69" i="33" s="1"/>
  <c r="V145" i="33"/>
  <c r="AA145" i="33"/>
  <c r="X145" i="33"/>
  <c r="AB145" i="33"/>
  <c r="N66" i="33"/>
  <c r="T66" i="33" s="1"/>
  <c r="Z66" i="33" s="1"/>
  <c r="AE66" i="33" s="1"/>
  <c r="AI66" i="33" s="1"/>
  <c r="Y60" i="33"/>
  <c r="AA48" i="33"/>
  <c r="V51" i="33"/>
  <c r="AA61" i="33"/>
  <c r="Q145" i="33"/>
  <c r="R33" i="33"/>
  <c r="N68" i="33"/>
  <c r="T68" i="33" s="1"/>
  <c r="Z68" i="33" s="1"/>
  <c r="AE68" i="33" s="1"/>
  <c r="AI68" i="33" s="1"/>
  <c r="AK31" i="33" a="1"/>
  <c r="AK31" i="33" s="1"/>
  <c r="N72" i="33"/>
  <c r="T72" i="33" s="1"/>
  <c r="Z72" i="33" s="1"/>
  <c r="AE72" i="33" s="1"/>
  <c r="AI72" i="33" s="1"/>
  <c r="R52" i="33"/>
  <c r="Y61" i="33"/>
  <c r="V52" i="33"/>
  <c r="R145" i="33"/>
  <c r="AT35" i="33" a="1"/>
  <c r="AT35" i="33" s="1"/>
  <c r="R35" i="33"/>
  <c r="AP35" i="33" a="1"/>
  <c r="AP35" i="33" s="1"/>
  <c r="AK35" i="33" a="1"/>
  <c r="AK35" i="33" s="1"/>
  <c r="AE35" i="33"/>
  <c r="R73" i="33" s="1"/>
  <c r="AW35" i="33"/>
  <c r="R30" i="33"/>
  <c r="AW42" i="33"/>
  <c r="AT39" i="33" a="1"/>
  <c r="AT39" i="33" s="1"/>
  <c r="P22" i="33"/>
  <c r="V22" i="33" s="1"/>
  <c r="Y54" i="33"/>
  <c r="Y53" i="33"/>
  <c r="R56" i="33"/>
  <c r="V53" i="33"/>
  <c r="R22" i="33"/>
  <c r="X22" i="33" s="1"/>
  <c r="S145" i="33"/>
  <c r="AD48" i="33"/>
  <c r="T29" i="33"/>
  <c r="N48" i="33"/>
  <c r="AT30" i="33" a="1"/>
  <c r="AT30" i="33" s="1"/>
  <c r="AP41" i="33" a="1"/>
  <c r="AP41" i="33" s="1"/>
  <c r="AW39" i="33"/>
  <c r="AA55" i="33"/>
  <c r="AB47" i="33"/>
  <c r="AH47" i="33" s="1"/>
  <c r="T145" i="33" a="1"/>
  <c r="T145" i="33" s="1"/>
  <c r="T35" i="33"/>
  <c r="N54" i="33"/>
  <c r="AD54" i="33"/>
  <c r="AK34" i="33" a="1"/>
  <c r="AK34" i="33" s="1"/>
  <c r="AE31" i="33"/>
  <c r="R69" i="33" s="1"/>
  <c r="AK37" i="33" a="1"/>
  <c r="AK37" i="33" s="1"/>
  <c r="AT40" i="33" a="1"/>
  <c r="AT40" i="33" s="1"/>
  <c r="Y57" i="33"/>
  <c r="N79" i="33"/>
  <c r="T79" i="33" s="1"/>
  <c r="Z79" i="33" s="1"/>
  <c r="AE79" i="33" s="1"/>
  <c r="AI79" i="33" s="1"/>
  <c r="AA49" i="33"/>
  <c r="R48" i="33"/>
  <c r="AA56" i="33"/>
  <c r="R58" i="33"/>
  <c r="V55" i="33"/>
  <c r="S22" i="33"/>
  <c r="U56" i="33" s="1"/>
  <c r="AT31" i="33" a="1"/>
  <c r="AT31" i="33" s="1"/>
  <c r="AP40" i="33" a="1"/>
  <c r="AP40" i="33" s="1"/>
  <c r="AW40" i="33"/>
  <c r="AE37" i="33"/>
  <c r="R75" i="33" s="1"/>
  <c r="N75" i="33"/>
  <c r="T75" i="33" s="1"/>
  <c r="Z75" i="33" s="1"/>
  <c r="AE75" i="33" s="1"/>
  <c r="AI75" i="33" s="1"/>
  <c r="AA50" i="33"/>
  <c r="R59" i="33"/>
  <c r="AH59" i="33" s="1" a="1"/>
  <c r="AH59" i="33" s="1"/>
  <c r="V56" i="33"/>
  <c r="AT34" i="33" a="1"/>
  <c r="AT34" i="33" s="1"/>
  <c r="AP31" i="33" a="1"/>
  <c r="AP31" i="33" s="1"/>
  <c r="R39" i="33"/>
  <c r="AD145" i="33"/>
  <c r="AT41" i="33" a="1"/>
  <c r="AT41" i="33" s="1"/>
  <c r="AW41" i="33"/>
  <c r="R37" i="33"/>
  <c r="T36" i="33"/>
  <c r="AD55" i="33"/>
  <c r="N55" i="33"/>
  <c r="AA51" i="33"/>
  <c r="R60" i="33"/>
  <c r="AW38" i="33"/>
  <c r="R38" i="33"/>
  <c r="AT38" i="33" a="1"/>
  <c r="AT38" i="33" s="1"/>
  <c r="AP38" i="33" a="1"/>
  <c r="AP38" i="33" s="1"/>
  <c r="AE38" i="33"/>
  <c r="AK38" i="33" a="1"/>
  <c r="AK38" i="33" s="1"/>
  <c r="AE33" i="33"/>
  <c r="R71" i="33" s="1"/>
  <c r="AP33" i="33" a="1"/>
  <c r="AP33" i="33" s="1"/>
  <c r="R29" i="33"/>
  <c r="AE29" i="33"/>
  <c r="R67" i="33" s="1"/>
  <c r="AK29" i="33" a="1"/>
  <c r="AK29" i="33" s="1"/>
  <c r="AW29" i="33"/>
  <c r="AT29" i="33"/>
  <c r="AP29" i="33" a="1"/>
  <c r="AP29" i="33" s="1"/>
  <c r="AE30" i="33"/>
  <c r="R68" i="33" s="1"/>
  <c r="AE34" i="33"/>
  <c r="R72" i="33" s="1"/>
  <c r="Q22" i="33"/>
  <c r="W22" i="33" s="1"/>
  <c r="AT37" i="33" a="1"/>
  <c r="AT37" i="33" s="1"/>
  <c r="AW37" i="33"/>
  <c r="AT36" i="33" a="1"/>
  <c r="AT36" i="33" s="1"/>
  <c r="AE36" i="33"/>
  <c r="R74" i="33" s="1"/>
  <c r="AK36" i="33" a="1"/>
  <c r="AK36" i="33" s="1"/>
  <c r="R36" i="33"/>
  <c r="AW36" i="33"/>
  <c r="AP36" i="33" a="1"/>
  <c r="AP36" i="33" s="1"/>
  <c r="AW30" i="33"/>
  <c r="R55" i="33"/>
  <c r="Y50" i="33"/>
  <c r="AA52" i="33"/>
  <c r="Y58" i="33"/>
  <c r="Y48" i="33"/>
  <c r="R53" i="33"/>
  <c r="R61" i="33"/>
  <c r="V58" i="33"/>
  <c r="AD57" i="33"/>
  <c r="N57" i="33"/>
  <c r="T38" i="33"/>
  <c r="AK32" i="33" a="1"/>
  <c r="AK32" i="33" s="1"/>
  <c r="AW32" i="33"/>
  <c r="R32" i="33"/>
  <c r="AT32" i="33" a="1"/>
  <c r="AT32" i="33" s="1"/>
  <c r="AE32" i="33"/>
  <c r="R70" i="33" s="1"/>
  <c r="AP32" i="33" a="1"/>
  <c r="AP32" i="33" s="1"/>
  <c r="AT33" i="33" a="1"/>
  <c r="AT33" i="33" s="1"/>
  <c r="AK30" i="33" a="1"/>
  <c r="AK30" i="33" s="1"/>
  <c r="R34" i="33"/>
  <c r="AW34" i="33"/>
  <c r="AK40" i="33" a="1"/>
  <c r="AK40" i="33" s="1"/>
  <c r="R40" i="33"/>
  <c r="X40" i="33" s="1"/>
  <c r="AP34" i="33" a="1"/>
  <c r="AP34" i="33" s="1"/>
  <c r="AC145" i="33"/>
  <c r="AA57" i="33"/>
  <c r="Y52" i="33"/>
  <c r="R49" i="33"/>
  <c r="R50" i="33"/>
  <c r="AA54" i="33"/>
  <c r="T32" i="33"/>
  <c r="N51" i="33"/>
  <c r="AD51" i="33"/>
  <c r="R31" i="33"/>
  <c r="O22" i="33"/>
  <c r="U22" i="33" s="1"/>
  <c r="AP37" i="33" a="1"/>
  <c r="AP37" i="33" s="1"/>
  <c r="AP39" i="33" a="1"/>
  <c r="AP39" i="33" s="1"/>
  <c r="AK41" i="33"/>
  <c r="Y49" i="33"/>
  <c r="Y59" i="33"/>
  <c r="AA60" i="33"/>
  <c r="O126" i="33"/>
  <c r="Q126" i="33"/>
  <c r="P126" i="33"/>
  <c r="Y55" i="33"/>
  <c r="R51" i="33"/>
  <c r="Y51" i="33"/>
  <c r="AA58" i="33"/>
  <c r="AW33" i="33"/>
  <c r="R41" i="33"/>
  <c r="X41" i="33" s="1"/>
  <c r="U35" i="43"/>
  <c r="W22" i="43" a="1"/>
  <c r="W22" i="43" s="1"/>
  <c r="T35" i="43"/>
  <c r="P35" i="43"/>
  <c r="W23" i="43" a="1"/>
  <c r="W23" i="43" s="1"/>
  <c r="W26" i="43" a="1"/>
  <c r="W26" i="43" s="1"/>
  <c r="N45" i="43" s="1"/>
  <c r="V35" i="43"/>
  <c r="Q35" i="43"/>
  <c r="S35" i="43"/>
  <c r="X27" i="43" a="1"/>
  <c r="X27" i="43" s="1"/>
  <c r="N46" i="43" s="1"/>
  <c r="X24" i="43" a="1"/>
  <c r="X24" i="43" s="1"/>
  <c r="W14" i="43" a="1"/>
  <c r="W14" i="43" s="1"/>
  <c r="W17" i="43" a="1"/>
  <c r="W17" i="43" s="1"/>
  <c r="W11" i="43" a="1"/>
  <c r="W11" i="43" s="1"/>
  <c r="X22" i="43" a="1"/>
  <c r="X22" i="43" s="1"/>
  <c r="W24" i="43" a="1"/>
  <c r="W24" i="43" s="1"/>
  <c r="W18" i="43" a="1"/>
  <c r="W18" i="43" s="1"/>
  <c r="W16" i="43" a="1"/>
  <c r="W16" i="43" s="1"/>
  <c r="W12" i="43" a="1"/>
  <c r="W12" i="43" s="1"/>
  <c r="W21" i="43" a="1"/>
  <c r="W21" i="43" s="1"/>
  <c r="W15" i="43" a="1"/>
  <c r="W15" i="43" s="1"/>
  <c r="W13" i="43" a="1"/>
  <c r="W13" i="43" s="1"/>
  <c r="R35" i="43"/>
  <c r="W19" i="43" a="1"/>
  <c r="W19" i="43" s="1"/>
  <c r="W25" i="43" a="1"/>
  <c r="W25" i="43" s="1"/>
  <c r="Y22" i="33" l="1"/>
  <c r="AH60" i="33" a="1"/>
  <c r="AH60" i="33" s="1"/>
  <c r="AH61" i="33" a="1"/>
  <c r="AH61" i="33" s="1"/>
  <c r="X33" i="33"/>
  <c r="X39" i="33"/>
  <c r="X38" i="33"/>
  <c r="X35" i="33"/>
  <c r="X31" i="33"/>
  <c r="X36" i="33"/>
  <c r="X34" i="33"/>
  <c r="X29" i="33"/>
  <c r="X32" i="33"/>
  <c r="X37" i="33"/>
  <c r="X30" i="33"/>
  <c r="AH58" i="33" a="1"/>
  <c r="AH58" i="33" s="1"/>
  <c r="AH57" i="33" a="1"/>
  <c r="AH57" i="33" s="1"/>
  <c r="Q57" i="33"/>
  <c r="AN39" i="33"/>
  <c r="AO34" i="33"/>
  <c r="U53" i="33"/>
  <c r="AJ36" i="33"/>
  <c r="P40" i="33"/>
  <c r="V40" i="33" s="1"/>
  <c r="X51" i="33"/>
  <c r="AJ37" i="33"/>
  <c r="AS41" i="33"/>
  <c r="AO36" i="33"/>
  <c r="Q31" i="33"/>
  <c r="AO38" i="33"/>
  <c r="Q60" i="33"/>
  <c r="AS32" i="33"/>
  <c r="Q36" i="33"/>
  <c r="Q48" i="33"/>
  <c r="X58" i="33"/>
  <c r="X59" i="33"/>
  <c r="AC37" i="33"/>
  <c r="P75" i="33" s="1"/>
  <c r="AG75" i="33"/>
  <c r="AJ72" i="33"/>
  <c r="AC68" i="33"/>
  <c r="AC72" i="33"/>
  <c r="AS33" i="33"/>
  <c r="AJ68" i="33"/>
  <c r="Q37" i="33"/>
  <c r="U51" i="33"/>
  <c r="AJ38" i="33"/>
  <c r="X60" i="33"/>
  <c r="AS36" i="33"/>
  <c r="AO37" i="33"/>
  <c r="AB75" i="33" s="1"/>
  <c r="AS29" i="33"/>
  <c r="Q34" i="33"/>
  <c r="X52" i="33"/>
  <c r="X61" i="33"/>
  <c r="AO39" i="33"/>
  <c r="AO30" i="33"/>
  <c r="P56" i="33"/>
  <c r="AS38" i="33"/>
  <c r="AO32" i="33"/>
  <c r="AS37" i="33"/>
  <c r="AJ29" i="33"/>
  <c r="Q38" i="33"/>
  <c r="AD30" i="33"/>
  <c r="Q68" i="33" s="1"/>
  <c r="P60" i="33"/>
  <c r="P31" i="33"/>
  <c r="P33" i="33"/>
  <c r="AC32" i="33"/>
  <c r="P70" i="33" s="1"/>
  <c r="AI29" i="33"/>
  <c r="AN34" i="33"/>
  <c r="AN29" i="33"/>
  <c r="W47" i="33"/>
  <c r="AC73" i="33"/>
  <c r="AG73" i="33"/>
  <c r="P32" i="33"/>
  <c r="AC36" i="33"/>
  <c r="P74" i="33" s="1"/>
  <c r="P61" i="33"/>
  <c r="AI32" i="33"/>
  <c r="O35" i="33"/>
  <c r="AI37" i="33"/>
  <c r="X74" i="33"/>
  <c r="AI33" i="33"/>
  <c r="P36" i="33"/>
  <c r="AN30" i="33"/>
  <c r="O55" i="33"/>
  <c r="AE55" i="33" s="1"/>
  <c r="AI38" i="33"/>
  <c r="P29" i="33"/>
  <c r="AC67" i="33"/>
  <c r="P30" i="33"/>
  <c r="AC70" i="33"/>
  <c r="P57" i="33"/>
  <c r="P59" i="33"/>
  <c r="AF59" i="33" s="1" a="1"/>
  <c r="AF59" i="33" s="1"/>
  <c r="AN37" i="33"/>
  <c r="AH36" i="33"/>
  <c r="AC29" i="33"/>
  <c r="P67" i="33" s="1"/>
  <c r="P54" i="33"/>
  <c r="AJ70" i="33"/>
  <c r="X67" i="33"/>
  <c r="T54" i="33"/>
  <c r="AJ71" i="33"/>
  <c r="AJ67" i="33"/>
  <c r="AC69" i="33"/>
  <c r="AH54" i="33" a="1"/>
  <c r="AH54" i="33" s="1"/>
  <c r="AJ75" i="33"/>
  <c r="AJ74" i="33"/>
  <c r="AG69" i="33"/>
  <c r="AG71" i="33"/>
  <c r="AH55" i="33" a="1"/>
  <c r="AH55" i="33" s="1"/>
  <c r="AG68" i="33"/>
  <c r="X71" i="33"/>
  <c r="AG74" i="33"/>
  <c r="AG67" i="33"/>
  <c r="AH48" i="33" a="1"/>
  <c r="AH48" i="33" s="1"/>
  <c r="AG70" i="33"/>
  <c r="AC74" i="33"/>
  <c r="AH51" i="33" a="1"/>
  <c r="AH51" i="33" s="1"/>
  <c r="AH53" i="33" a="1"/>
  <c r="AH53" i="33" s="1"/>
  <c r="AJ73" i="33"/>
  <c r="X73" i="33"/>
  <c r="AJ69" i="33"/>
  <c r="AC75" i="33"/>
  <c r="AH50" i="33" a="1"/>
  <c r="AH50" i="33" s="1"/>
  <c r="AG72" i="33"/>
  <c r="O23" i="33"/>
  <c r="V146" i="33" s="1"/>
  <c r="M45" i="43" s="1"/>
  <c r="AH49" i="33" a="1"/>
  <c r="AH49" i="33" s="1"/>
  <c r="Q58" i="33"/>
  <c r="AJ31" i="33"/>
  <c r="AD32" i="33"/>
  <c r="Q70" i="33" s="1"/>
  <c r="AN32" i="33"/>
  <c r="AI36" i="33"/>
  <c r="AD29" i="33"/>
  <c r="Q67" i="33" s="1"/>
  <c r="T52" i="33"/>
  <c r="AS39" i="33"/>
  <c r="X49" i="33"/>
  <c r="AS31" i="33"/>
  <c r="U49" i="33"/>
  <c r="AC38" i="33"/>
  <c r="AH38" i="33"/>
  <c r="Q52" i="33"/>
  <c r="AN33" i="33"/>
  <c r="Q55" i="33"/>
  <c r="AI35" i="33"/>
  <c r="X53" i="33"/>
  <c r="Q33" i="33"/>
  <c r="AI30" i="33"/>
  <c r="Q35" i="33"/>
  <c r="AN38" i="33"/>
  <c r="P38" i="33"/>
  <c r="Q30" i="33"/>
  <c r="X57" i="33"/>
  <c r="X56" i="33"/>
  <c r="AO35" i="33"/>
  <c r="AS42" i="33"/>
  <c r="Q32" i="33"/>
  <c r="AN36" i="33"/>
  <c r="AD36" i="33"/>
  <c r="Q74" i="33" s="1"/>
  <c r="AD38" i="33"/>
  <c r="AO33" i="33"/>
  <c r="Q41" i="33"/>
  <c r="W41" i="33" s="1"/>
  <c r="AJ33" i="33"/>
  <c r="Q39" i="33"/>
  <c r="AO41" i="33"/>
  <c r="P41" i="33"/>
  <c r="V41" i="33" s="1"/>
  <c r="AJ30" i="33"/>
  <c r="Q29" i="33"/>
  <c r="AS40" i="33"/>
  <c r="Q49" i="33"/>
  <c r="AN41" i="33"/>
  <c r="O49" i="33"/>
  <c r="AE49" i="33" s="1"/>
  <c r="P48" i="33"/>
  <c r="AC34" i="33"/>
  <c r="P72" i="33" s="1"/>
  <c r="AC30" i="33"/>
  <c r="P68" i="33" s="1"/>
  <c r="AJ32" i="33"/>
  <c r="AB36" i="33"/>
  <c r="O74" i="33" s="1"/>
  <c r="AO29" i="33"/>
  <c r="AB38" i="33"/>
  <c r="U50" i="33"/>
  <c r="AD34" i="33"/>
  <c r="Q72" i="33" s="1"/>
  <c r="Q59" i="33"/>
  <c r="AG59" i="33" s="1"/>
  <c r="AH56" i="33" a="1"/>
  <c r="AH56" i="33" s="1"/>
  <c r="P51" i="33"/>
  <c r="AE145" i="33"/>
  <c r="N70" i="33"/>
  <c r="T70" i="33" s="1"/>
  <c r="Z70" i="33" s="1"/>
  <c r="AE70" i="33" s="1"/>
  <c r="AI70" i="33" s="1"/>
  <c r="O38" i="33"/>
  <c r="N74" i="33"/>
  <c r="T74" i="33" s="1"/>
  <c r="Z74" i="33" s="1"/>
  <c r="AE74" i="33" s="1"/>
  <c r="AI74" i="33" s="1"/>
  <c r="X72" i="33"/>
  <c r="Q53" i="33"/>
  <c r="AN35" i="33"/>
  <c r="P49" i="33"/>
  <c r="P39" i="33"/>
  <c r="U57" i="33"/>
  <c r="X70" i="33"/>
  <c r="AC35" i="33"/>
  <c r="P73" i="33" s="1"/>
  <c r="Q50" i="33"/>
  <c r="X69" i="33"/>
  <c r="AJ34" i="33"/>
  <c r="AB32" i="33"/>
  <c r="O70" i="33" s="1"/>
  <c r="AB29" i="33"/>
  <c r="O67" i="33" s="1"/>
  <c r="Q40" i="33"/>
  <c r="W40" i="33" s="1"/>
  <c r="AC41" i="33"/>
  <c r="AC40" i="33"/>
  <c r="AC39" i="33"/>
  <c r="T57" i="33"/>
  <c r="T61" i="33"/>
  <c r="AN40" i="33"/>
  <c r="T59" i="33"/>
  <c r="AI41" i="33"/>
  <c r="AI39" i="33"/>
  <c r="T60" i="33"/>
  <c r="T50" i="33"/>
  <c r="T58" i="33"/>
  <c r="P58" i="33"/>
  <c r="T56" i="33"/>
  <c r="T53" i="33"/>
  <c r="T55" i="33"/>
  <c r="AI40" i="33"/>
  <c r="T48" i="33"/>
  <c r="P37" i="33"/>
  <c r="AD35" i="33"/>
  <c r="Q73" i="33" s="1"/>
  <c r="AN31" i="33"/>
  <c r="Q56" i="33"/>
  <c r="O32" i="33"/>
  <c r="AD41" i="33"/>
  <c r="AD40" i="33"/>
  <c r="AD39" i="33"/>
  <c r="U55" i="33"/>
  <c r="U54" i="33"/>
  <c r="AO40" i="33"/>
  <c r="U48" i="33"/>
  <c r="AJ41" i="33"/>
  <c r="U61" i="33"/>
  <c r="U59" i="33"/>
  <c r="U58" i="33"/>
  <c r="Z47" i="33"/>
  <c r="AG47" i="33" s="1"/>
  <c r="AJ40" i="33"/>
  <c r="U60" i="33"/>
  <c r="AJ39" i="33"/>
  <c r="N73" i="33"/>
  <c r="T73" i="33" s="1"/>
  <c r="Z73" i="33" s="1"/>
  <c r="AE73" i="33" s="1"/>
  <c r="AI73" i="33" s="1"/>
  <c r="X55" i="33"/>
  <c r="AD37" i="33"/>
  <c r="Q75" i="33" s="1"/>
  <c r="AS35" i="33"/>
  <c r="Q51" i="33"/>
  <c r="AS30" i="33"/>
  <c r="T51" i="33"/>
  <c r="N67" i="33"/>
  <c r="T67" i="33" s="1"/>
  <c r="Z67" i="33" s="1"/>
  <c r="AE67" i="33" s="1"/>
  <c r="AI67" i="33" s="1"/>
  <c r="O36" i="33"/>
  <c r="O33" i="33"/>
  <c r="AO31" i="33"/>
  <c r="AB35" i="33"/>
  <c r="O73" i="33" s="1"/>
  <c r="AH35" i="33"/>
  <c r="Q61" i="33"/>
  <c r="P34" i="33"/>
  <c r="O57" i="33"/>
  <c r="AE57" i="33" s="1"/>
  <c r="AD33" i="33"/>
  <c r="Q71" i="33" s="1"/>
  <c r="AI34" i="33"/>
  <c r="T126" i="33"/>
  <c r="N76" i="33"/>
  <c r="T76" i="33" s="1"/>
  <c r="Z76" i="33" s="1"/>
  <c r="AE76" i="33" s="1"/>
  <c r="AI76" i="33" s="1"/>
  <c r="U52" i="33"/>
  <c r="P55" i="33"/>
  <c r="Q54" i="33"/>
  <c r="O29" i="33"/>
  <c r="AC71" i="33"/>
  <c r="AB30" i="33"/>
  <c r="O68" i="33" s="1"/>
  <c r="AC33" i="33"/>
  <c r="P71" i="33" s="1"/>
  <c r="AS34" i="33"/>
  <c r="P50" i="33"/>
  <c r="AJ35" i="33"/>
  <c r="AH52" i="33" a="1"/>
  <c r="AH52" i="33" s="1"/>
  <c r="X50" i="33"/>
  <c r="AI31" i="33"/>
  <c r="AB39" i="33"/>
  <c r="AB41" i="33"/>
  <c r="AB40" i="33"/>
  <c r="O39" i="33"/>
  <c r="O41" i="33"/>
  <c r="U41" i="33" s="1"/>
  <c r="O60" i="33"/>
  <c r="AE60" i="33" s="1"/>
  <c r="O59" i="33"/>
  <c r="AE59" i="33" s="1"/>
  <c r="O61" i="33"/>
  <c r="AE61" i="33" s="1"/>
  <c r="O54" i="33"/>
  <c r="AE54" i="33" s="1"/>
  <c r="O48" i="33"/>
  <c r="AE48" i="33" s="1"/>
  <c r="AH37" i="33"/>
  <c r="AH41" i="33"/>
  <c r="AH40" i="33"/>
  <c r="O34" i="33"/>
  <c r="S47" i="33"/>
  <c r="O37" i="33"/>
  <c r="AH31" i="33"/>
  <c r="AH39" i="33"/>
  <c r="O40" i="33"/>
  <c r="U40" i="33" s="1"/>
  <c r="O51" i="33"/>
  <c r="AE51" i="33" s="1"/>
  <c r="AB37" i="33"/>
  <c r="O75" i="33" s="1"/>
  <c r="AH33" i="33"/>
  <c r="AH30" i="33"/>
  <c r="O58" i="33"/>
  <c r="AE58" i="33" s="1"/>
  <c r="O56" i="33"/>
  <c r="AE56" i="33" s="1"/>
  <c r="O53" i="33"/>
  <c r="AE53" i="33" s="1"/>
  <c r="O31" i="33"/>
  <c r="AB31" i="33"/>
  <c r="O69" i="33" s="1"/>
  <c r="AH34" i="33"/>
  <c r="AB34" i="33"/>
  <c r="O72" i="33" s="1"/>
  <c r="O50" i="33"/>
  <c r="AE50" i="33" s="1"/>
  <c r="AH29" i="33"/>
  <c r="O52" i="33"/>
  <c r="AE52" i="33" s="1"/>
  <c r="X68" i="33"/>
  <c r="AB33" i="33"/>
  <c r="O71" i="33" s="1"/>
  <c r="AH32" i="33"/>
  <c r="P53" i="33"/>
  <c r="AC31" i="33"/>
  <c r="P69" i="33" s="1"/>
  <c r="P52" i="33"/>
  <c r="X75" i="33"/>
  <c r="O30" i="33"/>
  <c r="X48" i="33"/>
  <c r="AD31" i="33"/>
  <c r="Q69" i="33" s="1"/>
  <c r="P35" i="33"/>
  <c r="X54" i="33"/>
  <c r="T49" i="33"/>
  <c r="X21" i="43" a="1"/>
  <c r="X21" i="43" s="1"/>
  <c r="X25" i="43" a="1"/>
  <c r="X25" i="43" s="1"/>
  <c r="X26" i="43" a="1"/>
  <c r="X26" i="43" s="1"/>
  <c r="X19" i="43" a="1"/>
  <c r="X19" i="43" s="1"/>
  <c r="X17" i="43" a="1"/>
  <c r="X17" i="43" s="1"/>
  <c r="Y26" i="43" a="1"/>
  <c r="Y26" i="43" s="1"/>
  <c r="X14" i="43" a="1"/>
  <c r="X14" i="43" s="1"/>
  <c r="X16" i="43" a="1"/>
  <c r="X16" i="43" s="1"/>
  <c r="X12" i="43" a="1"/>
  <c r="X12" i="43" s="1"/>
  <c r="X18" i="43" a="1"/>
  <c r="X18" i="43" s="1"/>
  <c r="X15" i="43" a="1"/>
  <c r="X15" i="43" s="1"/>
  <c r="X13" i="43" a="1"/>
  <c r="X13" i="43" s="1"/>
  <c r="X20" i="43" a="1"/>
  <c r="X20" i="43" s="1"/>
  <c r="W35" i="43"/>
  <c r="X23" i="43" a="1"/>
  <c r="X23" i="43" s="1"/>
  <c r="W13" i="33" l="1"/>
  <c r="AF61" i="33" a="1"/>
  <c r="AF61" i="33" s="1"/>
  <c r="AG61" i="33"/>
  <c r="AF60" i="33" a="1"/>
  <c r="AF60" i="33" s="1"/>
  <c r="AG60" i="33"/>
  <c r="W10" i="33"/>
  <c r="W9" i="33"/>
  <c r="W7" i="33"/>
  <c r="W14" i="33"/>
  <c r="W8" i="33"/>
  <c r="W6" i="33"/>
  <c r="W11" i="33"/>
  <c r="Z13" i="33"/>
  <c r="W12" i="33"/>
  <c r="V31" i="33"/>
  <c r="X8" i="33"/>
  <c r="Z7" i="33"/>
  <c r="Z8" i="33"/>
  <c r="W39" i="33"/>
  <c r="Y16" i="33"/>
  <c r="W30" i="33"/>
  <c r="Y7" i="33"/>
  <c r="V30" i="33"/>
  <c r="X7" i="33"/>
  <c r="W34" i="33"/>
  <c r="Y11" i="33"/>
  <c r="U38" i="33"/>
  <c r="W15" i="33"/>
  <c r="V38" i="33"/>
  <c r="X15" i="33"/>
  <c r="Z14" i="33"/>
  <c r="Z12" i="33"/>
  <c r="V29" i="33"/>
  <c r="X6" i="33"/>
  <c r="V32" i="33"/>
  <c r="X9" i="33"/>
  <c r="W38" i="33"/>
  <c r="Y15" i="33"/>
  <c r="W35" i="33"/>
  <c r="Y12" i="33"/>
  <c r="Z9" i="33"/>
  <c r="Z15" i="33"/>
  <c r="V33" i="33"/>
  <c r="X10" i="33"/>
  <c r="V35" i="33"/>
  <c r="X12" i="33"/>
  <c r="V37" i="33"/>
  <c r="X14" i="33"/>
  <c r="V34" i="33"/>
  <c r="X11" i="33"/>
  <c r="W33" i="33"/>
  <c r="Y10" i="33"/>
  <c r="Z6" i="33"/>
  <c r="Z16" i="33"/>
  <c r="W31" i="33"/>
  <c r="Y8" i="33"/>
  <c r="V36" i="33"/>
  <c r="X13" i="33"/>
  <c r="W36" i="33"/>
  <c r="Y13" i="33"/>
  <c r="U39" i="33"/>
  <c r="W16" i="33"/>
  <c r="V39" i="33"/>
  <c r="X16" i="33"/>
  <c r="W32" i="33"/>
  <c r="Y9" i="33"/>
  <c r="W37" i="33"/>
  <c r="Y14" i="33"/>
  <c r="Z11" i="33"/>
  <c r="Z10" i="33"/>
  <c r="W29" i="33"/>
  <c r="Y6" i="33"/>
  <c r="U32" i="33"/>
  <c r="S32" i="33"/>
  <c r="U36" i="33"/>
  <c r="S36" i="33"/>
  <c r="U30" i="33"/>
  <c r="S30" i="33"/>
  <c r="U37" i="33"/>
  <c r="S37" i="33"/>
  <c r="U31" i="33"/>
  <c r="S31" i="33"/>
  <c r="U29" i="33"/>
  <c r="S29" i="33"/>
  <c r="U34" i="33"/>
  <c r="S34" i="33"/>
  <c r="U33" i="33"/>
  <c r="S33" i="33"/>
  <c r="U35" i="33"/>
  <c r="S35" i="33"/>
  <c r="AF72" i="33"/>
  <c r="AF58" i="33" a="1"/>
  <c r="AF58" i="33" s="1"/>
  <c r="AG58" i="33"/>
  <c r="AG56" i="33"/>
  <c r="AF74" i="33"/>
  <c r="AF73" i="33"/>
  <c r="AF75" i="33"/>
  <c r="AG53" i="33"/>
  <c r="AB72" i="33"/>
  <c r="W74" i="33"/>
  <c r="AF57" i="33" a="1"/>
  <c r="AF57" i="33" s="1"/>
  <c r="AG57" i="33"/>
  <c r="AB74" i="33"/>
  <c r="AF70" i="33"/>
  <c r="V67" i="33"/>
  <c r="W67" i="33"/>
  <c r="AB70" i="33"/>
  <c r="AF48" i="33" a="1"/>
  <c r="AF48" i="33" s="1"/>
  <c r="V75" i="33"/>
  <c r="AF71" i="33"/>
  <c r="U68" i="33"/>
  <c r="AA72" i="33"/>
  <c r="AF56" i="33" a="1"/>
  <c r="AF56" i="33" s="1"/>
  <c r="AG51" i="33"/>
  <c r="AF67" i="33"/>
  <c r="R127" i="33"/>
  <c r="R128" i="33" s="1"/>
  <c r="AB68" i="33"/>
  <c r="Z146" i="33"/>
  <c r="M49" i="43" s="1"/>
  <c r="AF47" i="33" a="1"/>
  <c r="AF47" i="33" s="1"/>
  <c r="AG52" i="33"/>
  <c r="X146" i="33"/>
  <c r="M47" i="43" s="1"/>
  <c r="O127" i="33"/>
  <c r="O128" i="33" s="1"/>
  <c r="R146" i="33"/>
  <c r="T146" i="33"/>
  <c r="AA146" i="33"/>
  <c r="M50" i="43" s="1"/>
  <c r="AD146" i="33"/>
  <c r="M53" i="43" s="1"/>
  <c r="S127" i="33"/>
  <c r="S128" i="33" s="1"/>
  <c r="AF54" i="33" a="1"/>
  <c r="AF54" i="33" s="1"/>
  <c r="Q146" i="33"/>
  <c r="Y146" i="33"/>
  <c r="M48" i="43" s="1"/>
  <c r="W71" i="33"/>
  <c r="S146" i="33"/>
  <c r="P127" i="33"/>
  <c r="P128" i="33" s="1"/>
  <c r="AB146" i="33"/>
  <c r="M51" i="43" s="1"/>
  <c r="P146" i="33"/>
  <c r="AA70" i="33"/>
  <c r="Q127" i="33"/>
  <c r="AF53" i="33" a="1"/>
  <c r="AF53" i="33" s="1"/>
  <c r="AA75" i="33"/>
  <c r="U74" i="33"/>
  <c r="AG55" i="33"/>
  <c r="AA71" i="33"/>
  <c r="AA68" i="33"/>
  <c r="AF52" i="33" a="1"/>
  <c r="AF52" i="33" s="1"/>
  <c r="AB73" i="33"/>
  <c r="V73" i="33"/>
  <c r="AA73" i="33"/>
  <c r="AG49" i="33"/>
  <c r="U70" i="33"/>
  <c r="AF68" i="33"/>
  <c r="AA74" i="33"/>
  <c r="AB69" i="33"/>
  <c r="W146" i="33"/>
  <c r="M46" i="43" s="1"/>
  <c r="U146" i="33"/>
  <c r="AG54" i="33"/>
  <c r="AF69" i="33"/>
  <c r="AF55" i="33" a="1"/>
  <c r="AF55" i="33" s="1"/>
  <c r="U72" i="33"/>
  <c r="W73" i="33"/>
  <c r="AG50" i="33"/>
  <c r="AF49" i="33" a="1"/>
  <c r="AF49" i="33" s="1"/>
  <c r="W68" i="33"/>
  <c r="AC146" i="33"/>
  <c r="M52" i="43" s="1"/>
  <c r="V72" i="33"/>
  <c r="AF51" i="33" a="1"/>
  <c r="AF51" i="33" s="1"/>
  <c r="U71" i="33"/>
  <c r="AB67" i="33"/>
  <c r="AA67" i="33"/>
  <c r="AG48" i="33"/>
  <c r="V70" i="33"/>
  <c r="AB71" i="33"/>
  <c r="W70" i="33"/>
  <c r="V71" i="33"/>
  <c r="U75" i="33"/>
  <c r="AA69" i="33"/>
  <c r="U67" i="33"/>
  <c r="W72" i="33"/>
  <c r="Y40" i="33"/>
  <c r="V69" i="33"/>
  <c r="V74" i="33"/>
  <c r="W75" i="33"/>
  <c r="U69" i="33"/>
  <c r="Y41" i="33"/>
  <c r="U73" i="33"/>
  <c r="W69" i="33"/>
  <c r="AE47" i="33" a="1"/>
  <c r="AE47" i="33" s="1"/>
  <c r="AF50" i="33" a="1"/>
  <c r="AF50" i="33" s="1"/>
  <c r="V68" i="33"/>
  <c r="Y27" i="43" a="1"/>
  <c r="Y27" i="43" s="1"/>
  <c r="Y20" i="43" a="1"/>
  <c r="Y20" i="43" s="1"/>
  <c r="Y24" i="43" a="1"/>
  <c r="Y24" i="43" s="1"/>
  <c r="X35" i="43"/>
  <c r="Y21" i="43" a="1"/>
  <c r="Y21" i="43" s="1"/>
  <c r="Y28" i="43" a="1"/>
  <c r="Y28" i="43" s="1"/>
  <c r="N47" i="43" s="1"/>
  <c r="Y16" i="43" a="1"/>
  <c r="Y16" i="43" s="1"/>
  <c r="Y18" i="43" a="1"/>
  <c r="Y18" i="43" s="1"/>
  <c r="Y15" i="43" a="1"/>
  <c r="Y15" i="43" s="1"/>
  <c r="Y13" i="43" a="1"/>
  <c r="Y13" i="43" s="1"/>
  <c r="Z19" i="43" a="1"/>
  <c r="Z19" i="43" s="1"/>
  <c r="Y14" i="43" a="1"/>
  <c r="Y14" i="43" s="1"/>
  <c r="Y17" i="43" a="1"/>
  <c r="Y17" i="43" s="1"/>
  <c r="Y19" i="43" a="1"/>
  <c r="Y19" i="43" s="1"/>
  <c r="Y22" i="43" a="1"/>
  <c r="Y22" i="43" s="1"/>
  <c r="Y25" i="43" a="1"/>
  <c r="Y25" i="43" s="1"/>
  <c r="Y23" i="43" a="1"/>
  <c r="Y23" i="43" s="1"/>
  <c r="Y29" i="33" l="1"/>
  <c r="Y36" i="33"/>
  <c r="Y31" i="33"/>
  <c r="Y35" i="33"/>
  <c r="Y32" i="33"/>
  <c r="Y39" i="33"/>
  <c r="Y38" i="33"/>
  <c r="Y34" i="33"/>
  <c r="Y37" i="33"/>
  <c r="Y30" i="33"/>
  <c r="Y33" i="33"/>
  <c r="AI58" i="33"/>
  <c r="AI53" i="33"/>
  <c r="AI56" i="33"/>
  <c r="O133" i="33"/>
  <c r="O134" i="33" s="1"/>
  <c r="P133" i="33"/>
  <c r="P134" i="33" s="1"/>
  <c r="AI57" i="33"/>
  <c r="T147" i="33"/>
  <c r="Y155" i="33"/>
  <c r="X155" i="33"/>
  <c r="W155" i="33"/>
  <c r="V155" i="33"/>
  <c r="U155" i="33"/>
  <c r="T155" i="33"/>
  <c r="S147" i="33"/>
  <c r="M42" i="43" s="1"/>
  <c r="W154" i="33"/>
  <c r="U154" i="33"/>
  <c r="V154" i="33"/>
  <c r="T154" i="33"/>
  <c r="S154" i="33"/>
  <c r="R147" i="33"/>
  <c r="M41" i="43" s="1"/>
  <c r="U153" i="33"/>
  <c r="T153" i="33"/>
  <c r="S153" i="33"/>
  <c r="R153" i="33"/>
  <c r="Q151" i="33"/>
  <c r="P151" i="33"/>
  <c r="O157" i="33" s="1"/>
  <c r="Q152" i="33"/>
  <c r="S152" i="33"/>
  <c r="R152" i="33"/>
  <c r="Q128" i="33"/>
  <c r="T128" i="33" s="1"/>
  <c r="Q133" i="33"/>
  <c r="Q134" i="33" s="1"/>
  <c r="R133" i="33"/>
  <c r="U133" i="33" s="1"/>
  <c r="AI48" i="33"/>
  <c r="AI51" i="33"/>
  <c r="AI52" i="33"/>
  <c r="O163" i="33"/>
  <c r="T127" i="33"/>
  <c r="AI50" i="33"/>
  <c r="AE146" i="33"/>
  <c r="AI49" i="33"/>
  <c r="AI47" i="33"/>
  <c r="AI54" i="33"/>
  <c r="AI55" i="33"/>
  <c r="Z24" i="43" a="1"/>
  <c r="Z24" i="43" s="1"/>
  <c r="Z27" i="43" a="1"/>
  <c r="Z27" i="43" s="1"/>
  <c r="Z20" i="43" a="1"/>
  <c r="Z20" i="43" s="1"/>
  <c r="Z26" i="43" a="1"/>
  <c r="Z26" i="43" s="1"/>
  <c r="Z28" i="43" a="1"/>
  <c r="Z28" i="43" s="1"/>
  <c r="Z29" i="43" a="1"/>
  <c r="Z29" i="43" s="1"/>
  <c r="N48" i="43" s="1"/>
  <c r="Z21" i="43" a="1"/>
  <c r="Z21" i="43" s="1"/>
  <c r="Z22" i="43" a="1"/>
  <c r="Z22" i="43" s="1"/>
  <c r="Z25" i="43" a="1"/>
  <c r="Z25" i="43" s="1"/>
  <c r="AA19" i="43" a="1"/>
  <c r="AA19" i="43" s="1"/>
  <c r="Z16" i="43" a="1"/>
  <c r="Z16" i="43" s="1"/>
  <c r="Z18" i="43" a="1"/>
  <c r="Z18" i="43" s="1"/>
  <c r="Z15" i="43" a="1"/>
  <c r="Z15" i="43" s="1"/>
  <c r="Z14" i="43" a="1"/>
  <c r="Z14" i="43" s="1"/>
  <c r="Z17" i="43" a="1"/>
  <c r="Z17" i="43" s="1"/>
  <c r="Y35" i="43"/>
  <c r="AA20" i="43" a="1"/>
  <c r="AA20" i="43" s="1"/>
  <c r="AA24" i="43" a="1"/>
  <c r="AA24" i="43" s="1"/>
  <c r="AA25" i="43" a="1"/>
  <c r="AA25" i="43" s="1"/>
  <c r="AA23" i="43" a="1"/>
  <c r="AA23" i="43" s="1"/>
  <c r="AA22" i="43" a="1"/>
  <c r="AA22" i="43" s="1"/>
  <c r="AA26" i="43" a="1"/>
  <c r="AA26" i="43" s="1"/>
  <c r="Z23" i="43" a="1"/>
  <c r="Z23" i="43" s="1"/>
  <c r="R134" i="33" l="1"/>
  <c r="O162" i="33" s="1"/>
  <c r="M43" i="43"/>
  <c r="P157" i="33"/>
  <c r="S157" i="33"/>
  <c r="Q157" i="33"/>
  <c r="R157" i="33"/>
  <c r="B16" i="30"/>
  <c r="C16" i="30" s="1"/>
  <c r="B20" i="30"/>
  <c r="S133" i="33"/>
  <c r="O135" i="33" s="1"/>
  <c r="O164" i="33"/>
  <c r="B6" i="30" s="1"/>
  <c r="AI59" i="33"/>
  <c r="AI60" i="33" s="1"/>
  <c r="AI61" i="33" s="1"/>
  <c r="AA21" i="43" a="1"/>
  <c r="AA21" i="43" s="1"/>
  <c r="AA27" i="43" a="1"/>
  <c r="AA27" i="43" s="1"/>
  <c r="AA30" i="43" a="1"/>
  <c r="AA30" i="43" s="1"/>
  <c r="N49" i="43" s="1"/>
  <c r="AA28" i="43" a="1"/>
  <c r="AA28" i="43" s="1"/>
  <c r="AA29" i="43" a="1"/>
  <c r="AA29" i="43" s="1"/>
  <c r="Z35" i="43"/>
  <c r="AA18" i="43" a="1"/>
  <c r="AA18" i="43" s="1"/>
  <c r="AA16" i="43" a="1"/>
  <c r="AA16" i="43" s="1"/>
  <c r="AA15" i="43" a="1"/>
  <c r="AA15" i="43" s="1"/>
  <c r="AB25" i="43" a="1"/>
  <c r="AB25" i="43" s="1"/>
  <c r="AA17" i="43" a="1"/>
  <c r="AA17" i="43" s="1"/>
  <c r="C20" i="30" l="1"/>
  <c r="S134" i="33"/>
  <c r="O159" i="33" s="1"/>
  <c r="P135" i="33"/>
  <c r="Q135" i="33"/>
  <c r="R135" i="33"/>
  <c r="M44" i="43"/>
  <c r="M70" i="43" s="1"/>
  <c r="P41" i="43" s="1"/>
  <c r="T157" i="33"/>
  <c r="O158" i="33" s="1"/>
  <c r="AB19" i="43" a="1"/>
  <c r="AB19" i="43" s="1"/>
  <c r="AB22" i="43" a="1"/>
  <c r="AB22" i="43" s="1"/>
  <c r="AB18" i="43" a="1"/>
  <c r="AB18" i="43" s="1"/>
  <c r="AB17" i="43" a="1"/>
  <c r="AB17" i="43" s="1"/>
  <c r="AB16" i="43" a="1"/>
  <c r="AB16" i="43" s="1"/>
  <c r="AC26" i="43" a="1"/>
  <c r="AC26" i="43" s="1"/>
  <c r="AB29" i="43" a="1"/>
  <c r="AB29" i="43" s="1"/>
  <c r="AA35" i="43"/>
  <c r="AB24" i="43" a="1"/>
  <c r="AB24" i="43" s="1"/>
  <c r="AB27" i="43" a="1"/>
  <c r="AB27" i="43" s="1"/>
  <c r="AB20" i="43" a="1"/>
  <c r="AB20" i="43" s="1"/>
  <c r="AB21" i="43" a="1"/>
  <c r="AB21" i="43" s="1"/>
  <c r="AB31" i="43" a="1"/>
  <c r="AB31" i="43" s="1"/>
  <c r="N50" i="43" s="1"/>
  <c r="AB28" i="43" a="1"/>
  <c r="AB28" i="43" s="1"/>
  <c r="AB23" i="43" a="1"/>
  <c r="AB23" i="43" s="1"/>
  <c r="AB26" i="43" a="1"/>
  <c r="AB26" i="43" s="1"/>
  <c r="AB30" i="43" a="1"/>
  <c r="AB30" i="43" s="1"/>
  <c r="S158" i="33" l="1"/>
  <c r="Q158" i="33"/>
  <c r="P158" i="33"/>
  <c r="R158" i="33"/>
  <c r="O161" i="33"/>
  <c r="B3" i="30" s="1"/>
  <c r="O166" i="33"/>
  <c r="P48" i="43"/>
  <c r="P64" i="43"/>
  <c r="P62" i="43"/>
  <c r="P55" i="43"/>
  <c r="P38" i="43"/>
  <c r="P47" i="43"/>
  <c r="P49" i="43"/>
  <c r="P39" i="43"/>
  <c r="P58" i="43"/>
  <c r="P40" i="43"/>
  <c r="P56" i="43"/>
  <c r="P51" i="43"/>
  <c r="P68" i="43"/>
  <c r="P63" i="43"/>
  <c r="P67" i="43"/>
  <c r="P53" i="43"/>
  <c r="P60" i="43"/>
  <c r="P54" i="43"/>
  <c r="P45" i="43"/>
  <c r="P65" i="43"/>
  <c r="P57" i="43"/>
  <c r="P44" i="43"/>
  <c r="P69" i="43"/>
  <c r="M71" i="43"/>
  <c r="P66" i="43"/>
  <c r="P50" i="43"/>
  <c r="P59" i="43"/>
  <c r="P43" i="43"/>
  <c r="P52" i="43"/>
  <c r="P61" i="43"/>
  <c r="P42" i="43"/>
  <c r="P46" i="43"/>
  <c r="T158" i="33"/>
  <c r="T160" i="33" s="1"/>
  <c r="AC19" i="43" a="1"/>
  <c r="AC19" i="43" s="1"/>
  <c r="AC22" i="43" a="1"/>
  <c r="AC22" i="43" s="1"/>
  <c r="AD18" i="43" a="1"/>
  <c r="AD18" i="43" s="1"/>
  <c r="AC17" i="43" a="1"/>
  <c r="AC17" i="43" s="1"/>
  <c r="AC18" i="43" a="1"/>
  <c r="AC18" i="43" s="1"/>
  <c r="AC23" i="43" a="1"/>
  <c r="AC23" i="43" s="1"/>
  <c r="AB35" i="43"/>
  <c r="AC25" i="43" a="1"/>
  <c r="AC25" i="43" s="1"/>
  <c r="AC24" i="43" a="1"/>
  <c r="AC24" i="43" s="1"/>
  <c r="AC21" i="43" a="1"/>
  <c r="AC21" i="43" s="1"/>
  <c r="AC27" i="43" a="1"/>
  <c r="AC27" i="43" s="1"/>
  <c r="AC28" i="43" a="1"/>
  <c r="AC28" i="43" s="1"/>
  <c r="AC29" i="43" a="1"/>
  <c r="AC29" i="43" s="1"/>
  <c r="AD32" i="43" a="1"/>
  <c r="AD32" i="43" s="1"/>
  <c r="AD33" i="43" a="1"/>
  <c r="AD33" i="43" s="1"/>
  <c r="N52" i="43" s="1"/>
  <c r="AD30" i="43" a="1"/>
  <c r="AD30" i="43" s="1"/>
  <c r="AD23" i="43" a="1"/>
  <c r="AD23" i="43" s="1"/>
  <c r="AD20" i="43" a="1"/>
  <c r="AD20" i="43" s="1"/>
  <c r="AD25" i="43" a="1"/>
  <c r="AD25" i="43" s="1"/>
  <c r="AD19" i="43" a="1"/>
  <c r="AD19" i="43" s="1"/>
  <c r="AD29" i="43" a="1"/>
  <c r="AD29" i="43" s="1"/>
  <c r="AD22" i="43" a="1"/>
  <c r="AD22" i="43" s="1"/>
  <c r="AD26" i="43" a="1"/>
  <c r="AD26" i="43" s="1"/>
  <c r="AD21" i="43" a="1"/>
  <c r="AD21" i="43" s="1"/>
  <c r="AD31" i="43" a="1"/>
  <c r="AD31" i="43" s="1"/>
  <c r="AD28" i="43" a="1"/>
  <c r="AD28" i="43" s="1"/>
  <c r="AD27" i="43" a="1"/>
  <c r="AD27" i="43" s="1"/>
  <c r="AD24" i="43" a="1"/>
  <c r="AD24" i="43" s="1"/>
  <c r="AC32" i="43" a="1"/>
  <c r="AC32" i="43" s="1"/>
  <c r="N51" i="43" s="1"/>
  <c r="AC30" i="43" a="1"/>
  <c r="AC30" i="43" s="1"/>
  <c r="AC31" i="43" a="1"/>
  <c r="AC31" i="43" s="1"/>
  <c r="AC20" i="43" a="1"/>
  <c r="AC20" i="43" s="1"/>
  <c r="P166" i="33" l="1"/>
  <c r="P167" i="33" s="1"/>
  <c r="C85" i="43"/>
  <c r="B5" i="30" s="1"/>
  <c r="E17" i="30" s="1"/>
  <c r="E15" i="30"/>
  <c r="D15" i="30" s="1"/>
  <c r="B17" i="30"/>
  <c r="C17" i="30" s="1"/>
  <c r="P70" i="43"/>
  <c r="O167" i="33"/>
  <c r="B7" i="30" s="1"/>
  <c r="B8" i="30" s="1"/>
  <c r="Q38" i="43" a="1"/>
  <c r="Q67" i="43" s="1"/>
  <c r="AC35" i="43"/>
  <c r="AD35" i="43"/>
  <c r="Q42" i="43" l="1"/>
  <c r="Q64" i="43"/>
  <c r="Q57" i="43"/>
  <c r="Q51" i="43"/>
  <c r="Q52" i="43"/>
  <c r="Q59" i="43"/>
  <c r="Q50" i="43"/>
  <c r="Q58" i="43"/>
  <c r="Q41" i="43"/>
  <c r="Q45" i="43"/>
  <c r="Q61" i="43"/>
  <c r="Q39" i="43"/>
  <c r="Q53" i="43"/>
  <c r="Q60" i="43"/>
  <c r="Q48" i="43"/>
  <c r="Q54" i="43"/>
  <c r="Q65" i="43"/>
  <c r="Q44" i="43"/>
  <c r="Q38" i="43"/>
  <c r="Q47" i="43"/>
  <c r="Q62" i="43"/>
  <c r="Q43" i="43"/>
  <c r="Q66" i="43"/>
  <c r="Q46" i="43"/>
  <c r="Q68" i="43"/>
  <c r="Q49" i="43"/>
  <c r="Q40" i="43"/>
  <c r="Q55" i="43"/>
  <c r="Q69" i="43"/>
  <c r="Q63" i="43"/>
  <c r="Q56" i="43"/>
  <c r="R38" i="43" l="1" a="1"/>
  <c r="R66" i="43" s="1"/>
  <c r="Q70" i="43"/>
  <c r="R61" i="43" l="1"/>
  <c r="R40" i="43"/>
  <c r="R48" i="43"/>
  <c r="R67" i="43"/>
  <c r="R63" i="43"/>
  <c r="R50" i="43"/>
  <c r="R56" i="43"/>
  <c r="R68" i="43"/>
  <c r="R46" i="43"/>
  <c r="R39" i="43"/>
  <c r="R62" i="43"/>
  <c r="R41" i="43"/>
  <c r="R55" i="43"/>
  <c r="R42" i="43"/>
  <c r="R69" i="43"/>
  <c r="R57" i="43"/>
  <c r="R64" i="43"/>
  <c r="R44" i="43"/>
  <c r="R43" i="43"/>
  <c r="R59" i="43"/>
  <c r="R45" i="43"/>
  <c r="R60" i="43"/>
  <c r="R52" i="43"/>
  <c r="R58" i="43"/>
  <c r="R53" i="43"/>
  <c r="R49" i="43"/>
  <c r="R54" i="43"/>
  <c r="R51" i="43"/>
  <c r="R65" i="43"/>
  <c r="R38" i="43"/>
  <c r="R47" i="43"/>
  <c r="S38" i="43" l="1" a="1"/>
  <c r="S46" i="43" s="1"/>
  <c r="R70" i="43"/>
  <c r="S55" i="43" l="1"/>
  <c r="S51" i="43"/>
  <c r="S59" i="43"/>
  <c r="S48" i="43"/>
  <c r="S38" i="43"/>
  <c r="S50" i="43"/>
  <c r="S43" i="43"/>
  <c r="S49" i="43"/>
  <c r="S62" i="43"/>
  <c r="S69" i="43"/>
  <c r="T38" i="43" s="1" a="1"/>
  <c r="S42" i="43"/>
  <c r="S56" i="43"/>
  <c r="S66" i="43"/>
  <c r="S39" i="43"/>
  <c r="S65" i="43"/>
  <c r="S44" i="43"/>
  <c r="S67" i="43"/>
  <c r="S40" i="43"/>
  <c r="S45" i="43"/>
  <c r="S54" i="43"/>
  <c r="S60" i="43"/>
  <c r="S61" i="43"/>
  <c r="S41" i="43"/>
  <c r="S63" i="43"/>
  <c r="S52" i="43"/>
  <c r="S64" i="43"/>
  <c r="S57" i="43"/>
  <c r="S53" i="43"/>
  <c r="S47" i="43"/>
  <c r="S58" i="43"/>
  <c r="S68" i="43"/>
  <c r="S70" i="43" l="1"/>
  <c r="T64" i="43"/>
  <c r="T52" i="43"/>
  <c r="T40" i="43"/>
  <c r="T62" i="43"/>
  <c r="T50" i="43"/>
  <c r="T38" i="43"/>
  <c r="T60" i="43"/>
  <c r="T46" i="43"/>
  <c r="T59" i="43"/>
  <c r="T45" i="43"/>
  <c r="T58" i="43"/>
  <c r="T44" i="43"/>
  <c r="T57" i="43"/>
  <c r="T43" i="43"/>
  <c r="T56" i="43"/>
  <c r="T42" i="43"/>
  <c r="T69" i="43"/>
  <c r="T55" i="43"/>
  <c r="T41" i="43"/>
  <c r="T68" i="43"/>
  <c r="T54" i="43"/>
  <c r="T39" i="43"/>
  <c r="T67" i="43"/>
  <c r="T53" i="43"/>
  <c r="T66" i="43"/>
  <c r="T51" i="43"/>
  <c r="T65" i="43"/>
  <c r="T49" i="43"/>
  <c r="T63" i="43"/>
  <c r="T48" i="43"/>
  <c r="T61" i="43"/>
  <c r="T47" i="43"/>
  <c r="T70" i="43" l="1"/>
  <c r="U38" i="43" a="1"/>
  <c r="U68" i="43" l="1"/>
  <c r="U67" i="43"/>
  <c r="U55" i="43"/>
  <c r="U43" i="43"/>
  <c r="U65" i="43"/>
  <c r="U53" i="43"/>
  <c r="U41" i="43"/>
  <c r="U57" i="43"/>
  <c r="U42" i="43"/>
  <c r="U56" i="43"/>
  <c r="U40" i="43"/>
  <c r="U54" i="43"/>
  <c r="U39" i="43"/>
  <c r="U69" i="43"/>
  <c r="U52" i="43"/>
  <c r="U38" i="43"/>
  <c r="U66" i="43"/>
  <c r="U51" i="43"/>
  <c r="U64" i="43"/>
  <c r="U50" i="43"/>
  <c r="U63" i="43"/>
  <c r="U49" i="43"/>
  <c r="U62" i="43"/>
  <c r="U48" i="43"/>
  <c r="U61" i="43"/>
  <c r="U47" i="43"/>
  <c r="U60" i="43"/>
  <c r="U46" i="43"/>
  <c r="U59" i="43"/>
  <c r="U45" i="43"/>
  <c r="U58" i="43"/>
  <c r="U44" i="43"/>
  <c r="U70" i="43" l="1"/>
  <c r="V38" i="43" a="1"/>
  <c r="V59" i="43" l="1"/>
  <c r="V47" i="43"/>
  <c r="V68" i="43"/>
  <c r="V56" i="43"/>
  <c r="V62" i="43"/>
  <c r="V48" i="43"/>
  <c r="V60" i="43"/>
  <c r="V45" i="43"/>
  <c r="V54" i="43"/>
  <c r="V39" i="43"/>
  <c r="V53" i="43"/>
  <c r="V38" i="43"/>
  <c r="V69" i="43"/>
  <c r="V52" i="43"/>
  <c r="V67" i="43"/>
  <c r="V51" i="43"/>
  <c r="V66" i="43"/>
  <c r="V50" i="43"/>
  <c r="V65" i="43"/>
  <c r="V49" i="43"/>
  <c r="V64" i="43"/>
  <c r="V46" i="43"/>
  <c r="V63" i="43"/>
  <c r="V44" i="43"/>
  <c r="V61" i="43"/>
  <c r="V43" i="43"/>
  <c r="V58" i="43"/>
  <c r="V42" i="43"/>
  <c r="V57" i="43"/>
  <c r="V41" i="43"/>
  <c r="V55" i="43"/>
  <c r="V40" i="43"/>
  <c r="V70" i="43" l="1"/>
  <c r="W38" i="43" a="1"/>
  <c r="W62" i="43" l="1"/>
  <c r="W50" i="43"/>
  <c r="W38" i="43"/>
  <c r="W59" i="43"/>
  <c r="W47" i="43"/>
  <c r="W57" i="43"/>
  <c r="W43" i="43"/>
  <c r="W69" i="43"/>
  <c r="W55" i="43"/>
  <c r="W41" i="43"/>
  <c r="W66" i="43"/>
  <c r="W52" i="43"/>
  <c r="W60" i="43"/>
  <c r="W40" i="43"/>
  <c r="W58" i="43"/>
  <c r="W39" i="43"/>
  <c r="W56" i="43"/>
  <c r="W54" i="43"/>
  <c r="W53" i="43"/>
  <c r="W51" i="43"/>
  <c r="W68" i="43"/>
  <c r="W49" i="43"/>
  <c r="W67" i="43"/>
  <c r="W48" i="43"/>
  <c r="W65" i="43"/>
  <c r="W46" i="43"/>
  <c r="W64" i="43"/>
  <c r="W45" i="43"/>
  <c r="W63" i="43"/>
  <c r="W44" i="43"/>
  <c r="W61" i="43"/>
  <c r="W42" i="43"/>
  <c r="X38" i="43" l="1" a="1"/>
  <c r="W70" i="43"/>
  <c r="X65" i="43" l="1"/>
  <c r="X53" i="43"/>
  <c r="X41" i="43"/>
  <c r="X62" i="43"/>
  <c r="X50" i="43"/>
  <c r="X38" i="43"/>
  <c r="X68" i="43"/>
  <c r="X54" i="43"/>
  <c r="X39" i="43"/>
  <c r="X67" i="43"/>
  <c r="X52" i="43"/>
  <c r="X66" i="43"/>
  <c r="X51" i="43"/>
  <c r="X61" i="43"/>
  <c r="X47" i="43"/>
  <c r="X46" i="43"/>
  <c r="X69" i="43"/>
  <c r="X45" i="43"/>
  <c r="X64" i="43"/>
  <c r="X44" i="43"/>
  <c r="X63" i="43"/>
  <c r="X43" i="43"/>
  <c r="X60" i="43"/>
  <c r="X42" i="43"/>
  <c r="X59" i="43"/>
  <c r="X40" i="43"/>
  <c r="X58" i="43"/>
  <c r="X57" i="43"/>
  <c r="X56" i="43"/>
  <c r="X55" i="43"/>
  <c r="X49" i="43"/>
  <c r="X48" i="43"/>
  <c r="X70" i="43" l="1"/>
  <c r="Y38" i="43" a="1"/>
  <c r="Y68" i="43" l="1"/>
  <c r="Y56" i="43"/>
  <c r="Y44" i="43"/>
  <c r="Y65" i="43"/>
  <c r="Y53" i="43"/>
  <c r="Y41" i="43"/>
  <c r="Y63" i="43"/>
  <c r="Y49" i="43"/>
  <c r="Y62" i="43"/>
  <c r="Y48" i="43"/>
  <c r="Y61" i="43"/>
  <c r="Y47" i="43"/>
  <c r="Y58" i="43"/>
  <c r="Y43" i="43"/>
  <c r="Y57" i="43"/>
  <c r="Y55" i="43"/>
  <c r="Y54" i="43"/>
  <c r="Y52" i="43"/>
  <c r="Y51" i="43"/>
  <c r="Y50" i="43"/>
  <c r="Y69" i="43"/>
  <c r="Y46" i="43"/>
  <c r="Y67" i="43"/>
  <c r="Y45" i="43"/>
  <c r="Y66" i="43"/>
  <c r="Y42" i="43"/>
  <c r="Y64" i="43"/>
  <c r="Y40" i="43"/>
  <c r="Y60" i="43"/>
  <c r="Y39" i="43"/>
  <c r="Y59" i="43"/>
  <c r="Y38" i="43"/>
  <c r="Y70" i="43" l="1"/>
  <c r="Z38" i="43" a="1"/>
  <c r="Z59" i="43" l="1"/>
  <c r="Z47" i="43"/>
  <c r="Z68" i="43"/>
  <c r="Z56" i="43"/>
  <c r="Z44" i="43"/>
  <c r="Z60" i="43"/>
  <c r="Z45" i="43"/>
  <c r="Z58" i="43"/>
  <c r="Z43" i="43"/>
  <c r="Z57" i="43"/>
  <c r="Z42" i="43"/>
  <c r="Z67" i="43"/>
  <c r="Z53" i="43"/>
  <c r="Z39" i="43"/>
  <c r="Z66" i="43"/>
  <c r="Z48" i="43"/>
  <c r="Z65" i="43"/>
  <c r="Z46" i="43"/>
  <c r="Z64" i="43"/>
  <c r="Z41" i="43"/>
  <c r="Z63" i="43"/>
  <c r="Z40" i="43"/>
  <c r="Z62" i="43"/>
  <c r="Z38" i="43"/>
  <c r="Z61" i="43"/>
  <c r="Z55" i="43"/>
  <c r="Z54" i="43"/>
  <c r="Z52" i="43"/>
  <c r="Z51" i="43"/>
  <c r="Z50" i="43"/>
  <c r="Z69" i="43"/>
  <c r="Z49" i="43"/>
  <c r="Z70" i="43" l="1"/>
  <c r="AA38" i="43" a="1"/>
  <c r="AA62" i="43" l="1"/>
  <c r="AA50" i="43"/>
  <c r="AA38" i="43"/>
  <c r="AA59" i="43"/>
  <c r="AA47" i="43"/>
  <c r="AA69" i="43"/>
  <c r="AA55" i="43"/>
  <c r="AA41" i="43"/>
  <c r="AA68" i="43"/>
  <c r="AA54" i="43"/>
  <c r="AA40" i="43"/>
  <c r="AA67" i="43"/>
  <c r="AA53" i="43"/>
  <c r="AA39" i="43"/>
  <c r="AA66" i="43"/>
  <c r="AA52" i="43"/>
  <c r="AA64" i="43"/>
  <c r="AA49" i="43"/>
  <c r="AA60" i="43"/>
  <c r="AA58" i="43"/>
  <c r="AA57" i="43"/>
  <c r="AA56" i="43"/>
  <c r="AA51" i="43"/>
  <c r="AA48" i="43"/>
  <c r="AA46" i="43"/>
  <c r="AA45" i="43"/>
  <c r="AA44" i="43"/>
  <c r="AA65" i="43"/>
  <c r="AA43" i="43"/>
  <c r="AA63" i="43"/>
  <c r="AA42" i="43"/>
  <c r="AA61" i="43"/>
  <c r="AA70" i="43" l="1"/>
  <c r="AB38" i="43" a="1"/>
  <c r="AB65" i="43" l="1"/>
  <c r="AB53" i="43"/>
  <c r="AB41" i="43"/>
  <c r="AB62" i="43"/>
  <c r="AB50" i="43"/>
  <c r="AB38" i="43"/>
  <c r="AB66" i="43"/>
  <c r="AB51" i="43"/>
  <c r="AB64" i="43"/>
  <c r="AB49" i="43"/>
  <c r="AB63" i="43"/>
  <c r="AB48" i="43"/>
  <c r="AB61" i="43"/>
  <c r="AB47" i="43"/>
  <c r="AB59" i="43"/>
  <c r="AB45" i="43"/>
  <c r="AB54" i="43"/>
  <c r="AB52" i="43"/>
  <c r="AB46" i="43"/>
  <c r="AB44" i="43"/>
  <c r="AB69" i="43"/>
  <c r="AB43" i="43"/>
  <c r="AB68" i="43"/>
  <c r="AB42" i="43"/>
  <c r="AB67" i="43"/>
  <c r="AB40" i="43"/>
  <c r="AB60" i="43"/>
  <c r="AB39" i="43"/>
  <c r="AB58" i="43"/>
  <c r="AB57" i="43"/>
  <c r="AB56" i="43"/>
  <c r="AB55" i="43"/>
  <c r="AB70" i="43" l="1"/>
  <c r="AC38" i="43" a="1"/>
  <c r="AC68" i="43" l="1"/>
  <c r="AC56" i="43"/>
  <c r="AC44" i="43"/>
  <c r="AC65" i="43"/>
  <c r="AC53" i="43"/>
  <c r="AC41" i="43"/>
  <c r="AC61" i="43"/>
  <c r="AC47" i="43"/>
  <c r="AC60" i="43"/>
  <c r="AC46" i="43"/>
  <c r="AC59" i="43"/>
  <c r="AC45" i="43"/>
  <c r="AC58" i="43"/>
  <c r="AC43" i="43"/>
  <c r="AC55" i="43"/>
  <c r="AC40" i="43"/>
  <c r="AC67" i="43"/>
  <c r="AC42" i="43"/>
  <c r="AC66" i="43"/>
  <c r="AC39" i="43"/>
  <c r="AC64" i="43"/>
  <c r="AC38" i="43"/>
  <c r="AC63" i="43"/>
  <c r="AC62" i="43"/>
  <c r="AC57" i="43"/>
  <c r="AC54" i="43"/>
  <c r="AC52" i="43"/>
  <c r="AC51" i="43"/>
  <c r="AC50" i="43"/>
  <c r="AC49" i="43"/>
  <c r="AC69" i="43"/>
  <c r="AC48" i="43"/>
  <c r="AC70" i="43" l="1"/>
  <c r="AD38" i="43" a="1"/>
  <c r="AD59" i="43" l="1"/>
  <c r="AD47" i="43"/>
  <c r="AD68" i="43"/>
  <c r="AD56" i="43"/>
  <c r="AD44" i="43"/>
  <c r="AD57" i="43"/>
  <c r="AD42" i="43"/>
  <c r="AD55" i="43"/>
  <c r="AD41" i="43"/>
  <c r="AD69" i="43"/>
  <c r="AD54" i="43"/>
  <c r="AD40" i="43"/>
  <c r="AD67" i="43"/>
  <c r="AD53" i="43"/>
  <c r="AD39" i="43"/>
  <c r="AD65" i="43"/>
  <c r="AD51" i="43"/>
  <c r="AD61" i="43"/>
  <c r="AD60" i="43"/>
  <c r="AD58" i="43"/>
  <c r="AD52" i="43"/>
  <c r="AD50" i="43"/>
  <c r="AD49" i="43"/>
  <c r="AD48" i="43"/>
  <c r="AD46" i="43"/>
  <c r="AD66" i="43"/>
  <c r="AD45" i="43"/>
  <c r="AD64" i="43"/>
  <c r="AD43" i="43"/>
  <c r="AD63" i="43"/>
  <c r="AD38" i="43"/>
  <c r="AD62" i="43"/>
  <c r="AD70" i="43" l="1"/>
  <c r="AE38" i="43" a="1"/>
  <c r="AE62" i="43" l="1"/>
  <c r="AE50" i="43"/>
  <c r="AE38" i="43"/>
  <c r="AE59" i="43"/>
  <c r="AE47" i="43"/>
  <c r="AE67" i="43"/>
  <c r="AE53" i="43"/>
  <c r="AE39" i="43"/>
  <c r="AE66" i="43"/>
  <c r="AE52" i="43"/>
  <c r="AE65" i="43"/>
  <c r="AE51" i="43"/>
  <c r="AE64" i="43"/>
  <c r="AE49" i="43"/>
  <c r="AE61" i="43"/>
  <c r="AE46" i="43"/>
  <c r="AE54" i="43"/>
  <c r="AE48" i="43"/>
  <c r="AE45" i="43"/>
  <c r="AE44" i="43"/>
  <c r="AE69" i="43"/>
  <c r="AE43" i="43"/>
  <c r="AE68" i="43"/>
  <c r="AE42" i="43"/>
  <c r="AE63" i="43"/>
  <c r="AE41" i="43"/>
  <c r="AE60" i="43"/>
  <c r="AE40" i="43"/>
  <c r="AE58" i="43"/>
  <c r="AE57" i="43"/>
  <c r="AE56" i="43"/>
  <c r="AE55" i="43"/>
  <c r="AE70" i="43" l="1"/>
  <c r="AF38" i="43" a="1"/>
  <c r="AF65" i="43" l="1"/>
  <c r="AF53" i="43"/>
  <c r="AF41" i="43"/>
  <c r="AF62" i="43"/>
  <c r="AF50" i="43"/>
  <c r="AF38" i="43"/>
  <c r="AF63" i="43"/>
  <c r="AF48" i="43"/>
  <c r="AF61" i="43"/>
  <c r="AF47" i="43"/>
  <c r="AF60" i="43"/>
  <c r="AF46" i="43"/>
  <c r="AF59" i="43"/>
  <c r="AF45" i="43"/>
  <c r="AF57" i="43"/>
  <c r="AF43" i="43"/>
  <c r="AF67" i="43"/>
  <c r="AF52" i="43"/>
  <c r="AF44" i="43"/>
  <c r="AF42" i="43"/>
  <c r="AF69" i="43"/>
  <c r="AF40" i="43"/>
  <c r="AF68" i="43"/>
  <c r="AF39" i="43"/>
  <c r="AF66" i="43"/>
  <c r="AF64" i="43"/>
  <c r="AF58" i="43"/>
  <c r="AF56" i="43"/>
  <c r="AF55" i="43"/>
  <c r="AF54" i="43"/>
  <c r="AF51" i="43"/>
  <c r="AF49" i="43"/>
  <c r="AF70" i="43" l="1"/>
  <c r="AG38" i="43" a="1"/>
  <c r="AG68" i="43" l="1"/>
  <c r="AG56" i="43"/>
  <c r="AG44" i="43"/>
  <c r="AG65" i="43"/>
  <c r="AG53" i="43"/>
  <c r="AG41" i="43"/>
  <c r="AG59" i="43"/>
  <c r="AG45" i="43"/>
  <c r="AG58" i="43"/>
  <c r="AG43" i="43"/>
  <c r="AG57" i="43"/>
  <c r="AG42" i="43"/>
  <c r="AG55" i="43"/>
  <c r="AG40" i="43"/>
  <c r="AG67" i="43"/>
  <c r="AG52" i="43"/>
  <c r="AG38" i="43"/>
  <c r="AG66" i="43"/>
  <c r="AG51" i="43"/>
  <c r="AG62" i="43"/>
  <c r="AG48" i="43"/>
  <c r="AG46" i="43"/>
  <c r="AG39" i="43"/>
  <c r="AG69" i="43"/>
  <c r="AG64" i="43"/>
  <c r="AG63" i="43"/>
  <c r="AG61" i="43"/>
  <c r="AG60" i="43"/>
  <c r="AG54" i="43"/>
  <c r="AG50" i="43"/>
  <c r="AG49" i="43"/>
  <c r="AG47" i="43"/>
  <c r="AG70" i="43" l="1"/>
  <c r="AH38" i="43" a="1"/>
  <c r="AH59" i="43" l="1"/>
  <c r="AH47" i="43"/>
  <c r="AH68" i="43"/>
  <c r="AH56" i="43"/>
  <c r="AH44" i="43"/>
  <c r="AH69" i="43"/>
  <c r="AH54" i="43"/>
  <c r="AH40" i="43"/>
  <c r="AH67" i="43"/>
  <c r="AH53" i="43"/>
  <c r="AH39" i="43"/>
  <c r="AH66" i="43"/>
  <c r="AH52" i="43"/>
  <c r="AH38" i="43"/>
  <c r="AH65" i="43"/>
  <c r="AH51" i="43"/>
  <c r="AH63" i="43"/>
  <c r="AH49" i="43"/>
  <c r="AH62" i="43"/>
  <c r="AH48" i="43"/>
  <c r="AH58" i="43"/>
  <c r="AH43" i="43"/>
  <c r="AH45" i="43"/>
  <c r="AH42" i="43"/>
  <c r="AH41" i="43"/>
  <c r="AH64" i="43"/>
  <c r="AH61" i="43"/>
  <c r="AH60" i="43"/>
  <c r="AH57" i="43"/>
  <c r="AH55" i="43"/>
  <c r="AH50" i="43"/>
  <c r="AH46" i="43"/>
  <c r="AH70" i="43" l="1"/>
  <c r="AI38" i="43" a="1"/>
  <c r="AI62" i="43" l="1"/>
  <c r="AI50" i="43"/>
  <c r="AI38" i="43"/>
  <c r="AI59" i="43"/>
  <c r="AI47" i="43"/>
  <c r="AI65" i="43"/>
  <c r="AI51" i="43"/>
  <c r="AI64" i="43"/>
  <c r="AI49" i="43"/>
  <c r="AI63" i="43"/>
  <c r="AI48" i="43"/>
  <c r="AI61" i="43"/>
  <c r="AI46" i="43"/>
  <c r="AI58" i="43"/>
  <c r="AI44" i="43"/>
  <c r="AI57" i="43"/>
  <c r="AI43" i="43"/>
  <c r="AI68" i="43"/>
  <c r="AI54" i="43"/>
  <c r="AI40" i="43"/>
  <c r="AI66" i="43"/>
  <c r="AI52" i="43"/>
  <c r="AI53" i="43"/>
  <c r="AI45" i="43"/>
  <c r="AI42" i="43"/>
  <c r="AI41" i="43"/>
  <c r="AI39" i="43"/>
  <c r="AI69" i="43"/>
  <c r="AI67" i="43"/>
  <c r="AI60" i="43"/>
  <c r="AI56" i="43"/>
  <c r="AI55" i="43"/>
  <c r="AI70" i="43" l="1"/>
  <c r="AJ38" i="43" a="1"/>
  <c r="AJ65" i="43" l="1"/>
  <c r="AJ53" i="43"/>
  <c r="AJ41" i="43"/>
  <c r="AJ62" i="43"/>
  <c r="AJ50" i="43"/>
  <c r="AJ38" i="43"/>
  <c r="AJ60" i="43"/>
  <c r="AJ46" i="43"/>
  <c r="AJ59" i="43"/>
  <c r="AJ45" i="43"/>
  <c r="AJ58" i="43"/>
  <c r="AJ44" i="43"/>
  <c r="AJ57" i="43"/>
  <c r="AJ43" i="43"/>
  <c r="AJ69" i="43"/>
  <c r="AJ55" i="43"/>
  <c r="AJ40" i="43"/>
  <c r="AJ68" i="43"/>
  <c r="AJ54" i="43"/>
  <c r="AJ39" i="43"/>
  <c r="AJ64" i="43"/>
  <c r="AJ49" i="43"/>
  <c r="AJ61" i="43"/>
  <c r="AJ47" i="43"/>
  <c r="AJ63" i="43"/>
  <c r="AJ56" i="43"/>
  <c r="AJ52" i="43"/>
  <c r="AJ51" i="43"/>
  <c r="AJ48" i="43"/>
  <c r="AJ42" i="43"/>
  <c r="AJ67" i="43"/>
  <c r="AJ66" i="43"/>
  <c r="AJ70" i="43" l="1"/>
  <c r="AK38" i="43" a="1"/>
  <c r="AK62" i="43" l="1"/>
  <c r="AK69" i="43"/>
  <c r="AK56" i="43"/>
  <c r="AK44" i="43"/>
  <c r="AK66" i="43"/>
  <c r="AK53" i="43"/>
  <c r="AK41" i="43"/>
  <c r="AK57" i="43"/>
  <c r="AK42" i="43"/>
  <c r="AK55" i="43"/>
  <c r="AK40" i="43"/>
  <c r="AK54" i="43"/>
  <c r="AK39" i="43"/>
  <c r="AK68" i="43"/>
  <c r="AK52" i="43"/>
  <c r="AK38" i="43"/>
  <c r="AK67" i="43"/>
  <c r="AK51" i="43"/>
  <c r="AK65" i="43"/>
  <c r="AK50" i="43"/>
  <c r="AK64" i="43"/>
  <c r="AK49" i="43"/>
  <c r="AK60" i="43"/>
  <c r="AK46" i="43"/>
  <c r="AK58" i="43"/>
  <c r="AK43" i="43"/>
  <c r="AK63" i="43"/>
  <c r="AK61" i="43"/>
  <c r="AK59" i="43"/>
  <c r="AK48" i="43"/>
  <c r="AK47" i="43"/>
  <c r="AK45" i="43"/>
  <c r="AL38" i="43" l="1" a="1"/>
  <c r="AK70" i="43"/>
  <c r="AL65" i="43" l="1"/>
  <c r="AL53" i="43"/>
  <c r="AL41" i="43"/>
  <c r="AL63" i="43"/>
  <c r="AL50" i="43"/>
  <c r="AL62" i="43"/>
  <c r="AL49" i="43"/>
  <c r="AL59" i="43"/>
  <c r="AL46" i="43"/>
  <c r="AL57" i="43"/>
  <c r="AL40" i="43"/>
  <c r="AL56" i="43"/>
  <c r="AL39" i="43"/>
  <c r="AL55" i="43"/>
  <c r="AL38" i="43"/>
  <c r="AL54" i="43"/>
  <c r="AL69" i="43"/>
  <c r="AL52" i="43"/>
  <c r="AL68" i="43"/>
  <c r="AL51" i="43"/>
  <c r="AL67" i="43"/>
  <c r="AL48" i="43"/>
  <c r="AL61" i="43"/>
  <c r="AL44" i="43"/>
  <c r="AL58" i="43"/>
  <c r="AL42" i="43"/>
  <c r="AL60" i="43"/>
  <c r="AL47" i="43"/>
  <c r="AL45" i="43"/>
  <c r="AL43" i="43"/>
  <c r="AL66" i="43"/>
  <c r="AL64" i="43"/>
  <c r="AM38" i="43" l="1" a="1"/>
  <c r="AL70" i="43"/>
  <c r="AM61" i="43" l="1"/>
  <c r="AM49" i="43"/>
  <c r="AM68" i="43"/>
  <c r="AM56" i="43"/>
  <c r="AM44" i="43"/>
  <c r="AM63" i="43"/>
  <c r="AM51" i="43"/>
  <c r="AM39" i="43"/>
  <c r="AM62" i="43"/>
  <c r="AM46" i="43"/>
  <c r="AM60" i="43"/>
  <c r="AM45" i="43"/>
  <c r="AM57" i="43"/>
  <c r="AM41" i="43"/>
  <c r="AM66" i="43"/>
  <c r="AM43" i="43"/>
  <c r="AM65" i="43"/>
  <c r="AM42" i="43"/>
  <c r="AM64" i="43"/>
  <c r="AM40" i="43"/>
  <c r="AM59" i="43"/>
  <c r="AM38" i="43"/>
  <c r="AM58" i="43"/>
  <c r="AM55" i="43"/>
  <c r="AM54" i="43"/>
  <c r="AM50" i="43"/>
  <c r="AM67" i="43"/>
  <c r="AM47" i="43"/>
  <c r="AM69" i="43"/>
  <c r="AM53" i="43"/>
  <c r="AM52" i="43"/>
  <c r="AM48" i="43"/>
  <c r="AM70" i="43" l="1"/>
  <c r="AN38" i="43" a="1"/>
  <c r="AN64" i="43" l="1"/>
  <c r="AN52" i="43"/>
  <c r="AN40" i="43"/>
  <c r="AN59" i="43"/>
  <c r="AN47" i="43"/>
  <c r="AN66" i="43"/>
  <c r="AN54" i="43"/>
  <c r="AN42" i="43"/>
  <c r="AN61" i="43"/>
  <c r="AN45" i="43"/>
  <c r="AN60" i="43"/>
  <c r="AN44" i="43"/>
  <c r="AN56" i="43"/>
  <c r="AN39" i="43"/>
  <c r="AN53" i="43"/>
  <c r="AN51" i="43"/>
  <c r="AN50" i="43"/>
  <c r="AN69" i="43"/>
  <c r="AN49" i="43"/>
  <c r="AN68" i="43"/>
  <c r="AN48" i="43"/>
  <c r="AN67" i="43"/>
  <c r="AN46" i="43"/>
  <c r="AN65" i="43"/>
  <c r="AN43" i="43"/>
  <c r="AN58" i="43"/>
  <c r="AN55" i="43"/>
  <c r="AN63" i="43"/>
  <c r="AN62" i="43"/>
  <c r="AN57" i="43"/>
  <c r="AN41" i="43"/>
  <c r="AN38" i="43"/>
  <c r="AN70" i="43" l="1"/>
  <c r="AO38" i="43" a="1"/>
  <c r="AO67" i="43" l="1"/>
  <c r="AO55" i="43"/>
  <c r="AO43" i="43"/>
  <c r="AO62" i="43"/>
  <c r="AO50" i="43"/>
  <c r="AO38" i="43"/>
  <c r="AO69" i="43"/>
  <c r="AO57" i="43"/>
  <c r="AO45" i="43"/>
  <c r="AO60" i="43"/>
  <c r="AO44" i="43"/>
  <c r="AO59" i="43"/>
  <c r="AO42" i="43"/>
  <c r="AO54" i="43"/>
  <c r="AO39" i="43"/>
  <c r="AO64" i="43"/>
  <c r="AO41" i="43"/>
  <c r="AO63" i="43"/>
  <c r="AO40" i="43"/>
  <c r="AO61" i="43"/>
  <c r="AO58" i="43"/>
  <c r="AO56" i="43"/>
  <c r="AO53" i="43"/>
  <c r="AO52" i="43"/>
  <c r="AO68" i="43"/>
  <c r="AO48" i="43"/>
  <c r="AO65" i="43"/>
  <c r="AO46" i="43"/>
  <c r="AO47" i="43"/>
  <c r="AO66" i="43"/>
  <c r="AO51" i="43"/>
  <c r="AO49" i="43"/>
  <c r="AO70" i="43" l="1"/>
  <c r="AP38" i="43" a="1"/>
  <c r="AP58" i="43" l="1"/>
  <c r="AP46" i="43"/>
  <c r="AP65" i="43"/>
  <c r="AP53" i="43"/>
  <c r="AP41" i="43"/>
  <c r="AP60" i="43"/>
  <c r="AP48" i="43"/>
  <c r="AP59" i="43"/>
  <c r="AP43" i="43"/>
  <c r="AP57" i="43"/>
  <c r="AP42" i="43"/>
  <c r="AP69" i="43"/>
  <c r="AP54" i="43"/>
  <c r="AP38" i="43"/>
  <c r="AP51" i="43"/>
  <c r="AP50" i="43"/>
  <c r="AP68" i="43"/>
  <c r="AP49" i="43"/>
  <c r="AP67" i="43"/>
  <c r="AP47" i="43"/>
  <c r="AP66" i="43"/>
  <c r="AP45" i="43"/>
  <c r="AP64" i="43"/>
  <c r="AP44" i="43"/>
  <c r="AP63" i="43"/>
  <c r="AP40" i="43"/>
  <c r="AP56" i="43"/>
  <c r="AP52" i="43"/>
  <c r="AP62" i="43"/>
  <c r="AP61" i="43"/>
  <c r="AP55" i="43"/>
  <c r="AP39" i="43"/>
  <c r="AQ38" i="43" l="1" a="1"/>
  <c r="AP70" i="43"/>
  <c r="AQ61" i="43" l="1"/>
  <c r="AQ49" i="43"/>
  <c r="AQ68" i="43"/>
  <c r="AQ56" i="43"/>
  <c r="AQ44" i="43"/>
  <c r="AQ63" i="43"/>
  <c r="AQ51" i="43"/>
  <c r="AQ39" i="43"/>
  <c r="AQ58" i="43"/>
  <c r="AQ42" i="43"/>
  <c r="AQ57" i="43"/>
  <c r="AQ41" i="43"/>
  <c r="AQ69" i="43"/>
  <c r="AQ53" i="43"/>
  <c r="AQ62" i="43"/>
  <c r="AQ40" i="43"/>
  <c r="AQ60" i="43"/>
  <c r="AQ38" i="43"/>
  <c r="AQ59" i="43"/>
  <c r="AQ55" i="43"/>
  <c r="AQ54" i="43"/>
  <c r="AQ52" i="43"/>
  <c r="AQ50" i="43"/>
  <c r="AQ66" i="43"/>
  <c r="AQ46" i="43"/>
  <c r="AQ64" i="43"/>
  <c r="AQ43" i="43"/>
  <c r="AQ65" i="43"/>
  <c r="AQ48" i="43"/>
  <c r="AQ47" i="43"/>
  <c r="AQ45" i="43"/>
  <c r="AQ67" i="43"/>
  <c r="AQ70" i="43" l="1"/>
  <c r="AR38" i="43" a="1"/>
  <c r="AR64" i="43" l="1"/>
  <c r="AR52" i="43"/>
  <c r="AR40" i="43"/>
  <c r="AR59" i="43"/>
  <c r="AR47" i="43"/>
  <c r="AR66" i="43"/>
  <c r="AR54" i="43"/>
  <c r="AR42" i="43"/>
  <c r="AR57" i="43"/>
  <c r="AR41" i="43"/>
  <c r="AR56" i="43"/>
  <c r="AR39" i="43"/>
  <c r="AR68" i="43"/>
  <c r="AR51" i="43"/>
  <c r="AR49" i="43"/>
  <c r="AR69" i="43"/>
  <c r="AR48" i="43"/>
  <c r="AR67" i="43"/>
  <c r="AR46" i="43"/>
  <c r="AR65" i="43"/>
  <c r="AR45" i="43"/>
  <c r="AR63" i="43"/>
  <c r="AR44" i="43"/>
  <c r="AR62" i="43"/>
  <c r="AR43" i="43"/>
  <c r="AR61" i="43"/>
  <c r="AR38" i="43"/>
  <c r="AR55" i="43"/>
  <c r="AR50" i="43"/>
  <c r="AR60" i="43"/>
  <c r="AR58" i="43"/>
  <c r="AR53" i="43"/>
  <c r="AS38" i="43" l="1" a="1"/>
  <c r="AR70" i="43"/>
  <c r="AS67" i="43" l="1"/>
  <c r="AS55" i="43"/>
  <c r="AS43" i="43"/>
  <c r="AS62" i="43"/>
  <c r="AS50" i="43"/>
  <c r="AS38" i="43"/>
  <c r="AS61" i="43"/>
  <c r="AS49" i="43"/>
  <c r="AS69" i="43"/>
  <c r="AS57" i="43"/>
  <c r="AS45" i="43"/>
  <c r="AS59" i="43"/>
  <c r="AS41" i="43"/>
  <c r="AS58" i="43"/>
  <c r="AS40" i="43"/>
  <c r="AS53" i="43"/>
  <c r="AS64" i="43"/>
  <c r="AS39" i="43"/>
  <c r="AS63" i="43"/>
  <c r="AS60" i="43"/>
  <c r="AS56" i="43"/>
  <c r="AS54" i="43"/>
  <c r="AS52" i="43"/>
  <c r="AS51" i="43"/>
  <c r="AS68" i="43"/>
  <c r="AS46" i="43"/>
  <c r="AS65" i="43"/>
  <c r="AS42" i="43"/>
  <c r="AS66" i="43"/>
  <c r="AS48" i="43"/>
  <c r="AS47" i="43"/>
  <c r="AS44" i="43"/>
  <c r="AS70" i="43" l="1"/>
  <c r="AT38" i="43" a="1"/>
  <c r="AT58" i="43" l="1"/>
  <c r="AW42" i="43" s="1"/>
  <c r="AT46" i="43"/>
  <c r="AT65" i="43"/>
  <c r="AW49" i="43" s="1"/>
  <c r="AT53" i="43"/>
  <c r="AT41" i="43"/>
  <c r="AT64" i="43"/>
  <c r="AW48" i="43" s="1"/>
  <c r="AT52" i="43"/>
  <c r="AT40" i="43"/>
  <c r="AT60" i="43"/>
  <c r="AW44" i="43" s="1"/>
  <c r="AT48" i="43"/>
  <c r="AT62" i="43"/>
  <c r="AW46" i="43" s="1"/>
  <c r="AT44" i="43"/>
  <c r="AT61" i="43"/>
  <c r="AW45" i="43" s="1"/>
  <c r="AT43" i="43"/>
  <c r="AT56" i="43"/>
  <c r="AW40" i="43" s="1"/>
  <c r="AT38" i="43"/>
  <c r="AT54" i="43"/>
  <c r="AW38" i="43" s="1"/>
  <c r="AT51" i="43"/>
  <c r="AT50" i="43"/>
  <c r="AT49" i="43"/>
  <c r="AT69" i="43"/>
  <c r="AW53" i="43" s="1"/>
  <c r="AX53" i="43" s="1"/>
  <c r="AT47" i="43"/>
  <c r="AT68" i="43"/>
  <c r="AW52" i="43" s="1"/>
  <c r="AT45" i="43"/>
  <c r="AT67" i="43"/>
  <c r="AW51" i="43" s="1"/>
  <c r="AT42" i="43"/>
  <c r="AT59" i="43"/>
  <c r="AW43" i="43" s="1"/>
  <c r="AT55" i="43"/>
  <c r="AW39" i="43" s="1"/>
  <c r="AT57" i="43"/>
  <c r="AW41" i="43" s="1"/>
  <c r="AT39" i="43"/>
  <c r="AT66" i="43"/>
  <c r="AW50" i="43" s="1"/>
  <c r="AT63" i="43"/>
  <c r="AW47" i="43" s="1"/>
  <c r="AV57" i="43" l="1"/>
  <c r="C83" i="43" s="1"/>
  <c r="AW54" i="43"/>
  <c r="AT70" i="43"/>
  <c r="K144" i="32" l="1"/>
  <c r="L144" i="32"/>
  <c r="M144" i="32" a="1"/>
  <c r="M144" i="32" s="1"/>
  <c r="N144" i="32" a="1"/>
  <c r="N144" i="32" s="1"/>
  <c r="O144" i="32" a="1"/>
  <c r="O144" i="32" s="1"/>
  <c r="K145" i="32"/>
  <c r="L145" i="32"/>
  <c r="M145" i="32" a="1"/>
  <c r="M145" i="32" s="1"/>
  <c r="N145" i="32" a="1"/>
  <c r="N145" i="32" s="1"/>
  <c r="O145" i="32" a="1"/>
  <c r="O145" i="32" s="1"/>
  <c r="B9" i="30" l="1"/>
  <c r="L146" i="32"/>
  <c r="M146" i="32" a="1"/>
  <c r="M146" i="32" s="1"/>
  <c r="N146" i="32" a="1"/>
  <c r="N146" i="32" s="1"/>
  <c r="O146" i="32" a="1"/>
  <c r="O146" i="32" s="1"/>
  <c r="L147" i="32"/>
  <c r="M147" i="32" a="1"/>
  <c r="M147" i="32" s="1"/>
  <c r="N147" i="32" a="1"/>
  <c r="N147" i="32" s="1"/>
  <c r="O147" i="32" a="1"/>
  <c r="O147" i="32" s="1"/>
  <c r="L148" i="32"/>
  <c r="M148" i="32" a="1"/>
  <c r="M148" i="32" s="1"/>
  <c r="N148" i="32" a="1"/>
  <c r="N148" i="32" s="1"/>
  <c r="O148" i="32" a="1"/>
  <c r="O148" i="32" s="1"/>
  <c r="L149" i="32"/>
  <c r="M149" i="32" a="1"/>
  <c r="M149" i="32" s="1"/>
  <c r="N149" i="32" a="1"/>
  <c r="N149" i="32" s="1"/>
  <c r="O149" i="32" a="1"/>
  <c r="O149" i="32" s="1"/>
  <c r="L150" i="32"/>
  <c r="M150" i="32" a="1"/>
  <c r="M150" i="32" s="1"/>
  <c r="N150" i="32" a="1"/>
  <c r="N150" i="32" s="1"/>
  <c r="O150" i="32" a="1"/>
  <c r="O150" i="32" s="1"/>
  <c r="Q150" i="32" a="1"/>
  <c r="Q150" i="32" s="1"/>
  <c r="R150" i="32"/>
  <c r="S150" i="32"/>
  <c r="T150" i="32"/>
  <c r="U150" i="32"/>
  <c r="L151" i="32"/>
  <c r="M151" i="32" a="1"/>
  <c r="M151" i="32" s="1"/>
  <c r="N151" i="32" a="1"/>
  <c r="N151" i="32" s="1"/>
  <c r="O151" i="32" a="1"/>
  <c r="O151" i="32" s="1"/>
  <c r="Q151" i="32" a="1"/>
  <c r="Q151" i="32" s="1"/>
  <c r="R151" i="32"/>
  <c r="S151" i="32"/>
  <c r="T151" i="32"/>
  <c r="U151" i="32"/>
  <c r="U9" i="32"/>
  <c r="T9" i="32"/>
  <c r="S9" i="32"/>
  <c r="R9" i="32"/>
  <c r="Q9" i="32" a="1"/>
  <c r="Q9" i="32" s="1"/>
  <c r="K146" i="32"/>
  <c r="K147" i="32"/>
  <c r="O9" i="32" a="1"/>
  <c r="O9" i="32" s="1"/>
  <c r="N9" i="32" a="1"/>
  <c r="N9" i="32" s="1"/>
  <c r="M9" i="32" a="1"/>
  <c r="M9" i="32" s="1"/>
  <c r="M7" i="32"/>
  <c r="O7" i="32"/>
  <c r="Q7" i="32"/>
  <c r="S7" i="32"/>
  <c r="T7" i="32"/>
  <c r="U7" i="32"/>
  <c r="L9" i="32"/>
  <c r="K9" i="32"/>
  <c r="F4" i="28" l="1"/>
  <c r="C5" i="25" l="1"/>
  <c r="C6" i="25" s="1"/>
  <c r="C7" i="25" s="1"/>
  <c r="G3" i="32" l="1"/>
  <c r="G6" i="32"/>
  <c r="G2" i="32"/>
  <c r="G5" i="32"/>
  <c r="G4" i="32"/>
  <c r="X84" i="32" l="1"/>
  <c r="X85" i="32"/>
  <c r="X86" i="32"/>
  <c r="Y90" i="32"/>
  <c r="Z120" i="32"/>
  <c r="Z121" i="32"/>
  <c r="Z122" i="32"/>
  <c r="Z123" i="32"/>
  <c r="Z124" i="32"/>
  <c r="Z125" i="32"/>
  <c r="Z126" i="32"/>
  <c r="Z127" i="32"/>
  <c r="Z128" i="32"/>
  <c r="Z129" i="32"/>
  <c r="Z97" i="32"/>
  <c r="Z98" i="32"/>
  <c r="Z99" i="32"/>
  <c r="Z100" i="32"/>
  <c r="Z101" i="32"/>
  <c r="Z102" i="32"/>
  <c r="Z103" i="32"/>
  <c r="Z104" i="32"/>
  <c r="Z105" i="32"/>
  <c r="Z106" i="32"/>
  <c r="Z107" i="32"/>
  <c r="Z108" i="32"/>
  <c r="Z109" i="32"/>
  <c r="Z110" i="32"/>
  <c r="Z111" i="32"/>
  <c r="Z112" i="32"/>
  <c r="Z113" i="32"/>
  <c r="Z114" i="32"/>
  <c r="Z115" i="32"/>
  <c r="Z116" i="32"/>
  <c r="Z117" i="32"/>
  <c r="Z118" i="32"/>
  <c r="Z119" i="32"/>
  <c r="Z90" i="32"/>
  <c r="AA90" i="32"/>
  <c r="Z91" i="32"/>
  <c r="AA91" i="32"/>
  <c r="Z92" i="32"/>
  <c r="AA92" i="32"/>
  <c r="Z93" i="32"/>
  <c r="AA93" i="32"/>
  <c r="Z94" i="32"/>
  <c r="AA94" i="32"/>
  <c r="Z95" i="32"/>
  <c r="AA95" i="32"/>
  <c r="Z96" i="32"/>
  <c r="Y84" i="32"/>
  <c r="Z84" i="32"/>
  <c r="AA84" i="32"/>
  <c r="Y85" i="32"/>
  <c r="Z85" i="32"/>
  <c r="AA85" i="32"/>
  <c r="Y86" i="32"/>
  <c r="Z86" i="32"/>
  <c r="AA86" i="32"/>
  <c r="Y87" i="32"/>
  <c r="Z87" i="32"/>
  <c r="AA87" i="32"/>
  <c r="Y88" i="32"/>
  <c r="Z88" i="32"/>
  <c r="AA88" i="32"/>
  <c r="Y89" i="32"/>
  <c r="Z89" i="32"/>
  <c r="AA89" i="32"/>
  <c r="X73" i="32"/>
  <c r="Y73" i="32"/>
  <c r="Z73" i="32"/>
  <c r="AA73" i="32"/>
  <c r="X74" i="32"/>
  <c r="Y74" i="32"/>
  <c r="Z74" i="32"/>
  <c r="AA74" i="32"/>
  <c r="X75" i="32"/>
  <c r="Y75" i="32"/>
  <c r="Z75" i="32"/>
  <c r="AA75" i="32"/>
  <c r="X76" i="32"/>
  <c r="Y76" i="32"/>
  <c r="Z76" i="32"/>
  <c r="AA76" i="32"/>
  <c r="X77" i="32"/>
  <c r="Y77" i="32"/>
  <c r="Z77" i="32"/>
  <c r="AA77" i="32"/>
  <c r="X78" i="32"/>
  <c r="Y78" i="32"/>
  <c r="Z78" i="32"/>
  <c r="AA78" i="32"/>
  <c r="X79" i="32"/>
  <c r="Y79" i="32"/>
  <c r="Z79" i="32"/>
  <c r="AA79" i="32"/>
  <c r="X80" i="32"/>
  <c r="Y80" i="32"/>
  <c r="Z80" i="32"/>
  <c r="AA80" i="32"/>
  <c r="X81" i="32"/>
  <c r="Y81" i="32"/>
  <c r="Z81" i="32"/>
  <c r="AA81" i="32"/>
  <c r="X82" i="32"/>
  <c r="Y82" i="32"/>
  <c r="Z82" i="32"/>
  <c r="AA82" i="32"/>
  <c r="X83" i="32"/>
  <c r="Y83" i="32"/>
  <c r="Z83" i="32"/>
  <c r="AA83" i="32"/>
  <c r="W72" i="32"/>
  <c r="X72" i="32"/>
  <c r="Y72" i="32"/>
  <c r="Z72" i="32"/>
  <c r="AA72" i="32"/>
  <c r="W53" i="32"/>
  <c r="X53" i="32"/>
  <c r="Y53" i="32"/>
  <c r="Z53" i="32"/>
  <c r="AA53" i="32"/>
  <c r="W54" i="32"/>
  <c r="X54" i="32"/>
  <c r="Y54" i="32"/>
  <c r="Z54" i="32"/>
  <c r="AA54" i="32"/>
  <c r="W55" i="32"/>
  <c r="X55" i="32"/>
  <c r="Y55" i="32"/>
  <c r="Z55" i="32"/>
  <c r="AA55" i="32"/>
  <c r="W56" i="32"/>
  <c r="X56" i="32"/>
  <c r="Y56" i="32"/>
  <c r="Z56" i="32"/>
  <c r="AA56" i="32"/>
  <c r="W57" i="32"/>
  <c r="X57" i="32"/>
  <c r="Y57" i="32"/>
  <c r="Z57" i="32"/>
  <c r="AA57" i="32"/>
  <c r="W58" i="32"/>
  <c r="X58" i="32"/>
  <c r="Y58" i="32"/>
  <c r="Z58" i="32"/>
  <c r="AA58" i="32"/>
  <c r="W59" i="32"/>
  <c r="X59" i="32"/>
  <c r="Y59" i="32"/>
  <c r="Z59" i="32"/>
  <c r="AA59" i="32"/>
  <c r="W60" i="32"/>
  <c r="X60" i="32"/>
  <c r="Y60" i="32"/>
  <c r="Z60" i="32"/>
  <c r="AA60" i="32"/>
  <c r="W61" i="32"/>
  <c r="X61" i="32"/>
  <c r="Y61" i="32"/>
  <c r="Z61" i="32"/>
  <c r="AA61" i="32"/>
  <c r="W62" i="32"/>
  <c r="X62" i="32"/>
  <c r="Y62" i="32"/>
  <c r="Z62" i="32"/>
  <c r="AA62" i="32"/>
  <c r="W63" i="32"/>
  <c r="X63" i="32"/>
  <c r="Y63" i="32"/>
  <c r="Z63" i="32"/>
  <c r="AA63" i="32"/>
  <c r="W64" i="32"/>
  <c r="X64" i="32"/>
  <c r="Y64" i="32"/>
  <c r="Z64" i="32"/>
  <c r="AA64" i="32"/>
  <c r="W65" i="32"/>
  <c r="X65" i="32"/>
  <c r="Y65" i="32"/>
  <c r="Z65" i="32"/>
  <c r="AA65" i="32"/>
  <c r="W66" i="32"/>
  <c r="X66" i="32"/>
  <c r="Y66" i="32"/>
  <c r="Z66" i="32"/>
  <c r="AA66" i="32"/>
  <c r="W67" i="32"/>
  <c r="X67" i="32"/>
  <c r="Y67" i="32"/>
  <c r="Z67" i="32"/>
  <c r="AA67" i="32"/>
  <c r="W68" i="32"/>
  <c r="X68" i="32"/>
  <c r="Y68" i="32"/>
  <c r="Z68" i="32"/>
  <c r="AA68" i="32"/>
  <c r="W69" i="32"/>
  <c r="X69" i="32"/>
  <c r="Y69" i="32"/>
  <c r="Z69" i="32"/>
  <c r="AA69" i="32"/>
  <c r="W70" i="32"/>
  <c r="X70" i="32"/>
  <c r="Y70" i="32"/>
  <c r="Z70" i="32"/>
  <c r="AA70" i="32"/>
  <c r="W71" i="32"/>
  <c r="X71" i="32"/>
  <c r="Y71" i="32"/>
  <c r="Z71" i="32"/>
  <c r="AA71" i="32"/>
  <c r="W39" i="32"/>
  <c r="X39" i="32"/>
  <c r="Y39" i="32"/>
  <c r="Z39" i="32"/>
  <c r="AA39" i="32"/>
  <c r="W40" i="32"/>
  <c r="X40" i="32"/>
  <c r="Y40" i="32"/>
  <c r="Z40" i="32"/>
  <c r="AA40" i="32"/>
  <c r="W41" i="32"/>
  <c r="X41" i="32"/>
  <c r="Y41" i="32"/>
  <c r="Z41" i="32"/>
  <c r="AA41" i="32"/>
  <c r="W42" i="32"/>
  <c r="X42" i="32"/>
  <c r="Y42" i="32"/>
  <c r="Z42" i="32"/>
  <c r="AA42" i="32"/>
  <c r="W43" i="32"/>
  <c r="X43" i="32"/>
  <c r="Y43" i="32"/>
  <c r="Z43" i="32"/>
  <c r="AA43" i="32"/>
  <c r="W44" i="32"/>
  <c r="X44" i="32"/>
  <c r="Y44" i="32"/>
  <c r="Z44" i="32"/>
  <c r="AA44" i="32"/>
  <c r="W45" i="32"/>
  <c r="X45" i="32"/>
  <c r="Y45" i="32"/>
  <c r="Z45" i="32"/>
  <c r="AA45" i="32"/>
  <c r="W46" i="32"/>
  <c r="X46" i="32"/>
  <c r="Y46" i="32"/>
  <c r="Z46" i="32"/>
  <c r="AA46" i="32"/>
  <c r="W47" i="32"/>
  <c r="X47" i="32"/>
  <c r="Y47" i="32"/>
  <c r="Z47" i="32"/>
  <c r="AA47" i="32"/>
  <c r="W48" i="32"/>
  <c r="X48" i="32"/>
  <c r="Y48" i="32"/>
  <c r="Z48" i="32"/>
  <c r="AA48" i="32"/>
  <c r="W49" i="32"/>
  <c r="X49" i="32"/>
  <c r="Y49" i="32"/>
  <c r="Z49" i="32"/>
  <c r="AA49" i="32"/>
  <c r="W50" i="32"/>
  <c r="X50" i="32"/>
  <c r="Y50" i="32"/>
  <c r="Z50" i="32"/>
  <c r="AA50" i="32"/>
  <c r="W51" i="32"/>
  <c r="X51" i="32"/>
  <c r="Y51" i="32"/>
  <c r="Z51" i="32"/>
  <c r="AA51" i="32"/>
  <c r="W52" i="32"/>
  <c r="X52" i="32"/>
  <c r="Y52" i="32"/>
  <c r="Z52" i="32"/>
  <c r="AA52" i="32"/>
  <c r="W10" i="32"/>
  <c r="X10" i="32"/>
  <c r="Y10" i="32"/>
  <c r="Z10" i="32"/>
  <c r="AA10" i="32"/>
  <c r="W11" i="32"/>
  <c r="X11" i="32"/>
  <c r="Y11" i="32"/>
  <c r="Z11" i="32"/>
  <c r="AA11" i="32"/>
  <c r="W12" i="32"/>
  <c r="X12" i="32"/>
  <c r="Y12" i="32"/>
  <c r="Z12" i="32"/>
  <c r="AA12" i="32"/>
  <c r="W13" i="32"/>
  <c r="X13" i="32"/>
  <c r="Y13" i="32"/>
  <c r="Z13" i="32"/>
  <c r="AA13" i="32"/>
  <c r="W14" i="32"/>
  <c r="X14" i="32"/>
  <c r="Y14" i="32"/>
  <c r="Z14" i="32"/>
  <c r="AA14" i="32"/>
  <c r="W15" i="32"/>
  <c r="X15" i="32"/>
  <c r="Y15" i="32"/>
  <c r="Z15" i="32"/>
  <c r="AA15" i="32"/>
  <c r="W16" i="32"/>
  <c r="X16" i="32"/>
  <c r="Y16" i="32"/>
  <c r="Z16" i="32"/>
  <c r="AA16" i="32"/>
  <c r="W17" i="32"/>
  <c r="X17" i="32"/>
  <c r="Y17" i="32"/>
  <c r="Z17" i="32"/>
  <c r="AA17" i="32"/>
  <c r="W18" i="32"/>
  <c r="X18" i="32"/>
  <c r="Y18" i="32"/>
  <c r="Z18" i="32"/>
  <c r="AA18" i="32"/>
  <c r="W19" i="32"/>
  <c r="X19" i="32"/>
  <c r="Y19" i="32"/>
  <c r="Z19" i="32"/>
  <c r="AA19" i="32"/>
  <c r="W20" i="32"/>
  <c r="X20" i="32"/>
  <c r="Y20" i="32"/>
  <c r="Z20" i="32"/>
  <c r="AA20" i="32"/>
  <c r="W21" i="32"/>
  <c r="X21" i="32"/>
  <c r="Y21" i="32"/>
  <c r="Z21" i="32"/>
  <c r="AA21" i="32"/>
  <c r="W22" i="32"/>
  <c r="X22" i="32"/>
  <c r="Y22" i="32"/>
  <c r="Z22" i="32"/>
  <c r="AA22" i="32"/>
  <c r="W23" i="32"/>
  <c r="X23" i="32"/>
  <c r="Y23" i="32"/>
  <c r="Z23" i="32"/>
  <c r="AA23" i="32"/>
  <c r="W24" i="32"/>
  <c r="X24" i="32"/>
  <c r="Y24" i="32"/>
  <c r="Z24" i="32"/>
  <c r="AA24" i="32"/>
  <c r="W25" i="32"/>
  <c r="X25" i="32"/>
  <c r="Y25" i="32"/>
  <c r="Z25" i="32"/>
  <c r="AA25" i="32"/>
  <c r="W26" i="32"/>
  <c r="X26" i="32"/>
  <c r="Y26" i="32"/>
  <c r="Z26" i="32"/>
  <c r="AA26" i="32"/>
  <c r="W27" i="32"/>
  <c r="X27" i="32"/>
  <c r="Y27" i="32"/>
  <c r="Z27" i="32"/>
  <c r="AA27" i="32"/>
  <c r="W28" i="32"/>
  <c r="X28" i="32"/>
  <c r="Y28" i="32"/>
  <c r="Z28" i="32"/>
  <c r="AA28" i="32"/>
  <c r="W29" i="32"/>
  <c r="X29" i="32"/>
  <c r="Y29" i="32"/>
  <c r="Z29" i="32"/>
  <c r="AA29" i="32"/>
  <c r="W30" i="32"/>
  <c r="X30" i="32"/>
  <c r="Y30" i="32"/>
  <c r="Z30" i="32"/>
  <c r="AA30" i="32"/>
  <c r="W31" i="32"/>
  <c r="X31" i="32"/>
  <c r="Y31" i="32"/>
  <c r="Z31" i="32"/>
  <c r="AA31" i="32"/>
  <c r="W32" i="32"/>
  <c r="X32" i="32"/>
  <c r="Y32" i="32"/>
  <c r="Z32" i="32"/>
  <c r="AA32" i="32"/>
  <c r="W33" i="32"/>
  <c r="X33" i="32"/>
  <c r="Y33" i="32"/>
  <c r="Z33" i="32"/>
  <c r="AA33" i="32"/>
  <c r="W34" i="32"/>
  <c r="X34" i="32"/>
  <c r="Y34" i="32"/>
  <c r="Z34" i="32"/>
  <c r="AA34" i="32"/>
  <c r="W35" i="32"/>
  <c r="X35" i="32"/>
  <c r="Y35" i="32"/>
  <c r="Z35" i="32"/>
  <c r="AA35" i="32"/>
  <c r="W36" i="32"/>
  <c r="X36" i="32"/>
  <c r="Y36" i="32"/>
  <c r="Z36" i="32"/>
  <c r="AA36" i="32"/>
  <c r="W37" i="32"/>
  <c r="X37" i="32"/>
  <c r="Y37" i="32"/>
  <c r="Z37" i="32"/>
  <c r="AA37" i="32"/>
  <c r="W38" i="32"/>
  <c r="X38" i="32"/>
  <c r="Y38" i="32"/>
  <c r="Z38" i="32"/>
  <c r="AA38" i="32"/>
  <c r="AA9" i="32"/>
  <c r="X9" i="32"/>
  <c r="Y9" i="32"/>
  <c r="Z9" i="32"/>
  <c r="W9" i="32"/>
  <c r="C15" i="32" l="1"/>
  <c r="C18" i="32"/>
  <c r="C17" i="32"/>
  <c r="C19" i="32"/>
  <c r="C16" i="32"/>
  <c r="C9" i="32" l="1"/>
  <c r="C4" i="32" l="1" a="1"/>
  <c r="C4" i="32" s="1"/>
  <c r="C12" i="32"/>
  <c r="C11" i="32"/>
  <c r="C10" i="32"/>
  <c r="C8" i="32"/>
  <c r="C2" i="32"/>
  <c r="C5" i="32"/>
  <c r="C6" i="32"/>
  <c r="C3" i="32"/>
  <c r="D6" i="25" l="1"/>
  <c r="D5" i="25"/>
  <c r="D4" i="25"/>
  <c r="D3" i="25"/>
  <c r="B3" i="26" l="1"/>
  <c r="G2" i="27"/>
  <c r="C2" i="28"/>
  <c r="BF683" i="18"/>
  <c r="BE683" i="18"/>
  <c r="BD683" i="18"/>
  <c r="BC683" i="18"/>
  <c r="BB683" i="18"/>
  <c r="BF682" i="18"/>
  <c r="BE682" i="18"/>
  <c r="BD682" i="18"/>
  <c r="BC682" i="18"/>
  <c r="BB682" i="18"/>
  <c r="BF681" i="18"/>
  <c r="BE681" i="18"/>
  <c r="BD681" i="18"/>
  <c r="BC681" i="18"/>
  <c r="BB681" i="18"/>
  <c r="BF680" i="18"/>
  <c r="BE680" i="18"/>
  <c r="BD680" i="18"/>
  <c r="BC680" i="18"/>
  <c r="BB680" i="18"/>
  <c r="BF679" i="18"/>
  <c r="BE679" i="18"/>
  <c r="BD679" i="18"/>
  <c r="BC679" i="18"/>
  <c r="BB679" i="18"/>
  <c r="BF678" i="18"/>
  <c r="BE678" i="18"/>
  <c r="BD678" i="18"/>
  <c r="BC678" i="18"/>
  <c r="BB678" i="18"/>
  <c r="BF677" i="18"/>
  <c r="BE677" i="18"/>
  <c r="BD677" i="18"/>
  <c r="BC677" i="18"/>
  <c r="BB677" i="18"/>
  <c r="BF676" i="18"/>
  <c r="BE676" i="18"/>
  <c r="BD676" i="18"/>
  <c r="BC676" i="18"/>
  <c r="BB676" i="18"/>
  <c r="BF675" i="18"/>
  <c r="BE675" i="18"/>
  <c r="BD675" i="18"/>
  <c r="BC675" i="18"/>
  <c r="BB675" i="18"/>
  <c r="BF674" i="18"/>
  <c r="BE674" i="18"/>
  <c r="BD674" i="18"/>
  <c r="BC674" i="18"/>
  <c r="BB674" i="18"/>
  <c r="BF673" i="18"/>
  <c r="BE673" i="18"/>
  <c r="BD673" i="18"/>
  <c r="BC673" i="18"/>
  <c r="BB673" i="18"/>
  <c r="BF672" i="18"/>
  <c r="BE672" i="18"/>
  <c r="BD672" i="18"/>
  <c r="BC672" i="18"/>
  <c r="BB672" i="18"/>
  <c r="BF671" i="18"/>
  <c r="BE671" i="18"/>
  <c r="BD671" i="18"/>
  <c r="BC671" i="18"/>
  <c r="BB671" i="18"/>
  <c r="BF670" i="18"/>
  <c r="BE670" i="18"/>
  <c r="BD670" i="18"/>
  <c r="BC670" i="18"/>
  <c r="BB670" i="18"/>
  <c r="BF669" i="18"/>
  <c r="BE669" i="18"/>
  <c r="BD669" i="18"/>
  <c r="BC669" i="18"/>
  <c r="BB669" i="18"/>
  <c r="BF668" i="18"/>
  <c r="BE668" i="18"/>
  <c r="BD668" i="18"/>
  <c r="BC668" i="18"/>
  <c r="BB668" i="18"/>
  <c r="BF667" i="18"/>
  <c r="BE667" i="18"/>
  <c r="BD667" i="18"/>
  <c r="BC667" i="18"/>
  <c r="BB667" i="18"/>
  <c r="BF666" i="18"/>
  <c r="BE666" i="18"/>
  <c r="BD666" i="18"/>
  <c r="BC666" i="18"/>
  <c r="BB666" i="18"/>
  <c r="BF665" i="18"/>
  <c r="BE665" i="18"/>
  <c r="BD665" i="18"/>
  <c r="BC665" i="18"/>
  <c r="BB665" i="18"/>
  <c r="BF664" i="18"/>
  <c r="BE664" i="18"/>
  <c r="BD664" i="18"/>
  <c r="BC664" i="18"/>
  <c r="BB664" i="18"/>
  <c r="BF663" i="18"/>
  <c r="BE663" i="18"/>
  <c r="BD663" i="18"/>
  <c r="BC663" i="18"/>
  <c r="BB663" i="18"/>
  <c r="BF662" i="18"/>
  <c r="BE662" i="18"/>
  <c r="BD662" i="18"/>
  <c r="BC662" i="18"/>
  <c r="BB662" i="18"/>
  <c r="BF661" i="18"/>
  <c r="BE661" i="18"/>
  <c r="BD661" i="18"/>
  <c r="BC661" i="18"/>
  <c r="BB661" i="18"/>
  <c r="BF660" i="18"/>
  <c r="BE660" i="18"/>
  <c r="BD660" i="18"/>
  <c r="BC660" i="18"/>
  <c r="BB660" i="18"/>
  <c r="BF659" i="18"/>
  <c r="BE659" i="18"/>
  <c r="BD659" i="18"/>
  <c r="BC659" i="18"/>
  <c r="BB659" i="18"/>
  <c r="BF658" i="18"/>
  <c r="BE658" i="18"/>
  <c r="BD658" i="18"/>
  <c r="BC658" i="18"/>
  <c r="BB658" i="18"/>
  <c r="BF657" i="18"/>
  <c r="BE657" i="18"/>
  <c r="BD657" i="18"/>
  <c r="BC657" i="18"/>
  <c r="BB657" i="18"/>
  <c r="BF656" i="18"/>
  <c r="BE656" i="18"/>
  <c r="BD656" i="18"/>
  <c r="BC656" i="18"/>
  <c r="BB656" i="18"/>
  <c r="BF655" i="18"/>
  <c r="BE655" i="18"/>
  <c r="BD655" i="18"/>
  <c r="BC655" i="18"/>
  <c r="BB655" i="18"/>
  <c r="BF654" i="18"/>
  <c r="BE654" i="18"/>
  <c r="BD654" i="18"/>
  <c r="BC654" i="18"/>
  <c r="BB654" i="18"/>
  <c r="BF653" i="18"/>
  <c r="BE653" i="18"/>
  <c r="BD653" i="18"/>
  <c r="BC653" i="18"/>
  <c r="BB653" i="18"/>
  <c r="BF652" i="18"/>
  <c r="BE652" i="18"/>
  <c r="BD652" i="18"/>
  <c r="BC652" i="18"/>
  <c r="BB652" i="18"/>
  <c r="BF651" i="18"/>
  <c r="BE651" i="18"/>
  <c r="BD651" i="18"/>
  <c r="BC651" i="18"/>
  <c r="BB651" i="18"/>
  <c r="BF650" i="18"/>
  <c r="BE650" i="18"/>
  <c r="BD650" i="18"/>
  <c r="BC650" i="18"/>
  <c r="BB650" i="18"/>
  <c r="BF649" i="18"/>
  <c r="BE649" i="18"/>
  <c r="BD649" i="18"/>
  <c r="BC649" i="18"/>
  <c r="BB649" i="18"/>
  <c r="BF648" i="18"/>
  <c r="BE648" i="18"/>
  <c r="BD648" i="18"/>
  <c r="BC648" i="18"/>
  <c r="BB648" i="18"/>
  <c r="BF647" i="18"/>
  <c r="BE647" i="18"/>
  <c r="BD647" i="18"/>
  <c r="BC647" i="18"/>
  <c r="BB647" i="18"/>
  <c r="BF646" i="18"/>
  <c r="BE646" i="18"/>
  <c r="BD646" i="18"/>
  <c r="BC646" i="18"/>
  <c r="BB646" i="18"/>
  <c r="BF645" i="18"/>
  <c r="BE645" i="18"/>
  <c r="BD645" i="18"/>
  <c r="BC645" i="18"/>
  <c r="BB645" i="18"/>
  <c r="BF644" i="18"/>
  <c r="BE644" i="18"/>
  <c r="BD644" i="18"/>
  <c r="BC644" i="18"/>
  <c r="BB644" i="18"/>
  <c r="BF643" i="18"/>
  <c r="BE643" i="18"/>
  <c r="BD643" i="18"/>
  <c r="BC643" i="18"/>
  <c r="BB643" i="18"/>
  <c r="BF642" i="18"/>
  <c r="BE642" i="18"/>
  <c r="BD642" i="18"/>
  <c r="BC642" i="18"/>
  <c r="BB642" i="18"/>
  <c r="BF641" i="18"/>
  <c r="BE641" i="18"/>
  <c r="BD641" i="18"/>
  <c r="BC641" i="18"/>
  <c r="BB641" i="18"/>
  <c r="BF640" i="18"/>
  <c r="BE640" i="18"/>
  <c r="BD640" i="18"/>
  <c r="BC640" i="18"/>
  <c r="BB640" i="18"/>
  <c r="BF639" i="18"/>
  <c r="BE639" i="18"/>
  <c r="BD639" i="18"/>
  <c r="BC639" i="18"/>
  <c r="BB639" i="18"/>
  <c r="BF638" i="18"/>
  <c r="BE638" i="18"/>
  <c r="BD638" i="18"/>
  <c r="BC638" i="18"/>
  <c r="BB638" i="18"/>
  <c r="BF637" i="18"/>
  <c r="BE637" i="18"/>
  <c r="BD637" i="18"/>
  <c r="BC637" i="18"/>
  <c r="BB637" i="18"/>
  <c r="BF636" i="18"/>
  <c r="BE636" i="18"/>
  <c r="BD636" i="18"/>
  <c r="BC636" i="18"/>
  <c r="BB636" i="18"/>
  <c r="BF635" i="18"/>
  <c r="BE635" i="18"/>
  <c r="BD635" i="18"/>
  <c r="BC635" i="18"/>
  <c r="BB635" i="18"/>
  <c r="BF634" i="18"/>
  <c r="BE634" i="18"/>
  <c r="BD634" i="18"/>
  <c r="BC634" i="18"/>
  <c r="BB634" i="18"/>
  <c r="BF633" i="18"/>
  <c r="BE633" i="18"/>
  <c r="BD633" i="18"/>
  <c r="BC633" i="18"/>
  <c r="BB633" i="18"/>
  <c r="BF632" i="18"/>
  <c r="BE632" i="18"/>
  <c r="BD632" i="18"/>
  <c r="BC632" i="18"/>
  <c r="BB632" i="18"/>
  <c r="BF631" i="18"/>
  <c r="BE631" i="18"/>
  <c r="BD631" i="18"/>
  <c r="BC631" i="18"/>
  <c r="BB631" i="18"/>
  <c r="BF630" i="18"/>
  <c r="BE630" i="18"/>
  <c r="BD630" i="18"/>
  <c r="BC630" i="18"/>
  <c r="BB630" i="18"/>
  <c r="BF629" i="18"/>
  <c r="BE629" i="18"/>
  <c r="BD629" i="18"/>
  <c r="BC629" i="18"/>
  <c r="BB629" i="18"/>
  <c r="BF628" i="18"/>
  <c r="BE628" i="18"/>
  <c r="BD628" i="18"/>
  <c r="BC628" i="18"/>
  <c r="BB628" i="18"/>
  <c r="BF627" i="18"/>
  <c r="BE627" i="18"/>
  <c r="BD627" i="18"/>
  <c r="BC627" i="18"/>
  <c r="BB627" i="18"/>
  <c r="BF626" i="18"/>
  <c r="BE626" i="18"/>
  <c r="BD626" i="18"/>
  <c r="BC626" i="18"/>
  <c r="BB626" i="18"/>
  <c r="BF625" i="18"/>
  <c r="BE625" i="18"/>
  <c r="BD625" i="18"/>
  <c r="BC625" i="18"/>
  <c r="BB625" i="18"/>
  <c r="BF624" i="18"/>
  <c r="BE624" i="18"/>
  <c r="BD624" i="18"/>
  <c r="BC624" i="18"/>
  <c r="BB624" i="18"/>
  <c r="BF623" i="18"/>
  <c r="BE623" i="18"/>
  <c r="BD623" i="18"/>
  <c r="BC623" i="18"/>
  <c r="BB623" i="18"/>
  <c r="BF622" i="18"/>
  <c r="BE622" i="18"/>
  <c r="BD622" i="18"/>
  <c r="BC622" i="18"/>
  <c r="BB622" i="18"/>
  <c r="BF621" i="18"/>
  <c r="BE621" i="18"/>
  <c r="BD621" i="18"/>
  <c r="BC621" i="18"/>
  <c r="BB621" i="18"/>
  <c r="BF620" i="18"/>
  <c r="BE620" i="18"/>
  <c r="BD620" i="18"/>
  <c r="BC620" i="18"/>
  <c r="BB620" i="18"/>
  <c r="BF619" i="18"/>
  <c r="BE619" i="18"/>
  <c r="BD619" i="18"/>
  <c r="BC619" i="18"/>
  <c r="BB619" i="18"/>
  <c r="BF618" i="18"/>
  <c r="BE618" i="18"/>
  <c r="BD618" i="18"/>
  <c r="BC618" i="18"/>
  <c r="BB618" i="18"/>
  <c r="BF617" i="18"/>
  <c r="BE617" i="18"/>
  <c r="BD617" i="18"/>
  <c r="BC617" i="18"/>
  <c r="BB617" i="18"/>
  <c r="BF616" i="18"/>
  <c r="BE616" i="18"/>
  <c r="BD616" i="18"/>
  <c r="BC616" i="18"/>
  <c r="BB616" i="18"/>
  <c r="BF615" i="18"/>
  <c r="BE615" i="18"/>
  <c r="BD615" i="18"/>
  <c r="BC615" i="18"/>
  <c r="BB615" i="18"/>
  <c r="BF614" i="18"/>
  <c r="BE614" i="18"/>
  <c r="BD614" i="18"/>
  <c r="BC614" i="18"/>
  <c r="BB614" i="18"/>
  <c r="BF613" i="18"/>
  <c r="BE613" i="18"/>
  <c r="BD613" i="18"/>
  <c r="BC613" i="18"/>
  <c r="BB613" i="18"/>
  <c r="BF612" i="18"/>
  <c r="BE612" i="18"/>
  <c r="BD612" i="18"/>
  <c r="BC612" i="18"/>
  <c r="BB612" i="18"/>
  <c r="BF611" i="18"/>
  <c r="BE611" i="18"/>
  <c r="BD611" i="18"/>
  <c r="BC611" i="18"/>
  <c r="BB611" i="18"/>
  <c r="BF610" i="18"/>
  <c r="BE610" i="18"/>
  <c r="BD610" i="18"/>
  <c r="BC610" i="18"/>
  <c r="BB610" i="18"/>
  <c r="BF609" i="18"/>
  <c r="BE609" i="18"/>
  <c r="BD609" i="18"/>
  <c r="BC609" i="18"/>
  <c r="BB609" i="18"/>
  <c r="BF608" i="18"/>
  <c r="BE608" i="18"/>
  <c r="BD608" i="18"/>
  <c r="BC608" i="18"/>
  <c r="BB608" i="18"/>
  <c r="BF607" i="18"/>
  <c r="BE607" i="18"/>
  <c r="BD607" i="18"/>
  <c r="BC607" i="18"/>
  <c r="BB607" i="18"/>
  <c r="BF606" i="18"/>
  <c r="BE606" i="18"/>
  <c r="BD606" i="18"/>
  <c r="BC606" i="18"/>
  <c r="BB606" i="18"/>
  <c r="BF605" i="18"/>
  <c r="BE605" i="18"/>
  <c r="BD605" i="18"/>
  <c r="BC605" i="18"/>
  <c r="BB605" i="18"/>
  <c r="BF604" i="18"/>
  <c r="BE604" i="18"/>
  <c r="BD604" i="18"/>
  <c r="BC604" i="18"/>
  <c r="BB604" i="18"/>
  <c r="BF603" i="18"/>
  <c r="BE603" i="18"/>
  <c r="BD603" i="18"/>
  <c r="BC603" i="18"/>
  <c r="BB603" i="18"/>
  <c r="BF602" i="18"/>
  <c r="BE602" i="18"/>
  <c r="BD602" i="18"/>
  <c r="BC602" i="18"/>
  <c r="BB602" i="18"/>
  <c r="BF601" i="18"/>
  <c r="BE601" i="18"/>
  <c r="BD601" i="18"/>
  <c r="BC601" i="18"/>
  <c r="BB601" i="18"/>
  <c r="BF600" i="18"/>
  <c r="BE600" i="18"/>
  <c r="BD600" i="18"/>
  <c r="BC600" i="18"/>
  <c r="BB600" i="18"/>
  <c r="BF599" i="18"/>
  <c r="BE599" i="18"/>
  <c r="BD599" i="18"/>
  <c r="BC599" i="18"/>
  <c r="BB599" i="18"/>
  <c r="BF598" i="18"/>
  <c r="BE598" i="18"/>
  <c r="BD598" i="18"/>
  <c r="BC598" i="18"/>
  <c r="BB598" i="18"/>
  <c r="BF597" i="18"/>
  <c r="BE597" i="18"/>
  <c r="BD597" i="18"/>
  <c r="BC597" i="18"/>
  <c r="BB597" i="18"/>
  <c r="BF596" i="18"/>
  <c r="BE596" i="18"/>
  <c r="BD596" i="18"/>
  <c r="BC596" i="18"/>
  <c r="BB596" i="18"/>
  <c r="BF595" i="18"/>
  <c r="BE595" i="18"/>
  <c r="BD595" i="18"/>
  <c r="BC595" i="18"/>
  <c r="BB595" i="18"/>
  <c r="BF594" i="18"/>
  <c r="BE594" i="18"/>
  <c r="BD594" i="18"/>
  <c r="BC594" i="18"/>
  <c r="BB594" i="18"/>
  <c r="BF593" i="18"/>
  <c r="BE593" i="18"/>
  <c r="BD593" i="18"/>
  <c r="BC593" i="18"/>
  <c r="BB593" i="18"/>
  <c r="BF592" i="18"/>
  <c r="BE592" i="18"/>
  <c r="BD592" i="18"/>
  <c r="BC592" i="18"/>
  <c r="BB592" i="18"/>
  <c r="BF591" i="18"/>
  <c r="BE591" i="18"/>
  <c r="BD591" i="18"/>
  <c r="BC591" i="18"/>
  <c r="BB591" i="18"/>
  <c r="BF590" i="18"/>
  <c r="BE590" i="18"/>
  <c r="BD590" i="18"/>
  <c r="BC590" i="18"/>
  <c r="BB590" i="18"/>
  <c r="BF589" i="18"/>
  <c r="BE589" i="18"/>
  <c r="BD589" i="18"/>
  <c r="BC589" i="18"/>
  <c r="BB589" i="18"/>
  <c r="BF588" i="18"/>
  <c r="BE588" i="18"/>
  <c r="BD588" i="18"/>
  <c r="BC588" i="18"/>
  <c r="BB588" i="18"/>
  <c r="BF587" i="18"/>
  <c r="BE587" i="18"/>
  <c r="BD587" i="18"/>
  <c r="BC587" i="18"/>
  <c r="BB587" i="18"/>
  <c r="BF586" i="18"/>
  <c r="BE586" i="18"/>
  <c r="BD586" i="18"/>
  <c r="BC586" i="18"/>
  <c r="BB586" i="18"/>
  <c r="BF585" i="18"/>
  <c r="BE585" i="18"/>
  <c r="BD585" i="18"/>
  <c r="BC585" i="18"/>
  <c r="BB585" i="18"/>
  <c r="BF584" i="18"/>
  <c r="BE584" i="18"/>
  <c r="BD584" i="18"/>
  <c r="BC584" i="18"/>
  <c r="BB584" i="18"/>
  <c r="BF583" i="18"/>
  <c r="BE583" i="18"/>
  <c r="BD583" i="18"/>
  <c r="BC583" i="18"/>
  <c r="BB583" i="18"/>
  <c r="BF582" i="18"/>
  <c r="BE582" i="18"/>
  <c r="BD582" i="18"/>
  <c r="BC582" i="18"/>
  <c r="BB582" i="18"/>
  <c r="BF581" i="18"/>
  <c r="BE581" i="18"/>
  <c r="BD581" i="18"/>
  <c r="BC581" i="18"/>
  <c r="BB581" i="18"/>
  <c r="BF580" i="18"/>
  <c r="BE580" i="18"/>
  <c r="BD580" i="18"/>
  <c r="BC580" i="18"/>
  <c r="BB580" i="18"/>
  <c r="BF579" i="18"/>
  <c r="BE579" i="18"/>
  <c r="BD579" i="18"/>
  <c r="BC579" i="18"/>
  <c r="BB579" i="18"/>
  <c r="BF578" i="18"/>
  <c r="BE578" i="18"/>
  <c r="BD578" i="18"/>
  <c r="BC578" i="18"/>
  <c r="BB578" i="18"/>
  <c r="BF577" i="18"/>
  <c r="BE577" i="18"/>
  <c r="BD577" i="18"/>
  <c r="BC577" i="18"/>
  <c r="BB577" i="18"/>
  <c r="BF576" i="18"/>
  <c r="BE576" i="18"/>
  <c r="BD576" i="18"/>
  <c r="BC576" i="18"/>
  <c r="BB576" i="18"/>
  <c r="BF575" i="18"/>
  <c r="BE575" i="18"/>
  <c r="BD575" i="18"/>
  <c r="BC575" i="18"/>
  <c r="BB575" i="18"/>
  <c r="BF574" i="18"/>
  <c r="BE574" i="18"/>
  <c r="BD574" i="18"/>
  <c r="BC574" i="18"/>
  <c r="BB574" i="18"/>
  <c r="BF573" i="18"/>
  <c r="BE573" i="18"/>
  <c r="BD573" i="18"/>
  <c r="BC573" i="18"/>
  <c r="BB573" i="18"/>
  <c r="BF572" i="18"/>
  <c r="BE572" i="18"/>
  <c r="BD572" i="18"/>
  <c r="BC572" i="18"/>
  <c r="BB572" i="18"/>
  <c r="BF571" i="18"/>
  <c r="BE571" i="18"/>
  <c r="BD571" i="18"/>
  <c r="BC571" i="18"/>
  <c r="BB571" i="18"/>
  <c r="BF570" i="18"/>
  <c r="BE570" i="18"/>
  <c r="BD570" i="18"/>
  <c r="BC570" i="18"/>
  <c r="BB570" i="18"/>
  <c r="BF569" i="18"/>
  <c r="BE569" i="18"/>
  <c r="BD569" i="18"/>
  <c r="BC569" i="18"/>
  <c r="BB569" i="18"/>
  <c r="BF568" i="18"/>
  <c r="BE568" i="18"/>
  <c r="BD568" i="18"/>
  <c r="BC568" i="18"/>
  <c r="BB568" i="18"/>
  <c r="BF567" i="18"/>
  <c r="BE567" i="18"/>
  <c r="BD567" i="18"/>
  <c r="BC567" i="18"/>
  <c r="BB567" i="18"/>
  <c r="BF566" i="18"/>
  <c r="BE566" i="18"/>
  <c r="BD566" i="18"/>
  <c r="BC566" i="18"/>
  <c r="BB566" i="18"/>
  <c r="BF565" i="18"/>
  <c r="BE565" i="18"/>
  <c r="BD565" i="18"/>
  <c r="BC565" i="18"/>
  <c r="BB565" i="18"/>
  <c r="BF564" i="18"/>
  <c r="BE564" i="18"/>
  <c r="BD564" i="18"/>
  <c r="BC564" i="18"/>
  <c r="BB564" i="18"/>
  <c r="BF563" i="18"/>
  <c r="BE563" i="18"/>
  <c r="BD563" i="18"/>
  <c r="BC563" i="18"/>
  <c r="BB563" i="18"/>
  <c r="BF562" i="18"/>
  <c r="BE562" i="18"/>
  <c r="BD562" i="18"/>
  <c r="BC562" i="18"/>
  <c r="BB562" i="18"/>
  <c r="BF561" i="18"/>
  <c r="BE561" i="18"/>
  <c r="BD561" i="18"/>
  <c r="BC561" i="18"/>
  <c r="BB561" i="18"/>
  <c r="BF560" i="18"/>
  <c r="BE560" i="18"/>
  <c r="BD560" i="18"/>
  <c r="BC560" i="18"/>
  <c r="BB560" i="18"/>
  <c r="BF559" i="18"/>
  <c r="BE559" i="18"/>
  <c r="BD559" i="18"/>
  <c r="BC559" i="18"/>
  <c r="BB559" i="18"/>
  <c r="BF558" i="18"/>
  <c r="BE558" i="18"/>
  <c r="BD558" i="18"/>
  <c r="BC558" i="18"/>
  <c r="BB558" i="18"/>
  <c r="BF557" i="18"/>
  <c r="BE557" i="18"/>
  <c r="BD557" i="18"/>
  <c r="BC557" i="18"/>
  <c r="BB557" i="18"/>
  <c r="BF556" i="18"/>
  <c r="BE556" i="18"/>
  <c r="BD556" i="18"/>
  <c r="BC556" i="18"/>
  <c r="BB556" i="18"/>
  <c r="BF555" i="18"/>
  <c r="BE555" i="18"/>
  <c r="BD555" i="18"/>
  <c r="BC555" i="18"/>
  <c r="BB555" i="18"/>
  <c r="BF554" i="18"/>
  <c r="BE554" i="18"/>
  <c r="BD554" i="18"/>
  <c r="BC554" i="18"/>
  <c r="BB554" i="18"/>
  <c r="BF553" i="18"/>
  <c r="BE553" i="18"/>
  <c r="BD553" i="18"/>
  <c r="BC553" i="18"/>
  <c r="BB553" i="18"/>
  <c r="BF552" i="18"/>
  <c r="BE552" i="18"/>
  <c r="BD552" i="18"/>
  <c r="BC552" i="18"/>
  <c r="BB552" i="18"/>
  <c r="BF551" i="18"/>
  <c r="BE551" i="18"/>
  <c r="BD551" i="18"/>
  <c r="BC551" i="18"/>
  <c r="BB551" i="18"/>
  <c r="BF550" i="18"/>
  <c r="BE550" i="18"/>
  <c r="BD550" i="18"/>
  <c r="BC550" i="18"/>
  <c r="BB550" i="18"/>
  <c r="BF549" i="18"/>
  <c r="BE549" i="18"/>
  <c r="BD549" i="18"/>
  <c r="BC549" i="18"/>
  <c r="BB549" i="18"/>
  <c r="BF548" i="18"/>
  <c r="BE548" i="18"/>
  <c r="BD548" i="18"/>
  <c r="BC548" i="18"/>
  <c r="BB548" i="18"/>
  <c r="BF547" i="18"/>
  <c r="BE547" i="18"/>
  <c r="BD547" i="18"/>
  <c r="BC547" i="18"/>
  <c r="BB547" i="18"/>
  <c r="BF546" i="18"/>
  <c r="BE546" i="18"/>
  <c r="BD546" i="18"/>
  <c r="BC546" i="18"/>
  <c r="BB546" i="18"/>
  <c r="BF545" i="18"/>
  <c r="BE545" i="18"/>
  <c r="BD545" i="18"/>
  <c r="BC545" i="18"/>
  <c r="BB545" i="18"/>
  <c r="BF544" i="18"/>
  <c r="BE544" i="18"/>
  <c r="BD544" i="18"/>
  <c r="BC544" i="18"/>
  <c r="BB544" i="18"/>
  <c r="BF543" i="18"/>
  <c r="BE543" i="18"/>
  <c r="BD543" i="18"/>
  <c r="BC543" i="18"/>
  <c r="BB543" i="18"/>
  <c r="BF542" i="18"/>
  <c r="BE542" i="18"/>
  <c r="BD542" i="18"/>
  <c r="BC542" i="18"/>
  <c r="BB542" i="18"/>
  <c r="BF541" i="18"/>
  <c r="BE541" i="18"/>
  <c r="BD541" i="18"/>
  <c r="BC541" i="18"/>
  <c r="BB541" i="18"/>
  <c r="BF540" i="18"/>
  <c r="BE540" i="18"/>
  <c r="BD540" i="18"/>
  <c r="BC540" i="18"/>
  <c r="BB540" i="18"/>
  <c r="BF539" i="18"/>
  <c r="BE539" i="18"/>
  <c r="BD539" i="18"/>
  <c r="BC539" i="18"/>
  <c r="BB539" i="18"/>
  <c r="BF538" i="18"/>
  <c r="BE538" i="18"/>
  <c r="BD538" i="18"/>
  <c r="BC538" i="18"/>
  <c r="BB538" i="18"/>
  <c r="BF537" i="18"/>
  <c r="BE537" i="18"/>
  <c r="BD537" i="18"/>
  <c r="BC537" i="18"/>
  <c r="BB537" i="18"/>
  <c r="BF536" i="18"/>
  <c r="BE536" i="18"/>
  <c r="BD536" i="18"/>
  <c r="BC536" i="18"/>
  <c r="BB536" i="18"/>
  <c r="BF535" i="18"/>
  <c r="BE535" i="18"/>
  <c r="BD535" i="18"/>
  <c r="BC535" i="18"/>
  <c r="BB535" i="18"/>
  <c r="BF534" i="18"/>
  <c r="BE534" i="18"/>
  <c r="BD534" i="18"/>
  <c r="BC534" i="18"/>
  <c r="BB534" i="18"/>
  <c r="BF533" i="18"/>
  <c r="BE533" i="18"/>
  <c r="BD533" i="18"/>
  <c r="BC533" i="18"/>
  <c r="BB533" i="18"/>
  <c r="BF532" i="18"/>
  <c r="BE532" i="18"/>
  <c r="BD532" i="18"/>
  <c r="BC532" i="18"/>
  <c r="BB532" i="18"/>
  <c r="BF531" i="18"/>
  <c r="BE531" i="18"/>
  <c r="BD531" i="18"/>
  <c r="BC531" i="18"/>
  <c r="BB531" i="18"/>
  <c r="BF530" i="18"/>
  <c r="BE530" i="18"/>
  <c r="BD530" i="18"/>
  <c r="BC530" i="18"/>
  <c r="BB530" i="18"/>
  <c r="BF529" i="18"/>
  <c r="BE529" i="18"/>
  <c r="BD529" i="18"/>
  <c r="BC529" i="18"/>
  <c r="BB529" i="18"/>
  <c r="BF528" i="18"/>
  <c r="BE528" i="18"/>
  <c r="BD528" i="18"/>
  <c r="BC528" i="18"/>
  <c r="BB528" i="18"/>
  <c r="BF527" i="18"/>
  <c r="BE527" i="18"/>
  <c r="BD527" i="18"/>
  <c r="BC527" i="18"/>
  <c r="BB527" i="18"/>
  <c r="BF526" i="18"/>
  <c r="BE526" i="18"/>
  <c r="BD526" i="18"/>
  <c r="BC526" i="18"/>
  <c r="BB526" i="18"/>
  <c r="BF525" i="18"/>
  <c r="BE525" i="18"/>
  <c r="BD525" i="18"/>
  <c r="BC525" i="18"/>
  <c r="BB525" i="18"/>
  <c r="BF524" i="18"/>
  <c r="BE524" i="18"/>
  <c r="BD524" i="18"/>
  <c r="BC524" i="18"/>
  <c r="BB524" i="18"/>
  <c r="BF523" i="18"/>
  <c r="BE523" i="18"/>
  <c r="BD523" i="18"/>
  <c r="BC523" i="18"/>
  <c r="BB523" i="18"/>
  <c r="BF522" i="18"/>
  <c r="BE522" i="18"/>
  <c r="BD522" i="18"/>
  <c r="BC522" i="18"/>
  <c r="BB522" i="18"/>
  <c r="BF521" i="18"/>
  <c r="BE521" i="18"/>
  <c r="BD521" i="18"/>
  <c r="BC521" i="18"/>
  <c r="BB521" i="18"/>
  <c r="BF520" i="18"/>
  <c r="BE520" i="18"/>
  <c r="BD520" i="18"/>
  <c r="BC520" i="18"/>
  <c r="BB520" i="18"/>
  <c r="BF519" i="18"/>
  <c r="BE519" i="18"/>
  <c r="BD519" i="18"/>
  <c r="BC519" i="18"/>
  <c r="BB519" i="18"/>
  <c r="BF518" i="18"/>
  <c r="BE518" i="18"/>
  <c r="BD518" i="18"/>
  <c r="BC518" i="18"/>
  <c r="BB518" i="18"/>
  <c r="BF517" i="18"/>
  <c r="BE517" i="18"/>
  <c r="BD517" i="18"/>
  <c r="BC517" i="18"/>
  <c r="BB517" i="18"/>
  <c r="BF516" i="18"/>
  <c r="BE516" i="18"/>
  <c r="BD516" i="18"/>
  <c r="BC516" i="18"/>
  <c r="BB516" i="18"/>
  <c r="BF515" i="18"/>
  <c r="BE515" i="18"/>
  <c r="BD515" i="18"/>
  <c r="BC515" i="18"/>
  <c r="BB515" i="18"/>
  <c r="BF514" i="18"/>
  <c r="BE514" i="18"/>
  <c r="BD514" i="18"/>
  <c r="BC514" i="18"/>
  <c r="BB514" i="18"/>
  <c r="BF513" i="18"/>
  <c r="BE513" i="18"/>
  <c r="BD513" i="18"/>
  <c r="BC513" i="18"/>
  <c r="BB513" i="18"/>
  <c r="BF512" i="18"/>
  <c r="BE512" i="18"/>
  <c r="BD512" i="18"/>
  <c r="BC512" i="18"/>
  <c r="BB512" i="18"/>
  <c r="BF511" i="18"/>
  <c r="BE511" i="18"/>
  <c r="BD511" i="18"/>
  <c r="BC511" i="18"/>
  <c r="BB511" i="18"/>
  <c r="BF510" i="18"/>
  <c r="BE510" i="18"/>
  <c r="BD510" i="18"/>
  <c r="BC510" i="18"/>
  <c r="BB510" i="18"/>
  <c r="BF509" i="18"/>
  <c r="BE509" i="18"/>
  <c r="BD509" i="18"/>
  <c r="BC509" i="18"/>
  <c r="BB509" i="18"/>
  <c r="BF508" i="18"/>
  <c r="BE508" i="18"/>
  <c r="BD508" i="18"/>
  <c r="BC508" i="18"/>
  <c r="BB508" i="18"/>
  <c r="BF507" i="18"/>
  <c r="BE507" i="18"/>
  <c r="BD507" i="18"/>
  <c r="BC507" i="18"/>
  <c r="BB507" i="18"/>
  <c r="BF506" i="18"/>
  <c r="BE506" i="18"/>
  <c r="BD506" i="18"/>
  <c r="BC506" i="18"/>
  <c r="BB506" i="18"/>
  <c r="BF505" i="18"/>
  <c r="BE505" i="18"/>
  <c r="BD505" i="18"/>
  <c r="BC505" i="18"/>
  <c r="BB505" i="18"/>
  <c r="BF504" i="18"/>
  <c r="BE504" i="18"/>
  <c r="BD504" i="18"/>
  <c r="BC504" i="18"/>
  <c r="BB504" i="18"/>
  <c r="BF503" i="18"/>
  <c r="BE503" i="18"/>
  <c r="BD503" i="18"/>
  <c r="BC503" i="18"/>
  <c r="BB503" i="18"/>
  <c r="BF502" i="18"/>
  <c r="BE502" i="18"/>
  <c r="BD502" i="18"/>
  <c r="BC502" i="18"/>
  <c r="BB502" i="18"/>
  <c r="BF501" i="18"/>
  <c r="BE501" i="18"/>
  <c r="BD501" i="18"/>
  <c r="BC501" i="18"/>
  <c r="BB501" i="18"/>
  <c r="BF500" i="18"/>
  <c r="BE500" i="18"/>
  <c r="BD500" i="18"/>
  <c r="BC500" i="18"/>
  <c r="BB500" i="18"/>
  <c r="BF499" i="18"/>
  <c r="BE499" i="18"/>
  <c r="BD499" i="18"/>
  <c r="BC499" i="18"/>
  <c r="BB499" i="18"/>
  <c r="BF498" i="18"/>
  <c r="BE498" i="18"/>
  <c r="BD498" i="18"/>
  <c r="BC498" i="18"/>
  <c r="BB498" i="18"/>
  <c r="BF497" i="18"/>
  <c r="BE497" i="18"/>
  <c r="BD497" i="18"/>
  <c r="BC497" i="18"/>
  <c r="BB497" i="18"/>
  <c r="BF496" i="18"/>
  <c r="BE496" i="18"/>
  <c r="BD496" i="18"/>
  <c r="BC496" i="18"/>
  <c r="BB496" i="18"/>
  <c r="BF495" i="18"/>
  <c r="BE495" i="18"/>
  <c r="BD495" i="18"/>
  <c r="BC495" i="18"/>
  <c r="BB495" i="18"/>
  <c r="BF494" i="18"/>
  <c r="BE494" i="18"/>
  <c r="BD494" i="18"/>
  <c r="BC494" i="18"/>
  <c r="BB494" i="18"/>
  <c r="BF493" i="18"/>
  <c r="BE493" i="18"/>
  <c r="BD493" i="18"/>
  <c r="BC493" i="18"/>
  <c r="BB493" i="18"/>
  <c r="BF492" i="18"/>
  <c r="BE492" i="18"/>
  <c r="BD492" i="18"/>
  <c r="BC492" i="18"/>
  <c r="BB492" i="18"/>
  <c r="BF491" i="18"/>
  <c r="BE491" i="18"/>
  <c r="BD491" i="18"/>
  <c r="BC491" i="18"/>
  <c r="BB491" i="18"/>
  <c r="BF490" i="18"/>
  <c r="BE490" i="18"/>
  <c r="BD490" i="18"/>
  <c r="BC490" i="18"/>
  <c r="BB490" i="18"/>
  <c r="BF489" i="18"/>
  <c r="BE489" i="18"/>
  <c r="BD489" i="18"/>
  <c r="BC489" i="18"/>
  <c r="BB489" i="18"/>
  <c r="BF488" i="18"/>
  <c r="BE488" i="18"/>
  <c r="BD488" i="18"/>
  <c r="BC488" i="18"/>
  <c r="BB488" i="18"/>
  <c r="BF487" i="18"/>
  <c r="BE487" i="18"/>
  <c r="BD487" i="18"/>
  <c r="BC487" i="18"/>
  <c r="BB487" i="18"/>
  <c r="BF486" i="18"/>
  <c r="BE486" i="18"/>
  <c r="BD486" i="18"/>
  <c r="BC486" i="18"/>
  <c r="BB486" i="18"/>
  <c r="BF485" i="18"/>
  <c r="BE485" i="18"/>
  <c r="BD485" i="18"/>
  <c r="BC485" i="18"/>
  <c r="BB485" i="18"/>
  <c r="BF484" i="18"/>
  <c r="BE484" i="18"/>
  <c r="BD484" i="18"/>
  <c r="BC484" i="18"/>
  <c r="BB484" i="18"/>
  <c r="BF483" i="18"/>
  <c r="BE483" i="18"/>
  <c r="BD483" i="18"/>
  <c r="BC483" i="18"/>
  <c r="BB483" i="18"/>
  <c r="BF482" i="18"/>
  <c r="BE482" i="18"/>
  <c r="BD482" i="18"/>
  <c r="BC482" i="18"/>
  <c r="BB482" i="18"/>
  <c r="BF481" i="18"/>
  <c r="BE481" i="18"/>
  <c r="BD481" i="18"/>
  <c r="BC481" i="18"/>
  <c r="BB481" i="18"/>
  <c r="BF480" i="18"/>
  <c r="BE480" i="18"/>
  <c r="BD480" i="18"/>
  <c r="BC480" i="18"/>
  <c r="BB480" i="18"/>
  <c r="BF479" i="18"/>
  <c r="BE479" i="18"/>
  <c r="BD479" i="18"/>
  <c r="BC479" i="18"/>
  <c r="BB479" i="18"/>
  <c r="BF478" i="18"/>
  <c r="BE478" i="18"/>
  <c r="BD478" i="18"/>
  <c r="BC478" i="18"/>
  <c r="BB478" i="18"/>
  <c r="BF477" i="18"/>
  <c r="BE477" i="18"/>
  <c r="BD477" i="18"/>
  <c r="BC477" i="18"/>
  <c r="BB477" i="18"/>
  <c r="BF476" i="18"/>
  <c r="BE476" i="18"/>
  <c r="BD476" i="18"/>
  <c r="BC476" i="18"/>
  <c r="BB476" i="18"/>
  <c r="BF475" i="18"/>
  <c r="BE475" i="18"/>
  <c r="BD475" i="18"/>
  <c r="BC475" i="18"/>
  <c r="BB475" i="18"/>
  <c r="BF474" i="18"/>
  <c r="BE474" i="18"/>
  <c r="BD474" i="18"/>
  <c r="BC474" i="18"/>
  <c r="BB474" i="18"/>
  <c r="BF473" i="18"/>
  <c r="BE473" i="18"/>
  <c r="BD473" i="18"/>
  <c r="BC473" i="18"/>
  <c r="BB473" i="18"/>
  <c r="BF472" i="18"/>
  <c r="BE472" i="18"/>
  <c r="BD472" i="18"/>
  <c r="BC472" i="18"/>
  <c r="BB472" i="18"/>
  <c r="BF471" i="18"/>
  <c r="BE471" i="18"/>
  <c r="BD471" i="18"/>
  <c r="BC471" i="18"/>
  <c r="BB471" i="18"/>
  <c r="BF470" i="18"/>
  <c r="BE470" i="18"/>
  <c r="BD470" i="18"/>
  <c r="BC470" i="18"/>
  <c r="BB470" i="18"/>
  <c r="BF469" i="18"/>
  <c r="BE469" i="18"/>
  <c r="BD469" i="18"/>
  <c r="BC469" i="18"/>
  <c r="BB469" i="18"/>
  <c r="BF468" i="18"/>
  <c r="BE468" i="18"/>
  <c r="BD468" i="18"/>
  <c r="BC468" i="18"/>
  <c r="BB468" i="18"/>
  <c r="BF467" i="18"/>
  <c r="BE467" i="18"/>
  <c r="BD467" i="18"/>
  <c r="BC467" i="18"/>
  <c r="BB467" i="18"/>
  <c r="BF466" i="18"/>
  <c r="BE466" i="18"/>
  <c r="BD466" i="18"/>
  <c r="BC466" i="18"/>
  <c r="BB466" i="18"/>
  <c r="BF465" i="18"/>
  <c r="BE465" i="18"/>
  <c r="BD465" i="18"/>
  <c r="BC465" i="18"/>
  <c r="BB465" i="18"/>
  <c r="BF464" i="18"/>
  <c r="BE464" i="18"/>
  <c r="BD464" i="18"/>
  <c r="BC464" i="18"/>
  <c r="BB464" i="18"/>
  <c r="BF463" i="18"/>
  <c r="BE463" i="18"/>
  <c r="BD463" i="18"/>
  <c r="BC463" i="18"/>
  <c r="BB463" i="18"/>
  <c r="BF462" i="18"/>
  <c r="BE462" i="18"/>
  <c r="BD462" i="18"/>
  <c r="BC462" i="18"/>
  <c r="BB462" i="18"/>
  <c r="BF461" i="18"/>
  <c r="BE461" i="18"/>
  <c r="BD461" i="18"/>
  <c r="BC461" i="18"/>
  <c r="BB461" i="18"/>
  <c r="BF460" i="18"/>
  <c r="BE460" i="18"/>
  <c r="BD460" i="18"/>
  <c r="BC460" i="18"/>
  <c r="BB460" i="18"/>
  <c r="BF459" i="18"/>
  <c r="BE459" i="18"/>
  <c r="BD459" i="18"/>
  <c r="BC459" i="18"/>
  <c r="BB459" i="18"/>
  <c r="BF458" i="18"/>
  <c r="BE458" i="18"/>
  <c r="BD458" i="18"/>
  <c r="BC458" i="18"/>
  <c r="BB458" i="18"/>
  <c r="BF457" i="18"/>
  <c r="BE457" i="18"/>
  <c r="BD457" i="18"/>
  <c r="BC457" i="18"/>
  <c r="BB457" i="18"/>
  <c r="BF456" i="18"/>
  <c r="BE456" i="18"/>
  <c r="BD456" i="18"/>
  <c r="BC456" i="18"/>
  <c r="BB456" i="18"/>
  <c r="BF455" i="18"/>
  <c r="BE455" i="18"/>
  <c r="BD455" i="18"/>
  <c r="BC455" i="18"/>
  <c r="BB455" i="18"/>
  <c r="BF454" i="18"/>
  <c r="BE454" i="18"/>
  <c r="BD454" i="18"/>
  <c r="BC454" i="18"/>
  <c r="BB454" i="18"/>
  <c r="BF453" i="18"/>
  <c r="BE453" i="18"/>
  <c r="BD453" i="18"/>
  <c r="BC453" i="18"/>
  <c r="BB453" i="18"/>
  <c r="BF452" i="18"/>
  <c r="BE452" i="18"/>
  <c r="BD452" i="18"/>
  <c r="BC452" i="18"/>
  <c r="BB452" i="18"/>
  <c r="BF451" i="18"/>
  <c r="BE451" i="18"/>
  <c r="BD451" i="18"/>
  <c r="BC451" i="18"/>
  <c r="BB451" i="18"/>
  <c r="BF450" i="18"/>
  <c r="BE450" i="18"/>
  <c r="BD450" i="18"/>
  <c r="BC450" i="18"/>
  <c r="BB450" i="18"/>
  <c r="BF449" i="18"/>
  <c r="BE449" i="18"/>
  <c r="BD449" i="18"/>
  <c r="BC449" i="18"/>
  <c r="BB449" i="18"/>
  <c r="BF448" i="18"/>
  <c r="BE448" i="18"/>
  <c r="BD448" i="18"/>
  <c r="BC448" i="18"/>
  <c r="BB448" i="18"/>
  <c r="BF447" i="18"/>
  <c r="BE447" i="18"/>
  <c r="BD447" i="18"/>
  <c r="BC447" i="18"/>
  <c r="BB447" i="18"/>
  <c r="BF446" i="18"/>
  <c r="BE446" i="18"/>
  <c r="BD446" i="18"/>
  <c r="BC446" i="18"/>
  <c r="BB446" i="18"/>
  <c r="BF445" i="18"/>
  <c r="BE445" i="18"/>
  <c r="BD445" i="18"/>
  <c r="BC445" i="18"/>
  <c r="BB445" i="18"/>
  <c r="BF444" i="18"/>
  <c r="BE444" i="18"/>
  <c r="BD444" i="18"/>
  <c r="BC444" i="18"/>
  <c r="BB444" i="18"/>
  <c r="BF443" i="18"/>
  <c r="BE443" i="18"/>
  <c r="BD443" i="18"/>
  <c r="BC443" i="18"/>
  <c r="BB443" i="18"/>
  <c r="BF442" i="18"/>
  <c r="BE442" i="18"/>
  <c r="BD442" i="18"/>
  <c r="BC442" i="18"/>
  <c r="BB442" i="18"/>
  <c r="BF441" i="18"/>
  <c r="BE441" i="18"/>
  <c r="BD441" i="18"/>
  <c r="BC441" i="18"/>
  <c r="BB441" i="18"/>
  <c r="BF440" i="18"/>
  <c r="BE440" i="18"/>
  <c r="BD440" i="18"/>
  <c r="BC440" i="18"/>
  <c r="BB440" i="18"/>
  <c r="BF439" i="18"/>
  <c r="BE439" i="18"/>
  <c r="BD439" i="18"/>
  <c r="BC439" i="18"/>
  <c r="BB439" i="18"/>
  <c r="BF438" i="18"/>
  <c r="BE438" i="18"/>
  <c r="BD438" i="18"/>
  <c r="BC438" i="18"/>
  <c r="BB438" i="18"/>
  <c r="BF437" i="18"/>
  <c r="BE437" i="18"/>
  <c r="BD437" i="18"/>
  <c r="BC437" i="18"/>
  <c r="BB437" i="18"/>
  <c r="BF436" i="18"/>
  <c r="BE436" i="18"/>
  <c r="BD436" i="18"/>
  <c r="BC436" i="18"/>
  <c r="BB436" i="18"/>
  <c r="BF435" i="18"/>
  <c r="BE435" i="18"/>
  <c r="BD435" i="18"/>
  <c r="BC435" i="18"/>
  <c r="BB435" i="18"/>
  <c r="BF434" i="18"/>
  <c r="BE434" i="18"/>
  <c r="BD434" i="18"/>
  <c r="BC434" i="18"/>
  <c r="BB434" i="18"/>
  <c r="BF433" i="18"/>
  <c r="BE433" i="18"/>
  <c r="BD433" i="18"/>
  <c r="BC433" i="18"/>
  <c r="BB433" i="18"/>
  <c r="BF432" i="18"/>
  <c r="BE432" i="18"/>
  <c r="BD432" i="18"/>
  <c r="BC432" i="18"/>
  <c r="BB432" i="18"/>
  <c r="BF431" i="18"/>
  <c r="BE431" i="18"/>
  <c r="BD431" i="18"/>
  <c r="BC431" i="18"/>
  <c r="BB431" i="18"/>
  <c r="BF430" i="18"/>
  <c r="BE430" i="18"/>
  <c r="BD430" i="18"/>
  <c r="BC430" i="18"/>
  <c r="BB430" i="18"/>
  <c r="BF429" i="18"/>
  <c r="BE429" i="18"/>
  <c r="BD429" i="18"/>
  <c r="BC429" i="18"/>
  <c r="BB429" i="18"/>
  <c r="BF428" i="18"/>
  <c r="BE428" i="18"/>
  <c r="BD428" i="18"/>
  <c r="BC428" i="18"/>
  <c r="BB428" i="18"/>
  <c r="BF427" i="18"/>
  <c r="BE427" i="18"/>
  <c r="BD427" i="18"/>
  <c r="BC427" i="18"/>
  <c r="BB427" i="18"/>
  <c r="BF426" i="18"/>
  <c r="BE426" i="18"/>
  <c r="BD426" i="18"/>
  <c r="BC426" i="18"/>
  <c r="BB426" i="18"/>
  <c r="BF425" i="18"/>
  <c r="BE425" i="18"/>
  <c r="BD425" i="18"/>
  <c r="BC425" i="18"/>
  <c r="BB425" i="18"/>
  <c r="BF424" i="18"/>
  <c r="BE424" i="18"/>
  <c r="BD424" i="18"/>
  <c r="BC424" i="18"/>
  <c r="BB424" i="18"/>
  <c r="BF423" i="18"/>
  <c r="BE423" i="18"/>
  <c r="BD423" i="18"/>
  <c r="BC423" i="18"/>
  <c r="BB423" i="18"/>
  <c r="BF422" i="18"/>
  <c r="BE422" i="18"/>
  <c r="BD422" i="18"/>
  <c r="BC422" i="18"/>
  <c r="BB422" i="18"/>
  <c r="BF421" i="18"/>
  <c r="BE421" i="18"/>
  <c r="BD421" i="18"/>
  <c r="BC421" i="18"/>
  <c r="BB421" i="18"/>
  <c r="BF420" i="18"/>
  <c r="BE420" i="18"/>
  <c r="BD420" i="18"/>
  <c r="BC420" i="18"/>
  <c r="BB420" i="18"/>
  <c r="BF419" i="18"/>
  <c r="BE419" i="18"/>
  <c r="BD419" i="18"/>
  <c r="BC419" i="18"/>
  <c r="BB419" i="18"/>
  <c r="BF418" i="18"/>
  <c r="BE418" i="18"/>
  <c r="BD418" i="18"/>
  <c r="BC418" i="18"/>
  <c r="BB418" i="18"/>
  <c r="BF417" i="18"/>
  <c r="BE417" i="18"/>
  <c r="BD417" i="18"/>
  <c r="BC417" i="18"/>
  <c r="BB417" i="18"/>
  <c r="BF416" i="18"/>
  <c r="BE416" i="18"/>
  <c r="BD416" i="18"/>
  <c r="BC416" i="18"/>
  <c r="BB416" i="18"/>
  <c r="BF415" i="18"/>
  <c r="BE415" i="18"/>
  <c r="BD415" i="18"/>
  <c r="BC415" i="18"/>
  <c r="BB415" i="18"/>
  <c r="BF414" i="18"/>
  <c r="BE414" i="18"/>
  <c r="BD414" i="18"/>
  <c r="BC414" i="18"/>
  <c r="BB414" i="18"/>
  <c r="BF413" i="18"/>
  <c r="BE413" i="18"/>
  <c r="BD413" i="18"/>
  <c r="BC413" i="18"/>
  <c r="BB413" i="18"/>
  <c r="BF412" i="18"/>
  <c r="BE412" i="18"/>
  <c r="BD412" i="18"/>
  <c r="BC412" i="18"/>
  <c r="BB412" i="18"/>
  <c r="BF411" i="18"/>
  <c r="BE411" i="18"/>
  <c r="BD411" i="18"/>
  <c r="BC411" i="18"/>
  <c r="BB411" i="18"/>
  <c r="BF410" i="18"/>
  <c r="BE410" i="18"/>
  <c r="BD410" i="18"/>
  <c r="BC410" i="18"/>
  <c r="BB410" i="18"/>
  <c r="BF409" i="18"/>
  <c r="BE409" i="18"/>
  <c r="BD409" i="18"/>
  <c r="BC409" i="18"/>
  <c r="BB409" i="18"/>
  <c r="BF408" i="18"/>
  <c r="BE408" i="18"/>
  <c r="BD408" i="18"/>
  <c r="BC408" i="18"/>
  <c r="BB408" i="18"/>
  <c r="BF407" i="18"/>
  <c r="BE407" i="18"/>
  <c r="BD407" i="18"/>
  <c r="BC407" i="18"/>
  <c r="BB407" i="18"/>
  <c r="BF406" i="18"/>
  <c r="BE406" i="18"/>
  <c r="BD406" i="18"/>
  <c r="BC406" i="18"/>
  <c r="BB406" i="18"/>
  <c r="BF405" i="18"/>
  <c r="BE405" i="18"/>
  <c r="BD405" i="18"/>
  <c r="BC405" i="18"/>
  <c r="BB405" i="18"/>
  <c r="BF404" i="18"/>
  <c r="BE404" i="18"/>
  <c r="BD404" i="18"/>
  <c r="BC404" i="18"/>
  <c r="BB404" i="18"/>
  <c r="BF403" i="18"/>
  <c r="BE403" i="18"/>
  <c r="BD403" i="18"/>
  <c r="BC403" i="18"/>
  <c r="BB403" i="18"/>
  <c r="BF402" i="18"/>
  <c r="BE402" i="18"/>
  <c r="BD402" i="18"/>
  <c r="BC402" i="18"/>
  <c r="BB402" i="18"/>
  <c r="BF401" i="18"/>
  <c r="BE401" i="18"/>
  <c r="BD401" i="18"/>
  <c r="BC401" i="18"/>
  <c r="BB401" i="18"/>
  <c r="BF400" i="18"/>
  <c r="BE400" i="18"/>
  <c r="BD400" i="18"/>
  <c r="BC400" i="18"/>
  <c r="BB400" i="18"/>
  <c r="BF399" i="18"/>
  <c r="BE399" i="18"/>
  <c r="BD399" i="18"/>
  <c r="BC399" i="18"/>
  <c r="BB399" i="18"/>
  <c r="BF398" i="18"/>
  <c r="BE398" i="18"/>
  <c r="BD398" i="18"/>
  <c r="BC398" i="18"/>
  <c r="BB398" i="18"/>
  <c r="BF397" i="18"/>
  <c r="BE397" i="18"/>
  <c r="BD397" i="18"/>
  <c r="BC397" i="18"/>
  <c r="BB397" i="18"/>
  <c r="BF396" i="18"/>
  <c r="BE396" i="18"/>
  <c r="BD396" i="18"/>
  <c r="BC396" i="18"/>
  <c r="BB396" i="18"/>
  <c r="BF395" i="18"/>
  <c r="BE395" i="18"/>
  <c r="BD395" i="18"/>
  <c r="BC395" i="18"/>
  <c r="BB395" i="18"/>
  <c r="BF394" i="18"/>
  <c r="BE394" i="18"/>
  <c r="BD394" i="18"/>
  <c r="BC394" i="18"/>
  <c r="BB394" i="18"/>
  <c r="BF393" i="18"/>
  <c r="BE393" i="18"/>
  <c r="BD393" i="18"/>
  <c r="BC393" i="18"/>
  <c r="BB393" i="18"/>
  <c r="BF392" i="18"/>
  <c r="BE392" i="18"/>
  <c r="BD392" i="18"/>
  <c r="BC392" i="18"/>
  <c r="BB392" i="18"/>
  <c r="BF391" i="18"/>
  <c r="BE391" i="18"/>
  <c r="BD391" i="18"/>
  <c r="BC391" i="18"/>
  <c r="BB391" i="18"/>
  <c r="BF390" i="18"/>
  <c r="BE390" i="18"/>
  <c r="BD390" i="18"/>
  <c r="BC390" i="18"/>
  <c r="BB390" i="18"/>
  <c r="BF389" i="18"/>
  <c r="BE389" i="18"/>
  <c r="BD389" i="18"/>
  <c r="BC389" i="18"/>
  <c r="BB389" i="18"/>
  <c r="BF388" i="18"/>
  <c r="BE388" i="18"/>
  <c r="BD388" i="18"/>
  <c r="BC388" i="18"/>
  <c r="BB388" i="18"/>
  <c r="BF387" i="18"/>
  <c r="BE387" i="18"/>
  <c r="BD387" i="18"/>
  <c r="BC387" i="18"/>
  <c r="BB387" i="18"/>
  <c r="BF386" i="18"/>
  <c r="BE386" i="18"/>
  <c r="BD386" i="18"/>
  <c r="BC386" i="18"/>
  <c r="BB386" i="18"/>
  <c r="BF385" i="18"/>
  <c r="BE385" i="18"/>
  <c r="BD385" i="18"/>
  <c r="BC385" i="18"/>
  <c r="BB385" i="18"/>
  <c r="BF384" i="18"/>
  <c r="BE384" i="18"/>
  <c r="BD384" i="18"/>
  <c r="BC384" i="18"/>
  <c r="BB384" i="18"/>
  <c r="BF383" i="18"/>
  <c r="BE383" i="18"/>
  <c r="BD383" i="18"/>
  <c r="BC383" i="18"/>
  <c r="BB383" i="18"/>
  <c r="BF382" i="18"/>
  <c r="BE382" i="18"/>
  <c r="BD382" i="18"/>
  <c r="BC382" i="18"/>
  <c r="BB382" i="18"/>
  <c r="BF381" i="18"/>
  <c r="BE381" i="18"/>
  <c r="BD381" i="18"/>
  <c r="BC381" i="18"/>
  <c r="BB381" i="18"/>
  <c r="BF380" i="18"/>
  <c r="BE380" i="18"/>
  <c r="BD380" i="18"/>
  <c r="BC380" i="18"/>
  <c r="BB380" i="18"/>
  <c r="BF379" i="18"/>
  <c r="BE379" i="18"/>
  <c r="BD379" i="18"/>
  <c r="BC379" i="18"/>
  <c r="BB379" i="18"/>
  <c r="BF378" i="18"/>
  <c r="BE378" i="18"/>
  <c r="BD378" i="18"/>
  <c r="BC378" i="18"/>
  <c r="BB378" i="18"/>
  <c r="BF377" i="18"/>
  <c r="BE377" i="18"/>
  <c r="BD377" i="18"/>
  <c r="BC377" i="18"/>
  <c r="BB377" i="18"/>
  <c r="BF376" i="18"/>
  <c r="BE376" i="18"/>
  <c r="BD376" i="18"/>
  <c r="BC376" i="18"/>
  <c r="BB376" i="18"/>
  <c r="BF375" i="18"/>
  <c r="BE375" i="18"/>
  <c r="BD375" i="18"/>
  <c r="BC375" i="18"/>
  <c r="BB375" i="18"/>
  <c r="BF374" i="18"/>
  <c r="BE374" i="18"/>
  <c r="BD374" i="18"/>
  <c r="BC374" i="18"/>
  <c r="BB374" i="18"/>
  <c r="BF373" i="18"/>
  <c r="BE373" i="18"/>
  <c r="BD373" i="18"/>
  <c r="BC373" i="18"/>
  <c r="BB373" i="18"/>
  <c r="BF372" i="18"/>
  <c r="BE372" i="18"/>
  <c r="BD372" i="18"/>
  <c r="BC372" i="18"/>
  <c r="BB372" i="18"/>
  <c r="BF371" i="18"/>
  <c r="BE371" i="18"/>
  <c r="BD371" i="18"/>
  <c r="BC371" i="18"/>
  <c r="BB371" i="18"/>
  <c r="BF370" i="18"/>
  <c r="BE370" i="18"/>
  <c r="BD370" i="18"/>
  <c r="BC370" i="18"/>
  <c r="BB370" i="18"/>
  <c r="BF369" i="18"/>
  <c r="BE369" i="18"/>
  <c r="BD369" i="18"/>
  <c r="BC369" i="18"/>
  <c r="BB369" i="18"/>
  <c r="BF368" i="18"/>
  <c r="BE368" i="18"/>
  <c r="BD368" i="18"/>
  <c r="BC368" i="18"/>
  <c r="BB368" i="18"/>
  <c r="BF367" i="18"/>
  <c r="BE367" i="18"/>
  <c r="BD367" i="18"/>
  <c r="BC367" i="18"/>
  <c r="BB367" i="18"/>
  <c r="BF366" i="18"/>
  <c r="BE366" i="18"/>
  <c r="BD366" i="18"/>
  <c r="BC366" i="18"/>
  <c r="BB366" i="18"/>
  <c r="BF365" i="18"/>
  <c r="BE365" i="18"/>
  <c r="BD365" i="18"/>
  <c r="BC365" i="18"/>
  <c r="BB365" i="18"/>
  <c r="BF364" i="18"/>
  <c r="BE364" i="18"/>
  <c r="BD364" i="18"/>
  <c r="BC364" i="18"/>
  <c r="BB364" i="18"/>
  <c r="BF363" i="18"/>
  <c r="BE363" i="18"/>
  <c r="BD363" i="18"/>
  <c r="BC363" i="18"/>
  <c r="BB363" i="18"/>
  <c r="BF362" i="18"/>
  <c r="BE362" i="18"/>
  <c r="BD362" i="18"/>
  <c r="BC362" i="18"/>
  <c r="BB362" i="18"/>
  <c r="BF361" i="18"/>
  <c r="BE361" i="18"/>
  <c r="BD361" i="18"/>
  <c r="BC361" i="18"/>
  <c r="BB361" i="18"/>
  <c r="BF360" i="18"/>
  <c r="BE360" i="18"/>
  <c r="BD360" i="18"/>
  <c r="BC360" i="18"/>
  <c r="BB360" i="18"/>
  <c r="BF359" i="18"/>
  <c r="BE359" i="18"/>
  <c r="BD359" i="18"/>
  <c r="BC359" i="18"/>
  <c r="BB359" i="18"/>
  <c r="BF358" i="18"/>
  <c r="BE358" i="18"/>
  <c r="BD358" i="18"/>
  <c r="BC358" i="18"/>
  <c r="BB358" i="18"/>
  <c r="BF357" i="18"/>
  <c r="BE357" i="18"/>
  <c r="BD357" i="18"/>
  <c r="BC357" i="18"/>
  <c r="BB357" i="18"/>
  <c r="BF356" i="18"/>
  <c r="BE356" i="18"/>
  <c r="BD356" i="18"/>
  <c r="BC356" i="18"/>
  <c r="BB356" i="18"/>
  <c r="BF355" i="18"/>
  <c r="BE355" i="18"/>
  <c r="BD355" i="18"/>
  <c r="BC355" i="18"/>
  <c r="BB355" i="18"/>
  <c r="BF354" i="18"/>
  <c r="BE354" i="18"/>
  <c r="BD354" i="18"/>
  <c r="BC354" i="18"/>
  <c r="BB354" i="18"/>
  <c r="BF353" i="18"/>
  <c r="BE353" i="18"/>
  <c r="BD353" i="18"/>
  <c r="BC353" i="18"/>
  <c r="BB353" i="18"/>
  <c r="BF352" i="18"/>
  <c r="BE352" i="18"/>
  <c r="BD352" i="18"/>
  <c r="BC352" i="18"/>
  <c r="BB352" i="18"/>
  <c r="BF351" i="18"/>
  <c r="BE351" i="18"/>
  <c r="BD351" i="18"/>
  <c r="BC351" i="18"/>
  <c r="BB351" i="18"/>
  <c r="BF350" i="18"/>
  <c r="BE350" i="18"/>
  <c r="BD350" i="18"/>
  <c r="BC350" i="18"/>
  <c r="BB350" i="18"/>
  <c r="BF349" i="18"/>
  <c r="BE349" i="18"/>
  <c r="BD349" i="18"/>
  <c r="BC349" i="18"/>
  <c r="BB349" i="18"/>
  <c r="BF348" i="18"/>
  <c r="BE348" i="18"/>
  <c r="BD348" i="18"/>
  <c r="BC348" i="18"/>
  <c r="BB348" i="18"/>
  <c r="BF347" i="18"/>
  <c r="BE347" i="18"/>
  <c r="BD347" i="18"/>
  <c r="BC347" i="18"/>
  <c r="BB347" i="18"/>
  <c r="BF346" i="18"/>
  <c r="BE346" i="18"/>
  <c r="BD346" i="18"/>
  <c r="BC346" i="18"/>
  <c r="BB346" i="18"/>
  <c r="BF345" i="18"/>
  <c r="BE345" i="18"/>
  <c r="BD345" i="18"/>
  <c r="BC345" i="18"/>
  <c r="BB345" i="18"/>
  <c r="BF344" i="18"/>
  <c r="BE344" i="18"/>
  <c r="BD344" i="18"/>
  <c r="BC344" i="18"/>
  <c r="BB344" i="18"/>
  <c r="BF343" i="18"/>
  <c r="BE343" i="18"/>
  <c r="BD343" i="18"/>
  <c r="BC343" i="18"/>
  <c r="BB343" i="18"/>
  <c r="BF342" i="18"/>
  <c r="BE342" i="18"/>
  <c r="BD342" i="18"/>
  <c r="BC342" i="18"/>
  <c r="BB342" i="18"/>
  <c r="BF341" i="18"/>
  <c r="BE341" i="18"/>
  <c r="BD341" i="18"/>
  <c r="BC341" i="18"/>
  <c r="BB341" i="18"/>
  <c r="BF340" i="18"/>
  <c r="BE340" i="18"/>
  <c r="BD340" i="18"/>
  <c r="BC340" i="18"/>
  <c r="BB340" i="18"/>
  <c r="BF339" i="18"/>
  <c r="BE339" i="18"/>
  <c r="BD339" i="18"/>
  <c r="BC339" i="18"/>
  <c r="BB339" i="18"/>
  <c r="BF338" i="18"/>
  <c r="BE338" i="18"/>
  <c r="BD338" i="18"/>
  <c r="BC338" i="18"/>
  <c r="BB338" i="18"/>
  <c r="BF337" i="18"/>
  <c r="BE337" i="18"/>
  <c r="BD337" i="18"/>
  <c r="BC337" i="18"/>
  <c r="BB337" i="18"/>
  <c r="BF336" i="18"/>
  <c r="BE336" i="18"/>
  <c r="BD336" i="18"/>
  <c r="BC336" i="18"/>
  <c r="BB336" i="18"/>
  <c r="BF335" i="18"/>
  <c r="BE335" i="18"/>
  <c r="BD335" i="18"/>
  <c r="BC335" i="18"/>
  <c r="BB335" i="18"/>
  <c r="BF334" i="18"/>
  <c r="BE334" i="18"/>
  <c r="BD334" i="18"/>
  <c r="BC334" i="18"/>
  <c r="BB334" i="18"/>
  <c r="BF333" i="18"/>
  <c r="BE333" i="18"/>
  <c r="BD333" i="18"/>
  <c r="BC333" i="18"/>
  <c r="BB333" i="18"/>
  <c r="BF332" i="18"/>
  <c r="BE332" i="18"/>
  <c r="BD332" i="18"/>
  <c r="BC332" i="18"/>
  <c r="BB332" i="18"/>
  <c r="BF331" i="18"/>
  <c r="BE331" i="18"/>
  <c r="BD331" i="18"/>
  <c r="BC331" i="18"/>
  <c r="BB331" i="18"/>
  <c r="BF330" i="18"/>
  <c r="BE330" i="18"/>
  <c r="BD330" i="18"/>
  <c r="BC330" i="18"/>
  <c r="BB330" i="18"/>
  <c r="BF329" i="18"/>
  <c r="BE329" i="18"/>
  <c r="BD329" i="18"/>
  <c r="BC329" i="18"/>
  <c r="BB329" i="18"/>
  <c r="BF328" i="18"/>
  <c r="BE328" i="18"/>
  <c r="BD328" i="18"/>
  <c r="BC328" i="18"/>
  <c r="BB328" i="18"/>
  <c r="BF327" i="18"/>
  <c r="BE327" i="18"/>
  <c r="BD327" i="18"/>
  <c r="BC327" i="18"/>
  <c r="BB327" i="18"/>
  <c r="BF326" i="18"/>
  <c r="BE326" i="18"/>
  <c r="BD326" i="18"/>
  <c r="BC326" i="18"/>
  <c r="BB326" i="18"/>
  <c r="BF325" i="18"/>
  <c r="BE325" i="18"/>
  <c r="BD325" i="18"/>
  <c r="BC325" i="18"/>
  <c r="BB325" i="18"/>
  <c r="BF324" i="18"/>
  <c r="BE324" i="18"/>
  <c r="BD324" i="18"/>
  <c r="BC324" i="18"/>
  <c r="BB324" i="18"/>
  <c r="BF323" i="18"/>
  <c r="BE323" i="18"/>
  <c r="BD323" i="18"/>
  <c r="BC323" i="18"/>
  <c r="BB323" i="18"/>
  <c r="BF322" i="18"/>
  <c r="BE322" i="18"/>
  <c r="BD322" i="18"/>
  <c r="BC322" i="18"/>
  <c r="BB322" i="18"/>
  <c r="BF321" i="18"/>
  <c r="BE321" i="18"/>
  <c r="BD321" i="18"/>
  <c r="BC321" i="18"/>
  <c r="BB321" i="18"/>
  <c r="BF320" i="18"/>
  <c r="BE320" i="18"/>
  <c r="BD320" i="18"/>
  <c r="BC320" i="18"/>
  <c r="BB320" i="18"/>
  <c r="BF319" i="18"/>
  <c r="BE319" i="18"/>
  <c r="BD319" i="18"/>
  <c r="BC319" i="18"/>
  <c r="BB319" i="18"/>
  <c r="BF318" i="18"/>
  <c r="BE318" i="18"/>
  <c r="BD318" i="18"/>
  <c r="BC318" i="18"/>
  <c r="BB318" i="18"/>
  <c r="BF317" i="18"/>
  <c r="BE317" i="18"/>
  <c r="BD317" i="18"/>
  <c r="BC317" i="18"/>
  <c r="BB317" i="18"/>
  <c r="BF316" i="18"/>
  <c r="BE316" i="18"/>
  <c r="BD316" i="18"/>
  <c r="BC316" i="18"/>
  <c r="BB316" i="18"/>
  <c r="BF315" i="18"/>
  <c r="BE315" i="18"/>
  <c r="BD315" i="18"/>
  <c r="BC315" i="18"/>
  <c r="BB315" i="18"/>
  <c r="BF314" i="18"/>
  <c r="BE314" i="18"/>
  <c r="BD314" i="18"/>
  <c r="BC314" i="18"/>
  <c r="BB314" i="18"/>
  <c r="BF313" i="18"/>
  <c r="BE313" i="18"/>
  <c r="BD313" i="18"/>
  <c r="BC313" i="18"/>
  <c r="BB313" i="18"/>
  <c r="BF312" i="18"/>
  <c r="BE312" i="18"/>
  <c r="BD312" i="18"/>
  <c r="BC312" i="18"/>
  <c r="BB312" i="18"/>
  <c r="BF311" i="18"/>
  <c r="BE311" i="18"/>
  <c r="BD311" i="18"/>
  <c r="BC311" i="18"/>
  <c r="BB311" i="18"/>
  <c r="BF310" i="18"/>
  <c r="BE310" i="18"/>
  <c r="BD310" i="18"/>
  <c r="BC310" i="18"/>
  <c r="BB310" i="18"/>
  <c r="BF309" i="18"/>
  <c r="BE309" i="18"/>
  <c r="BD309" i="18"/>
  <c r="BC309" i="18"/>
  <c r="BB309" i="18"/>
  <c r="BF308" i="18"/>
  <c r="BE308" i="18"/>
  <c r="BD308" i="18"/>
  <c r="BC308" i="18"/>
  <c r="BB308" i="18"/>
  <c r="BF307" i="18"/>
  <c r="BE307" i="18"/>
  <c r="BD307" i="18"/>
  <c r="BC307" i="18"/>
  <c r="BB307" i="18"/>
  <c r="BF306" i="18"/>
  <c r="BE306" i="18"/>
  <c r="BD306" i="18"/>
  <c r="BC306" i="18"/>
  <c r="BB306" i="18"/>
  <c r="BF305" i="18"/>
  <c r="BE305" i="18"/>
  <c r="BD305" i="18"/>
  <c r="BC305" i="18"/>
  <c r="BB305" i="18"/>
  <c r="BF304" i="18"/>
  <c r="BE304" i="18"/>
  <c r="BD304" i="18"/>
  <c r="BC304" i="18"/>
  <c r="BB304" i="18"/>
  <c r="BF303" i="18"/>
  <c r="BE303" i="18"/>
  <c r="BD303" i="18"/>
  <c r="BC303" i="18"/>
  <c r="BB303" i="18"/>
  <c r="BF302" i="18"/>
  <c r="BE302" i="18"/>
  <c r="BD302" i="18"/>
  <c r="BC302" i="18"/>
  <c r="BB302" i="18"/>
  <c r="BF301" i="18"/>
  <c r="BE301" i="18"/>
  <c r="BD301" i="18"/>
  <c r="BC301" i="18"/>
  <c r="BB301" i="18"/>
  <c r="BF300" i="18"/>
  <c r="BE300" i="18"/>
  <c r="BD300" i="18"/>
  <c r="BC300" i="18"/>
  <c r="BB300" i="18"/>
  <c r="BF299" i="18"/>
  <c r="BE299" i="18"/>
  <c r="BD299" i="18"/>
  <c r="BC299" i="18"/>
  <c r="BB299" i="18"/>
  <c r="BF298" i="18"/>
  <c r="BE298" i="18"/>
  <c r="BD298" i="18"/>
  <c r="BC298" i="18"/>
  <c r="BB298" i="18"/>
  <c r="BF297" i="18"/>
  <c r="BE297" i="18"/>
  <c r="BD297" i="18"/>
  <c r="BC297" i="18"/>
  <c r="BB297" i="18"/>
  <c r="BF296" i="18"/>
  <c r="BE296" i="18"/>
  <c r="BD296" i="18"/>
  <c r="BC296" i="18"/>
  <c r="BB296" i="18"/>
  <c r="BF295" i="18"/>
  <c r="BE295" i="18"/>
  <c r="BD295" i="18"/>
  <c r="BC295" i="18"/>
  <c r="BB295" i="18"/>
  <c r="BF294" i="18"/>
  <c r="BE294" i="18"/>
  <c r="BD294" i="18"/>
  <c r="BC294" i="18"/>
  <c r="BB294" i="18"/>
  <c r="BF293" i="18"/>
  <c r="BE293" i="18"/>
  <c r="BD293" i="18"/>
  <c r="BC293" i="18"/>
  <c r="BB293" i="18"/>
  <c r="BF292" i="18"/>
  <c r="BE292" i="18"/>
  <c r="BD292" i="18"/>
  <c r="BC292" i="18"/>
  <c r="BB292" i="18"/>
  <c r="BF291" i="18"/>
  <c r="BE291" i="18"/>
  <c r="BD291" i="18"/>
  <c r="BC291" i="18"/>
  <c r="BB291" i="18"/>
  <c r="BF290" i="18"/>
  <c r="BE290" i="18"/>
  <c r="BD290" i="18"/>
  <c r="BC290" i="18"/>
  <c r="BB290" i="18"/>
  <c r="BF289" i="18"/>
  <c r="BE289" i="18"/>
  <c r="BD289" i="18"/>
  <c r="BC289" i="18"/>
  <c r="BB289" i="18"/>
  <c r="BF288" i="18"/>
  <c r="BE288" i="18"/>
  <c r="BD288" i="18"/>
  <c r="BC288" i="18"/>
  <c r="BB288" i="18"/>
  <c r="BF287" i="18"/>
  <c r="BE287" i="18"/>
  <c r="BD287" i="18"/>
  <c r="BC287" i="18"/>
  <c r="BB287" i="18"/>
  <c r="BF286" i="18"/>
  <c r="BE286" i="18"/>
  <c r="BD286" i="18"/>
  <c r="BC286" i="18"/>
  <c r="BB286" i="18"/>
  <c r="BF285" i="18"/>
  <c r="BE285" i="18"/>
  <c r="BD285" i="18"/>
  <c r="BC285" i="18"/>
  <c r="BB285" i="18"/>
  <c r="BF284" i="18"/>
  <c r="BE284" i="18"/>
  <c r="BD284" i="18"/>
  <c r="BC284" i="18"/>
  <c r="BB284" i="18"/>
  <c r="BF283" i="18"/>
  <c r="BE283" i="18"/>
  <c r="BD283" i="18"/>
  <c r="BC283" i="18"/>
  <c r="BB283" i="18"/>
  <c r="BF282" i="18"/>
  <c r="BE282" i="18"/>
  <c r="BD282" i="18"/>
  <c r="BC282" i="18"/>
  <c r="BB282" i="18"/>
  <c r="BF281" i="18"/>
  <c r="BE281" i="18"/>
  <c r="BD281" i="18"/>
  <c r="BC281" i="18"/>
  <c r="BB281" i="18"/>
  <c r="BF280" i="18"/>
  <c r="BE280" i="18"/>
  <c r="BD280" i="18"/>
  <c r="BC280" i="18"/>
  <c r="BB280" i="18"/>
  <c r="BF279" i="18"/>
  <c r="BE279" i="18"/>
  <c r="BD279" i="18"/>
  <c r="BC279" i="18"/>
  <c r="BB279" i="18"/>
  <c r="BF278" i="18"/>
  <c r="BE278" i="18"/>
  <c r="BD278" i="18"/>
  <c r="BC278" i="18"/>
  <c r="BB278" i="18"/>
  <c r="BF277" i="18"/>
  <c r="BE277" i="18"/>
  <c r="BD277" i="18"/>
  <c r="BC277" i="18"/>
  <c r="BB277" i="18"/>
  <c r="BF276" i="18"/>
  <c r="BE276" i="18"/>
  <c r="BD276" i="18"/>
  <c r="BC276" i="18"/>
  <c r="BB276" i="18"/>
  <c r="BF275" i="18"/>
  <c r="BE275" i="18"/>
  <c r="BD275" i="18"/>
  <c r="BC275" i="18"/>
  <c r="BB275" i="18"/>
  <c r="BF274" i="18"/>
  <c r="BE274" i="18"/>
  <c r="BD274" i="18"/>
  <c r="BC274" i="18"/>
  <c r="BB274" i="18"/>
  <c r="BF273" i="18"/>
  <c r="BE273" i="18"/>
  <c r="BD273" i="18"/>
  <c r="BC273" i="18"/>
  <c r="BB273" i="18"/>
  <c r="BF272" i="18"/>
  <c r="BE272" i="18"/>
  <c r="BD272" i="18"/>
  <c r="BC272" i="18"/>
  <c r="BB272" i="18"/>
  <c r="BF271" i="18"/>
  <c r="BE271" i="18"/>
  <c r="BD271" i="18"/>
  <c r="BC271" i="18"/>
  <c r="BB271" i="18"/>
  <c r="BF270" i="18"/>
  <c r="BE270" i="18"/>
  <c r="BD270" i="18"/>
  <c r="BC270" i="18"/>
  <c r="BB270" i="18"/>
  <c r="BF269" i="18"/>
  <c r="BE269" i="18"/>
  <c r="BD269" i="18"/>
  <c r="BC269" i="18"/>
  <c r="BB269" i="18"/>
  <c r="BF268" i="18"/>
  <c r="BE268" i="18"/>
  <c r="BD268" i="18"/>
  <c r="BC268" i="18"/>
  <c r="BB268" i="18"/>
  <c r="BF267" i="18"/>
  <c r="BE267" i="18"/>
  <c r="BD267" i="18"/>
  <c r="BC267" i="18"/>
  <c r="BB267" i="18"/>
  <c r="BF266" i="18"/>
  <c r="BE266" i="18"/>
  <c r="BD266" i="18"/>
  <c r="BC266" i="18"/>
  <c r="BB266" i="18"/>
  <c r="BF265" i="18"/>
  <c r="BE265" i="18"/>
  <c r="BD265" i="18"/>
  <c r="BC265" i="18"/>
  <c r="BB265" i="18"/>
  <c r="BF264" i="18"/>
  <c r="BE264" i="18"/>
  <c r="BD264" i="18"/>
  <c r="BC264" i="18"/>
  <c r="BB264" i="18"/>
  <c r="BF263" i="18"/>
  <c r="BE263" i="18"/>
  <c r="BD263" i="18"/>
  <c r="BC263" i="18"/>
  <c r="BB263" i="18"/>
  <c r="BF262" i="18"/>
  <c r="BE262" i="18"/>
  <c r="BD262" i="18"/>
  <c r="BC262" i="18"/>
  <c r="BB262" i="18"/>
  <c r="BF261" i="18"/>
  <c r="BE261" i="18"/>
  <c r="BD261" i="18"/>
  <c r="BC261" i="18"/>
  <c r="BB261" i="18"/>
  <c r="BF260" i="18"/>
  <c r="BE260" i="18"/>
  <c r="BD260" i="18"/>
  <c r="BC260" i="18"/>
  <c r="BB260" i="18"/>
  <c r="BF259" i="18"/>
  <c r="BE259" i="18"/>
  <c r="BD259" i="18"/>
  <c r="BC259" i="18"/>
  <c r="BB259" i="18"/>
  <c r="BF258" i="18"/>
  <c r="BE258" i="18"/>
  <c r="BD258" i="18"/>
  <c r="BC258" i="18"/>
  <c r="BB258" i="18"/>
  <c r="BF257" i="18"/>
  <c r="BE257" i="18"/>
  <c r="BD257" i="18"/>
  <c r="BC257" i="18"/>
  <c r="BB257" i="18"/>
  <c r="BF256" i="18"/>
  <c r="BE256" i="18"/>
  <c r="BD256" i="18"/>
  <c r="BC256" i="18"/>
  <c r="BB256" i="18"/>
  <c r="BF255" i="18"/>
  <c r="BE255" i="18"/>
  <c r="BD255" i="18"/>
  <c r="BC255" i="18"/>
  <c r="BB255" i="18"/>
  <c r="BF254" i="18"/>
  <c r="BE254" i="18"/>
  <c r="BD254" i="18"/>
  <c r="BC254" i="18"/>
  <c r="BB254" i="18"/>
  <c r="BF253" i="18"/>
  <c r="BE253" i="18"/>
  <c r="BD253" i="18"/>
  <c r="BC253" i="18"/>
  <c r="BB253" i="18"/>
  <c r="BF252" i="18"/>
  <c r="BE252" i="18"/>
  <c r="BD252" i="18"/>
  <c r="BC252" i="18"/>
  <c r="BB252" i="18"/>
  <c r="BF251" i="18"/>
  <c r="BE251" i="18"/>
  <c r="BD251" i="18"/>
  <c r="BC251" i="18"/>
  <c r="BB251" i="18"/>
  <c r="BF250" i="18"/>
  <c r="BE250" i="18"/>
  <c r="BD250" i="18"/>
  <c r="BC250" i="18"/>
  <c r="BB250" i="18"/>
  <c r="BF249" i="18"/>
  <c r="BE249" i="18"/>
  <c r="BD249" i="18"/>
  <c r="BC249" i="18"/>
  <c r="BB249" i="18"/>
  <c r="BF248" i="18"/>
  <c r="BE248" i="18"/>
  <c r="BD248" i="18"/>
  <c r="BC248" i="18"/>
  <c r="BB248" i="18"/>
  <c r="BF247" i="18"/>
  <c r="BE247" i="18"/>
  <c r="BD247" i="18"/>
  <c r="BC247" i="18"/>
  <c r="BB247" i="18"/>
  <c r="BF246" i="18"/>
  <c r="BE246" i="18"/>
  <c r="BD246" i="18"/>
  <c r="BC246" i="18"/>
  <c r="BB246" i="18"/>
  <c r="BF245" i="18"/>
  <c r="BE245" i="18"/>
  <c r="BD245" i="18"/>
  <c r="BC245" i="18"/>
  <c r="BB245" i="18"/>
  <c r="BF244" i="18"/>
  <c r="BE244" i="18"/>
  <c r="BD244" i="18"/>
  <c r="BC244" i="18"/>
  <c r="BB244" i="18"/>
  <c r="BF243" i="18"/>
  <c r="BE243" i="18"/>
  <c r="BD243" i="18"/>
  <c r="BC243" i="18"/>
  <c r="BB243" i="18"/>
  <c r="BF242" i="18"/>
  <c r="BE242" i="18"/>
  <c r="BD242" i="18"/>
  <c r="BC242" i="18"/>
  <c r="BB242" i="18"/>
  <c r="BF241" i="18"/>
  <c r="BE241" i="18"/>
  <c r="BD241" i="18"/>
  <c r="BC241" i="18"/>
  <c r="BB241" i="18"/>
  <c r="BF240" i="18"/>
  <c r="BE240" i="18"/>
  <c r="BD240" i="18"/>
  <c r="BC240" i="18"/>
  <c r="BB240" i="18"/>
  <c r="BF239" i="18"/>
  <c r="BE239" i="18"/>
  <c r="BD239" i="18"/>
  <c r="BC239" i="18"/>
  <c r="BB239" i="18"/>
  <c r="BF238" i="18"/>
  <c r="BE238" i="18"/>
  <c r="BD238" i="18"/>
  <c r="BC238" i="18"/>
  <c r="BB238" i="18"/>
  <c r="BF237" i="18"/>
  <c r="BE237" i="18"/>
  <c r="BD237" i="18"/>
  <c r="BC237" i="18"/>
  <c r="BB237" i="18"/>
  <c r="BF236" i="18"/>
  <c r="BE236" i="18"/>
  <c r="BD236" i="18"/>
  <c r="BC236" i="18"/>
  <c r="BB236" i="18"/>
  <c r="BF235" i="18"/>
  <c r="BE235" i="18"/>
  <c r="BD235" i="18"/>
  <c r="BC235" i="18"/>
  <c r="BB235" i="18"/>
  <c r="BF234" i="18"/>
  <c r="BE234" i="18"/>
  <c r="BD234" i="18"/>
  <c r="BC234" i="18"/>
  <c r="BB234" i="18"/>
  <c r="BF233" i="18"/>
  <c r="BE233" i="18"/>
  <c r="BD233" i="18"/>
  <c r="BC233" i="18"/>
  <c r="BB233" i="18"/>
  <c r="BF232" i="18"/>
  <c r="BE232" i="18"/>
  <c r="BD232" i="18"/>
  <c r="BC232" i="18"/>
  <c r="BB232" i="18"/>
  <c r="BF231" i="18"/>
  <c r="BE231" i="18"/>
  <c r="BD231" i="18"/>
  <c r="BC231" i="18"/>
  <c r="BB231" i="18"/>
  <c r="BF230" i="18"/>
  <c r="BE230" i="18"/>
  <c r="BD230" i="18"/>
  <c r="BC230" i="18"/>
  <c r="BB230" i="18"/>
  <c r="BF229" i="18"/>
  <c r="BE229" i="18"/>
  <c r="BD229" i="18"/>
  <c r="BC229" i="18"/>
  <c r="BB229" i="18"/>
  <c r="BF228" i="18"/>
  <c r="BE228" i="18"/>
  <c r="BD228" i="18"/>
  <c r="BC228" i="18"/>
  <c r="BB228" i="18"/>
  <c r="BF227" i="18"/>
  <c r="BE227" i="18"/>
  <c r="BD227" i="18"/>
  <c r="BC227" i="18"/>
  <c r="BB227" i="18"/>
  <c r="BF226" i="18"/>
  <c r="BE226" i="18"/>
  <c r="BD226" i="18"/>
  <c r="BC226" i="18"/>
  <c r="BB226" i="18"/>
  <c r="BF225" i="18"/>
  <c r="BE225" i="18"/>
  <c r="BD225" i="18"/>
  <c r="BC225" i="18"/>
  <c r="BB225" i="18"/>
  <c r="BF224" i="18"/>
  <c r="BE224" i="18"/>
  <c r="BD224" i="18"/>
  <c r="BC224" i="18"/>
  <c r="BB224" i="18"/>
  <c r="BF223" i="18"/>
  <c r="BE223" i="18"/>
  <c r="BD223" i="18"/>
  <c r="BC223" i="18"/>
  <c r="BB223" i="18"/>
  <c r="BF222" i="18"/>
  <c r="BE222" i="18"/>
  <c r="BD222" i="18"/>
  <c r="BC222" i="18"/>
  <c r="BB222" i="18"/>
  <c r="BF221" i="18"/>
  <c r="BE221" i="18"/>
  <c r="BD221" i="18"/>
  <c r="BC221" i="18"/>
  <c r="BB221" i="18"/>
  <c r="BF220" i="18"/>
  <c r="BE220" i="18"/>
  <c r="BD220" i="18"/>
  <c r="BC220" i="18"/>
  <c r="BB220" i="18"/>
  <c r="BF219" i="18"/>
  <c r="BE219" i="18"/>
  <c r="BD219" i="18"/>
  <c r="BC219" i="18"/>
  <c r="BB219" i="18"/>
  <c r="BF218" i="18"/>
  <c r="BE218" i="18"/>
  <c r="BD218" i="18"/>
  <c r="BC218" i="18"/>
  <c r="BB218" i="18"/>
  <c r="BF217" i="18"/>
  <c r="BE217" i="18"/>
  <c r="BD217" i="18"/>
  <c r="BC217" i="18"/>
  <c r="BB217" i="18"/>
  <c r="BF216" i="18"/>
  <c r="BE216" i="18"/>
  <c r="BD216" i="18"/>
  <c r="BC216" i="18"/>
  <c r="BB216" i="18"/>
  <c r="BF215" i="18"/>
  <c r="BE215" i="18"/>
  <c r="BD215" i="18"/>
  <c r="BC215" i="18"/>
  <c r="BB215" i="18"/>
  <c r="BF214" i="18"/>
  <c r="BE214" i="18"/>
  <c r="BD214" i="18"/>
  <c r="BC214" i="18"/>
  <c r="BB214" i="18"/>
  <c r="BF213" i="18"/>
  <c r="BE213" i="18"/>
  <c r="BD213" i="18"/>
  <c r="BC213" i="18"/>
  <c r="BB213" i="18"/>
  <c r="BF212" i="18"/>
  <c r="BE212" i="18"/>
  <c r="BD212" i="18"/>
  <c r="BC212" i="18"/>
  <c r="BB212" i="18"/>
  <c r="BF211" i="18"/>
  <c r="BE211" i="18"/>
  <c r="BD211" i="18"/>
  <c r="BC211" i="18"/>
  <c r="BB211" i="18"/>
  <c r="BF210" i="18"/>
  <c r="BE210" i="18"/>
  <c r="BD210" i="18"/>
  <c r="BC210" i="18"/>
  <c r="BB210" i="18"/>
  <c r="BF209" i="18"/>
  <c r="BE209" i="18"/>
  <c r="BD209" i="18"/>
  <c r="BC209" i="18"/>
  <c r="BB209" i="18"/>
  <c r="BF208" i="18"/>
  <c r="BE208" i="18"/>
  <c r="BD208" i="18"/>
  <c r="BC208" i="18"/>
  <c r="BB208" i="18"/>
  <c r="BF207" i="18"/>
  <c r="BE207" i="18"/>
  <c r="BD207" i="18"/>
  <c r="BC207" i="18"/>
  <c r="BB207" i="18"/>
  <c r="BF206" i="18"/>
  <c r="BE206" i="18"/>
  <c r="BD206" i="18"/>
  <c r="BC206" i="18"/>
  <c r="BB206" i="18"/>
  <c r="BF205" i="18"/>
  <c r="BE205" i="18"/>
  <c r="BD205" i="18"/>
  <c r="BC205" i="18"/>
  <c r="BB205" i="18"/>
  <c r="BF204" i="18"/>
  <c r="BE204" i="18"/>
  <c r="BD204" i="18"/>
  <c r="BC204" i="18"/>
  <c r="BB204" i="18"/>
  <c r="BF203" i="18"/>
  <c r="BE203" i="18"/>
  <c r="BD203" i="18"/>
  <c r="BC203" i="18"/>
  <c r="BB203" i="18"/>
  <c r="BF202" i="18"/>
  <c r="BE202" i="18"/>
  <c r="BD202" i="18"/>
  <c r="BC202" i="18"/>
  <c r="BB202" i="18"/>
  <c r="BF201" i="18"/>
  <c r="BE201" i="18"/>
  <c r="BD201" i="18"/>
  <c r="BC201" i="18"/>
  <c r="BB201" i="18"/>
  <c r="BF200" i="18"/>
  <c r="BE200" i="18"/>
  <c r="BD200" i="18"/>
  <c r="BC200" i="18"/>
  <c r="BB200" i="18"/>
  <c r="BF199" i="18"/>
  <c r="BE199" i="18"/>
  <c r="BD199" i="18"/>
  <c r="BC199" i="18"/>
  <c r="BB199" i="18"/>
  <c r="BF198" i="18"/>
  <c r="BE198" i="18"/>
  <c r="BD198" i="18"/>
  <c r="BC198" i="18"/>
  <c r="BB198" i="18"/>
  <c r="BF197" i="18"/>
  <c r="BE197" i="18"/>
  <c r="BD197" i="18"/>
  <c r="BC197" i="18"/>
  <c r="BB197" i="18"/>
  <c r="BF196" i="18"/>
  <c r="BE196" i="18"/>
  <c r="BD196" i="18"/>
  <c r="BC196" i="18"/>
  <c r="BB196" i="18"/>
  <c r="BF195" i="18"/>
  <c r="BE195" i="18"/>
  <c r="BD195" i="18"/>
  <c r="BC195" i="18"/>
  <c r="BB195" i="18"/>
  <c r="BF194" i="18"/>
  <c r="BE194" i="18"/>
  <c r="BD194" i="18"/>
  <c r="BC194" i="18"/>
  <c r="BB194" i="18"/>
  <c r="BF193" i="18"/>
  <c r="BE193" i="18"/>
  <c r="BD193" i="18"/>
  <c r="BC193" i="18"/>
  <c r="BB193" i="18"/>
  <c r="BF192" i="18"/>
  <c r="BE192" i="18"/>
  <c r="BD192" i="18"/>
  <c r="BC192" i="18"/>
  <c r="BB192" i="18"/>
  <c r="BF191" i="18"/>
  <c r="BE191" i="18"/>
  <c r="BD191" i="18"/>
  <c r="BC191" i="18"/>
  <c r="BB191" i="18"/>
  <c r="BF190" i="18"/>
  <c r="BE190" i="18"/>
  <c r="BD190" i="18"/>
  <c r="BC190" i="18"/>
  <c r="BB190" i="18"/>
  <c r="BF189" i="18"/>
  <c r="BE189" i="18"/>
  <c r="BD189" i="18"/>
  <c r="BC189" i="18"/>
  <c r="BB189" i="18"/>
  <c r="BF188" i="18"/>
  <c r="BE188" i="18"/>
  <c r="BD188" i="18"/>
  <c r="BC188" i="18"/>
  <c r="BB188" i="18"/>
  <c r="BF187" i="18"/>
  <c r="BE187" i="18"/>
  <c r="BD187" i="18"/>
  <c r="BC187" i="18"/>
  <c r="BB187" i="18"/>
  <c r="BF186" i="18"/>
  <c r="BE186" i="18"/>
  <c r="BD186" i="18"/>
  <c r="BC186" i="18"/>
  <c r="BB186" i="18"/>
  <c r="BF185" i="18"/>
  <c r="BE185" i="18"/>
  <c r="BD185" i="18"/>
  <c r="BC185" i="18"/>
  <c r="BB185" i="18"/>
  <c r="BF184" i="18"/>
  <c r="BE184" i="18"/>
  <c r="BD184" i="18"/>
  <c r="BC184" i="18"/>
  <c r="BB184" i="18"/>
  <c r="BF183" i="18"/>
  <c r="BE183" i="18"/>
  <c r="BD183" i="18"/>
  <c r="BC183" i="18"/>
  <c r="BB183" i="18"/>
  <c r="BF182" i="18"/>
  <c r="BE182" i="18"/>
  <c r="BD182" i="18"/>
  <c r="BC182" i="18"/>
  <c r="BB182" i="18"/>
  <c r="AH44" i="18"/>
  <c r="AG44" i="18"/>
  <c r="AF44" i="18"/>
  <c r="AD44" i="18"/>
  <c r="AE40" i="18"/>
  <c r="AE39" i="18"/>
  <c r="AE38" i="18"/>
  <c r="X27" i="18"/>
  <c r="W27" i="18"/>
  <c r="V27" i="18"/>
  <c r="X25" i="18"/>
  <c r="W25" i="18"/>
  <c r="V25" i="18"/>
  <c r="U25" i="18"/>
  <c r="T25" i="18"/>
  <c r="N20" i="18"/>
  <c r="AA41" i="18" s="1"/>
  <c r="AG41" i="18" s="1"/>
  <c r="AM41" i="18" s="1"/>
  <c r="AR41" i="18" s="1"/>
  <c r="AV41" i="18" s="1"/>
  <c r="N19" i="18"/>
  <c r="N18" i="18"/>
  <c r="AA39" i="18" s="1"/>
  <c r="AG39" i="18" s="1"/>
  <c r="AM39" i="18" s="1"/>
  <c r="AR39" i="18" s="1"/>
  <c r="AV39" i="18" s="1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K4" i="18"/>
  <c r="J4" i="18"/>
  <c r="I4" i="18"/>
  <c r="H4" i="18"/>
  <c r="G4" i="18"/>
  <c r="F4" i="18"/>
  <c r="E4" i="18"/>
  <c r="D4" i="18"/>
  <c r="C4" i="18"/>
  <c r="B4" i="18"/>
  <c r="BL3" i="18"/>
  <c r="BK3" i="18"/>
  <c r="BI3" i="18"/>
  <c r="BG3" i="18"/>
  <c r="BF3" i="18"/>
  <c r="BE3" i="18"/>
  <c r="BD3" i="18"/>
  <c r="BC3" i="18"/>
  <c r="BB3" i="18"/>
  <c r="J623" i="29"/>
  <c r="I623" i="29"/>
  <c r="H623" i="29"/>
  <c r="G623" i="29"/>
  <c r="F623" i="29"/>
  <c r="J622" i="29"/>
  <c r="I622" i="29"/>
  <c r="H622" i="29"/>
  <c r="G622" i="29"/>
  <c r="F622" i="29"/>
  <c r="J621" i="29"/>
  <c r="I621" i="29"/>
  <c r="H621" i="29"/>
  <c r="G621" i="29"/>
  <c r="F621" i="29"/>
  <c r="J620" i="29"/>
  <c r="I620" i="29"/>
  <c r="H620" i="29"/>
  <c r="G620" i="29"/>
  <c r="F620" i="29"/>
  <c r="C5" i="29"/>
  <c r="C6" i="29" s="1"/>
  <c r="C7" i="29" s="1"/>
  <c r="A5" i="29"/>
  <c r="A6" i="29" s="1"/>
  <c r="A7" i="29" s="1"/>
  <c r="C4" i="29"/>
  <c r="A4" i="29"/>
  <c r="F3" i="28"/>
  <c r="F5" i="28"/>
  <c r="F6" i="28"/>
  <c r="F7" i="28"/>
  <c r="F8" i="28"/>
  <c r="F9" i="28"/>
  <c r="F10" i="28"/>
  <c r="F11" i="28"/>
  <c r="F12" i="28"/>
  <c r="D10" i="28" s="1"/>
  <c r="F13" i="28"/>
  <c r="D8" i="28" s="1"/>
  <c r="F2" i="28"/>
  <c r="D7" i="28" s="1"/>
  <c r="A13" i="26"/>
  <c r="A3" i="26"/>
  <c r="A4" i="26"/>
  <c r="A5" i="26"/>
  <c r="A6" i="26"/>
  <c r="A7" i="26"/>
  <c r="A8" i="26"/>
  <c r="A9" i="26"/>
  <c r="A10" i="26"/>
  <c r="A11" i="26"/>
  <c r="A12" i="26"/>
  <c r="R9" i="18" l="1" a="1"/>
  <c r="R9" i="18" s="1"/>
  <c r="R8" i="18" a="1"/>
  <c r="R8" i="18" s="1"/>
  <c r="R7" i="18" a="1"/>
  <c r="R7" i="18" s="1"/>
  <c r="R6" i="18" a="1"/>
  <c r="R6" i="18" s="1"/>
  <c r="R5" i="18" a="1"/>
  <c r="R5" i="18" s="1"/>
  <c r="R96" i="18" a="1"/>
  <c r="R96" i="18" s="1"/>
  <c r="R95" i="18" a="1"/>
  <c r="R95" i="18" s="1"/>
  <c r="S5" i="18" a="1"/>
  <c r="S5" i="18" s="1"/>
  <c r="O5" i="18" a="1"/>
  <c r="O5" i="18" s="1"/>
  <c r="P5" i="18" a="1"/>
  <c r="P5" i="18" s="1"/>
  <c r="Q5" i="18" a="1"/>
  <c r="Q5" i="18" s="1"/>
  <c r="O6" i="18" a="1"/>
  <c r="O6" i="18" s="1"/>
  <c r="P6" i="18" a="1"/>
  <c r="P6" i="18" s="1"/>
  <c r="Q6" i="18" a="1"/>
  <c r="Q6" i="18" s="1"/>
  <c r="S6" i="18" a="1"/>
  <c r="S6" i="18" s="1"/>
  <c r="O95" i="18" a="1"/>
  <c r="O95" i="18" s="1"/>
  <c r="O98" i="18" a="1"/>
  <c r="O98" i="18" s="1"/>
  <c r="O96" i="18" a="1"/>
  <c r="O96" i="18" s="1"/>
  <c r="O97" i="18" a="1"/>
  <c r="O97" i="18" s="1"/>
  <c r="O7" i="18" a="1"/>
  <c r="O7" i="18" s="1"/>
  <c r="P7" i="18" a="1"/>
  <c r="P7" i="18" s="1"/>
  <c r="Q7" i="18" a="1"/>
  <c r="Q7" i="18" s="1"/>
  <c r="S7" i="18" a="1"/>
  <c r="S7" i="18" s="1"/>
  <c r="P8" i="18" a="1"/>
  <c r="P8" i="18" s="1"/>
  <c r="Q8" i="18" a="1"/>
  <c r="Q8" i="18" s="1"/>
  <c r="S8" i="18" a="1"/>
  <c r="S8" i="18" s="1"/>
  <c r="O8" i="18" a="1"/>
  <c r="O8" i="18" s="1"/>
  <c r="P97" i="18" a="1"/>
  <c r="P97" i="18" s="1"/>
  <c r="P98" i="18" a="1"/>
  <c r="P98" i="18" s="1"/>
  <c r="P95" i="18" a="1"/>
  <c r="P95" i="18" s="1"/>
  <c r="P96" i="18" a="1"/>
  <c r="P96" i="18" s="1"/>
  <c r="O9" i="18" a="1"/>
  <c r="O9" i="18" s="1"/>
  <c r="P9" i="18" a="1"/>
  <c r="P9" i="18" s="1"/>
  <c r="Q9" i="18" a="1"/>
  <c r="Q9" i="18" s="1"/>
  <c r="S9" i="18" a="1"/>
  <c r="S9" i="18" s="1"/>
  <c r="R10" i="18" a="1"/>
  <c r="R10" i="18" s="1"/>
  <c r="S10" i="18" a="1"/>
  <c r="S10" i="18" s="1"/>
  <c r="O10" i="18" a="1"/>
  <c r="O10" i="18" s="1"/>
  <c r="P10" i="18" a="1"/>
  <c r="P10" i="18" s="1"/>
  <c r="Q10" i="18" a="1"/>
  <c r="Q10" i="18" s="1"/>
  <c r="Q96" i="18" a="1"/>
  <c r="Q96" i="18" s="1"/>
  <c r="Q97" i="18" a="1"/>
  <c r="Q97" i="18" s="1"/>
  <c r="Q98" i="18" a="1"/>
  <c r="Q98" i="18" s="1"/>
  <c r="Q95" i="18" a="1"/>
  <c r="Q95" i="18" s="1"/>
  <c r="O11" i="18" a="1"/>
  <c r="O11" i="18" s="1"/>
  <c r="P11" i="18" a="1"/>
  <c r="P11" i="18" s="1"/>
  <c r="Q11" i="18" a="1"/>
  <c r="Q11" i="18" s="1"/>
  <c r="R11" i="18" a="1"/>
  <c r="R11" i="18" s="1"/>
  <c r="S11" i="18" a="1"/>
  <c r="S11" i="18" s="1"/>
  <c r="O12" i="18" a="1"/>
  <c r="O12" i="18" s="1"/>
  <c r="P12" i="18" a="1"/>
  <c r="P12" i="18" s="1"/>
  <c r="Q12" i="18" a="1"/>
  <c r="Q12" i="18" s="1"/>
  <c r="R12" i="18" a="1"/>
  <c r="R12" i="18" s="1"/>
  <c r="S12" i="18" a="1"/>
  <c r="S12" i="18" s="1"/>
  <c r="R97" i="18" a="1"/>
  <c r="R97" i="18" s="1"/>
  <c r="R98" i="18" a="1"/>
  <c r="R98" i="18" s="1"/>
  <c r="O14" i="18" a="1"/>
  <c r="O14" i="18" s="1"/>
  <c r="P14" i="18" a="1"/>
  <c r="P14" i="18" s="1"/>
  <c r="Q14" i="18" a="1"/>
  <c r="Q14" i="18" s="1"/>
  <c r="R14" i="18" a="1"/>
  <c r="R14" i="18" s="1"/>
  <c r="S14" i="18" a="1"/>
  <c r="S14" i="18" s="1"/>
  <c r="O13" i="18" a="1"/>
  <c r="O13" i="18" s="1"/>
  <c r="P13" i="18" a="1"/>
  <c r="P13" i="18" s="1"/>
  <c r="Q13" i="18" a="1"/>
  <c r="Q13" i="18" s="1"/>
  <c r="R13" i="18" a="1"/>
  <c r="R13" i="18" s="1"/>
  <c r="S13" i="18" a="1"/>
  <c r="S13" i="18" s="1"/>
  <c r="S96" i="18" a="1"/>
  <c r="S96" i="18" s="1"/>
  <c r="S97" i="18" a="1"/>
  <c r="S97" i="18" s="1"/>
  <c r="S98" i="18" a="1"/>
  <c r="S98" i="18" s="1"/>
  <c r="S95" i="18" a="1"/>
  <c r="S95" i="18" s="1"/>
  <c r="Q15" i="18" a="1"/>
  <c r="Q15" i="18" s="1"/>
  <c r="R15" i="18" a="1"/>
  <c r="R15" i="18" s="1"/>
  <c r="S15" i="18" a="1"/>
  <c r="S15" i="18" s="1"/>
  <c r="O15" i="18" a="1"/>
  <c r="O15" i="18" s="1"/>
  <c r="P15" i="18" a="1"/>
  <c r="P15" i="18" s="1"/>
  <c r="O16" i="18" a="1"/>
  <c r="O16" i="18" s="1"/>
  <c r="P16" i="18" a="1"/>
  <c r="P16" i="18" s="1"/>
  <c r="Q16" i="18" a="1"/>
  <c r="Q16" i="18" s="1"/>
  <c r="R16" i="18" a="1"/>
  <c r="R16" i="18" s="1"/>
  <c r="S16" i="18" a="1"/>
  <c r="S16" i="18" s="1"/>
  <c r="AA28" i="18"/>
  <c r="AG28" i="18" s="1"/>
  <c r="AM28" i="18" s="1"/>
  <c r="AR28" i="18" s="1"/>
  <c r="AV28" i="18" s="1"/>
  <c r="AA29" i="18"/>
  <c r="AG29" i="18" s="1"/>
  <c r="AM29" i="18" s="1"/>
  <c r="AR29" i="18" s="1"/>
  <c r="AV29" i="18" s="1"/>
  <c r="AA31" i="18"/>
  <c r="AG31" i="18" s="1"/>
  <c r="AM31" i="18" s="1"/>
  <c r="AR31" i="18" s="1"/>
  <c r="AV31" i="18" s="1"/>
  <c r="N32" i="18"/>
  <c r="N51" i="18" s="1"/>
  <c r="N70" i="18" s="1"/>
  <c r="N85" i="18" s="1"/>
  <c r="AA33" i="18"/>
  <c r="AG33" i="18" s="1"/>
  <c r="AM33" i="18" s="1"/>
  <c r="AR33" i="18" s="1"/>
  <c r="AV33" i="18" s="1"/>
  <c r="N34" i="18"/>
  <c r="T34" i="18" s="1"/>
  <c r="AA35" i="18"/>
  <c r="AG35" i="18" s="1"/>
  <c r="AM35" i="18" s="1"/>
  <c r="AR35" i="18" s="1"/>
  <c r="AV35" i="18" s="1"/>
  <c r="D7" i="29"/>
  <c r="D6" i="28"/>
  <c r="AA37" i="18"/>
  <c r="AG37" i="18" s="1"/>
  <c r="AM37" i="18" s="1"/>
  <c r="AR37" i="18" s="1"/>
  <c r="AV37" i="18" s="1"/>
  <c r="Y27" i="18"/>
  <c r="N37" i="18"/>
  <c r="AD56" i="18" s="1"/>
  <c r="N28" i="18"/>
  <c r="AD47" i="18" s="1"/>
  <c r="D3" i="29"/>
  <c r="AA32" i="18"/>
  <c r="AG32" i="18" s="1"/>
  <c r="AM32" i="18" s="1"/>
  <c r="AR32" i="18" s="1"/>
  <c r="AV32" i="18" s="1"/>
  <c r="AA34" i="18"/>
  <c r="AG34" i="18" s="1"/>
  <c r="AM34" i="18" s="1"/>
  <c r="AR34" i="18" s="1"/>
  <c r="AV34" i="18" s="1"/>
  <c r="N39" i="18"/>
  <c r="N58" i="18" s="1"/>
  <c r="D4" i="29"/>
  <c r="N36" i="18"/>
  <c r="AD55" i="18" s="1"/>
  <c r="D5" i="29"/>
  <c r="AA36" i="18"/>
  <c r="AG36" i="18" s="1"/>
  <c r="AM36" i="18" s="1"/>
  <c r="AR36" i="18" s="1"/>
  <c r="AV36" i="18" s="1"/>
  <c r="N41" i="18"/>
  <c r="T41" i="18" s="1"/>
  <c r="D6" i="29"/>
  <c r="N29" i="18"/>
  <c r="N48" i="18" s="1"/>
  <c r="N67" i="18" s="1"/>
  <c r="N82" i="18" s="1"/>
  <c r="N31" i="18"/>
  <c r="N50" i="18" s="1"/>
  <c r="N69" i="18" s="1"/>
  <c r="N84" i="18" s="1"/>
  <c r="N33" i="18"/>
  <c r="N52" i="18" s="1"/>
  <c r="N71" i="18" s="1"/>
  <c r="N86" i="18" s="1"/>
  <c r="N35" i="18"/>
  <c r="AD54" i="18" s="1"/>
  <c r="N30" i="18"/>
  <c r="AA30" i="18"/>
  <c r="AG30" i="18" s="1"/>
  <c r="AM30" i="18" s="1"/>
  <c r="AR30" i="18" s="1"/>
  <c r="AV30" i="18" s="1"/>
  <c r="AA26" i="18"/>
  <c r="AG26" i="18" s="1"/>
  <c r="AM26" i="18" s="1"/>
  <c r="AR26" i="18" s="1"/>
  <c r="AV26" i="18" s="1"/>
  <c r="N26" i="18"/>
  <c r="AA27" i="18"/>
  <c r="AG27" i="18" s="1"/>
  <c r="AM27" i="18" s="1"/>
  <c r="AR27" i="18" s="1"/>
  <c r="AV27" i="18" s="1"/>
  <c r="N38" i="18"/>
  <c r="AA38" i="18"/>
  <c r="AG38" i="18" s="1"/>
  <c r="AM38" i="18" s="1"/>
  <c r="AR38" i="18" s="1"/>
  <c r="AV38" i="18" s="1"/>
  <c r="N40" i="18"/>
  <c r="AA40" i="18"/>
  <c r="AG40" i="18" s="1"/>
  <c r="AM40" i="18" s="1"/>
  <c r="AR40" i="18" s="1"/>
  <c r="AV40" i="18" s="1"/>
  <c r="T32" i="18"/>
  <c r="N27" i="18"/>
  <c r="AD51" i="18" l="1"/>
  <c r="AD53" i="18"/>
  <c r="T21" i="18"/>
  <c r="R21" i="18"/>
  <c r="W11" i="18" s="1"/>
  <c r="R99" i="18"/>
  <c r="X21" i="18"/>
  <c r="N53" i="18"/>
  <c r="N72" i="18" s="1"/>
  <c r="N87" i="18" s="1"/>
  <c r="W21" i="18"/>
  <c r="V21" i="18"/>
  <c r="U21" i="18"/>
  <c r="O101" i="18"/>
  <c r="N47" i="18"/>
  <c r="N66" i="18" s="1"/>
  <c r="N81" i="18" s="1"/>
  <c r="AB101" i="18"/>
  <c r="AA101" i="18"/>
  <c r="AC101" i="18"/>
  <c r="W101" i="18"/>
  <c r="V101" i="18"/>
  <c r="U101" i="18"/>
  <c r="T101" i="18"/>
  <c r="S101" i="18"/>
  <c r="R101" i="18"/>
  <c r="Q101" i="18"/>
  <c r="X101" i="18"/>
  <c r="P101" i="18"/>
  <c r="Y101" i="18"/>
  <c r="Z101" i="18"/>
  <c r="T29" i="18"/>
  <c r="AD48" i="18"/>
  <c r="T39" i="18"/>
  <c r="AD58" i="18"/>
  <c r="T33" i="18"/>
  <c r="AK36" i="18" a="1"/>
  <c r="AK36" i="18" s="1"/>
  <c r="T36" i="18"/>
  <c r="N56" i="18"/>
  <c r="N75" i="18" s="1"/>
  <c r="N90" i="18" s="1"/>
  <c r="AD52" i="18"/>
  <c r="N55" i="18"/>
  <c r="N74" i="18" s="1"/>
  <c r="N89" i="18" s="1"/>
  <c r="T35" i="18"/>
  <c r="N54" i="18"/>
  <c r="N73" i="18" s="1"/>
  <c r="N88" i="18" s="1"/>
  <c r="AE29" i="18"/>
  <c r="T37" i="18"/>
  <c r="T28" i="18"/>
  <c r="AW36" i="18"/>
  <c r="AE34" i="18"/>
  <c r="O21" i="18"/>
  <c r="T11" i="18" s="1"/>
  <c r="AT30" i="18"/>
  <c r="AW30" i="18"/>
  <c r="AD60" i="18"/>
  <c r="N60" i="18"/>
  <c r="AT41" i="18"/>
  <c r="AW39" i="18"/>
  <c r="AW40" i="18"/>
  <c r="AW41" i="18"/>
  <c r="AT38" i="18"/>
  <c r="AT39" i="18"/>
  <c r="AT40" i="18"/>
  <c r="AW38" i="18"/>
  <c r="AT31" i="18"/>
  <c r="AW31" i="18"/>
  <c r="AE28" i="18"/>
  <c r="AT35" i="18"/>
  <c r="AW35" i="18"/>
  <c r="R54" i="18"/>
  <c r="AT32" i="18"/>
  <c r="AW32" i="18"/>
  <c r="AT33" i="18"/>
  <c r="AW33" i="18"/>
  <c r="AW28" i="18"/>
  <c r="AT37" i="18"/>
  <c r="AW37" i="18"/>
  <c r="R55" i="18"/>
  <c r="AD50" i="18"/>
  <c r="T31" i="18"/>
  <c r="AT29" i="18"/>
  <c r="AW29" i="18"/>
  <c r="AT34" i="18"/>
  <c r="V50" i="18"/>
  <c r="R52" i="18"/>
  <c r="AW34" i="18"/>
  <c r="AT28" i="18"/>
  <c r="AT36" i="18"/>
  <c r="AP35" i="18" a="1"/>
  <c r="AP35" i="18" s="1"/>
  <c r="R35" i="18"/>
  <c r="AE35" i="18"/>
  <c r="AK35" i="18" a="1"/>
  <c r="AK35" i="18" s="1"/>
  <c r="AA56" i="18"/>
  <c r="Y54" i="18"/>
  <c r="V51" i="18"/>
  <c r="Y51" i="18"/>
  <c r="AA51" i="18"/>
  <c r="R31" i="18"/>
  <c r="AE31" i="18"/>
  <c r="AP31" i="18" a="1"/>
  <c r="AP31" i="18" s="1"/>
  <c r="AK31" i="18" a="1"/>
  <c r="AK31" i="18" s="1"/>
  <c r="AP28" i="18" a="1"/>
  <c r="AP28" i="18" s="1"/>
  <c r="Y50" i="18"/>
  <c r="AA50" i="18"/>
  <c r="AA49" i="18"/>
  <c r="AA48" i="18"/>
  <c r="AA47" i="18"/>
  <c r="R34" i="18"/>
  <c r="AK32" i="18" a="1"/>
  <c r="AK32" i="18" s="1"/>
  <c r="R32" i="18"/>
  <c r="AE32" i="18"/>
  <c r="AP32" i="18" a="1"/>
  <c r="AP32" i="18" s="1"/>
  <c r="AD59" i="18"/>
  <c r="T40" i="18"/>
  <c r="N59" i="18"/>
  <c r="R38" i="18"/>
  <c r="X38" i="18" s="1"/>
  <c r="AP40" i="18" a="1"/>
  <c r="AP40" i="18" s="1"/>
  <c r="AK39" i="18" a="1"/>
  <c r="AK39" i="18" s="1"/>
  <c r="R39" i="18"/>
  <c r="X39" i="18" s="1"/>
  <c r="AP38" i="18" a="1"/>
  <c r="AP38" i="18" s="1"/>
  <c r="AK40" i="18"/>
  <c r="R40" i="18"/>
  <c r="X40" i="18" s="1"/>
  <c r="AP39" i="18" a="1"/>
  <c r="AP39" i="18" s="1"/>
  <c r="AK38" i="18" a="1"/>
  <c r="AK38" i="18" s="1"/>
  <c r="S21" i="18"/>
  <c r="AD30" i="18" s="1"/>
  <c r="Y55" i="18"/>
  <c r="AA58" i="18"/>
  <c r="Y52" i="18"/>
  <c r="AA52" i="18"/>
  <c r="Q21" i="18"/>
  <c r="V11" i="18" s="1"/>
  <c r="R36" i="18"/>
  <c r="AK33" i="18" a="1"/>
  <c r="AK33" i="18" s="1"/>
  <c r="R33" i="18"/>
  <c r="AP33" i="18" a="1"/>
  <c r="AP33" i="18" s="1"/>
  <c r="AE33" i="18"/>
  <c r="Y53" i="18"/>
  <c r="AA53" i="18"/>
  <c r="AE37" i="18"/>
  <c r="AP37" i="18" a="1"/>
  <c r="AP37" i="18" s="1"/>
  <c r="AK37" i="18" a="1"/>
  <c r="AK37" i="18" s="1"/>
  <c r="R37" i="18"/>
  <c r="X37" i="18" s="1"/>
  <c r="AD57" i="18"/>
  <c r="T38" i="18"/>
  <c r="N57" i="18"/>
  <c r="AA55" i="18"/>
  <c r="R49" i="18"/>
  <c r="AA57" i="18"/>
  <c r="AA54" i="18"/>
  <c r="R56" i="18"/>
  <c r="R53" i="18"/>
  <c r="P21" i="18"/>
  <c r="U11" i="18" s="1"/>
  <c r="R29" i="18"/>
  <c r="AD49" i="18"/>
  <c r="N49" i="18"/>
  <c r="N68" i="18" s="1"/>
  <c r="N83" i="18" s="1"/>
  <c r="T30" i="18"/>
  <c r="R50" i="18"/>
  <c r="R57" i="18"/>
  <c r="AK34" i="18" a="1"/>
  <c r="AK34" i="18" s="1"/>
  <c r="R28" i="18"/>
  <c r="AB46" i="18"/>
  <c r="AH46" i="18" s="1"/>
  <c r="W65" i="18" s="1"/>
  <c r="R51" i="18"/>
  <c r="V52" i="18"/>
  <c r="R58" i="18"/>
  <c r="R59" i="18"/>
  <c r="V59" i="18"/>
  <c r="V58" i="18"/>
  <c r="V57" i="18"/>
  <c r="V56" i="18"/>
  <c r="AP34" i="18" a="1"/>
  <c r="AP34" i="18" s="1"/>
  <c r="AK29" i="18" a="1"/>
  <c r="AK29" i="18" s="1"/>
  <c r="AE36" i="18"/>
  <c r="V54" i="18"/>
  <c r="V53" i="18"/>
  <c r="Y56" i="18"/>
  <c r="R60" i="18"/>
  <c r="V60" i="18"/>
  <c r="AK28" i="18" a="1"/>
  <c r="AK28" i="18" s="1"/>
  <c r="Y57" i="18"/>
  <c r="R47" i="18"/>
  <c r="V47" i="18"/>
  <c r="Y60" i="18"/>
  <c r="Y59" i="18"/>
  <c r="Y58" i="18"/>
  <c r="N45" i="18"/>
  <c r="N64" i="18" s="1"/>
  <c r="N79" i="18" s="1"/>
  <c r="T26" i="18"/>
  <c r="AD45" i="18"/>
  <c r="AP36" i="18" a="1"/>
  <c r="AP36" i="18" s="1"/>
  <c r="R48" i="18"/>
  <c r="V48" i="18"/>
  <c r="AA60" i="18"/>
  <c r="AA59" i="18"/>
  <c r="AD46" i="18"/>
  <c r="N46" i="18"/>
  <c r="N65" i="18" s="1"/>
  <c r="N80" i="18" s="1"/>
  <c r="T27" i="18"/>
  <c r="AK30" i="18" a="1"/>
  <c r="AK30" i="18" s="1"/>
  <c r="AP30" i="18" a="1"/>
  <c r="AP30" i="18" s="1"/>
  <c r="R30" i="18"/>
  <c r="AE30" i="18"/>
  <c r="V55" i="18"/>
  <c r="V49" i="18"/>
  <c r="Y49" i="18"/>
  <c r="Y48" i="18"/>
  <c r="Y47" i="18"/>
  <c r="AP29" i="18" a="1"/>
  <c r="AP29" i="18" s="1"/>
  <c r="W80" i="18" l="1"/>
  <c r="X11" i="18"/>
  <c r="AH59" i="18" a="1"/>
  <c r="AH59" i="18" s="1"/>
  <c r="AH57" i="18" a="1"/>
  <c r="AH57" i="18" s="1"/>
  <c r="AH60" i="18" a="1"/>
  <c r="AH60" i="18" s="1"/>
  <c r="AH58" i="18" a="1"/>
  <c r="AH58" i="18" s="1"/>
  <c r="V72" i="18"/>
  <c r="V74" i="18"/>
  <c r="U72" i="18"/>
  <c r="U73" i="18"/>
  <c r="V71" i="18"/>
  <c r="U71" i="18"/>
  <c r="V73" i="18"/>
  <c r="U74" i="18"/>
  <c r="X30" i="18"/>
  <c r="X28" i="18"/>
  <c r="X35" i="18"/>
  <c r="X32" i="18"/>
  <c r="X31" i="18"/>
  <c r="X33" i="18"/>
  <c r="X34" i="18"/>
  <c r="X36" i="18"/>
  <c r="X29" i="18"/>
  <c r="AH56" i="18" a="1"/>
  <c r="AH56" i="18" s="1"/>
  <c r="AC39" i="18"/>
  <c r="Q59" i="18"/>
  <c r="T52" i="18"/>
  <c r="X49" i="18"/>
  <c r="U49" i="18"/>
  <c r="T48" i="18"/>
  <c r="Q30" i="18"/>
  <c r="P34" i="18"/>
  <c r="AN28" i="18"/>
  <c r="Q34" i="18"/>
  <c r="P30" i="18"/>
  <c r="U48" i="18"/>
  <c r="AO30" i="18"/>
  <c r="O30" i="18"/>
  <c r="P48" i="18"/>
  <c r="P47" i="18"/>
  <c r="AS36" i="18"/>
  <c r="AI28" i="18"/>
  <c r="AS30" i="18"/>
  <c r="X47" i="18"/>
  <c r="X56" i="18"/>
  <c r="AJ30" i="18"/>
  <c r="AN30" i="18"/>
  <c r="AC28" i="18"/>
  <c r="Z46" i="18"/>
  <c r="AG46" i="18" s="1"/>
  <c r="U65" i="18" s="1"/>
  <c r="AI30" i="18"/>
  <c r="AH30" i="18"/>
  <c r="T47" i="18"/>
  <c r="AJ29" i="18"/>
  <c r="T49" i="18"/>
  <c r="AB36" i="18"/>
  <c r="O28" i="18"/>
  <c r="AB30" i="18"/>
  <c r="AI35" i="18"/>
  <c r="S46" i="18"/>
  <c r="T55" i="18"/>
  <c r="X48" i="18"/>
  <c r="AC30" i="18"/>
  <c r="U51" i="18"/>
  <c r="O34" i="18"/>
  <c r="U34" i="18" s="1"/>
  <c r="AC34" i="18"/>
  <c r="AC40" i="18"/>
  <c r="AN34" i="18"/>
  <c r="X58" i="18"/>
  <c r="U57" i="18"/>
  <c r="X59" i="18"/>
  <c r="X60" i="18"/>
  <c r="AC37" i="18"/>
  <c r="P29" i="18"/>
  <c r="AD29" i="18"/>
  <c r="AC38" i="18"/>
  <c r="Q48" i="18"/>
  <c r="P58" i="18"/>
  <c r="AH52" i="18" a="1"/>
  <c r="AH52" i="18" s="1"/>
  <c r="Q47" i="18"/>
  <c r="T59" i="18"/>
  <c r="T54" i="18"/>
  <c r="AH50" i="18" a="1"/>
  <c r="AH50" i="18" s="1"/>
  <c r="W69" i="18" s="1"/>
  <c r="AS33" i="18"/>
  <c r="U47" i="18"/>
  <c r="Q58" i="18"/>
  <c r="AG58" i="18" s="1"/>
  <c r="AD37" i="18"/>
  <c r="O49" i="18"/>
  <c r="AE49" i="18" s="1"/>
  <c r="AO28" i="18"/>
  <c r="U58" i="18"/>
  <c r="T56" i="18"/>
  <c r="AS37" i="18"/>
  <c r="AN29" i="18"/>
  <c r="Q49" i="18"/>
  <c r="T58" i="18"/>
  <c r="T57" i="18"/>
  <c r="AI34" i="18"/>
  <c r="P55" i="18"/>
  <c r="U60" i="18"/>
  <c r="AC29" i="18"/>
  <c r="AH28" i="18"/>
  <c r="AO29" i="18"/>
  <c r="T60" i="18"/>
  <c r="AI29" i="18"/>
  <c r="AH55" i="18" a="1"/>
  <c r="AH55" i="18" s="1"/>
  <c r="AH51" i="18" a="1"/>
  <c r="AH51" i="18" s="1"/>
  <c r="W70" i="18" s="1"/>
  <c r="O22" i="18"/>
  <c r="AH48" i="18" a="1"/>
  <c r="AH48" i="18" s="1"/>
  <c r="W67" i="18" s="1"/>
  <c r="AH54" i="18" a="1"/>
  <c r="AH54" i="18" s="1"/>
  <c r="AB28" i="18"/>
  <c r="Q28" i="18"/>
  <c r="AB37" i="18"/>
  <c r="Q54" i="18"/>
  <c r="AS39" i="18"/>
  <c r="AJ38" i="18"/>
  <c r="P50" i="18"/>
  <c r="AS31" i="18"/>
  <c r="Q55" i="18"/>
  <c r="Q29" i="18"/>
  <c r="AS32" i="18"/>
  <c r="X55" i="18"/>
  <c r="T74" i="18" s="1"/>
  <c r="Q31" i="18"/>
  <c r="AS38" i="18"/>
  <c r="Q32" i="18"/>
  <c r="O37" i="18"/>
  <c r="U37" i="18" s="1"/>
  <c r="O55" i="18"/>
  <c r="AE55" i="18" s="1"/>
  <c r="Q33" i="18"/>
  <c r="P51" i="18"/>
  <c r="AJ40" i="18"/>
  <c r="Q39" i="18"/>
  <c r="W39" i="18" s="1"/>
  <c r="AI40" i="18"/>
  <c r="AJ31" i="18"/>
  <c r="P52" i="18"/>
  <c r="AI33" i="18"/>
  <c r="P53" i="18"/>
  <c r="AI39" i="18"/>
  <c r="AS29" i="18"/>
  <c r="AI31" i="18"/>
  <c r="Q57" i="18"/>
  <c r="Q56" i="18"/>
  <c r="AI37" i="18"/>
  <c r="Q37" i="18"/>
  <c r="W37" i="18" s="1"/>
  <c r="X53" i="18"/>
  <c r="AJ33" i="18"/>
  <c r="P54" i="18"/>
  <c r="P40" i="18"/>
  <c r="V40" i="18" s="1"/>
  <c r="AO40" i="18"/>
  <c r="AN31" i="18"/>
  <c r="T51" i="18"/>
  <c r="P57" i="18"/>
  <c r="AJ37" i="18"/>
  <c r="U54" i="18"/>
  <c r="O54" i="18"/>
  <c r="AE54" i="18" s="1"/>
  <c r="Q40" i="18"/>
  <c r="W40" i="18" s="1"/>
  <c r="P38" i="18"/>
  <c r="V38" i="18" s="1"/>
  <c r="AN32" i="18"/>
  <c r="AO31" i="18"/>
  <c r="P37" i="18"/>
  <c r="V37" i="18" s="1"/>
  <c r="AO34" i="18"/>
  <c r="AS28" i="18"/>
  <c r="AO33" i="18"/>
  <c r="AJ34" i="18"/>
  <c r="P33" i="18"/>
  <c r="AN33" i="18"/>
  <c r="AS41" i="18"/>
  <c r="AC32" i="18"/>
  <c r="AD31" i="18"/>
  <c r="U55" i="18"/>
  <c r="S74" i="18" s="1"/>
  <c r="AO36" i="18"/>
  <c r="P60" i="18"/>
  <c r="P59" i="18"/>
  <c r="AN37" i="18"/>
  <c r="Q52" i="18"/>
  <c r="AC33" i="18"/>
  <c r="X52" i="18"/>
  <c r="AO38" i="18"/>
  <c r="Q38" i="18"/>
  <c r="W38" i="18" s="1"/>
  <c r="AD32" i="18"/>
  <c r="P31" i="18"/>
  <c r="W46" i="18"/>
  <c r="X57" i="18"/>
  <c r="AJ28" i="18"/>
  <c r="U59" i="18"/>
  <c r="U56" i="18"/>
  <c r="AH29" i="18"/>
  <c r="AO37" i="18"/>
  <c r="Q53" i="18"/>
  <c r="AD33" i="18"/>
  <c r="U52" i="18"/>
  <c r="S71" i="18" s="1"/>
  <c r="P39" i="18"/>
  <c r="V39" i="18" s="1"/>
  <c r="AI38" i="18"/>
  <c r="P32" i="18"/>
  <c r="AS35" i="18"/>
  <c r="AB40" i="18"/>
  <c r="AB38" i="18"/>
  <c r="AB39" i="18"/>
  <c r="O60" i="18"/>
  <c r="AE60" i="18" s="1"/>
  <c r="O59" i="18"/>
  <c r="AE59" i="18" s="1"/>
  <c r="O36" i="18"/>
  <c r="U36" i="18" s="1"/>
  <c r="AB29" i="18"/>
  <c r="O48" i="18"/>
  <c r="AE48" i="18" s="1"/>
  <c r="O57" i="18"/>
  <c r="AE57" i="18" s="1"/>
  <c r="O56" i="18"/>
  <c r="AE56" i="18" s="1"/>
  <c r="AH36" i="18"/>
  <c r="O58" i="18"/>
  <c r="AE58" i="18" s="1"/>
  <c r="O52" i="18"/>
  <c r="AE52" i="18" s="1"/>
  <c r="AH38" i="18"/>
  <c r="Q35" i="18"/>
  <c r="Q50" i="18"/>
  <c r="O47" i="18"/>
  <c r="AE47" i="18" s="1"/>
  <c r="O33" i="18"/>
  <c r="U33" i="18" s="1"/>
  <c r="O39" i="18"/>
  <c r="U39" i="18" s="1"/>
  <c r="AH31" i="18"/>
  <c r="T53" i="18"/>
  <c r="P49" i="18"/>
  <c r="AH49" i="18" a="1"/>
  <c r="AH49" i="18" s="1"/>
  <c r="W68" i="18" s="1"/>
  <c r="AH37" i="18"/>
  <c r="AB31" i="18"/>
  <c r="AS34" i="18"/>
  <c r="Q60" i="18"/>
  <c r="AB34" i="18"/>
  <c r="X54" i="18"/>
  <c r="AN38" i="18"/>
  <c r="AN40" i="18"/>
  <c r="AN39" i="18"/>
  <c r="AO32" i="18"/>
  <c r="AH32" i="18"/>
  <c r="X50" i="18"/>
  <c r="AH34" i="18"/>
  <c r="P28" i="18"/>
  <c r="AH35" i="18"/>
  <c r="AD34" i="18"/>
  <c r="AH47" i="18" a="1"/>
  <c r="AH47" i="18" s="1"/>
  <c r="W66" i="18" s="1"/>
  <c r="O38" i="18"/>
  <c r="U38" i="18" s="1"/>
  <c r="O40" i="18"/>
  <c r="U40" i="18" s="1"/>
  <c r="AI32" i="18"/>
  <c r="U50" i="18"/>
  <c r="AC31" i="18"/>
  <c r="O50" i="18"/>
  <c r="AE50" i="18" s="1"/>
  <c r="AN35" i="18"/>
  <c r="O29" i="18"/>
  <c r="AH33" i="18"/>
  <c r="AD40" i="18"/>
  <c r="AD38" i="18"/>
  <c r="AD39" i="18"/>
  <c r="AD36" i="18"/>
  <c r="AN36" i="18"/>
  <c r="AJ36" i="18"/>
  <c r="AI36" i="18"/>
  <c r="P36" i="18"/>
  <c r="U53" i="18"/>
  <c r="AD28" i="18"/>
  <c r="AO39" i="18"/>
  <c r="AJ39" i="18"/>
  <c r="AS40" i="18"/>
  <c r="AB32" i="18"/>
  <c r="AJ32" i="18"/>
  <c r="T50" i="18"/>
  <c r="O31" i="18"/>
  <c r="O51" i="18"/>
  <c r="AE51" i="18" s="1"/>
  <c r="AJ35" i="18"/>
  <c r="AB33" i="18"/>
  <c r="AH40" i="18"/>
  <c r="O53" i="18"/>
  <c r="AE53" i="18" s="1"/>
  <c r="AO35" i="18"/>
  <c r="O35" i="18"/>
  <c r="U35" i="18" s="1"/>
  <c r="AC36" i="18"/>
  <c r="O32" i="18"/>
  <c r="AB35" i="18"/>
  <c r="AC35" i="18"/>
  <c r="Q51" i="18"/>
  <c r="AH39" i="18"/>
  <c r="AD35" i="18"/>
  <c r="AH53" i="18" a="1"/>
  <c r="AH53" i="18" s="1"/>
  <c r="X51" i="18"/>
  <c r="P35" i="18"/>
  <c r="Q36" i="18"/>
  <c r="P56" i="18"/>
  <c r="W83" i="18" l="1"/>
  <c r="AI68" i="18"/>
  <c r="AE74" i="18"/>
  <c r="W82" i="18"/>
  <c r="AI67" i="18"/>
  <c r="V86" i="18"/>
  <c r="AH71" i="18"/>
  <c r="W85" i="18"/>
  <c r="AI70" i="18"/>
  <c r="U87" i="18"/>
  <c r="AG72" i="18"/>
  <c r="U88" i="18"/>
  <c r="AG73" i="18"/>
  <c r="AE71" i="18"/>
  <c r="V89" i="18"/>
  <c r="AH74" i="18"/>
  <c r="V87" i="18"/>
  <c r="AH72" i="18"/>
  <c r="Q102" i="18"/>
  <c r="AA65" i="18"/>
  <c r="AD66" i="18"/>
  <c r="AA69" i="18"/>
  <c r="AD70" i="18"/>
  <c r="AA73" i="18"/>
  <c r="AG75" i="18"/>
  <c r="AD65" i="18"/>
  <c r="AD69" i="18"/>
  <c r="AB65" i="18"/>
  <c r="AH67" i="18"/>
  <c r="AB69" i="18"/>
  <c r="AH75" i="18"/>
  <c r="AA68" i="18"/>
  <c r="AA72" i="18"/>
  <c r="AB64" i="18"/>
  <c r="AF66" i="18"/>
  <c r="AF70" i="18"/>
  <c r="AI71" i="18"/>
  <c r="AI75" i="18"/>
  <c r="AH66" i="18"/>
  <c r="AB68" i="18"/>
  <c r="AH70" i="18"/>
  <c r="AC64" i="18"/>
  <c r="AH64" i="18"/>
  <c r="AF67" i="18"/>
  <c r="AF65" i="18"/>
  <c r="AF69" i="18"/>
  <c r="AI74" i="18"/>
  <c r="AD64" i="18"/>
  <c r="AA74" i="18"/>
  <c r="AA67" i="18"/>
  <c r="AD68" i="18"/>
  <c r="AA71" i="18"/>
  <c r="AA75" i="18"/>
  <c r="AE64" i="18"/>
  <c r="AD75" i="18"/>
  <c r="AI72" i="18"/>
  <c r="AH65" i="18"/>
  <c r="AB67" i="18"/>
  <c r="AH69" i="18"/>
  <c r="AB75" i="18"/>
  <c r="AF64" i="18"/>
  <c r="AF75" i="18"/>
  <c r="AF68" i="18"/>
  <c r="AI73" i="18"/>
  <c r="AC75" i="18"/>
  <c r="AG64" i="18"/>
  <c r="AA70" i="18"/>
  <c r="AA64" i="18"/>
  <c r="AA66" i="18"/>
  <c r="AD67" i="18"/>
  <c r="AB66" i="18"/>
  <c r="AH68" i="18"/>
  <c r="AB70" i="18"/>
  <c r="AE75" i="18"/>
  <c r="AI64" i="18"/>
  <c r="W84" i="18"/>
  <c r="AI69" i="18"/>
  <c r="W81" i="18"/>
  <c r="AI66" i="18"/>
  <c r="U89" i="18"/>
  <c r="AG74" i="18"/>
  <c r="U80" i="18"/>
  <c r="AG65" i="18"/>
  <c r="V88" i="18"/>
  <c r="AH73" i="18"/>
  <c r="AI65" i="18"/>
  <c r="AF74" i="18"/>
  <c r="U86" i="18"/>
  <c r="AG71" i="18"/>
  <c r="AF60" i="18" a="1"/>
  <c r="AF60" i="18" s="1"/>
  <c r="P102" i="18"/>
  <c r="P104" i="18" s="1"/>
  <c r="Y102" i="18"/>
  <c r="AA102" i="18"/>
  <c r="S102" i="18"/>
  <c r="S103" i="18" s="1"/>
  <c r="Z102" i="18"/>
  <c r="AC102" i="18"/>
  <c r="T102" i="18"/>
  <c r="W102" i="18"/>
  <c r="O102" i="18"/>
  <c r="O104" i="18" s="1"/>
  <c r="V102" i="18"/>
  <c r="AB102" i="18"/>
  <c r="X102" i="18"/>
  <c r="U102" i="18"/>
  <c r="R102" i="18"/>
  <c r="R103" i="18" s="1"/>
  <c r="AG57" i="18"/>
  <c r="R73" i="18"/>
  <c r="AF59" i="18" a="1"/>
  <c r="AF59" i="18" s="1"/>
  <c r="AF57" i="18" a="1"/>
  <c r="AF57" i="18" s="1"/>
  <c r="AG60" i="18"/>
  <c r="AG59" i="18"/>
  <c r="AF58" i="18" a="1"/>
  <c r="AF58" i="18" s="1"/>
  <c r="R72" i="18"/>
  <c r="R74" i="18"/>
  <c r="R71" i="18"/>
  <c r="Q71" i="18"/>
  <c r="Q73" i="18"/>
  <c r="Q74" i="18"/>
  <c r="P74" i="18"/>
  <c r="Q66" i="18"/>
  <c r="P72" i="18"/>
  <c r="Q72" i="18"/>
  <c r="S72" i="18"/>
  <c r="P71" i="18"/>
  <c r="S86" i="18"/>
  <c r="S73" i="18"/>
  <c r="T73" i="18"/>
  <c r="T89" i="18"/>
  <c r="T72" i="18"/>
  <c r="P73" i="18"/>
  <c r="S89" i="18"/>
  <c r="T71" i="18"/>
  <c r="V36" i="18"/>
  <c r="W30" i="18"/>
  <c r="V33" i="18"/>
  <c r="U32" i="18"/>
  <c r="Q70" i="18"/>
  <c r="W35" i="18"/>
  <c r="W32" i="18"/>
  <c r="W28" i="18"/>
  <c r="U30" i="18"/>
  <c r="Q68" i="18"/>
  <c r="W31" i="18"/>
  <c r="V35" i="18"/>
  <c r="V32" i="18"/>
  <c r="V30" i="18"/>
  <c r="V31" i="18"/>
  <c r="W29" i="18"/>
  <c r="W34" i="18"/>
  <c r="W33" i="18"/>
  <c r="V29" i="18"/>
  <c r="U29" i="18"/>
  <c r="Q67" i="18"/>
  <c r="U31" i="18"/>
  <c r="Q69" i="18"/>
  <c r="V28" i="18"/>
  <c r="W36" i="18"/>
  <c r="U28" i="18"/>
  <c r="V34" i="18"/>
  <c r="AF49" i="18" a="1"/>
  <c r="AF49" i="18" s="1"/>
  <c r="S68" i="18" s="1"/>
  <c r="AE68" i="18" s="1"/>
  <c r="AF48" i="18" a="1"/>
  <c r="AF48" i="18" s="1"/>
  <c r="S67" i="18" s="1"/>
  <c r="AE67" i="18" s="1"/>
  <c r="AF52" i="18" a="1"/>
  <c r="AF52" i="18" s="1"/>
  <c r="AF56" i="18" a="1"/>
  <c r="AF56" i="18" s="1"/>
  <c r="AG49" i="18"/>
  <c r="U68" i="18" s="1"/>
  <c r="AF47" i="18" a="1"/>
  <c r="AF47" i="18" s="1"/>
  <c r="S66" i="18" s="1"/>
  <c r="AE66" i="18" s="1"/>
  <c r="AF54" i="18" a="1"/>
  <c r="AF54" i="18" s="1"/>
  <c r="AG56" i="18"/>
  <c r="AF55" i="18" a="1"/>
  <c r="AF55" i="18" s="1"/>
  <c r="AF53" i="18" a="1"/>
  <c r="AF53" i="18" s="1"/>
  <c r="AG48" i="18"/>
  <c r="U67" i="18" s="1"/>
  <c r="AF51" i="18" a="1"/>
  <c r="AF51" i="18" s="1"/>
  <c r="S70" i="18" s="1"/>
  <c r="AE70" i="18" s="1"/>
  <c r="AG47" i="18"/>
  <c r="U66" i="18" s="1"/>
  <c r="Y37" i="18"/>
  <c r="AG54" i="18"/>
  <c r="AG52" i="18"/>
  <c r="AG53" i="18"/>
  <c r="AE46" i="18" a="1"/>
  <c r="AE46" i="18" s="1"/>
  <c r="AF50" i="18" a="1"/>
  <c r="AF50" i="18" s="1"/>
  <c r="S69" i="18" s="1"/>
  <c r="AE69" i="18" s="1"/>
  <c r="AF46" i="18" a="1"/>
  <c r="AF46" i="18" s="1"/>
  <c r="AG55" i="18"/>
  <c r="Y39" i="18"/>
  <c r="AG50" i="18"/>
  <c r="U69" i="18" s="1"/>
  <c r="Y40" i="18"/>
  <c r="AG51" i="18"/>
  <c r="U70" i="18" s="1"/>
  <c r="Y38" i="18"/>
  <c r="P87" i="18" l="1"/>
  <c r="AB72" i="18"/>
  <c r="P89" i="18"/>
  <c r="AB74" i="18"/>
  <c r="Q83" i="18"/>
  <c r="AC68" i="18"/>
  <c r="P88" i="18"/>
  <c r="AB73" i="18"/>
  <c r="Q89" i="18"/>
  <c r="AC74" i="18"/>
  <c r="T86" i="18"/>
  <c r="AF71" i="18"/>
  <c r="R88" i="18"/>
  <c r="AD73" i="18"/>
  <c r="Q88" i="18"/>
  <c r="AC73" i="18"/>
  <c r="U83" i="18"/>
  <c r="AG68" i="18"/>
  <c r="Q86" i="18"/>
  <c r="AC71" i="18"/>
  <c r="Q81" i="18"/>
  <c r="AC66" i="18"/>
  <c r="R86" i="18"/>
  <c r="AD71" i="18"/>
  <c r="T88" i="18"/>
  <c r="AF73" i="18"/>
  <c r="S88" i="18"/>
  <c r="AE73" i="18"/>
  <c r="R89" i="18"/>
  <c r="AD74" i="18"/>
  <c r="Q82" i="18"/>
  <c r="AC67" i="18"/>
  <c r="Q85" i="18"/>
  <c r="AC70" i="18"/>
  <c r="R87" i="18"/>
  <c r="AD72" i="18"/>
  <c r="Q84" i="18"/>
  <c r="AC69" i="18"/>
  <c r="U81" i="18"/>
  <c r="AG66" i="18"/>
  <c r="P86" i="18"/>
  <c r="AB71" i="18"/>
  <c r="T87" i="18"/>
  <c r="AF72" i="18"/>
  <c r="S87" i="18"/>
  <c r="AE72" i="18"/>
  <c r="U85" i="18"/>
  <c r="AG70" i="18"/>
  <c r="U84" i="18"/>
  <c r="AG69" i="18"/>
  <c r="U82" i="18"/>
  <c r="AG67" i="18"/>
  <c r="Q87" i="18"/>
  <c r="AC72" i="18"/>
  <c r="O111" i="18"/>
  <c r="O103" i="18"/>
  <c r="P103" i="18"/>
  <c r="Q103" i="18"/>
  <c r="AI57" i="18"/>
  <c r="AI54" i="18"/>
  <c r="Y30" i="18"/>
  <c r="X74" i="18"/>
  <c r="Y34" i="18"/>
  <c r="AI55" i="18"/>
  <c r="X73" i="18"/>
  <c r="AI52" i="18"/>
  <c r="Y28" i="18"/>
  <c r="AI53" i="18"/>
  <c r="Y31" i="18"/>
  <c r="Y33" i="18"/>
  <c r="Y35" i="18"/>
  <c r="X72" i="18"/>
  <c r="X71" i="18"/>
  <c r="Y36" i="18"/>
  <c r="Y32" i="18"/>
  <c r="S65" i="18"/>
  <c r="S85" i="18"/>
  <c r="X70" i="18"/>
  <c r="S84" i="18"/>
  <c r="X69" i="18"/>
  <c r="S83" i="18"/>
  <c r="X68" i="18"/>
  <c r="S82" i="18"/>
  <c r="X67" i="18"/>
  <c r="Q65" i="18"/>
  <c r="AC65" i="18" s="1"/>
  <c r="S81" i="18"/>
  <c r="X66" i="18"/>
  <c r="Y29" i="18"/>
  <c r="AI48" i="18"/>
  <c r="AI56" i="18"/>
  <c r="AI49" i="18"/>
  <c r="AI47" i="18"/>
  <c r="AI46" i="18"/>
  <c r="AI50" i="18"/>
  <c r="AI51" i="18"/>
  <c r="X88" i="18" l="1"/>
  <c r="X84" i="18"/>
  <c r="X82" i="18"/>
  <c r="X83" i="18"/>
  <c r="X89" i="18"/>
  <c r="X87" i="18"/>
  <c r="X86" i="18"/>
  <c r="X85" i="18"/>
  <c r="X81" i="18"/>
  <c r="S80" i="18"/>
  <c r="AE65" i="18"/>
  <c r="D19" i="30"/>
  <c r="O110" i="18"/>
  <c r="AJ53" i="18"/>
  <c r="AJ54" i="18"/>
  <c r="B18" i="30"/>
  <c r="C18" i="30" s="1"/>
  <c r="B19" i="30"/>
  <c r="E18" i="30"/>
  <c r="AJ52" i="18"/>
  <c r="AJ55" i="18"/>
  <c r="O112" i="18"/>
  <c r="X65" i="18"/>
  <c r="X75" i="18" s="1"/>
  <c r="Y65" i="18" s="1"/>
  <c r="Q80" i="18"/>
  <c r="AA83" i="18" s="1"/>
  <c r="AI58" i="18"/>
  <c r="AI59" i="18" s="1"/>
  <c r="AI60" i="18" s="1"/>
  <c r="AA85" i="18" l="1"/>
  <c r="AE82" i="18"/>
  <c r="AE85" i="18"/>
  <c r="AC85" i="18"/>
  <c r="AA82" i="18"/>
  <c r="AA84" i="18"/>
  <c r="AC81" i="18"/>
  <c r="AE84" i="18"/>
  <c r="AA81" i="18"/>
  <c r="AC84" i="18"/>
  <c r="AC83" i="18"/>
  <c r="AE81" i="18"/>
  <c r="AC82" i="18"/>
  <c r="AG85" i="18"/>
  <c r="AG81" i="18"/>
  <c r="AG84" i="18"/>
  <c r="AG82" i="18"/>
  <c r="AG83" i="18"/>
  <c r="AE83" i="18"/>
  <c r="O106" i="18"/>
  <c r="C19" i="30"/>
  <c r="E19" i="30"/>
  <c r="X80" i="18"/>
  <c r="Y70" i="18"/>
  <c r="Y67" i="18"/>
  <c r="Y71" i="18"/>
  <c r="Y72" i="18"/>
  <c r="Y68" i="18"/>
  <c r="Y73" i="18"/>
  <c r="Y74" i="18"/>
  <c r="Y69" i="18"/>
  <c r="Y66" i="18"/>
  <c r="G10" i="27"/>
  <c r="G9" i="27"/>
  <c r="G8" i="27"/>
  <c r="G7" i="27"/>
  <c r="G6" i="27"/>
  <c r="G5" i="27"/>
  <c r="G4" i="27"/>
  <c r="G3" i="27"/>
  <c r="O108" i="18" l="1"/>
  <c r="D16" i="30" s="1"/>
  <c r="P105" i="18"/>
  <c r="O105" i="18" s="1"/>
  <c r="X90" i="18"/>
  <c r="Y87" i="18" s="1"/>
  <c r="J623" i="25"/>
  <c r="I623" i="25"/>
  <c r="H623" i="25"/>
  <c r="G623" i="25"/>
  <c r="F623" i="25"/>
  <c r="J622" i="25"/>
  <c r="I622" i="25"/>
  <c r="H622" i="25"/>
  <c r="G622" i="25"/>
  <c r="F622" i="25"/>
  <c r="J621" i="25"/>
  <c r="I621" i="25"/>
  <c r="H621" i="25"/>
  <c r="G621" i="25"/>
  <c r="F621" i="25"/>
  <c r="J620" i="25"/>
  <c r="I620" i="25"/>
  <c r="H620" i="25"/>
  <c r="G620" i="25"/>
  <c r="F620" i="25"/>
  <c r="A5" i="25"/>
  <c r="A6" i="25" s="1"/>
  <c r="A7" i="25" s="1"/>
  <c r="C4" i="25"/>
  <c r="A4" i="25"/>
  <c r="B4" i="30" l="1"/>
  <c r="B2" i="30" s="1"/>
  <c r="Y84" i="18"/>
  <c r="Y89" i="18"/>
  <c r="Y80" i="18"/>
  <c r="Y86" i="18"/>
  <c r="Y82" i="18"/>
  <c r="Y85" i="18"/>
  <c r="Y83" i="18"/>
  <c r="Y81" i="18"/>
  <c r="Y88" i="18"/>
  <c r="E16" i="30" l="1"/>
  <c r="E20" i="30" s="1"/>
  <c r="D20" i="30" s="1"/>
  <c r="D22" i="43"/>
  <c r="D33" i="43"/>
  <c r="D30" i="43"/>
  <c r="D25" i="43"/>
  <c r="D32" i="43"/>
  <c r="D23" i="43"/>
  <c r="D29" i="43"/>
  <c r="D27" i="43"/>
  <c r="D31" i="43"/>
  <c r="D28" i="43"/>
  <c r="D24" i="43"/>
  <c r="D34" i="43"/>
  <c r="D26" i="43"/>
  <c r="F28" i="43" l="1"/>
  <c r="F27" i="43"/>
  <c r="F23" i="43"/>
  <c r="F32" i="43"/>
  <c r="F25" i="43"/>
  <c r="F31" i="43"/>
  <c r="F30" i="43"/>
  <c r="F34" i="43"/>
  <c r="F24" i="43"/>
  <c r="F29" i="43"/>
  <c r="F33" i="43"/>
  <c r="F26" i="43"/>
  <c r="D35" i="43"/>
  <c r="F22" i="43"/>
  <c r="F35" i="43" l="1"/>
  <c r="C87" i="43" s="1"/>
  <c r="H58" i="43" l="1"/>
  <c r="G30" i="43"/>
  <c r="G28" i="43"/>
  <c r="G27" i="43"/>
  <c r="G23" i="43"/>
  <c r="G25" i="43"/>
  <c r="G31" i="43"/>
  <c r="G34" i="43"/>
  <c r="G32" i="43"/>
  <c r="G33" i="43"/>
  <c r="G24" i="43"/>
  <c r="G26" i="43"/>
  <c r="G29" i="43"/>
  <c r="G22" i="43"/>
  <c r="B24" i="30" l="1"/>
  <c r="C24" i="30" s="1"/>
  <c r="E24" i="30"/>
  <c r="K3" i="80"/>
  <c r="Z112" i="43" l="1"/>
  <c r="V119" i="43" s="1"/>
  <c r="AC109" i="43" l="1"/>
  <c r="AC108" i="43"/>
  <c r="AC107" i="43"/>
  <c r="AC110" i="43"/>
  <c r="AC106" i="43"/>
  <c r="AC10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China</author>
  </authors>
  <commentList>
    <comment ref="B4" authorId="0" shapeId="0" xr:uid="{C2DD7D78-CDC9-4A88-9CF1-DEDDE7BD33E2}">
      <text>
        <r>
          <rPr>
            <b/>
            <sz val="9"/>
            <color indexed="81"/>
            <rFont val="宋体"/>
            <family val="3"/>
            <charset val="134"/>
          </rPr>
          <t>China:</t>
        </r>
        <r>
          <rPr>
            <sz val="9"/>
            <color indexed="81"/>
            <rFont val="宋体"/>
            <family val="3"/>
            <charset val="134"/>
          </rPr>
          <t xml:space="preserve">
程序计算需要 实际不参与结算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China</author>
  </authors>
  <commentList>
    <comment ref="B6" authorId="0" shapeId="0" xr:uid="{3C9A84ED-6A7D-41CF-893D-36A8E0A0DB15}">
      <text>
        <r>
          <rPr>
            <b/>
            <sz val="9"/>
            <color indexed="81"/>
            <rFont val="宋体"/>
            <family val="3"/>
            <charset val="134"/>
          </rPr>
          <t>China:</t>
        </r>
        <r>
          <rPr>
            <sz val="9"/>
            <color indexed="81"/>
            <rFont val="宋体"/>
            <family val="3"/>
            <charset val="134"/>
          </rPr>
          <t xml:space="preserve">
这个位置必须是wild不能动
</t>
        </r>
      </text>
    </comment>
  </commentList>
</comments>
</file>

<file path=xl/sharedStrings.xml><?xml version="1.0" encoding="utf-8"?>
<sst xmlns="http://schemas.openxmlformats.org/spreadsheetml/2006/main" count="2772" uniqueCount="443">
  <si>
    <t>Bet</t>
  </si>
  <si>
    <t>For 1 Multiplier</t>
  </si>
  <si>
    <t>Pay Table</t>
  </si>
  <si>
    <t/>
  </si>
  <si>
    <t>Symbol</t>
  </si>
  <si>
    <t>Reel Strip</t>
  </si>
  <si>
    <t>Reel1</t>
  </si>
  <si>
    <t>Reel2</t>
  </si>
  <si>
    <t>Reel3</t>
  </si>
  <si>
    <t>Reel4</t>
  </si>
  <si>
    <t>Reel5</t>
  </si>
  <si>
    <t>Cycle:</t>
  </si>
  <si>
    <t>Total</t>
  </si>
  <si>
    <t>SCATTER</t>
    <phoneticPr fontId="7" type="noConversion"/>
  </si>
  <si>
    <t>SCATTER</t>
    <phoneticPr fontId="8" type="noConversion"/>
  </si>
  <si>
    <t>TOTAL</t>
    <phoneticPr fontId="7" type="noConversion"/>
  </si>
  <si>
    <t>REEL STOP WITH SCATTER</t>
    <phoneticPr fontId="8" type="noConversion"/>
  </si>
  <si>
    <t>WILD</t>
    <phoneticPr fontId="7" type="noConversion"/>
  </si>
  <si>
    <t>Total</t>
    <phoneticPr fontId="7" type="noConversion"/>
  </si>
  <si>
    <t>Weight</t>
    <phoneticPr fontId="7" type="noConversion"/>
  </si>
  <si>
    <t>Pro</t>
    <phoneticPr fontId="7" type="noConversion"/>
  </si>
  <si>
    <t>Mul</t>
    <phoneticPr fontId="7" type="noConversion"/>
  </si>
  <si>
    <t>Paymul</t>
    <phoneticPr fontId="7" type="noConversion"/>
  </si>
  <si>
    <t>GRAND</t>
    <phoneticPr fontId="8" type="noConversion"/>
  </si>
  <si>
    <t>MAJOR</t>
    <phoneticPr fontId="8" type="noConversion"/>
  </si>
  <si>
    <t>MINOR</t>
    <phoneticPr fontId="8" type="noConversion"/>
  </si>
  <si>
    <t>MINI</t>
    <phoneticPr fontId="8" type="noConversion"/>
  </si>
  <si>
    <t>NXXXX</t>
    <phoneticPr fontId="7" type="noConversion"/>
  </si>
  <si>
    <t>Count</t>
    <phoneticPr fontId="8" type="noConversion"/>
  </si>
  <si>
    <t>WNXXX</t>
    <phoneticPr fontId="7" type="noConversion"/>
  </si>
  <si>
    <t>WWNXX</t>
    <phoneticPr fontId="8" type="noConversion"/>
  </si>
  <si>
    <t>WWWNX</t>
  </si>
  <si>
    <t>WWWWN</t>
    <phoneticPr fontId="8" type="noConversion"/>
  </si>
  <si>
    <t>WWWWW</t>
    <phoneticPr fontId="8" type="noConversion"/>
  </si>
  <si>
    <t>NUMBER</t>
    <phoneticPr fontId="8" type="noConversion"/>
  </si>
  <si>
    <t>Total</t>
    <phoneticPr fontId="8" type="noConversion"/>
  </si>
  <si>
    <t>Pro</t>
    <phoneticPr fontId="8" type="noConversion"/>
  </si>
  <si>
    <t>Avg Nums</t>
    <phoneticPr fontId="8" type="noConversion"/>
  </si>
  <si>
    <t>RTP of Base Game:</t>
    <phoneticPr fontId="8" type="noConversion"/>
  </si>
  <si>
    <t>Free Hit Rate</t>
    <phoneticPr fontId="8" type="noConversion"/>
  </si>
  <si>
    <t>Free Hit Frequency</t>
    <phoneticPr fontId="8" type="noConversion"/>
  </si>
  <si>
    <r>
      <t>NXXXX(</t>
    </r>
    <r>
      <rPr>
        <sz val="11"/>
        <color indexed="8"/>
        <rFont val="宋体"/>
        <family val="3"/>
        <charset val="134"/>
      </rPr>
      <t>不含</t>
    </r>
    <r>
      <rPr>
        <sz val="11"/>
        <color indexed="8"/>
        <rFont val="Times New Roman"/>
        <family val="1"/>
      </rPr>
      <t>wild)</t>
    </r>
    <phoneticPr fontId="7" type="noConversion"/>
  </si>
  <si>
    <r>
      <t>NXXXX(</t>
    </r>
    <r>
      <rPr>
        <sz val="11"/>
        <color indexed="8"/>
        <rFont val="宋体"/>
        <family val="3"/>
        <charset val="134"/>
      </rPr>
      <t>含</t>
    </r>
    <r>
      <rPr>
        <sz val="11"/>
        <color indexed="8"/>
        <rFont val="Times New Roman"/>
        <family val="1"/>
      </rPr>
      <t xml:space="preserve"> 1 wild)</t>
    </r>
    <phoneticPr fontId="7" type="noConversion"/>
  </si>
  <si>
    <r>
      <t>NXXXX(</t>
    </r>
    <r>
      <rPr>
        <sz val="11"/>
        <color indexed="8"/>
        <rFont val="宋体"/>
        <family val="3"/>
        <charset val="134"/>
      </rPr>
      <t>含</t>
    </r>
    <r>
      <rPr>
        <sz val="11"/>
        <color indexed="8"/>
        <rFont val="Times New Roman"/>
        <family val="1"/>
      </rPr>
      <t xml:space="preserve"> 2 wild)</t>
    </r>
    <phoneticPr fontId="7" type="noConversion"/>
  </si>
  <si>
    <r>
      <t>NXXXX(</t>
    </r>
    <r>
      <rPr>
        <sz val="11"/>
        <color indexed="8"/>
        <rFont val="宋体"/>
        <family val="3"/>
        <charset val="134"/>
      </rPr>
      <t>含</t>
    </r>
    <r>
      <rPr>
        <sz val="11"/>
        <color indexed="8"/>
        <rFont val="Times New Roman"/>
        <family val="1"/>
      </rPr>
      <t xml:space="preserve"> 3 wild)</t>
    </r>
    <phoneticPr fontId="7" type="noConversion"/>
  </si>
  <si>
    <t>LINK</t>
    <phoneticPr fontId="7" type="noConversion"/>
  </si>
  <si>
    <t>Lines:</t>
    <phoneticPr fontId="7" type="noConversion"/>
  </si>
  <si>
    <t>LINK</t>
    <phoneticPr fontId="8" type="noConversion"/>
  </si>
  <si>
    <t>ID</t>
    <phoneticPr fontId="7" type="noConversion"/>
  </si>
  <si>
    <t>reelstripID</t>
    <phoneticPr fontId="16" type="noConversion"/>
  </si>
  <si>
    <t>id:int&lt;s&gt;</t>
    <phoneticPr fontId="8" type="noConversion"/>
  </si>
  <si>
    <t>reel_id:int&lt;s&gt;</t>
    <phoneticPr fontId="8" type="noConversion"/>
  </si>
  <si>
    <t>]</t>
    <phoneticPr fontId="7" type="noConversion"/>
  </si>
  <si>
    <t>[</t>
    <phoneticPr fontId="7" type="noConversion"/>
  </si>
  <si>
    <t>Dictionary</t>
    <phoneticPr fontId="7" type="noConversion"/>
  </si>
  <si>
    <r>
      <t>c</t>
    </r>
    <r>
      <rPr>
        <sz val="11"/>
        <color theme="1"/>
        <rFont val="Times New Roman"/>
        <family val="1"/>
      </rPr>
      <t>ol:int&lt;s&gt;</t>
    </r>
    <phoneticPr fontId="8" type="noConversion"/>
  </si>
  <si>
    <r>
      <t>s</t>
    </r>
    <r>
      <rPr>
        <sz val="11"/>
        <color theme="1"/>
        <rFont val="Times New Roman"/>
        <family val="1"/>
      </rPr>
      <t>trip:array&lt;s&gt;</t>
    </r>
    <phoneticPr fontId="8" type="noConversion"/>
  </si>
  <si>
    <t>,</t>
    <phoneticPr fontId="7" type="noConversion"/>
  </si>
  <si>
    <t>symbol ID</t>
    <phoneticPr fontId="8" type="noConversion"/>
  </si>
  <si>
    <t>2K</t>
    <phoneticPr fontId="8" type="noConversion"/>
  </si>
  <si>
    <t>3K</t>
    <phoneticPr fontId="7" type="noConversion"/>
  </si>
  <si>
    <t>2:int&lt;s&gt;</t>
  </si>
  <si>
    <t>3:int&lt;s&gt;</t>
    <phoneticPr fontId="8" type="noConversion"/>
  </si>
  <si>
    <t>4K</t>
  </si>
  <si>
    <t>5K</t>
  </si>
  <si>
    <t>4:int&lt;s&gt;</t>
  </si>
  <si>
    <t>5:int&lt;s&gt;</t>
  </si>
  <si>
    <t>prize:int&lt;s&gt;</t>
    <phoneticPr fontId="8" type="noConversion"/>
  </si>
  <si>
    <t>type:int&lt;s&gt;</t>
    <phoneticPr fontId="8" type="noConversion"/>
  </si>
  <si>
    <t>jackpot_id:int&lt;s&gt;</t>
    <phoneticPr fontId="8" type="noConversion"/>
  </si>
  <si>
    <t>ReelRow</t>
    <phoneticPr fontId="7" type="noConversion"/>
  </si>
  <si>
    <t>Feature Hit Rate</t>
    <phoneticPr fontId="7" type="noConversion"/>
  </si>
  <si>
    <t>Feature Hit Frequency</t>
    <phoneticPr fontId="7" type="noConversion"/>
  </si>
  <si>
    <t>REEL STOP WITH LINK</t>
    <phoneticPr fontId="8" type="noConversion"/>
  </si>
  <si>
    <t>name:string&lt;s&gt;</t>
    <phoneticPr fontId="8" type="noConversion"/>
  </si>
  <si>
    <t>string_value:string&lt;s&gt;</t>
    <phoneticPr fontId="8" type="noConversion"/>
  </si>
  <si>
    <t>int_value:int&lt;s&gt;</t>
    <phoneticPr fontId="16" type="noConversion"/>
  </si>
  <si>
    <t>array_value:array&lt;s&gt;</t>
    <phoneticPr fontId="16" type="noConversion"/>
  </si>
  <si>
    <t>bet</t>
    <phoneticPr fontId="8" type="noConversion"/>
  </si>
  <si>
    <t>row</t>
    <phoneticPr fontId="8" type="noConversion"/>
  </si>
  <si>
    <t>col</t>
    <phoneticPr fontId="8" type="noConversion"/>
  </si>
  <si>
    <t>symbols</t>
    <phoneticPr fontId="8" type="noConversion"/>
  </si>
  <si>
    <t>wild</t>
    <phoneticPr fontId="8" type="noConversion"/>
  </si>
  <si>
    <t>bonus</t>
    <phoneticPr fontId="8" type="noConversion"/>
  </si>
  <si>
    <t>jackpots</t>
    <phoneticPr fontId="8" type="noConversion"/>
  </si>
  <si>
    <t>line</t>
    <phoneticPr fontId="8" type="noConversion"/>
  </si>
  <si>
    <t>rule</t>
    <phoneticPr fontId="8" type="noConversion"/>
  </si>
  <si>
    <t>scatter</t>
    <phoneticPr fontId="7" type="noConversion"/>
  </si>
  <si>
    <t>},</t>
    <phoneticPr fontId="7" type="noConversion"/>
  </si>
  <si>
    <t>base</t>
  </si>
  <si>
    <t>[100,200)</t>
  </si>
  <si>
    <t>[50,100)</t>
  </si>
  <si>
    <t>[30,50)</t>
  </si>
  <si>
    <t>[20,30)</t>
  </si>
  <si>
    <t>[10,20)</t>
  </si>
  <si>
    <t>[8,10)</t>
  </si>
  <si>
    <t>[5,8)</t>
  </si>
  <si>
    <t>[4,5)</t>
  </si>
  <si>
    <t>[2,4)</t>
  </si>
  <si>
    <t>[1,2)</t>
  </si>
  <si>
    <t>[0.5,1)</t>
  </si>
  <si>
    <t>[0.2,0.5)</t>
  </si>
  <si>
    <t>[0,0.00001)</t>
  </si>
  <si>
    <t>respin</t>
  </si>
  <si>
    <t>[500,1000)</t>
  </si>
  <si>
    <t>[200,500)</t>
  </si>
  <si>
    <r>
      <rPr>
        <sz val="11"/>
        <color indexed="8"/>
        <rFont val="宋体"/>
        <family val="3"/>
        <charset val="134"/>
      </rPr>
      <t>机台</t>
    </r>
    <phoneticPr fontId="16" type="noConversion"/>
  </si>
  <si>
    <r>
      <rPr>
        <sz val="11"/>
        <color indexed="8"/>
        <rFont val="宋体"/>
        <family val="3"/>
        <charset val="134"/>
      </rPr>
      <t>阶段</t>
    </r>
    <phoneticPr fontId="16" type="noConversion"/>
  </si>
  <si>
    <r>
      <rPr>
        <sz val="11"/>
        <color indexed="8"/>
        <rFont val="宋体"/>
        <family val="3"/>
        <charset val="134"/>
      </rPr>
      <t>赢倍</t>
    </r>
    <phoneticPr fontId="16" type="noConversion"/>
  </si>
  <si>
    <r>
      <rPr>
        <sz val="11"/>
        <color indexed="8"/>
        <rFont val="宋体"/>
        <family val="3"/>
        <charset val="134"/>
      </rPr>
      <t>占比</t>
    </r>
    <phoneticPr fontId="16" type="noConversion"/>
  </si>
  <si>
    <r>
      <t>Total RTP</t>
    </r>
    <r>
      <rPr>
        <sz val="11"/>
        <color rgb="FF000000"/>
        <rFont val="宋体"/>
        <family val="1"/>
        <charset val="134"/>
      </rPr>
      <t>：</t>
    </r>
    <phoneticPr fontId="8" type="noConversion"/>
  </si>
  <si>
    <r>
      <t>Free Game RTP</t>
    </r>
    <r>
      <rPr>
        <sz val="11"/>
        <color rgb="FF000000"/>
        <rFont val="宋体"/>
        <family val="1"/>
        <charset val="134"/>
      </rPr>
      <t>：</t>
    </r>
    <phoneticPr fontId="8" type="noConversion"/>
  </si>
  <si>
    <r>
      <t>Free Game Hit Frequency</t>
    </r>
    <r>
      <rPr>
        <sz val="11"/>
        <color rgb="FF000000"/>
        <rFont val="宋体"/>
        <family val="1"/>
        <charset val="134"/>
      </rPr>
      <t>：</t>
    </r>
    <phoneticPr fontId="8" type="noConversion"/>
  </si>
  <si>
    <r>
      <t>NXXXX(</t>
    </r>
    <r>
      <rPr>
        <sz val="11"/>
        <color indexed="8"/>
        <rFont val="宋体"/>
        <family val="3"/>
        <charset val="134"/>
      </rPr>
      <t>含</t>
    </r>
    <r>
      <rPr>
        <sz val="11"/>
        <color indexed="8"/>
        <rFont val="Times New Roman"/>
        <family val="1"/>
      </rPr>
      <t xml:space="preserve"> 4 wild)</t>
    </r>
    <phoneticPr fontId="7" type="noConversion"/>
  </si>
  <si>
    <t>Scatter Num</t>
    <phoneticPr fontId="7" type="noConversion"/>
  </si>
  <si>
    <t>BASE</t>
    <phoneticPr fontId="7" type="noConversion"/>
  </si>
  <si>
    <t>FREE</t>
    <phoneticPr fontId="7" type="noConversion"/>
  </si>
  <si>
    <t>Avg Free Num</t>
    <phoneticPr fontId="7" type="noConversion"/>
  </si>
  <si>
    <t>RTP of Free Games:</t>
    <phoneticPr fontId="7" type="noConversion"/>
  </si>
  <si>
    <t>Q</t>
    <phoneticPr fontId="8" type="noConversion"/>
  </si>
  <si>
    <t>J</t>
    <phoneticPr fontId="8" type="noConversion"/>
  </si>
  <si>
    <t>K</t>
    <phoneticPr fontId="8" type="noConversion"/>
  </si>
  <si>
    <t>WILD</t>
    <phoneticPr fontId="8" type="noConversion"/>
  </si>
  <si>
    <t>A</t>
    <phoneticPr fontId="8" type="noConversion"/>
  </si>
  <si>
    <t>M1</t>
  </si>
  <si>
    <t>M2</t>
  </si>
  <si>
    <t>M3</t>
  </si>
  <si>
    <t>M4</t>
  </si>
  <si>
    <t>M5</t>
  </si>
  <si>
    <t>M1</t>
    <phoneticPr fontId="7" type="noConversion"/>
  </si>
  <si>
    <t>M2</t>
    <phoneticPr fontId="7" type="noConversion"/>
  </si>
  <si>
    <t>A</t>
    <phoneticPr fontId="7" type="noConversion"/>
  </si>
  <si>
    <t>K</t>
    <phoneticPr fontId="7" type="noConversion"/>
  </si>
  <si>
    <t>Q</t>
    <phoneticPr fontId="7" type="noConversion"/>
  </si>
  <si>
    <t>J</t>
    <phoneticPr fontId="7" type="noConversion"/>
  </si>
  <si>
    <t>M3</t>
    <phoneticPr fontId="7" type="noConversion"/>
  </si>
  <si>
    <t>M4</t>
    <phoneticPr fontId="7" type="noConversion"/>
  </si>
  <si>
    <t>M5</t>
    <phoneticPr fontId="7" type="noConversion"/>
  </si>
  <si>
    <t>"s"</t>
    <phoneticPr fontId="7" type="noConversion"/>
  </si>
  <si>
    <t>"v"</t>
    <phoneticPr fontId="7" type="noConversion"/>
  </si>
  <si>
    <t>"w"</t>
    <phoneticPr fontId="7" type="noConversion"/>
  </si>
  <si>
    <t>Lua ID</t>
    <phoneticPr fontId="7" type="noConversion"/>
  </si>
  <si>
    <t>[1] = {</t>
    <phoneticPr fontId="7" type="noConversion"/>
  </si>
  <si>
    <t>[3] = {</t>
  </si>
  <si>
    <t>[2] = {</t>
  </si>
  <si>
    <t>[4] = {</t>
  </si>
  <si>
    <t>[5] = {</t>
  </si>
  <si>
    <t>HitRate</t>
    <phoneticPr fontId="7" type="noConversion"/>
  </si>
  <si>
    <t>M5</t>
    <phoneticPr fontId="8" type="noConversion"/>
  </si>
  <si>
    <t>RTP</t>
    <phoneticPr fontId="7" type="noConversion"/>
  </si>
  <si>
    <r>
      <t>Base Game Line RTP</t>
    </r>
    <r>
      <rPr>
        <sz val="11"/>
        <color rgb="FF000000"/>
        <rFont val="宋体"/>
        <family val="1"/>
        <charset val="134"/>
      </rPr>
      <t>：</t>
    </r>
    <phoneticPr fontId="8" type="noConversion"/>
  </si>
  <si>
    <t>M3</t>
    <phoneticPr fontId="8" type="noConversion"/>
  </si>
  <si>
    <t>M2</t>
    <phoneticPr fontId="8" type="noConversion"/>
  </si>
  <si>
    <t>M1</t>
    <phoneticPr fontId="8" type="noConversion"/>
  </si>
  <si>
    <t>Avg Free Mul</t>
    <phoneticPr fontId="7" type="noConversion"/>
  </si>
  <si>
    <t>free</t>
  </si>
  <si>
    <t>free</t>
    <phoneticPr fontId="7" type="noConversion"/>
  </si>
  <si>
    <t>respin</t>
    <phoneticPr fontId="7" type="noConversion"/>
  </si>
  <si>
    <t>BASE2</t>
    <phoneticPr fontId="7" type="noConversion"/>
  </si>
  <si>
    <t>Feature</t>
    <phoneticPr fontId="7" type="noConversion"/>
  </si>
  <si>
    <r>
      <rPr>
        <sz val="11"/>
        <color indexed="8"/>
        <rFont val="宋体"/>
        <family val="3"/>
        <charset val="134"/>
      </rPr>
      <t>触发概率</t>
    </r>
    <phoneticPr fontId="7" type="noConversion"/>
  </si>
  <si>
    <r>
      <rPr>
        <sz val="11"/>
        <color indexed="8"/>
        <rFont val="宋体"/>
        <family val="3"/>
        <charset val="134"/>
      </rPr>
      <t>间隔</t>
    </r>
    <phoneticPr fontId="7" type="noConversion"/>
  </si>
  <si>
    <r>
      <rPr>
        <sz val="11"/>
        <color rgb="FF000000"/>
        <rFont val="宋体"/>
        <family val="1"/>
        <charset val="134"/>
      </rPr>
      <t>平均赢倍</t>
    </r>
    <phoneticPr fontId="7" type="noConversion"/>
  </si>
  <si>
    <t>Base Line Game</t>
    <phoneticPr fontId="7" type="noConversion"/>
  </si>
  <si>
    <t>base</t>
    <phoneticPr fontId="7" type="noConversion"/>
  </si>
  <si>
    <t>win</t>
    <phoneticPr fontId="7" type="noConversion"/>
  </si>
  <si>
    <t>bet</t>
    <phoneticPr fontId="7" type="noConversion"/>
  </si>
  <si>
    <r>
      <t>v1</t>
    </r>
    <r>
      <rPr>
        <sz val="11"/>
        <color rgb="FF000000"/>
        <rFont val="宋体"/>
        <family val="1"/>
        <charset val="134"/>
      </rPr>
      <t>：</t>
    </r>
    <phoneticPr fontId="7" type="noConversion"/>
  </si>
  <si>
    <t>MINI</t>
    <phoneticPr fontId="7" type="noConversion"/>
  </si>
  <si>
    <t>MINOR</t>
    <phoneticPr fontId="7" type="noConversion"/>
  </si>
  <si>
    <r>
      <rPr>
        <sz val="11"/>
        <color rgb="FF000000"/>
        <rFont val="宋体"/>
        <family val="1"/>
        <charset val="134"/>
      </rPr>
      <t>竞品情况</t>
    </r>
    <phoneticPr fontId="7" type="noConversion"/>
  </si>
  <si>
    <r>
      <rPr>
        <sz val="11"/>
        <color rgb="FF000000"/>
        <rFont val="宋体"/>
        <family val="1"/>
        <charset val="134"/>
      </rPr>
      <t>竞品数据</t>
    </r>
    <phoneticPr fontId="7" type="noConversion"/>
  </si>
  <si>
    <t>M4</t>
    <phoneticPr fontId="8" type="noConversion"/>
  </si>
  <si>
    <t>SpiltRate</t>
    <phoneticPr fontId="8" type="noConversion"/>
  </si>
  <si>
    <t>Count</t>
    <phoneticPr fontId="7" type="noConversion"/>
  </si>
  <si>
    <r>
      <rPr>
        <sz val="11"/>
        <color rgb="FF000000"/>
        <rFont val="宋体"/>
        <family val="1"/>
        <charset val="134"/>
      </rPr>
      <t>不含</t>
    </r>
    <r>
      <rPr>
        <sz val="11"/>
        <color indexed="8"/>
        <rFont val="Times New Roman"/>
        <family val="1"/>
      </rPr>
      <t>wild</t>
    </r>
    <phoneticPr fontId="7" type="noConversion"/>
  </si>
  <si>
    <r>
      <t>1</t>
    </r>
    <r>
      <rPr>
        <sz val="11"/>
        <color rgb="FF000000"/>
        <rFont val="宋体"/>
        <family val="1"/>
        <charset val="134"/>
      </rPr>
      <t>个</t>
    </r>
    <r>
      <rPr>
        <sz val="11"/>
        <color indexed="8"/>
        <rFont val="Times New Roman"/>
        <family val="1"/>
      </rPr>
      <t>wild</t>
    </r>
    <phoneticPr fontId="7" type="noConversion"/>
  </si>
  <si>
    <r>
      <t>2</t>
    </r>
    <r>
      <rPr>
        <sz val="11"/>
        <color rgb="FF000000"/>
        <rFont val="宋体"/>
        <family val="1"/>
        <charset val="134"/>
      </rPr>
      <t>个</t>
    </r>
    <r>
      <rPr>
        <sz val="11"/>
        <color indexed="8"/>
        <rFont val="Times New Roman"/>
        <family val="1"/>
      </rPr>
      <t>wild</t>
    </r>
    <phoneticPr fontId="7" type="noConversion"/>
  </si>
  <si>
    <r>
      <t>3</t>
    </r>
    <r>
      <rPr>
        <sz val="11"/>
        <color rgb="FF000000"/>
        <rFont val="宋体"/>
        <family val="1"/>
        <charset val="134"/>
      </rPr>
      <t>个</t>
    </r>
    <r>
      <rPr>
        <sz val="11"/>
        <color indexed="8"/>
        <rFont val="Times New Roman"/>
        <family val="1"/>
      </rPr>
      <t>wild</t>
    </r>
    <phoneticPr fontId="7" type="noConversion"/>
  </si>
  <si>
    <r>
      <t>4</t>
    </r>
    <r>
      <rPr>
        <sz val="11"/>
        <color rgb="FF000000"/>
        <rFont val="宋体"/>
        <family val="1"/>
        <charset val="134"/>
      </rPr>
      <t>个</t>
    </r>
    <r>
      <rPr>
        <sz val="11"/>
        <color indexed="8"/>
        <rFont val="Times New Roman"/>
        <family val="1"/>
      </rPr>
      <t>wild</t>
    </r>
    <phoneticPr fontId="7" type="noConversion"/>
  </si>
  <si>
    <t>PayBack</t>
    <phoneticPr fontId="7" type="noConversion"/>
  </si>
  <si>
    <r>
      <rPr>
        <sz val="11"/>
        <color indexed="8"/>
        <rFont val="宋体"/>
        <family val="3"/>
        <charset val="134"/>
      </rPr>
      <t>状态转移矩阵</t>
    </r>
    <phoneticPr fontId="7" type="noConversion"/>
  </si>
  <si>
    <r>
      <t xml:space="preserve"> </t>
    </r>
    <r>
      <rPr>
        <b/>
        <vertAlign val="subscript"/>
        <sz val="14"/>
        <color indexed="8"/>
        <rFont val="Times New Roman"/>
        <family val="1"/>
      </rPr>
      <t xml:space="preserve">end  </t>
    </r>
    <r>
      <rPr>
        <b/>
        <vertAlign val="superscript"/>
        <sz val="14"/>
        <color indexed="8"/>
        <rFont val="Times New Roman"/>
        <family val="1"/>
      </rPr>
      <t>start</t>
    </r>
    <phoneticPr fontId="7" type="noConversion"/>
  </si>
  <si>
    <r>
      <t>0</t>
    </r>
    <r>
      <rPr>
        <sz val="11"/>
        <color indexed="8"/>
        <rFont val="宋体"/>
        <family val="3"/>
        <charset val="134"/>
      </rPr>
      <t>出</t>
    </r>
    <phoneticPr fontId="7" type="noConversion"/>
  </si>
  <si>
    <r>
      <t>1</t>
    </r>
    <r>
      <rPr>
        <sz val="11"/>
        <color indexed="8"/>
        <rFont val="宋体"/>
        <family val="3"/>
        <charset val="134"/>
      </rPr>
      <t>出</t>
    </r>
    <phoneticPr fontId="7" type="noConversion"/>
  </si>
  <si>
    <r>
      <t>2出</t>
    </r>
    <r>
      <rPr>
        <sz val="11"/>
        <color indexed="8"/>
        <rFont val="宋体"/>
        <family val="3"/>
        <charset val="134"/>
      </rPr>
      <t/>
    </r>
  </si>
  <si>
    <r>
      <t>3出</t>
    </r>
    <r>
      <rPr>
        <sz val="11"/>
        <color indexed="8"/>
        <rFont val="宋体"/>
        <family val="3"/>
        <charset val="134"/>
      </rPr>
      <t/>
    </r>
  </si>
  <si>
    <r>
      <t>4出</t>
    </r>
    <r>
      <rPr>
        <sz val="11"/>
        <color indexed="8"/>
        <rFont val="宋体"/>
        <family val="3"/>
        <charset val="134"/>
      </rPr>
      <t/>
    </r>
  </si>
  <si>
    <r>
      <t>5出</t>
    </r>
    <r>
      <rPr>
        <sz val="11"/>
        <color indexed="8"/>
        <rFont val="宋体"/>
        <family val="3"/>
        <charset val="134"/>
      </rPr>
      <t/>
    </r>
  </si>
  <si>
    <r>
      <t>6出</t>
    </r>
    <r>
      <rPr>
        <sz val="11"/>
        <color indexed="8"/>
        <rFont val="宋体"/>
        <family val="3"/>
        <charset val="134"/>
      </rPr>
      <t/>
    </r>
  </si>
  <si>
    <r>
      <t>7出</t>
    </r>
    <r>
      <rPr>
        <sz val="11"/>
        <color indexed="8"/>
        <rFont val="宋体"/>
        <family val="3"/>
        <charset val="134"/>
      </rPr>
      <t/>
    </r>
  </si>
  <si>
    <r>
      <t>8出</t>
    </r>
    <r>
      <rPr>
        <sz val="11"/>
        <color indexed="8"/>
        <rFont val="宋体"/>
        <family val="3"/>
        <charset val="134"/>
      </rPr>
      <t/>
    </r>
  </si>
  <si>
    <r>
      <t>9出</t>
    </r>
    <r>
      <rPr>
        <sz val="11"/>
        <color indexed="8"/>
        <rFont val="宋体"/>
        <family val="3"/>
        <charset val="134"/>
      </rPr>
      <t/>
    </r>
  </si>
  <si>
    <r>
      <t>10出</t>
    </r>
    <r>
      <rPr>
        <sz val="11"/>
        <color indexed="8"/>
        <rFont val="宋体"/>
        <family val="3"/>
        <charset val="134"/>
      </rPr>
      <t/>
    </r>
  </si>
  <si>
    <r>
      <t>11出</t>
    </r>
    <r>
      <rPr>
        <sz val="11"/>
        <color indexed="8"/>
        <rFont val="宋体"/>
        <family val="3"/>
        <charset val="134"/>
      </rPr>
      <t/>
    </r>
  </si>
  <si>
    <r>
      <t>12出</t>
    </r>
    <r>
      <rPr>
        <sz val="11"/>
        <color indexed="8"/>
        <rFont val="宋体"/>
        <family val="3"/>
        <charset val="134"/>
      </rPr>
      <t/>
    </r>
  </si>
  <si>
    <r>
      <t>13出</t>
    </r>
    <r>
      <rPr>
        <sz val="11"/>
        <color indexed="8"/>
        <rFont val="宋体"/>
        <family val="3"/>
        <charset val="134"/>
      </rPr>
      <t/>
    </r>
  </si>
  <si>
    <r>
      <t>14出</t>
    </r>
    <r>
      <rPr>
        <sz val="11"/>
        <color indexed="8"/>
        <rFont val="宋体"/>
        <family val="3"/>
        <charset val="134"/>
      </rPr>
      <t/>
    </r>
  </si>
  <si>
    <r>
      <t>15出</t>
    </r>
    <r>
      <rPr>
        <sz val="11"/>
        <color indexed="8"/>
        <rFont val="宋体"/>
        <family val="3"/>
        <charset val="134"/>
      </rPr>
      <t/>
    </r>
  </si>
  <si>
    <t>Respin Spin 3</t>
    <phoneticPr fontId="7" type="noConversion"/>
  </si>
  <si>
    <t>Respin Spin 2</t>
    <phoneticPr fontId="7" type="noConversion"/>
  </si>
  <si>
    <t>Respin Spin 1</t>
    <phoneticPr fontId="7" type="noConversion"/>
  </si>
  <si>
    <r>
      <t>Respin</t>
    </r>
    <r>
      <rPr>
        <sz val="11"/>
        <color indexed="8"/>
        <rFont val="宋体"/>
        <family val="3"/>
        <charset val="134"/>
      </rPr>
      <t>触发概率</t>
    </r>
    <phoneticPr fontId="7" type="noConversion"/>
  </si>
  <si>
    <t>Num</t>
    <phoneticPr fontId="7" type="noConversion"/>
  </si>
  <si>
    <t>Respin</t>
    <phoneticPr fontId="7" type="noConversion"/>
  </si>
  <si>
    <t>End</t>
    <phoneticPr fontId="7" type="noConversion"/>
  </si>
  <si>
    <t>RTP</t>
    <phoneticPr fontId="8" type="noConversion"/>
  </si>
  <si>
    <t>Avg Link Num</t>
    <phoneticPr fontId="7" type="noConversion"/>
  </si>
  <si>
    <t>Total Respin RTP</t>
    <phoneticPr fontId="7" type="noConversion"/>
  </si>
  <si>
    <t>Avg Respin Num</t>
    <phoneticPr fontId="7" type="noConversion"/>
  </si>
  <si>
    <t>Respin Hit Rate</t>
    <phoneticPr fontId="7" type="noConversion"/>
  </si>
  <si>
    <t>Weight</t>
    <phoneticPr fontId="8" type="noConversion"/>
  </si>
  <si>
    <t>Respin Hit Frequency</t>
    <phoneticPr fontId="7" type="noConversion"/>
  </si>
  <si>
    <t>x2</t>
    <phoneticPr fontId="7" type="noConversion"/>
  </si>
  <si>
    <t>x3</t>
    <phoneticPr fontId="7" type="noConversion"/>
  </si>
  <si>
    <t>x5</t>
    <phoneticPr fontId="7" type="noConversion"/>
  </si>
  <si>
    <t>x10</t>
    <phoneticPr fontId="7" type="noConversion"/>
  </si>
  <si>
    <t>AvgMul</t>
    <phoneticPr fontId="7" type="noConversion"/>
  </si>
  <si>
    <t>Spilt</t>
    <phoneticPr fontId="7" type="noConversion"/>
  </si>
  <si>
    <t>split</t>
    <phoneticPr fontId="7" type="noConversion"/>
  </si>
  <si>
    <t>normal</t>
    <phoneticPr fontId="7" type="noConversion"/>
  </si>
  <si>
    <t>Split Rate</t>
    <phoneticPr fontId="7" type="noConversion"/>
  </si>
  <si>
    <t>SplitRate</t>
    <phoneticPr fontId="8" type="noConversion"/>
  </si>
  <si>
    <t>SplitNums</t>
    <phoneticPr fontId="7" type="noConversion"/>
  </si>
  <si>
    <t>Avg SplitNums</t>
    <phoneticPr fontId="7" type="noConversion"/>
  </si>
  <si>
    <t>500/750/2500/5000</t>
    <phoneticPr fontId="7" type="noConversion"/>
  </si>
  <si>
    <t>mini/minor/major</t>
    <phoneticPr fontId="7" type="noConversion"/>
  </si>
  <si>
    <t>linkNums</t>
    <phoneticPr fontId="7" type="noConversion"/>
  </si>
  <si>
    <t xml:space="preserve"> </t>
    <phoneticPr fontId="7" type="noConversion"/>
  </si>
  <si>
    <t>fail</t>
    <phoneticPr fontId="7" type="noConversion"/>
  </si>
  <si>
    <t>mul</t>
    <phoneticPr fontId="7" type="noConversion"/>
  </si>
  <si>
    <t>hitWays</t>
    <phoneticPr fontId="7" type="noConversion"/>
  </si>
  <si>
    <t>random</t>
    <phoneticPr fontId="7" type="noConversion"/>
  </si>
  <si>
    <t>freerespin</t>
    <phoneticPr fontId="7" type="noConversion"/>
  </si>
  <si>
    <t>count</t>
    <phoneticPr fontId="7" type="noConversion"/>
  </si>
  <si>
    <t>WIN</t>
    <phoneticPr fontId="7" type="noConversion"/>
  </si>
  <si>
    <t>MISS</t>
    <phoneticPr fontId="7" type="noConversion"/>
  </si>
  <si>
    <t>hit</t>
    <phoneticPr fontId="7" type="noConversion"/>
  </si>
  <si>
    <t>Respin Games</t>
    <phoneticPr fontId="7" type="noConversion"/>
  </si>
  <si>
    <t>Free Games</t>
    <phoneticPr fontId="7" type="noConversion"/>
  </si>
  <si>
    <r>
      <t xml:space="preserve">3.respin </t>
    </r>
    <r>
      <rPr>
        <sz val="11"/>
        <color rgb="FF000000"/>
        <rFont val="宋体"/>
        <family val="1"/>
        <charset val="134"/>
      </rPr>
      <t>结束平均落定</t>
    </r>
    <r>
      <rPr>
        <sz val="11"/>
        <color rgb="FF000000"/>
        <rFont val="Times New Roman"/>
        <family val="1"/>
      </rPr>
      <t>10.57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，其中</t>
    </r>
    <r>
      <rPr>
        <sz val="11"/>
        <color indexed="8"/>
        <rFont val="Times New Roman"/>
        <family val="1"/>
      </rPr>
      <t>51.35%</t>
    </r>
    <r>
      <rPr>
        <sz val="11"/>
        <color rgb="FF000000"/>
        <rFont val="宋体"/>
        <family val="1"/>
        <charset val="134"/>
      </rPr>
      <t>是</t>
    </r>
    <r>
      <rPr>
        <sz val="11"/>
        <color rgb="FF000000"/>
        <rFont val="Times New Roman"/>
        <family val="1"/>
      </rPr>
      <t>split</t>
    </r>
    <r>
      <rPr>
        <sz val="11"/>
        <color rgb="FF000000"/>
        <rFont val="宋体"/>
        <family val="1"/>
        <charset val="134"/>
      </rPr>
      <t>图标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，</t>
    </r>
    <r>
      <rPr>
        <sz val="11"/>
        <color rgb="FF000000"/>
        <rFont val="Times New Roman"/>
        <family val="1"/>
      </rPr>
      <t>48.6%</t>
    </r>
    <r>
      <rPr>
        <sz val="11"/>
        <color rgb="FF000000"/>
        <rFont val="宋体"/>
        <family val="1"/>
        <charset val="134"/>
      </rPr>
      <t>是普通的图标，</t>
    </r>
    <r>
      <rPr>
        <sz val="11"/>
        <color rgb="FF000000"/>
        <rFont val="Times New Roman"/>
        <family val="1"/>
      </rPr>
      <t>split</t>
    </r>
    <r>
      <rPr>
        <sz val="11"/>
        <color rgb="FF000000"/>
        <rFont val="宋体"/>
        <family val="1"/>
        <charset val="134"/>
      </rPr>
      <t>图标里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又有</t>
    </r>
    <r>
      <rPr>
        <sz val="11"/>
        <color indexed="8"/>
        <rFont val="Times New Roman"/>
        <family val="1"/>
      </rPr>
      <t>10.5%</t>
    </r>
    <r>
      <rPr>
        <sz val="11"/>
        <color rgb="FF000000"/>
        <rFont val="宋体"/>
        <family val="1"/>
        <charset val="134"/>
      </rPr>
      <t>是无效的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（就是分裂后一半是倍数一半是空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这个不参与最后的赔付）</t>
    </r>
    <phoneticPr fontId="7" type="noConversion"/>
  </si>
  <si>
    <r>
      <t>2.</t>
    </r>
    <r>
      <rPr>
        <sz val="11"/>
        <color rgb="FF000000"/>
        <rFont val="宋体"/>
        <family val="1"/>
        <charset val="134"/>
      </rPr>
      <t>触发</t>
    </r>
    <r>
      <rPr>
        <sz val="11"/>
        <color rgb="FF000000"/>
        <rFont val="Times New Roman"/>
        <family val="1"/>
      </rPr>
      <t xml:space="preserve">respin </t>
    </r>
    <r>
      <rPr>
        <sz val="11"/>
        <color rgb="FF000000"/>
        <rFont val="宋体"/>
        <family val="1"/>
        <charset val="134"/>
      </rPr>
      <t>随机触发占比不低与直接落定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1"/>
        <charset val="134"/>
      </rPr>
      <t>个及以上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触发大概比例在</t>
    </r>
    <r>
      <rPr>
        <sz val="11"/>
        <color rgb="FF000000"/>
        <rFont val="Times New Roman"/>
        <family val="1"/>
      </rPr>
      <t>4:3,</t>
    </r>
    <r>
      <rPr>
        <sz val="11"/>
        <color rgb="FF000000"/>
        <rFont val="宋体"/>
        <family val="1"/>
        <charset val="134"/>
      </rPr>
      <t>给的倍数不低，统计的数据是</t>
    </r>
    <r>
      <rPr>
        <sz val="11"/>
        <color rgb="FF000000"/>
        <rFont val="Times New Roman"/>
        <family val="1"/>
      </rPr>
      <t>44.59</t>
    </r>
    <r>
      <rPr>
        <sz val="11"/>
        <color rgb="FF000000"/>
        <rFont val="宋体"/>
        <family val="1"/>
        <charset val="134"/>
      </rPr>
      <t>倍</t>
    </r>
    <r>
      <rPr>
        <sz val="11"/>
        <color rgb="FF000000"/>
        <rFont val="Times New Roman"/>
        <family val="1"/>
      </rPr>
      <t xml:space="preserve"> </t>
    </r>
    <phoneticPr fontId="7" type="noConversion"/>
  </si>
  <si>
    <t>RTP of Base Game For ProGram:</t>
  </si>
  <si>
    <t>RTP of Base Game For ProGram:</t>
    <phoneticPr fontId="8" type="noConversion"/>
  </si>
  <si>
    <t>Respin Mul</t>
    <phoneticPr fontId="7" type="noConversion"/>
  </si>
  <si>
    <t>Avg Respin Win</t>
    <phoneticPr fontId="7" type="noConversion"/>
  </si>
  <si>
    <r>
      <t>4.free</t>
    </r>
    <r>
      <rPr>
        <sz val="11"/>
        <color rgb="FF000000"/>
        <rFont val="宋体"/>
        <family val="1"/>
        <charset val="134"/>
      </rPr>
      <t>里</t>
    </r>
    <r>
      <rPr>
        <sz val="11"/>
        <color indexed="8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出现概率挺高，</t>
    </r>
    <r>
      <rPr>
        <sz val="11"/>
        <color rgb="FF000000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不堆叠都是单个单个的</t>
    </r>
    <r>
      <rPr>
        <sz val="11"/>
        <color rgb="FF000000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，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里</t>
    </r>
    <r>
      <rPr>
        <sz val="11"/>
        <color rgb="FF000000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图标分裂存在感就很强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因为</t>
    </r>
    <r>
      <rPr>
        <sz val="11"/>
        <color rgb="FF000000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变多了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比起</t>
    </r>
    <r>
      <rPr>
        <sz val="11"/>
        <color rgb="FF000000"/>
        <rFont val="Times New Roman"/>
        <family val="1"/>
      </rPr>
      <t xml:space="preserve">base </t>
    </r>
    <r>
      <rPr>
        <sz val="11"/>
        <color rgb="FF000000"/>
        <rFont val="宋体"/>
        <family val="1"/>
        <charset val="134"/>
      </rPr>
      <t>奖线命中率直线上升，</t>
    </r>
    <r>
      <rPr>
        <sz val="11"/>
        <color rgb="FF000000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分裂图标存在感就很强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能看到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奖线大赢倍</t>
    </r>
    <phoneticPr fontId="7" type="noConversion"/>
  </si>
  <si>
    <r>
      <t xml:space="preserve">1.base </t>
    </r>
    <r>
      <rPr>
        <sz val="11"/>
        <color rgb="FF000000"/>
        <rFont val="宋体"/>
        <family val="1"/>
        <charset val="134"/>
      </rPr>
      <t>里奖线命中率</t>
    </r>
    <r>
      <rPr>
        <sz val="11"/>
        <color rgb="FF000000"/>
        <rFont val="Times New Roman"/>
        <family val="1"/>
      </rPr>
      <t xml:space="preserve"> 35%</t>
    </r>
    <r>
      <rPr>
        <sz val="11"/>
        <color rgb="FF000000"/>
        <rFont val="宋体"/>
        <family val="1"/>
        <charset val="134"/>
      </rPr>
      <t>左右，给的倍数偏低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。赢倍基本上就是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1"/>
        <charset val="134"/>
      </rPr>
      <t>倍以下</t>
    </r>
    <r>
      <rPr>
        <sz val="11"/>
        <color rgb="FF000000"/>
        <rFont val="Times New Roman"/>
        <family val="1"/>
      </rPr>
      <t>0.5</t>
    </r>
    <r>
      <rPr>
        <sz val="11"/>
        <color rgb="FF000000"/>
        <rFont val="宋体"/>
        <family val="1"/>
        <charset val="134"/>
      </rPr>
      <t>倍左右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很难看到大赢倍，分裂</t>
    </r>
    <r>
      <rPr>
        <sz val="11"/>
        <color rgb="FF000000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图标在</t>
    </r>
    <r>
      <rPr>
        <sz val="11"/>
        <color rgb="FF000000"/>
        <rFont val="Times New Roman"/>
        <family val="1"/>
      </rPr>
      <t>base</t>
    </r>
    <r>
      <rPr>
        <sz val="11"/>
        <color rgb="FF000000"/>
        <rFont val="宋体"/>
        <family val="1"/>
        <charset val="134"/>
      </rPr>
      <t>没啥存在感</t>
    </r>
    <phoneticPr fontId="7" type="noConversion"/>
  </si>
  <si>
    <t>3X5_50</t>
    <phoneticPr fontId="7" type="noConversion"/>
  </si>
  <si>
    <t>Spilt Mul</t>
    <phoneticPr fontId="7" type="noConversion"/>
  </si>
  <si>
    <t>Base_2</t>
    <phoneticPr fontId="7" type="noConversion"/>
  </si>
  <si>
    <t>Base_1</t>
    <phoneticPr fontId="7" type="noConversion"/>
  </si>
  <si>
    <t>Hit Rate</t>
    <phoneticPr fontId="8" type="noConversion"/>
  </si>
  <si>
    <r>
      <t>Avg Bonus Nums</t>
    </r>
    <r>
      <rPr>
        <sz val="11"/>
        <color rgb="FF000000"/>
        <rFont val="宋体"/>
        <family val="1"/>
        <charset val="134"/>
      </rPr>
      <t>：</t>
    </r>
    <phoneticPr fontId="7" type="noConversion"/>
  </si>
  <si>
    <t>x2/x3/x5/x7/x8/x10</t>
    <phoneticPr fontId="7" type="noConversion"/>
  </si>
  <si>
    <t>x8</t>
    <phoneticPr fontId="7" type="noConversion"/>
  </si>
  <si>
    <t>x7</t>
    <phoneticPr fontId="7" type="noConversion"/>
  </si>
  <si>
    <t>trigger_free_min_scatter_count</t>
  </si>
  <si>
    <t>respin_times</t>
  </si>
  <si>
    <t>Wild</t>
    <phoneticPr fontId="8" type="noConversion"/>
  </si>
  <si>
    <t>90_spilt_weight</t>
    <phoneticPr fontId="7" type="noConversion"/>
  </si>
  <si>
    <t>6K</t>
  </si>
  <si>
    <t>7K</t>
  </si>
  <si>
    <t>8K</t>
  </si>
  <si>
    <t>9K</t>
  </si>
  <si>
    <t>10K</t>
  </si>
  <si>
    <t>6:int&lt;s&gt;</t>
  </si>
  <si>
    <t>7:int&lt;s&gt;</t>
  </si>
  <si>
    <t>8:int&lt;s&gt;</t>
  </si>
  <si>
    <t>9:int&lt;s&gt;</t>
  </si>
  <si>
    <t>10:int&lt;s&gt;</t>
  </si>
  <si>
    <t>94_value_in_respin_weight</t>
    <phoneticPr fontId="7" type="noConversion"/>
  </si>
  <si>
    <t>94_spilt_value_part_1_weight_in_base_free</t>
    <phoneticPr fontId="7" type="noConversion"/>
  </si>
  <si>
    <t>94_spilt_value_part_2_weight_in_base_free</t>
    <phoneticPr fontId="7" type="noConversion"/>
  </si>
  <si>
    <t>bonus2</t>
    <phoneticPr fontId="7" type="noConversion"/>
  </si>
  <si>
    <t>94_change_to_95_hit_rate</t>
    <phoneticPr fontId="7" type="noConversion"/>
  </si>
  <si>
    <t>95_split_nums_weight</t>
    <phoneticPr fontId="7" type="noConversion"/>
  </si>
  <si>
    <t>split_value_weight</t>
    <phoneticPr fontId="7" type="noConversion"/>
  </si>
  <si>
    <t>RandomHit</t>
    <phoneticPr fontId="8" type="noConversion"/>
  </si>
  <si>
    <t>Split Pro</t>
    <phoneticPr fontId="8" type="noConversion"/>
  </si>
  <si>
    <t>RandomHitRate</t>
    <phoneticPr fontId="8" type="noConversion"/>
  </si>
  <si>
    <t>94_hit_respin_random_rate</t>
    <phoneticPr fontId="7" type="noConversion"/>
  </si>
  <si>
    <t>No Trigger Free</t>
    <phoneticPr fontId="8" type="noConversion"/>
  </si>
  <si>
    <r>
      <t xml:space="preserve">2.base </t>
    </r>
    <r>
      <rPr>
        <sz val="11"/>
        <color rgb="FF000000"/>
        <rFont val="宋体"/>
        <family val="1"/>
        <charset val="134"/>
      </rPr>
      <t>里的</t>
    </r>
    <r>
      <rPr>
        <sz val="11"/>
        <color rgb="FF000000"/>
        <rFont val="Times New Roman"/>
        <family val="1"/>
      </rPr>
      <t xml:space="preserve"> </t>
    </r>
    <r>
      <rPr>
        <sz val="11"/>
        <color indexed="8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图标和</t>
    </r>
    <r>
      <rPr>
        <sz val="11"/>
        <color indexed="8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级图标同样的规则去判断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具体概率取</t>
    </r>
    <r>
      <rPr>
        <sz val="11"/>
        <color rgb="FF000000"/>
        <rFont val="Times New Roman"/>
        <family val="1"/>
      </rPr>
      <t>base_split_symobl_92_weight,</t>
    </r>
    <phoneticPr fontId="7" type="noConversion"/>
  </si>
  <si>
    <r>
      <t>7.respin</t>
    </r>
    <r>
      <rPr>
        <sz val="11"/>
        <color rgb="FF000000"/>
        <rFont val="宋体"/>
        <family val="1"/>
        <charset val="134"/>
      </rPr>
      <t>里自然落定只会出非分裂的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图标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具体的值取</t>
    </r>
    <r>
      <rPr>
        <sz val="11"/>
        <color rgb="FF000000"/>
        <rFont val="Times New Roman"/>
        <family val="1"/>
      </rPr>
      <t>94_value_in_respin_weight</t>
    </r>
    <r>
      <rPr>
        <sz val="11"/>
        <color rgb="FF000000"/>
        <rFont val="宋体"/>
        <family val="1"/>
        <charset val="134"/>
      </rPr>
      <t>，</t>
    </r>
    <r>
      <rPr>
        <sz val="11"/>
        <color rgb="FF000000"/>
        <rFont val="Times New Roman"/>
        <family val="1"/>
      </rPr>
      <t>1~</t>
    </r>
    <r>
      <rPr>
        <sz val="11"/>
        <color indexed="8"/>
        <rFont val="Times New Roman"/>
        <family val="1"/>
      </rPr>
      <t xml:space="preserve">13 </t>
    </r>
    <r>
      <rPr>
        <sz val="11"/>
        <color rgb="FF000000"/>
        <rFont val="宋体"/>
        <family val="1"/>
        <charset val="134"/>
      </rPr>
      <t>对应</t>
    </r>
    <r>
      <rPr>
        <sz val="11"/>
        <color rgb="FF000000"/>
        <rFont val="Times New Roman"/>
        <family val="1"/>
      </rPr>
      <t>prize</t>
    </r>
    <r>
      <rPr>
        <sz val="11"/>
        <color rgb="FF000000"/>
        <rFont val="宋体"/>
        <family val="1"/>
        <charset val="134"/>
      </rPr>
      <t>里的</t>
    </r>
    <r>
      <rPr>
        <sz val="11"/>
        <color rgb="FF000000"/>
        <rFont val="Times New Roman"/>
        <family val="1"/>
      </rPr>
      <t>id 14~19</t>
    </r>
    <r>
      <rPr>
        <sz val="11"/>
        <color rgb="FF000000"/>
        <rFont val="宋体"/>
        <family val="1"/>
        <charset val="134"/>
      </rPr>
      <t>对应为乘倍图标</t>
    </r>
    <r>
      <rPr>
        <sz val="11"/>
        <color rgb="FF000000"/>
        <rFont val="Times New Roman"/>
        <family val="1"/>
      </rPr>
      <t xml:space="preserve"> x10/x8/x7/x5/x3/x2</t>
    </r>
    <phoneticPr fontId="7" type="noConversion"/>
  </si>
  <si>
    <r>
      <t xml:space="preserve">3.scatter  </t>
    </r>
    <r>
      <rPr>
        <sz val="11"/>
        <color rgb="FF000000"/>
        <rFont val="宋体"/>
        <family val="1"/>
        <charset val="134"/>
      </rPr>
      <t>没有触发</t>
    </r>
    <r>
      <rPr>
        <sz val="11"/>
        <color indexed="8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时分裂的概率为</t>
    </r>
    <r>
      <rPr>
        <sz val="11"/>
        <color indexed="8"/>
        <rFont val="Times New Roman"/>
        <family val="1"/>
      </rPr>
      <t>90_spilt_not_triggre_free_weight</t>
    </r>
    <r>
      <rPr>
        <sz val="11"/>
        <color rgb="FF000000"/>
        <rFont val="宋体"/>
        <family val="1"/>
        <charset val="134"/>
      </rPr>
      <t>，触发了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时去取需要分裂为总共几个</t>
    </r>
    <r>
      <rPr>
        <sz val="11"/>
        <color rgb="FF000000"/>
        <rFont val="Times New Roman"/>
        <family val="1"/>
      </rPr>
      <t>scatter</t>
    </r>
    <r>
      <rPr>
        <sz val="11"/>
        <color indexed="8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具体权重为</t>
    </r>
    <r>
      <rPr>
        <sz val="11"/>
        <color rgb="FF000000"/>
        <rFont val="Times New Roman"/>
        <family val="1"/>
      </rPr>
      <t>90_spilt_weight</t>
    </r>
    <r>
      <rPr>
        <sz val="11"/>
        <color rgb="FF000000"/>
        <rFont val="宋体"/>
        <family val="1"/>
        <charset val="134"/>
      </rPr>
      <t>，具体哪一个</t>
    </r>
    <r>
      <rPr>
        <sz val="11"/>
        <color rgb="FF000000"/>
        <rFont val="Times New Roman"/>
        <family val="1"/>
      </rPr>
      <t>scatter</t>
    </r>
    <r>
      <rPr>
        <sz val="11"/>
        <color rgb="FF000000"/>
        <rFont val="宋体"/>
        <family val="1"/>
        <charset val="134"/>
      </rPr>
      <t>分裂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等概率随机，比如需要分裂为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则有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>scatter</t>
    </r>
    <r>
      <rPr>
        <sz val="11"/>
        <color rgb="FF000000"/>
        <rFont val="宋体"/>
        <family val="1"/>
        <charset val="134"/>
      </rPr>
      <t>需要变为分裂图标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具体时哪一个则是</t>
    </r>
    <r>
      <rPr>
        <sz val="11"/>
        <color rgb="FF000000"/>
        <rFont val="Times New Roman"/>
        <family val="1"/>
      </rPr>
      <t xml:space="preserve"> 234</t>
    </r>
    <r>
      <rPr>
        <sz val="11"/>
        <color rgb="FF000000"/>
        <rFont val="宋体"/>
        <family val="1"/>
        <charset val="134"/>
      </rPr>
      <t>列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等概率随机取一个</t>
    </r>
    <phoneticPr fontId="7" type="noConversion"/>
  </si>
  <si>
    <r>
      <t>8.respin</t>
    </r>
    <r>
      <rPr>
        <sz val="11"/>
        <color rgb="FF000000"/>
        <rFont val="宋体"/>
        <family val="1"/>
        <charset val="134"/>
      </rPr>
      <t>里落定</t>
    </r>
    <r>
      <rPr>
        <sz val="11"/>
        <color rgb="FF000000"/>
        <rFont val="Times New Roman"/>
        <family val="1"/>
      </rPr>
      <t xml:space="preserve"> </t>
    </r>
    <r>
      <rPr>
        <sz val="11"/>
        <color indexed="8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时有概率变为特殊的</t>
    </r>
    <r>
      <rPr>
        <sz val="11"/>
        <color rgb="FF000000"/>
        <rFont val="Times New Roman"/>
        <family val="1"/>
      </rPr>
      <t>split</t>
    </r>
    <r>
      <rPr>
        <sz val="11"/>
        <color rgb="FF000000"/>
        <rFont val="宋体"/>
        <family val="1"/>
        <charset val="134"/>
      </rPr>
      <t>图标</t>
    </r>
    <r>
      <rPr>
        <sz val="11"/>
        <color indexed="8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具体概率为</t>
    </r>
    <r>
      <rPr>
        <sz val="11"/>
        <color indexed="8"/>
        <rFont val="Times New Roman"/>
        <family val="1"/>
      </rPr>
      <t>94_change_to_95_hit_rate</t>
    </r>
    <r>
      <rPr>
        <sz val="11"/>
        <color rgb="FF000000"/>
        <rFont val="宋体"/>
        <family val="1"/>
        <charset val="134"/>
      </rPr>
      <t>，根据当前棋盘上有几个普通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图标来取，大于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1"/>
        <charset val="134"/>
      </rPr>
      <t>个时取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1"/>
        <charset val="134"/>
      </rPr>
      <t>的概率。</t>
    </r>
    <r>
      <rPr>
        <sz val="11"/>
        <color rgb="FF000000"/>
        <rFont val="Times New Roman"/>
        <family val="1"/>
      </rPr>
      <t>Split</t>
    </r>
    <r>
      <rPr>
        <sz val="11"/>
        <color rgb="FF000000"/>
        <rFont val="宋体"/>
        <family val="1"/>
        <charset val="134"/>
      </rPr>
      <t>生效后会将棋盘上普通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变为分裂图标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，分裂个数为</t>
    </r>
    <r>
      <rPr>
        <sz val="11"/>
        <color rgb="FF000000"/>
        <rFont val="Times New Roman"/>
        <family val="1"/>
      </rPr>
      <t>95_split_nums_weight</t>
    </r>
    <r>
      <rPr>
        <sz val="11"/>
        <color rgb="FF000000"/>
        <rFont val="宋体"/>
        <family val="1"/>
        <charset val="134"/>
      </rPr>
      <t>，分裂的位置等概率随机，当要分裂个数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大于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普通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总数时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，分裂个数取普通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总数</t>
    </r>
    <phoneticPr fontId="7" type="noConversion"/>
  </si>
  <si>
    <r>
      <t>9.split</t>
    </r>
    <r>
      <rPr>
        <sz val="11"/>
        <color rgb="FF000000"/>
        <rFont val="宋体"/>
        <family val="1"/>
        <charset val="134"/>
      </rPr>
      <t>生效完成后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会变为分裂图标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具体的值取</t>
    </r>
    <r>
      <rPr>
        <sz val="11"/>
        <color rgb="FF000000"/>
        <rFont val="Times New Roman"/>
        <family val="1"/>
      </rPr>
      <t>split_value_weight</t>
    </r>
    <phoneticPr fontId="7" type="noConversion"/>
  </si>
  <si>
    <r>
      <t>10.split</t>
    </r>
    <r>
      <rPr>
        <sz val="11"/>
        <color rgb="FF000000"/>
        <rFont val="宋体"/>
        <family val="1"/>
        <charset val="134"/>
      </rPr>
      <t>图标分裂后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按照分裂前的值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分为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1"/>
        <charset val="134"/>
      </rPr>
      <t>类，</t>
    </r>
    <r>
      <rPr>
        <sz val="11"/>
        <color rgb="FF000000"/>
        <rFont val="Times New Roman"/>
        <family val="1"/>
      </rPr>
      <t>50</t>
    </r>
    <r>
      <rPr>
        <sz val="11"/>
        <color rgb="FF000000"/>
        <rFont val="宋体"/>
        <family val="1"/>
        <charset val="134"/>
      </rPr>
      <t>为第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1"/>
        <charset val="134"/>
      </rPr>
      <t>类，</t>
    </r>
    <r>
      <rPr>
        <sz val="11"/>
        <color rgb="FF000000"/>
        <rFont val="Times New Roman"/>
        <family val="1"/>
      </rPr>
      <t>100/150/200/250</t>
    </r>
    <r>
      <rPr>
        <sz val="11"/>
        <color rgb="FF000000"/>
        <rFont val="宋体"/>
        <family val="1"/>
        <charset val="134"/>
      </rPr>
      <t>为第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类，</t>
    </r>
    <r>
      <rPr>
        <sz val="11"/>
        <color rgb="FF000000"/>
        <rFont val="Times New Roman"/>
        <family val="1"/>
      </rPr>
      <t>500/750/2500/5000</t>
    </r>
    <r>
      <rPr>
        <sz val="11"/>
        <color rgb="FF000000"/>
        <rFont val="宋体"/>
        <family val="1"/>
        <charset val="134"/>
      </rPr>
      <t>为第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1"/>
        <charset val="134"/>
      </rPr>
      <t>类，</t>
    </r>
    <r>
      <rPr>
        <sz val="11"/>
        <color rgb="FF000000"/>
        <rFont val="Times New Roman"/>
        <family val="1"/>
      </rPr>
      <t>mini/minor/major</t>
    </r>
    <r>
      <rPr>
        <sz val="11"/>
        <color rgb="FF000000"/>
        <rFont val="宋体"/>
        <family val="1"/>
        <charset val="134"/>
      </rPr>
      <t>为第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宋体"/>
        <family val="1"/>
        <charset val="134"/>
      </rPr>
      <t>类，</t>
    </r>
    <r>
      <rPr>
        <sz val="11"/>
        <color indexed="8"/>
        <rFont val="Times New Roman"/>
        <family val="1"/>
      </rPr>
      <t>x2/x3/x5/x7/x8/x10</t>
    </r>
    <r>
      <rPr>
        <sz val="11"/>
        <color rgb="FF000000"/>
        <rFont val="宋体"/>
        <family val="1"/>
        <charset val="134"/>
      </rPr>
      <t>为第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1"/>
        <charset val="134"/>
      </rPr>
      <t>类，每一类的另一半对应的命中概率为</t>
    </r>
    <r>
      <rPr>
        <sz val="11"/>
        <color rgb="FF000000"/>
        <rFont val="Times New Roman"/>
        <family val="1"/>
      </rPr>
      <t>split_bonus_grop_hit_rate</t>
    </r>
    <r>
      <rPr>
        <sz val="11"/>
        <color rgb="FF000000"/>
        <rFont val="宋体"/>
        <family val="1"/>
        <charset val="134"/>
      </rPr>
      <t>，另一半的取值为</t>
    </r>
    <r>
      <rPr>
        <sz val="11"/>
        <color rgb="FF000000"/>
        <rFont val="Times New Roman"/>
        <family val="1"/>
      </rPr>
      <t>split_bonus_grop_1_hit_value_weight</t>
    </r>
    <phoneticPr fontId="7" type="noConversion"/>
  </si>
  <si>
    <r>
      <t>11.respin</t>
    </r>
    <r>
      <rPr>
        <sz val="11"/>
        <color rgb="FF000000"/>
        <rFont val="宋体"/>
        <family val="1"/>
        <charset val="134"/>
      </rPr>
      <t>里按照</t>
    </r>
    <r>
      <rPr>
        <sz val="11"/>
        <color rgb="FF000000"/>
        <rFont val="Times New Roman"/>
        <family val="1"/>
      </rPr>
      <t>spin</t>
    </r>
    <r>
      <rPr>
        <sz val="11"/>
        <color rgb="FF000000"/>
        <rFont val="宋体"/>
        <family val="1"/>
        <charset val="134"/>
      </rPr>
      <t>剩余次数 每一个格子有一个概率出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，具体为</t>
    </r>
    <r>
      <rPr>
        <sz val="11"/>
        <color indexed="8"/>
        <rFont val="Times New Roman"/>
        <family val="1"/>
      </rPr>
      <t xml:space="preserve">respin_bonus_hit_rate_spin_left_3 </t>
    </r>
    <r>
      <rPr>
        <sz val="11"/>
        <color rgb="FF000000"/>
        <rFont val="宋体"/>
        <family val="1"/>
        <charset val="134"/>
      </rPr>
      <t>索引为当前局已经有的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位置，随着本次新增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的个数依次变化</t>
    </r>
    <phoneticPr fontId="7" type="noConversion"/>
  </si>
  <si>
    <t>需要跑的数据</t>
    <phoneticPr fontId="7" type="noConversion"/>
  </si>
  <si>
    <t>WILD</t>
  </si>
  <si>
    <t>A</t>
  </si>
  <si>
    <t>K</t>
  </si>
  <si>
    <t>Q</t>
  </si>
  <si>
    <t>J</t>
  </si>
  <si>
    <t>Split Rate Free</t>
    <phoneticPr fontId="7" type="noConversion"/>
  </si>
  <si>
    <t>Base Trigger Respin Games</t>
    <phoneticPr fontId="7" type="noConversion"/>
  </si>
  <si>
    <r>
      <t>Total Respin Games(</t>
    </r>
    <r>
      <rPr>
        <sz val="11"/>
        <color rgb="FF000000"/>
        <rFont val="宋体"/>
        <family val="1"/>
        <charset val="134"/>
      </rPr>
      <t>包含</t>
    </r>
    <r>
      <rPr>
        <sz val="11"/>
        <color indexed="8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里触发</t>
    </r>
    <r>
      <rPr>
        <sz val="11"/>
        <color rgb="FF000000"/>
        <rFont val="Times New Roman"/>
        <family val="1"/>
      </rPr>
      <t>respin</t>
    </r>
    <r>
      <rPr>
        <sz val="11"/>
        <color indexed="8"/>
        <rFont val="Times New Roman"/>
        <family val="1"/>
      </rPr>
      <t>)</t>
    </r>
    <phoneticPr fontId="7" type="noConversion"/>
  </si>
  <si>
    <t>Free Games Line Games</t>
    <phoneticPr fontId="7" type="noConversion"/>
  </si>
  <si>
    <r>
      <t>Total Free Games(</t>
    </r>
    <r>
      <rPr>
        <sz val="11"/>
        <color rgb="FF000000"/>
        <rFont val="宋体"/>
        <family val="1"/>
        <charset val="134"/>
      </rPr>
      <t>包含</t>
    </r>
    <r>
      <rPr>
        <sz val="11"/>
        <color indexed="8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里触发</t>
    </r>
    <r>
      <rPr>
        <sz val="11"/>
        <color indexed="8"/>
        <rFont val="Times New Roman"/>
        <family val="1"/>
      </rPr>
      <t>respin)</t>
    </r>
    <phoneticPr fontId="7" type="noConversion"/>
  </si>
  <si>
    <t>Free Trigger Respin Games</t>
    <phoneticPr fontId="7" type="noConversion"/>
  </si>
  <si>
    <t>Free Respin</t>
    <phoneticPr fontId="7" type="noConversion"/>
  </si>
  <si>
    <t>Avg Free Nums:</t>
    <phoneticPr fontId="7" type="noConversion"/>
  </si>
  <si>
    <t>base_triggers</t>
  </si>
  <si>
    <t>free_triggers</t>
  </si>
  <si>
    <t>"line","free","re_spin"</t>
    <phoneticPr fontId="7" type="noConversion"/>
  </si>
  <si>
    <t>symbols_score</t>
  </si>
  <si>
    <t>[90,1],[0,1],[1,1],[2,1],[3,1],[4,1],[5,1],[6,1],[7,1],[8,1],[92,1],[94,1],[95,1]</t>
    <phoneticPr fontId="7" type="noConversion"/>
  </si>
  <si>
    <r>
      <t>4.free</t>
    </r>
    <r>
      <rPr>
        <sz val="11"/>
        <color rgb="FF000000"/>
        <rFont val="宋体"/>
        <family val="1"/>
        <charset val="134"/>
      </rPr>
      <t>里</t>
    </r>
    <r>
      <rPr>
        <sz val="11"/>
        <color rgb="FF000000"/>
        <rFont val="Times New Roman"/>
        <family val="1"/>
      </rPr>
      <t xml:space="preserve"> M/wild/bonus </t>
    </r>
    <r>
      <rPr>
        <sz val="11"/>
        <color rgb="FF000000"/>
        <rFont val="宋体"/>
        <family val="1"/>
        <charset val="134"/>
      </rPr>
      <t>必定为分裂图标</t>
    </r>
    <phoneticPr fontId="7" type="noConversion"/>
  </si>
  <si>
    <r>
      <t>5.bonus</t>
    </r>
    <r>
      <rPr>
        <sz val="11"/>
        <color rgb="FF000000"/>
        <rFont val="宋体"/>
        <family val="1"/>
        <charset val="134"/>
      </rPr>
      <t>图标在</t>
    </r>
    <r>
      <rPr>
        <sz val="11"/>
        <color indexed="8"/>
        <rFont val="Times New Roman"/>
        <family val="1"/>
      </rPr>
      <t>base</t>
    </r>
    <r>
      <rPr>
        <sz val="11"/>
        <color rgb="FF000000"/>
        <rFont val="宋体"/>
        <family val="1"/>
        <charset val="134"/>
      </rPr>
      <t>里按照</t>
    </r>
    <r>
      <rPr>
        <sz val="11"/>
        <color indexed="8"/>
        <rFont val="Times New Roman"/>
        <family val="1"/>
      </rPr>
      <t xml:space="preserve">94_split_weight_in_base </t>
    </r>
    <r>
      <rPr>
        <sz val="11"/>
        <color rgb="FF000000"/>
        <rFont val="宋体"/>
        <family val="1"/>
        <charset val="134"/>
      </rPr>
      <t>去变为分裂图标，变为分裂图标后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先判断第一部分的值</t>
    </r>
    <r>
      <rPr>
        <sz val="11"/>
        <color rgb="FF000000"/>
        <rFont val="Times New Roman"/>
        <family val="1"/>
      </rPr>
      <t>94_spilt_value_part_1_weight_in_base_free</t>
    </r>
    <r>
      <rPr>
        <sz val="11"/>
        <color rgb="FF000000"/>
        <rFont val="宋体"/>
        <family val="1"/>
        <charset val="134"/>
      </rPr>
      <t>，然后再取第二部分的值</t>
    </r>
    <r>
      <rPr>
        <sz val="11"/>
        <color rgb="FF000000"/>
        <rFont val="Times New Roman"/>
        <family val="1"/>
      </rPr>
      <t>94_spilt_value_part_2_weight_in_base_free</t>
    </r>
    <r>
      <rPr>
        <sz val="11"/>
        <color rgb="FF000000"/>
        <rFont val="宋体"/>
        <family val="1"/>
        <charset val="134"/>
      </rPr>
      <t>，如果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没变成分裂图标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则具体的值取</t>
    </r>
    <r>
      <rPr>
        <sz val="11"/>
        <color rgb="FF000000"/>
        <rFont val="Times New Roman"/>
        <family val="1"/>
      </rPr>
      <t>94_spilt_value_part_1_weight_in_base_free</t>
    </r>
    <phoneticPr fontId="7" type="noConversion"/>
  </si>
  <si>
    <t>94_split_weight_in_base</t>
    <phoneticPr fontId="7" type="noConversion"/>
  </si>
  <si>
    <t>LINK_SPILT</t>
    <phoneticPr fontId="7" type="noConversion"/>
  </si>
  <si>
    <t>Avg Respin Mul in Base :</t>
    <phoneticPr fontId="7" type="noConversion"/>
  </si>
  <si>
    <t>Avg Respin Mul in Free :</t>
    <phoneticPr fontId="7" type="noConversion"/>
  </si>
  <si>
    <r>
      <rPr>
        <sz val="11"/>
        <color rgb="FF000000"/>
        <rFont val="宋体"/>
        <family val="1"/>
        <charset val="134"/>
      </rPr>
      <t>方便对</t>
    </r>
    <r>
      <rPr>
        <sz val="11"/>
        <color indexed="8"/>
        <rFont val="Times New Roman"/>
        <family val="1"/>
      </rPr>
      <t xml:space="preserve">rtp </t>
    </r>
    <r>
      <rPr>
        <sz val="11"/>
        <color rgb="FF000000"/>
        <rFont val="宋体"/>
        <family val="1"/>
        <charset val="134"/>
      </rPr>
      <t>统计一下</t>
    </r>
    <r>
      <rPr>
        <sz val="11"/>
        <color indexed="8"/>
        <rFont val="Times New Roman"/>
        <family val="1"/>
      </rPr>
      <t>summary</t>
    </r>
    <r>
      <rPr>
        <sz val="11"/>
        <color rgb="FF000000"/>
        <rFont val="宋体"/>
        <family val="1"/>
        <charset val="134"/>
      </rPr>
      <t>里</t>
    </r>
    <r>
      <rPr>
        <sz val="11"/>
        <color indexed="8"/>
        <rFont val="Times New Roman"/>
        <family val="1"/>
        <charset val="134"/>
      </rPr>
      <t>3~11</t>
    </r>
    <r>
      <rPr>
        <sz val="11"/>
        <color rgb="FF000000"/>
        <rFont val="宋体"/>
        <family val="1"/>
        <charset val="134"/>
      </rPr>
      <t>行的参数</t>
    </r>
    <phoneticPr fontId="7" type="noConversion"/>
  </si>
  <si>
    <r>
      <t xml:space="preserve">base/free </t>
    </r>
    <r>
      <rPr>
        <sz val="11"/>
        <color rgb="FF000000"/>
        <rFont val="宋体"/>
        <family val="1"/>
        <charset val="134"/>
      </rPr>
      <t>里触发的</t>
    </r>
    <r>
      <rPr>
        <sz val="11"/>
        <color indexed="8"/>
        <rFont val="Times New Roman"/>
        <family val="1"/>
      </rPr>
      <t xml:space="preserve">respin </t>
    </r>
    <r>
      <rPr>
        <sz val="11"/>
        <color rgb="FF000000"/>
        <rFont val="宋体"/>
        <family val="1"/>
        <charset val="134"/>
      </rPr>
      <t>平均赢倍</t>
    </r>
    <phoneticPr fontId="7" type="noConversion"/>
  </si>
  <si>
    <r>
      <t>6.1~5</t>
    </r>
    <r>
      <rPr>
        <sz val="11"/>
        <color rgb="FF000000"/>
        <rFont val="宋体"/>
        <family val="1"/>
        <charset val="134"/>
      </rPr>
      <t>个</t>
    </r>
    <r>
      <rPr>
        <sz val="11"/>
        <color indexed="8"/>
        <rFont val="Times New Roman"/>
        <family val="1"/>
      </rPr>
      <t xml:space="preserve">bonus </t>
    </r>
    <r>
      <rPr>
        <sz val="11"/>
        <color rgb="FF000000"/>
        <rFont val="宋体"/>
        <family val="1"/>
        <charset val="134"/>
      </rPr>
      <t>有概率触发</t>
    </r>
    <r>
      <rPr>
        <sz val="11"/>
        <color indexed="8"/>
        <rFont val="Times New Roman"/>
        <family val="1"/>
      </rPr>
      <t>respin6</t>
    </r>
    <r>
      <rPr>
        <sz val="11"/>
        <color rgb="FF000000"/>
        <rFont val="宋体"/>
        <family val="1"/>
        <charset val="134"/>
      </rPr>
      <t>个及以上</t>
    </r>
    <r>
      <rPr>
        <sz val="11"/>
        <color indexed="8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直接触发</t>
    </r>
    <r>
      <rPr>
        <sz val="11"/>
        <color indexed="8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，具体概率取</t>
    </r>
    <r>
      <rPr>
        <sz val="11"/>
        <color indexed="8"/>
        <rFont val="Times New Roman"/>
        <family val="1"/>
      </rPr>
      <t>94_hit_respin_random_rate</t>
    </r>
    <r>
      <rPr>
        <sz val="11"/>
        <color rgb="FF000000"/>
        <rFont val="宋体"/>
        <family val="1"/>
        <charset val="134"/>
      </rPr>
      <t>，</t>
    </r>
    <r>
      <rPr>
        <sz val="11"/>
        <color rgb="FF000000"/>
        <rFont val="Times New Roman"/>
        <family val="1"/>
      </rPr>
      <t>1</t>
    </r>
    <r>
      <rPr>
        <sz val="11"/>
        <color indexed="8"/>
        <rFont val="Times New Roman"/>
        <family val="1"/>
      </rPr>
      <t>~5</t>
    </r>
    <r>
      <rPr>
        <sz val="11"/>
        <color rgb="FF000000"/>
        <rFont val="宋体"/>
        <family val="1"/>
        <charset val="134"/>
      </rPr>
      <t>个触发</t>
    </r>
    <r>
      <rPr>
        <sz val="11"/>
        <color rgb="FF000000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时会在棋盘非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位置扔上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图标（扔的位置等概率随机）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补齐到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1"/>
        <charset val="134"/>
      </rPr>
      <t>个，扔的</t>
    </r>
    <r>
      <rPr>
        <sz val="11"/>
        <color rgb="FF000000"/>
        <rFont val="Times New Roman"/>
        <family val="1"/>
      </rPr>
      <t xml:space="preserve">bonus </t>
    </r>
    <r>
      <rPr>
        <sz val="11"/>
        <color rgb="FF000000"/>
        <rFont val="宋体"/>
        <family val="1"/>
        <charset val="134"/>
      </rPr>
      <t>具体的值从</t>
    </r>
    <r>
      <rPr>
        <sz val="11"/>
        <color rgb="FF000000"/>
        <rFont val="Times New Roman"/>
        <family val="1"/>
      </rPr>
      <t>94_spilt_value_part_1_weight_in_base_free</t>
    </r>
    <r>
      <rPr>
        <sz val="11"/>
        <color rgb="FF000000"/>
        <rFont val="宋体"/>
        <family val="1"/>
        <charset val="134"/>
      </rPr>
      <t>里取</t>
    </r>
    <phoneticPr fontId="7" type="noConversion"/>
  </si>
  <si>
    <t>base_strip_weights</t>
    <phoneticPr fontId="8" type="noConversion"/>
  </si>
  <si>
    <t>Ways</t>
    <phoneticPr fontId="7" type="noConversion"/>
  </si>
  <si>
    <t>random_respin_drop_bonus_5</t>
    <phoneticPr fontId="7" type="noConversion"/>
  </si>
  <si>
    <t>random_respin_drop_bonus_4</t>
    <phoneticPr fontId="7" type="noConversion"/>
  </si>
  <si>
    <t>random_respin_drop_bonus_3</t>
  </si>
  <si>
    <t>random_respin_drop_bonus_2</t>
  </si>
  <si>
    <t>random_respin_drop_bonus_1</t>
  </si>
  <si>
    <t>[[1,1,1,1],1],[[1,1,2],1],[[2,2],1]</t>
    <phoneticPr fontId="7" type="noConversion"/>
  </si>
  <si>
    <t>[[1,1,1],1],[[1,2],1]</t>
    <phoneticPr fontId="7" type="noConversion"/>
  </si>
  <si>
    <t>[[1,1],1],[[2],1]</t>
    <phoneticPr fontId="7" type="noConversion"/>
  </si>
  <si>
    <t>[[1],1]</t>
    <phoneticPr fontId="7" type="noConversion"/>
  </si>
  <si>
    <t>respin_bonus_hit_rate_spin_1</t>
    <phoneticPr fontId="7" type="noConversion"/>
  </si>
  <si>
    <t>respin_bonus_hit_rate_spin_2</t>
    <phoneticPr fontId="7" type="noConversion"/>
  </si>
  <si>
    <t>respin_bonus_hit_rate_spin_3</t>
    <phoneticPr fontId="7" type="noConversion"/>
  </si>
  <si>
    <t>split_bonus_group_1_hit_value_weight</t>
  </si>
  <si>
    <t>split_bonus_group_2_hit_value_weight</t>
  </si>
  <si>
    <t>split_bonus_group_3_hit_value_weight</t>
  </si>
  <si>
    <t>split_bonus_group_4_hit_value_weight</t>
  </si>
  <si>
    <t>split_bonus_group_5_hit_value_weight</t>
  </si>
  <si>
    <t>prize_for_group</t>
  </si>
  <si>
    <t>base_split_symbol_92_weight</t>
  </si>
  <si>
    <t>base_split_symbol_1_weight</t>
  </si>
  <si>
    <t>base_split_symbol_2_weight</t>
  </si>
  <si>
    <t>base_split_symbol_3_weight</t>
  </si>
  <si>
    <t>base_split_symbol_4_weight</t>
  </si>
  <si>
    <t>90_spilt_not_trigger_free_weight</t>
  </si>
  <si>
    <t>DoubleID</t>
    <phoneticPr fontId="7" type="noConversion"/>
  </si>
  <si>
    <t>SPILT</t>
    <phoneticPr fontId="7" type="noConversion"/>
  </si>
  <si>
    <t>free_strip_weights</t>
    <phoneticPr fontId="8" type="noConversion"/>
  </si>
  <si>
    <t>scatter_mul</t>
  </si>
  <si>
    <t>"line","re_spin"</t>
    <phoneticPr fontId="7" type="noConversion"/>
  </si>
  <si>
    <t>RTP of Scatter Win</t>
    <phoneticPr fontId="8" type="noConversion"/>
  </si>
  <si>
    <t>MAJOR</t>
  </si>
  <si>
    <t>MINOR</t>
  </si>
  <si>
    <t>MINI</t>
  </si>
  <si>
    <t>x10</t>
  </si>
  <si>
    <t>x8</t>
  </si>
  <si>
    <t>x7</t>
  </si>
  <si>
    <t>x5</t>
  </si>
  <si>
    <t>x3</t>
  </si>
  <si>
    <t>x2</t>
  </si>
  <si>
    <t>Respin1</t>
    <phoneticPr fontId="7" type="noConversion"/>
  </si>
  <si>
    <t>Respin2</t>
    <phoneticPr fontId="7" type="noConversion"/>
  </si>
  <si>
    <t>Length</t>
    <phoneticPr fontId="8" type="noConversion"/>
  </si>
  <si>
    <t>base_split_symbol_0_weight</t>
    <phoneticPr fontId="7" type="noConversion"/>
  </si>
  <si>
    <t>Respin3</t>
  </si>
  <si>
    <t>LINK</t>
  </si>
  <si>
    <t>[0.1,0.2)</t>
  </si>
  <si>
    <t>[0.00001,0.1)</t>
  </si>
  <si>
    <t>base</t>
    <phoneticPr fontId="8" type="noConversion"/>
  </si>
  <si>
    <t>free</t>
    <phoneticPr fontId="8" type="noConversion"/>
  </si>
  <si>
    <t>Respin1</t>
    <phoneticPr fontId="8" type="noConversion"/>
  </si>
  <si>
    <t>Respin2</t>
    <phoneticPr fontId="8" type="noConversion"/>
  </si>
  <si>
    <t>Respin3</t>
    <phoneticPr fontId="8" type="noConversion"/>
  </si>
  <si>
    <r>
      <t>5.free</t>
    </r>
    <r>
      <rPr>
        <sz val="11"/>
        <color rgb="FF000000"/>
        <rFont val="宋体"/>
        <family val="1"/>
        <charset val="134"/>
      </rPr>
      <t>里触发</t>
    </r>
    <r>
      <rPr>
        <sz val="11"/>
        <color rgb="FF000000"/>
        <rFont val="Times New Roman"/>
        <family val="1"/>
      </rPr>
      <t xml:space="preserve">respin </t>
    </r>
    <r>
      <rPr>
        <sz val="11"/>
        <color rgb="FF000000"/>
        <rFont val="宋体"/>
        <family val="1"/>
        <charset val="134"/>
      </rPr>
      <t>统计的数据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大概是</t>
    </r>
    <r>
      <rPr>
        <sz val="11"/>
        <color rgb="FF000000"/>
        <rFont val="Times New Roman"/>
        <family val="1"/>
      </rPr>
      <t xml:space="preserve"> 8</t>
    </r>
    <r>
      <rPr>
        <sz val="11"/>
        <color rgb="FF000000"/>
        <rFont val="宋体"/>
        <family val="1"/>
        <charset val="134"/>
      </rPr>
      <t>次</t>
    </r>
    <r>
      <rPr>
        <sz val="11"/>
        <color rgb="FF000000"/>
        <rFont val="Times New Roman"/>
        <family val="1"/>
      </rPr>
      <t xml:space="preserve">free </t>
    </r>
    <r>
      <rPr>
        <sz val="11"/>
        <color rgb="FF000000"/>
        <rFont val="宋体"/>
        <family val="1"/>
        <charset val="134"/>
      </rPr>
      <t>有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次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里触发了</t>
    </r>
    <r>
      <rPr>
        <sz val="11"/>
        <color rgb="FF000000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。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里不中大奖线或者</t>
    </r>
    <r>
      <rPr>
        <sz val="11"/>
        <color rgb="FF000000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的话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整体倍数就偏低。</t>
    </r>
    <phoneticPr fontId="7" type="noConversion"/>
  </si>
  <si>
    <r>
      <t>v4</t>
    </r>
    <r>
      <rPr>
        <sz val="11"/>
        <color rgb="FF000000"/>
        <rFont val="宋体"/>
        <family val="1"/>
        <charset val="134"/>
      </rPr>
      <t>：</t>
    </r>
    <phoneticPr fontId="7" type="noConversion"/>
  </si>
  <si>
    <t>X5</t>
    <phoneticPr fontId="8" type="noConversion"/>
  </si>
  <si>
    <r>
      <t>free</t>
    </r>
    <r>
      <rPr>
        <sz val="11"/>
        <color rgb="FF000000"/>
        <rFont val="宋体"/>
        <family val="1"/>
        <charset val="134"/>
      </rPr>
      <t>触发上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触发</t>
    </r>
    <r>
      <rPr>
        <sz val="11"/>
        <color rgb="FF000000"/>
        <rFont val="Times New Roman"/>
        <family val="1"/>
      </rPr>
      <t>10/12</t>
    </r>
    <r>
      <rPr>
        <sz val="11"/>
        <color rgb="FF000000"/>
        <rFont val="宋体"/>
        <family val="1"/>
        <charset val="134"/>
      </rPr>
      <t>次</t>
    </r>
    <r>
      <rPr>
        <sz val="11"/>
        <color indexed="8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概率有点高，玩起来感觉多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次数不是那么稀有了，降低一点出</t>
    </r>
    <r>
      <rPr>
        <sz val="11"/>
        <color rgb="FF000000"/>
        <rFont val="Times New Roman"/>
        <family val="1"/>
      </rPr>
      <t>12/10</t>
    </r>
    <r>
      <rPr>
        <sz val="11"/>
        <color rgb="FF000000"/>
        <rFont val="宋体"/>
        <family val="1"/>
        <charset val="134"/>
      </rPr>
      <t>次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的概率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平均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次数从</t>
    </r>
    <r>
      <rPr>
        <sz val="11"/>
        <color rgb="FF000000"/>
        <rFont val="Times New Roman"/>
        <family val="1"/>
      </rPr>
      <t>8.9</t>
    </r>
    <r>
      <rPr>
        <sz val="11"/>
        <color rgb="FF000000"/>
        <rFont val="宋体"/>
        <family val="1"/>
        <charset val="134"/>
      </rPr>
      <t>次降低到</t>
    </r>
    <r>
      <rPr>
        <sz val="11"/>
        <color rgb="FF000000"/>
        <rFont val="Times New Roman"/>
        <family val="1"/>
      </rPr>
      <t>8.4</t>
    </r>
    <r>
      <rPr>
        <sz val="11"/>
        <color rgb="FF000000"/>
        <rFont val="宋体"/>
        <family val="1"/>
        <charset val="134"/>
      </rPr>
      <t>次</t>
    </r>
    <phoneticPr fontId="7" type="noConversion"/>
  </si>
  <si>
    <r>
      <rPr>
        <sz val="11"/>
        <color rgb="FF000000"/>
        <rFont val="宋体"/>
        <family val="1"/>
        <charset val="134"/>
      </rPr>
      <t>玩法与竞品玩法有区别</t>
    </r>
    <r>
      <rPr>
        <sz val="11"/>
        <color rgb="FF000000"/>
        <rFont val="Times New Roman"/>
        <family val="1"/>
      </rPr>
      <t>,wild</t>
    </r>
    <r>
      <rPr>
        <sz val="11"/>
        <color rgb="FF000000"/>
        <rFont val="宋体"/>
        <family val="1"/>
        <charset val="134"/>
      </rPr>
      <t>改为概率变为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1"/>
        <charset val="134"/>
      </rPr>
      <t>原版</t>
    </r>
    <r>
      <rPr>
        <sz val="11"/>
        <color rgb="FF000000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与</t>
    </r>
    <r>
      <rPr>
        <sz val="11"/>
        <color rgb="FF000000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图标产生赔付算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与</t>
    </r>
    <r>
      <rPr>
        <sz val="11"/>
        <color rgb="FF000000"/>
        <rFont val="Times New Roman"/>
        <family val="1"/>
      </rPr>
      <t>AKQJ</t>
    </r>
    <r>
      <rPr>
        <sz val="11"/>
        <color rgb="FF000000"/>
        <rFont val="宋体"/>
        <family val="1"/>
        <charset val="134"/>
      </rPr>
      <t>算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>,</t>
    </r>
    <r>
      <rPr>
        <sz val="11"/>
        <color rgb="FF000000"/>
        <rFont val="宋体"/>
        <family val="1"/>
        <charset val="134"/>
      </rPr>
      <t>一个位置上</t>
    </r>
    <r>
      <rPr>
        <sz val="11"/>
        <color rgb="FF000000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同时与</t>
    </r>
    <r>
      <rPr>
        <sz val="11"/>
        <color rgb="FF000000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和</t>
    </r>
    <r>
      <rPr>
        <sz val="11"/>
        <color rgb="FF000000"/>
        <rFont val="Times New Roman"/>
        <family val="1"/>
      </rPr>
      <t>AKQJ</t>
    </r>
    <r>
      <rPr>
        <sz val="11"/>
        <color rgb="FF000000"/>
        <rFont val="宋体"/>
        <family val="1"/>
        <charset val="134"/>
      </rPr>
      <t>产生赔付会有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种状态</t>
    </r>
    <r>
      <rPr>
        <sz val="11"/>
        <color rgb="FF000000"/>
        <rFont val="Times New Roman"/>
        <family val="1"/>
      </rPr>
      <t>)</t>
    </r>
    <r>
      <rPr>
        <sz val="11"/>
        <color rgb="FF000000"/>
        <rFont val="宋体"/>
        <family val="1"/>
        <charset val="134"/>
      </rPr>
      <t>，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期间</t>
    </r>
    <r>
      <rPr>
        <sz val="11"/>
        <color rgb="FF000000"/>
        <rFont val="Times New Roman"/>
        <family val="1"/>
      </rPr>
      <t xml:space="preserve">bonus </t>
    </r>
    <r>
      <rPr>
        <sz val="11"/>
        <color rgb="FF000000"/>
        <rFont val="宋体"/>
        <family val="1"/>
        <charset val="134"/>
      </rPr>
      <t>必定是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1"/>
        <charset val="134"/>
      </rPr>
      <t>原版是概率变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>),</t>
    </r>
    <phoneticPr fontId="7" type="noConversion"/>
  </si>
  <si>
    <r>
      <t xml:space="preserve">1.base </t>
    </r>
    <r>
      <rPr>
        <sz val="11"/>
        <color rgb="FF000000"/>
        <rFont val="宋体"/>
        <family val="1"/>
        <charset val="134"/>
      </rPr>
      <t>中</t>
    </r>
    <r>
      <rPr>
        <sz val="11"/>
        <color indexed="8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图标</t>
    </r>
    <r>
      <rPr>
        <sz val="11"/>
        <color rgb="FF000000"/>
        <rFont val="Times New Roman"/>
        <family val="1"/>
      </rPr>
      <t xml:space="preserve"> wild/scatter/bonus </t>
    </r>
    <r>
      <rPr>
        <sz val="11"/>
        <color rgb="FF000000"/>
        <rFont val="宋体"/>
        <family val="1"/>
        <charset val="134"/>
      </rPr>
      <t>都有概率分裂</t>
    </r>
    <r>
      <rPr>
        <sz val="11"/>
        <color rgb="FF000000"/>
        <rFont val="Times New Roman"/>
        <family val="1"/>
      </rPr>
      <t>为</t>
    </r>
    <r>
      <rPr>
        <sz val="11"/>
        <color rgb="FF000000"/>
        <rFont val="宋体"/>
        <family val="1"/>
        <charset val="134"/>
      </rPr>
      <t>两个，</t>
    </r>
    <r>
      <rPr>
        <sz val="11"/>
        <color rgb="FF000000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级图标分裂</t>
    </r>
    <r>
      <rPr>
        <sz val="11"/>
        <color rgb="FF000000"/>
        <rFont val="Times New Roman"/>
        <family val="1"/>
      </rPr>
      <t xml:space="preserve">规则 </t>
    </r>
    <r>
      <rPr>
        <sz val="11"/>
        <color rgb="FF000000"/>
        <rFont val="宋体"/>
        <family val="1"/>
        <charset val="134"/>
      </rPr>
      <t>根据</t>
    </r>
    <r>
      <rPr>
        <sz val="11"/>
        <color rgb="FF000000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图标类型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按照列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去取具体的概率</t>
    </r>
    <r>
      <rPr>
        <sz val="11"/>
        <color rgb="FF000000"/>
        <rFont val="Times New Roman"/>
        <family val="1"/>
      </rPr>
      <t xml:space="preserve"> base_split_symobl_x_weight</t>
    </r>
    <phoneticPr fontId="7" type="noConversion"/>
  </si>
  <si>
    <r>
      <rPr>
        <sz val="11"/>
        <color rgb="FF000000"/>
        <rFont val="宋体"/>
        <family val="1"/>
        <charset val="134"/>
      </rPr>
      <t>出版图标</t>
    </r>
    <r>
      <rPr>
        <sz val="11"/>
        <color indexed="8"/>
        <rFont val="Times New Roman"/>
        <family val="1"/>
      </rPr>
      <t>M3M4M5</t>
    </r>
    <r>
      <rPr>
        <sz val="11"/>
        <color rgb="FF000000"/>
        <rFont val="宋体"/>
        <family val="1"/>
        <charset val="134"/>
      </rPr>
      <t>没底板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看起来盘面就比较空，没有竞品</t>
    </r>
    <r>
      <rPr>
        <sz val="11"/>
        <color rgb="FF000000"/>
        <rFont val="Times New Roman"/>
        <family val="1"/>
      </rPr>
      <t>m</t>
    </r>
    <r>
      <rPr>
        <sz val="11"/>
        <color rgb="FF000000"/>
        <rFont val="宋体"/>
        <family val="1"/>
        <charset val="134"/>
      </rPr>
      <t>级图标堆到一起的感觉，和策划沟通后原画改动成本较高，从数值上入手成本较小</t>
    </r>
    <phoneticPr fontId="7" type="noConversion"/>
  </si>
  <si>
    <r>
      <t>v5</t>
    </r>
    <r>
      <rPr>
        <sz val="11"/>
        <color rgb="FF000000"/>
        <rFont val="宋体"/>
        <family val="1"/>
        <charset val="134"/>
      </rPr>
      <t>：</t>
    </r>
    <phoneticPr fontId="7" type="noConversion"/>
  </si>
  <si>
    <r>
      <rPr>
        <sz val="11"/>
        <color rgb="FF000000"/>
        <rFont val="宋体"/>
        <family val="1"/>
        <charset val="134"/>
      </rPr>
      <t>去掉了首列</t>
    </r>
    <r>
      <rPr>
        <sz val="11"/>
        <color indexed="8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（原版首列有</t>
    </r>
    <r>
      <rPr>
        <sz val="11"/>
        <color rgb="FF000000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以及</t>
    </r>
    <r>
      <rPr>
        <sz val="11"/>
        <color rgb="FF000000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有赔付奖线逻辑要改动到底层，这样修改成本最低）</t>
    </r>
    <phoneticPr fontId="7" type="noConversion"/>
  </si>
  <si>
    <r>
      <rPr>
        <sz val="11"/>
        <color indexed="8"/>
        <rFont val="宋体"/>
        <family val="3"/>
        <charset val="134"/>
      </rPr>
      <t>将轮带里</t>
    </r>
    <r>
      <rPr>
        <sz val="11"/>
        <color indexed="8"/>
        <rFont val="Times New Roman"/>
        <family val="1"/>
      </rPr>
      <t>m1 m2</t>
    </r>
    <r>
      <rPr>
        <sz val="11"/>
        <color indexed="8"/>
        <rFont val="宋体"/>
        <family val="3"/>
        <charset val="134"/>
      </rPr>
      <t>图标做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宋体"/>
        <family val="3"/>
        <charset val="134"/>
      </rPr>
      <t>连</t>
    </r>
    <r>
      <rPr>
        <sz val="11"/>
        <color indexed="8"/>
        <rFont val="Times New Roman"/>
        <family val="1"/>
      </rPr>
      <t>3</t>
    </r>
    <r>
      <rPr>
        <sz val="11"/>
        <color indexed="8"/>
        <rFont val="宋体"/>
        <family val="3"/>
        <charset val="134"/>
      </rPr>
      <t>连堆叠减弱盘面太空的感觉</t>
    </r>
    <r>
      <rPr>
        <sz val="11"/>
        <color indexed="8"/>
        <rFont val="Times New Roman"/>
        <family val="1"/>
      </rPr>
      <t>,free</t>
    </r>
    <r>
      <rPr>
        <sz val="11"/>
        <color indexed="8"/>
        <rFont val="宋体"/>
        <family val="3"/>
        <charset val="134"/>
      </rPr>
      <t>里</t>
    </r>
    <r>
      <rPr>
        <sz val="11"/>
        <color rgb="FF000000"/>
        <rFont val="宋体"/>
        <family val="3"/>
        <charset val="134"/>
      </rPr>
      <t>保持一致</t>
    </r>
    <r>
      <rPr>
        <sz val="11"/>
        <color indexed="8"/>
        <rFont val="宋体"/>
        <family val="3"/>
        <charset val="134"/>
      </rPr>
      <t>也添加了</t>
    </r>
    <r>
      <rPr>
        <sz val="11"/>
        <color indexed="8"/>
        <rFont val="Times New Roman"/>
        <family val="1"/>
      </rPr>
      <t>m1m2</t>
    </r>
    <r>
      <rPr>
        <sz val="11"/>
        <color indexed="8"/>
        <rFont val="宋体"/>
        <family val="3"/>
        <charset val="134"/>
      </rPr>
      <t>的堆叠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宋体"/>
        <family val="3"/>
        <charset val="134"/>
      </rPr>
      <t>强化</t>
    </r>
    <r>
      <rPr>
        <sz val="11"/>
        <color indexed="8"/>
        <rFont val="Times New Roman"/>
        <family val="1"/>
      </rPr>
      <t>m1 m2</t>
    </r>
    <r>
      <rPr>
        <sz val="11"/>
        <color indexed="8"/>
        <rFont val="宋体"/>
        <family val="3"/>
        <charset val="134"/>
      </rPr>
      <t>的存在感，也正好贴合</t>
    </r>
    <r>
      <rPr>
        <sz val="11"/>
        <color indexed="8"/>
        <rFont val="Times New Roman"/>
        <family val="1"/>
      </rPr>
      <t>free</t>
    </r>
    <r>
      <rPr>
        <sz val="11"/>
        <color indexed="8"/>
        <rFont val="宋体"/>
        <family val="3"/>
        <charset val="134"/>
      </rPr>
      <t>转场时两个忍者拼刀的</t>
    </r>
    <r>
      <rPr>
        <sz val="11"/>
        <color rgb="FF000000"/>
        <rFont val="宋体"/>
        <family val="3"/>
        <charset val="134"/>
      </rPr>
      <t>感觉</t>
    </r>
    <phoneticPr fontId="7" type="noConversion"/>
  </si>
  <si>
    <r>
      <t>Base Respin Game RTP</t>
    </r>
    <r>
      <rPr>
        <sz val="11"/>
        <color rgb="FF000000"/>
        <rFont val="宋体"/>
        <family val="1"/>
        <charset val="134"/>
      </rPr>
      <t>：</t>
    </r>
    <phoneticPr fontId="8" type="noConversion"/>
  </si>
  <si>
    <r>
      <t>Base Respin Game Frequency</t>
    </r>
    <r>
      <rPr>
        <sz val="11"/>
        <color rgb="FF000000"/>
        <rFont val="宋体"/>
        <family val="1"/>
        <charset val="134"/>
      </rPr>
      <t>：</t>
    </r>
    <phoneticPr fontId="8" type="noConversion"/>
  </si>
  <si>
    <r>
      <t>Total Bonus Game Frequency</t>
    </r>
    <r>
      <rPr>
        <sz val="11"/>
        <color rgb="FF000000"/>
        <rFont val="宋体"/>
        <family val="1"/>
        <charset val="134"/>
      </rPr>
      <t>：</t>
    </r>
    <phoneticPr fontId="7" type="noConversion"/>
  </si>
  <si>
    <t>split_bonus_group_hit_rate</t>
    <phoneticPr fontId="7" type="noConversion"/>
  </si>
  <si>
    <t>Base</t>
    <phoneticPr fontId="7" type="noConversion"/>
  </si>
  <si>
    <t>x</t>
    <phoneticPr fontId="7" type="noConversion"/>
  </si>
  <si>
    <t>{</t>
    <phoneticPr fontId="7" type="noConversion"/>
  </si>
  <si>
    <t>111</t>
    <phoneticPr fontId="7" type="noConversion"/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</si>
  <si>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</si>
  <si>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</si>
  <si>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</si>
  <si>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</si>
  <si>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</si>
  <si>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</si>
  <si>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</si>
  <si>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</si>
  <si>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</si>
  <si>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v2:</t>
    <phoneticPr fontId="7" type="noConversion"/>
  </si>
  <si>
    <r>
      <t>v3</t>
    </r>
    <r>
      <rPr>
        <sz val="11"/>
        <color rgb="FF000000"/>
        <rFont val="宋体"/>
        <family val="1"/>
        <charset val="134"/>
      </rPr>
      <t>：</t>
    </r>
    <phoneticPr fontId="7" type="noConversion"/>
  </si>
  <si>
    <t>AvgValue</t>
    <phoneticPr fontId="7" type="noConversion"/>
  </si>
  <si>
    <t>Hit Pro</t>
    <phoneticPr fontId="8" type="noConversion"/>
  </si>
  <si>
    <t>[[1,1,1,1,1],1],[[1,1,1,2],1],[[1,2,2],1]</t>
    <phoneticPr fontId="7" type="noConversion"/>
  </si>
  <si>
    <t>random_respin_drop_bonus_2_free</t>
    <phoneticPr fontId="7" type="noConversion"/>
  </si>
  <si>
    <t>random_respin_drop_bonus_4_free</t>
    <phoneticPr fontId="7" type="noConversion"/>
  </si>
  <si>
    <t>[[2],1]</t>
    <phoneticPr fontId="7" type="noConversion"/>
  </si>
  <si>
    <t>[[2,2],1]</t>
    <phoneticPr fontId="7" type="noConversion"/>
  </si>
  <si>
    <t>Spilt Nums</t>
    <phoneticPr fontId="7" type="noConversion"/>
  </si>
  <si>
    <t>Cnt</t>
    <phoneticPr fontId="7" type="noConversion"/>
  </si>
  <si>
    <t>AvgSplit</t>
    <phoneticPr fontId="7" type="noConversion"/>
  </si>
  <si>
    <t>pots</t>
    <phoneticPr fontId="7" type="noConversion"/>
  </si>
  <si>
    <t>150/200/250</t>
    <phoneticPr fontId="7" type="noConversion"/>
  </si>
  <si>
    <t>50/100</t>
    <phoneticPr fontId="7" type="noConversion"/>
  </si>
  <si>
    <t>MustHitSplit</t>
    <phoneticPr fontId="7" type="noConversion"/>
  </si>
  <si>
    <t>respin_hit_95_protect</t>
    <phoneticPr fontId="7" type="noConversion"/>
  </si>
  <si>
    <t>v6:</t>
    <phoneticPr fontId="7" type="noConversion"/>
  </si>
  <si>
    <t>respin_hit_95_protect_num</t>
    <phoneticPr fontId="7" type="noConversion"/>
  </si>
  <si>
    <t>X7</t>
    <phoneticPr fontId="8" type="noConversion"/>
  </si>
  <si>
    <t>X5</t>
    <phoneticPr fontId="7" type="noConversion"/>
  </si>
  <si>
    <t>X3</t>
    <phoneticPr fontId="8" type="noConversion"/>
  </si>
  <si>
    <t>v7:</t>
    <phoneticPr fontId="7" type="noConversion"/>
  </si>
  <si>
    <r>
      <rPr>
        <sz val="11"/>
        <color rgb="FF000000"/>
        <rFont val="宋体"/>
        <family val="1"/>
        <charset val="134"/>
      </rPr>
      <t>与竞品的区别</t>
    </r>
    <phoneticPr fontId="7" type="noConversion"/>
  </si>
  <si>
    <r>
      <t>base</t>
    </r>
    <r>
      <rPr>
        <sz val="11"/>
        <color rgb="FF000000"/>
        <rFont val="宋体"/>
        <family val="1"/>
        <charset val="134"/>
      </rPr>
      <t>里</t>
    </r>
    <r>
      <rPr>
        <sz val="11"/>
        <color rgb="FF000000"/>
        <rFont val="Times New Roman"/>
        <family val="1"/>
      </rPr>
      <t>12</t>
    </r>
    <r>
      <rPr>
        <sz val="11"/>
        <color rgb="FF000000"/>
        <rFont val="宋体"/>
        <family val="1"/>
        <charset val="134"/>
      </rPr>
      <t>列加了</t>
    </r>
    <r>
      <rPr>
        <sz val="11"/>
        <color rgb="FF000000"/>
        <rFont val="Times New Roman"/>
        <family val="1"/>
      </rPr>
      <t>m1/m2</t>
    </r>
    <r>
      <rPr>
        <sz val="11"/>
        <color rgb="FF000000"/>
        <rFont val="宋体"/>
        <family val="1"/>
        <charset val="134"/>
      </rPr>
      <t>的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连堆叠，</t>
    </r>
    <r>
      <rPr>
        <sz val="11"/>
        <color rgb="FF000000"/>
        <rFont val="Times New Roman"/>
        <family val="1"/>
      </rPr>
      <t>345</t>
    </r>
    <r>
      <rPr>
        <sz val="11"/>
        <color rgb="FF000000"/>
        <rFont val="宋体"/>
        <family val="1"/>
        <charset val="134"/>
      </rPr>
      <t>加了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1"/>
        <charset val="134"/>
      </rPr>
      <t>连堆叠，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里强化了一下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第</t>
    </r>
    <r>
      <rPr>
        <sz val="11"/>
        <color rgb="FF000000"/>
        <rFont val="Times New Roman"/>
        <family val="1"/>
      </rPr>
      <t>2345</t>
    </r>
    <r>
      <rPr>
        <sz val="11"/>
        <color rgb="FF000000"/>
        <rFont val="宋体"/>
        <family val="1"/>
        <charset val="134"/>
      </rPr>
      <t>列也加了</t>
    </r>
    <r>
      <rPr>
        <sz val="11"/>
        <color rgb="FF000000"/>
        <rFont val="Times New Roman"/>
        <family val="1"/>
      </rPr>
      <t>m1/m2</t>
    </r>
    <r>
      <rPr>
        <sz val="11"/>
        <color rgb="FF000000"/>
        <rFont val="宋体"/>
        <family val="1"/>
        <charset val="134"/>
      </rPr>
      <t>的三连堆叠</t>
    </r>
    <r>
      <rPr>
        <sz val="11"/>
        <color indexed="8"/>
        <rFont val="Times New Roman"/>
        <family val="1"/>
      </rPr>
      <t xml:space="preserve">, </t>
    </r>
    <r>
      <rPr>
        <sz val="11"/>
        <color rgb="FF000000"/>
        <rFont val="宋体"/>
        <family val="1"/>
        <charset val="134"/>
      </rPr>
      <t>调整</t>
    </r>
    <r>
      <rPr>
        <sz val="11"/>
        <color indexed="8"/>
        <rFont val="Times New Roman"/>
        <family val="1"/>
      </rPr>
      <t xml:space="preserve">paytable </t>
    </r>
    <r>
      <rPr>
        <sz val="11"/>
        <color rgb="FF000000"/>
        <rFont val="宋体"/>
        <family val="1"/>
        <charset val="134"/>
      </rPr>
      <t>降低</t>
    </r>
    <r>
      <rPr>
        <sz val="11"/>
        <color rgb="FF000000"/>
        <rFont val="Times New Roman"/>
        <family val="1"/>
      </rPr>
      <t>m</t>
    </r>
    <r>
      <rPr>
        <sz val="11"/>
        <color indexed="8"/>
        <rFont val="Times New Roman"/>
        <family val="1"/>
      </rPr>
      <t xml:space="preserve">3m4m5, 6/7/8 </t>
    </r>
    <r>
      <rPr>
        <sz val="11"/>
        <color rgb="FF000000"/>
        <rFont val="宋体"/>
        <family val="1"/>
        <charset val="134"/>
      </rPr>
      <t>连赔付与</t>
    </r>
    <r>
      <rPr>
        <sz val="11"/>
        <color indexed="8"/>
        <rFont val="Times New Roman"/>
        <family val="1"/>
      </rPr>
      <t xml:space="preserve">m2 </t>
    </r>
    <r>
      <rPr>
        <sz val="11"/>
        <color rgb="FF000000"/>
        <rFont val="宋体"/>
        <family val="1"/>
        <charset val="134"/>
      </rPr>
      <t>做区分</t>
    </r>
    <phoneticPr fontId="7" type="noConversion"/>
  </si>
  <si>
    <r>
      <t xml:space="preserve">respin </t>
    </r>
    <r>
      <rPr>
        <sz val="11"/>
        <color rgb="FF000000"/>
        <rFont val="宋体"/>
        <family val="1"/>
        <charset val="134"/>
      </rPr>
      <t>怎么进怎么出一个没中这体验很差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提升</t>
    </r>
    <r>
      <rPr>
        <sz val="11"/>
        <color rgb="FF000000"/>
        <rFont val="Times New Roman"/>
        <family val="1"/>
      </rPr>
      <t>bonus 6</t>
    </r>
    <r>
      <rPr>
        <sz val="11"/>
        <color rgb="FF000000"/>
        <rFont val="宋体"/>
        <family val="1"/>
        <charset val="134"/>
      </rPr>
      <t>个及以下的出球概率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降低</t>
    </r>
    <r>
      <rPr>
        <sz val="11"/>
        <color indexed="8"/>
        <rFont val="Times New Roman"/>
        <family val="1"/>
      </rPr>
      <t>10</t>
    </r>
    <r>
      <rPr>
        <sz val="11"/>
        <color rgb="FF000000"/>
        <rFont val="宋体"/>
        <family val="1"/>
        <charset val="134"/>
      </rPr>
      <t>个</t>
    </r>
    <r>
      <rPr>
        <sz val="11"/>
        <color rgb="FF000000"/>
        <rFont val="Times New Roman"/>
        <family val="1"/>
      </rPr>
      <t>11</t>
    </r>
    <r>
      <rPr>
        <sz val="11"/>
        <color rgb="FF000000"/>
        <rFont val="宋体"/>
        <family val="1"/>
        <charset val="134"/>
      </rPr>
      <t>个出球的概率，平均出球数保持不变</t>
    </r>
    <r>
      <rPr>
        <sz val="11"/>
        <color rgb="FF000000"/>
        <rFont val="Times New Roman"/>
        <family val="1"/>
      </rPr>
      <t xml:space="preserve"> 10.6</t>
    </r>
    <phoneticPr fontId="7" type="noConversion"/>
  </si>
  <si>
    <r>
      <rPr>
        <sz val="11"/>
        <color rgb="FF000000"/>
        <rFont val="宋体"/>
        <family val="1"/>
        <charset val="134"/>
      </rPr>
      <t>出现第一个太刀速度有点太快了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刚开始</t>
    </r>
    <r>
      <rPr>
        <sz val="11"/>
        <color rgb="FF000000"/>
        <rFont val="Times New Roman"/>
        <family val="1"/>
      </rPr>
      <t>spin</t>
    </r>
    <r>
      <rPr>
        <sz val="11"/>
        <color rgb="FF000000"/>
        <rFont val="宋体"/>
        <family val="1"/>
        <charset val="134"/>
      </rPr>
      <t>几下就出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没有</t>
    </r>
    <r>
      <rPr>
        <sz val="11"/>
        <color indexed="8"/>
        <rFont val="Times New Roman"/>
        <family val="1"/>
      </rPr>
      <t>nearmiss</t>
    </r>
    <r>
      <rPr>
        <sz val="11"/>
        <color rgb="FF000000"/>
        <rFont val="宋体"/>
        <family val="1"/>
        <charset val="134"/>
      </rPr>
      <t>体验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出首个太刀的概率降到</t>
    </r>
    <r>
      <rPr>
        <sz val="11"/>
        <color rgb="FF000000"/>
        <rFont val="Times New Roman"/>
        <family val="1"/>
      </rPr>
      <t>45%</t>
    </r>
    <phoneticPr fontId="7" type="noConversion"/>
  </si>
  <si>
    <r>
      <rPr>
        <sz val="11"/>
        <color rgb="FF000000"/>
        <rFont val="宋体"/>
        <family val="1"/>
        <charset val="134"/>
      </rPr>
      <t>机台重点还是</t>
    </r>
    <r>
      <rPr>
        <sz val="11"/>
        <color rgb="FF000000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，把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里触发</t>
    </r>
    <r>
      <rPr>
        <sz val="11"/>
        <color rgb="FF000000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概率提升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目前是平均</t>
    </r>
    <r>
      <rPr>
        <sz val="11"/>
        <color rgb="FF000000"/>
        <rFont val="Times New Roman"/>
        <family val="1"/>
      </rPr>
      <t>17.3</t>
    </r>
    <r>
      <rPr>
        <sz val="11"/>
        <color rgb="FF000000"/>
        <rFont val="宋体"/>
        <family val="1"/>
        <charset val="134"/>
      </rPr>
      <t>次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触发一次</t>
    </r>
    <r>
      <rPr>
        <sz val="11"/>
        <color rgb="FF000000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（一轮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下来</t>
    </r>
    <r>
      <rPr>
        <sz val="11"/>
        <color rgb="FF000000"/>
        <rFont val="Times New Roman"/>
        <family val="1"/>
      </rPr>
      <t xml:space="preserve"> 48%</t>
    </r>
    <r>
      <rPr>
        <sz val="11"/>
        <color rgb="FF000000"/>
        <rFont val="宋体"/>
        <family val="1"/>
        <charset val="134"/>
      </rPr>
      <t>的概率能中</t>
    </r>
    <r>
      <rPr>
        <sz val="11"/>
        <color rgb="FF000000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），保证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内部体验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提升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间隔</t>
    </r>
    <r>
      <rPr>
        <sz val="11"/>
        <color rgb="FF000000"/>
        <rFont val="Times New Roman"/>
        <family val="1"/>
      </rPr>
      <t>158</t>
    </r>
    <r>
      <rPr>
        <sz val="11"/>
        <color rgb="FF000000"/>
        <rFont val="宋体"/>
        <family val="1"/>
        <charset val="134"/>
      </rPr>
      <t>，把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平均赢倍提高到</t>
    </r>
    <r>
      <rPr>
        <sz val="11"/>
        <color rgb="FF000000"/>
        <rFont val="Times New Roman"/>
        <family val="1"/>
      </rPr>
      <t>37</t>
    </r>
    <r>
      <rPr>
        <sz val="11"/>
        <color rgb="FF000000"/>
        <rFont val="宋体"/>
        <family val="1"/>
        <charset val="134"/>
      </rPr>
      <t>倍</t>
    </r>
    <phoneticPr fontId="7" type="noConversion"/>
  </si>
  <si>
    <r>
      <t>free</t>
    </r>
    <r>
      <rPr>
        <sz val="11"/>
        <color rgb="FF000000"/>
        <rFont val="宋体"/>
        <family val="1"/>
        <charset val="134"/>
      </rPr>
      <t>里</t>
    </r>
    <r>
      <rPr>
        <sz val="11"/>
        <color indexed="8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都是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个的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另一半是乘倍的概率有点高</t>
    </r>
    <r>
      <rPr>
        <sz val="11"/>
        <color rgb="FF000000"/>
        <rFont val="Times New Roman"/>
        <family val="1"/>
      </rPr>
      <t>74% free</t>
    </r>
    <r>
      <rPr>
        <sz val="11"/>
        <color rgb="FF000000"/>
        <rFont val="宋体"/>
        <family val="1"/>
        <charset val="134"/>
      </rPr>
      <t>里中的</t>
    </r>
    <r>
      <rPr>
        <sz val="11"/>
        <color rgb="FF000000"/>
        <rFont val="Times New Roman"/>
        <family val="1"/>
      </rPr>
      <t xml:space="preserve">respin </t>
    </r>
    <r>
      <rPr>
        <sz val="11"/>
        <color rgb="FF000000"/>
        <rFont val="宋体"/>
        <family val="1"/>
        <charset val="134"/>
      </rPr>
      <t>玩起来就感觉另一半全是乘倍了</t>
    </r>
    <r>
      <rPr>
        <sz val="11"/>
        <color rgb="FF000000"/>
        <rFont val="Times New Roman"/>
        <family val="1"/>
      </rPr>
      <t xml:space="preserve">  </t>
    </r>
    <r>
      <rPr>
        <sz val="11"/>
        <color rgb="FF000000"/>
        <rFont val="宋体"/>
        <family val="1"/>
        <charset val="134"/>
      </rPr>
      <t>降低到</t>
    </r>
    <r>
      <rPr>
        <sz val="11"/>
        <color rgb="FF000000"/>
        <rFont val="Times New Roman"/>
        <family val="1"/>
      </rPr>
      <t>54%</t>
    </r>
    <r>
      <rPr>
        <sz val="11"/>
        <color rgb="FF000000"/>
        <rFont val="宋体"/>
        <family val="1"/>
        <charset val="134"/>
      </rPr>
      <t>把乘倍换成高价值的</t>
    </r>
    <r>
      <rPr>
        <sz val="11"/>
        <color rgb="FF000000"/>
        <rFont val="Times New Roman"/>
        <family val="1"/>
      </rPr>
      <t>pot</t>
    </r>
    <r>
      <rPr>
        <sz val="11"/>
        <color rgb="FF000000"/>
        <rFont val="宋体"/>
        <family val="1"/>
        <charset val="134"/>
      </rPr>
      <t>值</t>
    </r>
    <phoneticPr fontId="7" type="noConversion"/>
  </si>
  <si>
    <r>
      <rPr>
        <sz val="11"/>
        <color rgb="FF000000"/>
        <rFont val="宋体"/>
        <family val="1"/>
        <charset val="134"/>
      </rPr>
      <t>统计数据不多竞品数据仅供参考</t>
    </r>
    <phoneticPr fontId="7" type="noConversion"/>
  </si>
  <si>
    <r>
      <rPr>
        <sz val="11"/>
        <color rgb="FF000000"/>
        <rFont val="宋体"/>
        <family val="1"/>
        <charset val="134"/>
      </rPr>
      <t>感觉太刀出现的价值期待有点低了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降低太刀出现的概率</t>
    </r>
    <r>
      <rPr>
        <sz val="11"/>
        <color rgb="FF000000"/>
        <rFont val="Times New Roman"/>
        <family val="1"/>
      </rPr>
      <t xml:space="preserve"> 35%</t>
    </r>
    <r>
      <rPr>
        <sz val="11"/>
        <color rgb="FF000000"/>
        <rFont val="宋体"/>
        <family val="1"/>
        <charset val="134"/>
      </rPr>
      <t>，提高</t>
    </r>
    <r>
      <rPr>
        <sz val="11"/>
        <color rgb="FF000000"/>
        <rFont val="Times New Roman"/>
        <family val="1"/>
      </rPr>
      <t>base</t>
    </r>
    <r>
      <rPr>
        <sz val="11"/>
        <color rgb="FF000000"/>
        <rFont val="宋体"/>
        <family val="1"/>
        <charset val="134"/>
      </rPr>
      <t>落出来的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的平均价值到</t>
    </r>
    <r>
      <rPr>
        <sz val="11"/>
        <color rgb="FF000000"/>
        <rFont val="Times New Roman"/>
        <family val="1"/>
      </rPr>
      <t>2.5</t>
    </r>
    <r>
      <rPr>
        <sz val="11"/>
        <color rgb="FF000000"/>
        <rFont val="宋体"/>
        <family val="1"/>
        <charset val="134"/>
      </rPr>
      <t>倍以上的概率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提升到</t>
    </r>
    <r>
      <rPr>
        <sz val="11"/>
        <color rgb="FF000000"/>
        <rFont val="Times New Roman"/>
        <family val="1"/>
      </rPr>
      <t>21%</t>
    </r>
    <phoneticPr fontId="7" type="noConversion"/>
  </si>
  <si>
    <r>
      <rPr>
        <sz val="11"/>
        <color rgb="FF000000"/>
        <rFont val="宋体"/>
        <family val="1"/>
        <charset val="134"/>
      </rPr>
      <t>提升</t>
    </r>
    <r>
      <rPr>
        <sz val="11"/>
        <color rgb="FF000000"/>
        <rFont val="Times New Roman"/>
        <family val="1"/>
      </rPr>
      <t xml:space="preserve"> </t>
    </r>
    <r>
      <rPr>
        <sz val="11"/>
        <color indexed="8"/>
        <rFont val="Times New Roman"/>
        <family val="1"/>
      </rPr>
      <t>respin</t>
    </r>
    <r>
      <rPr>
        <sz val="11"/>
        <color rgb="FF000000"/>
        <rFont val="宋体"/>
        <family val="1"/>
        <charset val="134"/>
      </rPr>
      <t>里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另一半出乘倍的概率，降低另一半出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的概率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，提升出高乘倍的概率</t>
    </r>
    <phoneticPr fontId="7" type="noConversion"/>
  </si>
  <si>
    <r>
      <rPr>
        <sz val="11"/>
        <color rgb="FF000000"/>
        <rFont val="宋体"/>
        <family val="1"/>
        <charset val="134"/>
      </rPr>
      <t>增加轮带里</t>
    </r>
    <r>
      <rPr>
        <sz val="11"/>
        <color indexed="8"/>
        <rFont val="Times New Roman"/>
        <family val="1"/>
      </rPr>
      <t>m1m2</t>
    </r>
    <r>
      <rPr>
        <sz val="11"/>
        <color rgb="FF000000"/>
        <rFont val="宋体"/>
        <family val="1"/>
        <charset val="134"/>
      </rPr>
      <t>的堆叠</t>
    </r>
    <r>
      <rPr>
        <sz val="11"/>
        <color indexed="8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降低</t>
    </r>
    <r>
      <rPr>
        <sz val="11"/>
        <color indexed="8"/>
        <rFont val="Times New Roman"/>
        <family val="1"/>
      </rPr>
      <t>paytable</t>
    </r>
    <r>
      <rPr>
        <sz val="11"/>
        <color rgb="FF000000"/>
        <rFont val="宋体"/>
        <family val="1"/>
        <charset val="134"/>
      </rPr>
      <t>里的赔付，提高</t>
    </r>
    <r>
      <rPr>
        <sz val="11"/>
        <color rgb="FF000000"/>
        <rFont val="Times New Roman"/>
        <family val="1"/>
      </rPr>
      <t>base</t>
    </r>
    <r>
      <rPr>
        <sz val="11"/>
        <color rgb="FF000000"/>
        <rFont val="宋体"/>
        <family val="1"/>
        <charset val="134"/>
      </rPr>
      <t>里大赢的概率将</t>
    </r>
    <r>
      <rPr>
        <sz val="11"/>
        <color rgb="FF000000"/>
        <rFont val="Times New Roman"/>
        <family val="1"/>
      </rPr>
      <t>base</t>
    </r>
    <r>
      <rPr>
        <sz val="11"/>
        <color rgb="FF000000"/>
        <rFont val="宋体"/>
        <family val="1"/>
        <charset val="134"/>
      </rPr>
      <t>里</t>
    </r>
    <r>
      <rPr>
        <sz val="11"/>
        <color rgb="FF000000"/>
        <rFont val="Times New Roman"/>
        <family val="1"/>
      </rPr>
      <t>10</t>
    </r>
    <r>
      <rPr>
        <sz val="11"/>
        <color rgb="FF000000"/>
        <rFont val="宋体"/>
        <family val="1"/>
        <charset val="134"/>
      </rPr>
      <t>倍以上的概率从</t>
    </r>
    <r>
      <rPr>
        <sz val="11"/>
        <color rgb="FF000000"/>
        <rFont val="Times New Roman"/>
        <family val="1"/>
      </rPr>
      <t>0.13%</t>
    </r>
    <r>
      <rPr>
        <sz val="11"/>
        <color rgb="FF000000"/>
        <rFont val="宋体"/>
        <family val="1"/>
        <charset val="134"/>
      </rPr>
      <t>提升到</t>
    </r>
    <r>
      <rPr>
        <sz val="11"/>
        <color indexed="8"/>
        <rFont val="Times New Roman"/>
        <family val="1"/>
      </rPr>
      <t>0.47%</t>
    </r>
    <phoneticPr fontId="7" type="noConversion"/>
  </si>
  <si>
    <r>
      <t xml:space="preserve">free </t>
    </r>
    <r>
      <rPr>
        <sz val="11"/>
        <color rgb="FF000000"/>
        <rFont val="宋体"/>
        <family val="1"/>
        <charset val="134"/>
      </rPr>
      <t>里触发</t>
    </r>
    <r>
      <rPr>
        <sz val="11"/>
        <color indexed="8"/>
        <rFont val="Times New Roman"/>
        <family val="1"/>
      </rPr>
      <t xml:space="preserve">respin </t>
    </r>
    <r>
      <rPr>
        <sz val="11"/>
        <color rgb="FF000000"/>
        <rFont val="宋体"/>
        <family val="1"/>
        <charset val="134"/>
      </rPr>
      <t>的概率降低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增加</t>
    </r>
    <r>
      <rPr>
        <sz val="11"/>
        <color indexed="8"/>
        <rFont val="Times New Roman"/>
        <family val="1"/>
      </rPr>
      <t xml:space="preserve">m1m2 </t>
    </r>
    <r>
      <rPr>
        <sz val="11"/>
        <color rgb="FF000000"/>
        <rFont val="宋体"/>
        <family val="1"/>
        <charset val="134"/>
      </rPr>
      <t>以及</t>
    </r>
    <r>
      <rPr>
        <sz val="11"/>
        <color indexed="8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堆叠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将体验往奖线上放，目前</t>
    </r>
    <r>
      <rPr>
        <sz val="11"/>
        <color indexed="8"/>
        <rFont val="Times New Roman"/>
        <family val="1"/>
      </rPr>
      <t>33</t>
    </r>
    <r>
      <rPr>
        <sz val="11"/>
        <color rgb="FF000000"/>
        <rFont val="宋体"/>
        <family val="1"/>
        <charset val="134"/>
      </rPr>
      <t>的</t>
    </r>
    <r>
      <rPr>
        <sz val="11"/>
        <color rgb="FF000000"/>
        <rFont val="Times New Roman"/>
        <family val="1"/>
      </rPr>
      <t xml:space="preserve">free </t>
    </r>
    <r>
      <rPr>
        <sz val="11"/>
        <color rgb="FF000000"/>
        <rFont val="宋体"/>
        <family val="1"/>
        <charset val="134"/>
      </rPr>
      <t>奖线占</t>
    </r>
    <r>
      <rPr>
        <sz val="11"/>
        <color rgb="FF000000"/>
        <rFont val="Times New Roman"/>
        <family val="1"/>
      </rPr>
      <t>23</t>
    </r>
    <r>
      <rPr>
        <sz val="11"/>
        <color rgb="FF000000"/>
        <rFont val="宋体"/>
        <family val="1"/>
        <charset val="134"/>
      </rPr>
      <t>倍</t>
    </r>
    <phoneticPr fontId="7" type="noConversion"/>
  </si>
  <si>
    <r>
      <t>base/free m1m2</t>
    </r>
    <r>
      <rPr>
        <sz val="11"/>
        <color rgb="FF000000"/>
        <rFont val="宋体"/>
        <family val="1"/>
        <charset val="134"/>
      </rPr>
      <t>堆叠加的有点多了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拆开堆叠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降低</t>
    </r>
    <r>
      <rPr>
        <sz val="11"/>
        <color rgb="FF000000"/>
        <rFont val="Times New Roman"/>
        <family val="1"/>
      </rPr>
      <t>m1m2</t>
    </r>
    <r>
      <rPr>
        <sz val="11"/>
        <color rgb="FF000000"/>
        <rFont val="宋体"/>
        <family val="1"/>
        <charset val="134"/>
      </rPr>
      <t>赔付比重到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分一部分给到</t>
    </r>
    <r>
      <rPr>
        <sz val="11"/>
        <color rgb="FF000000"/>
        <rFont val="Times New Roman"/>
        <family val="1"/>
      </rPr>
      <t>m3m4m5</t>
    </r>
    <r>
      <rPr>
        <sz val="11"/>
        <color indexed="8"/>
        <rFont val="Times New Roman"/>
        <family val="1"/>
      </rPr>
      <t xml:space="preserve">,  free </t>
    </r>
    <r>
      <rPr>
        <sz val="11"/>
        <color rgb="FF000000"/>
        <rFont val="宋体"/>
        <family val="1"/>
        <charset val="134"/>
      </rPr>
      <t>里减少一点</t>
    </r>
    <r>
      <rPr>
        <sz val="11"/>
        <color rgb="FF000000"/>
        <rFont val="Times New Roman"/>
        <family val="1"/>
      </rPr>
      <t xml:space="preserve">m1m2 </t>
    </r>
    <r>
      <rPr>
        <sz val="11"/>
        <color rgb="FF000000"/>
        <rFont val="宋体"/>
        <family val="1"/>
        <charset val="134"/>
      </rPr>
      <t>的赔付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加了一点</t>
    </r>
    <r>
      <rPr>
        <sz val="11"/>
        <color rgb="FF000000"/>
        <rFont val="Times New Roman"/>
        <family val="1"/>
      </rPr>
      <t>wild</t>
    </r>
    <r>
      <rPr>
        <sz val="11"/>
        <color rgb="FF000000"/>
        <rFont val="宋体"/>
        <family val="1"/>
        <charset val="134"/>
      </rPr>
      <t>降低波动</t>
    </r>
    <phoneticPr fontId="7" type="noConversion"/>
  </si>
  <si>
    <r>
      <t>respin</t>
    </r>
    <r>
      <rPr>
        <sz val="11"/>
        <color rgb="FF000000"/>
        <rFont val="宋体"/>
        <family val="1"/>
        <charset val="134"/>
      </rPr>
      <t>里提升出刀的概率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平均出刀</t>
    </r>
    <r>
      <rPr>
        <sz val="11"/>
        <color rgb="FF000000"/>
        <rFont val="Times New Roman"/>
        <family val="1"/>
      </rPr>
      <t>0.99</t>
    </r>
    <r>
      <rPr>
        <sz val="11"/>
        <color rgb="FF000000"/>
        <rFont val="宋体"/>
        <family val="1"/>
        <charset val="134"/>
      </rPr>
      <t>提升到</t>
    </r>
    <r>
      <rPr>
        <sz val="11"/>
        <color rgb="FF000000"/>
        <rFont val="Times New Roman"/>
        <family val="1"/>
      </rPr>
      <t>1.12</t>
    </r>
    <r>
      <rPr>
        <sz val="11"/>
        <color rgb="FF000000"/>
        <rFont val="宋体"/>
        <family val="1"/>
        <charset val="134"/>
      </rPr>
      <t>，降低刀平均切的个数</t>
    </r>
    <r>
      <rPr>
        <sz val="11"/>
        <color rgb="FF000000"/>
        <rFont val="Times New Roman"/>
        <family val="1"/>
      </rPr>
      <t>4.08</t>
    </r>
    <r>
      <rPr>
        <sz val="11"/>
        <color rgb="FF000000"/>
        <rFont val="宋体"/>
        <family val="1"/>
        <charset val="134"/>
      </rPr>
      <t>降到</t>
    </r>
    <r>
      <rPr>
        <sz val="11"/>
        <color rgb="FF000000"/>
        <rFont val="Times New Roman"/>
        <family val="1"/>
      </rPr>
      <t>3.6</t>
    </r>
    <r>
      <rPr>
        <sz val="11"/>
        <color rgb="FF000000"/>
        <rFont val="宋体"/>
        <family val="1"/>
        <charset val="134"/>
      </rPr>
      <t>，另一半出</t>
    </r>
    <r>
      <rPr>
        <sz val="11"/>
        <color indexed="8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的概率提升</t>
    </r>
    <phoneticPr fontId="7" type="noConversion"/>
  </si>
  <si>
    <r>
      <t>v8</t>
    </r>
    <r>
      <rPr>
        <sz val="11"/>
        <color rgb="FF000000"/>
        <rFont val="宋体"/>
        <family val="1"/>
        <charset val="134"/>
      </rPr>
      <t>：</t>
    </r>
    <phoneticPr fontId="7" type="noConversion"/>
  </si>
  <si>
    <r>
      <rPr>
        <sz val="11"/>
        <color rgb="FF000000"/>
        <rFont val="宋体"/>
        <family val="1"/>
        <charset val="134"/>
      </rPr>
      <t>调整第四列出</t>
    </r>
    <r>
      <rPr>
        <sz val="11"/>
        <color indexed="8"/>
        <rFont val="Times New Roman"/>
        <family val="1"/>
      </rPr>
      <t>scatter</t>
    </r>
    <r>
      <rPr>
        <sz val="11"/>
        <color rgb="FF000000"/>
        <rFont val="宋体"/>
        <family val="1"/>
        <charset val="134"/>
      </rPr>
      <t>的概率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将</t>
    </r>
    <r>
      <rPr>
        <sz val="11"/>
        <color rgb="FF000000"/>
        <rFont val="Times New Roman"/>
        <family val="1"/>
      </rPr>
      <t>234</t>
    </r>
    <r>
      <rPr>
        <sz val="11"/>
        <color rgb="FF000000"/>
        <rFont val="宋体"/>
        <family val="1"/>
        <charset val="134"/>
      </rPr>
      <t>列</t>
    </r>
    <r>
      <rPr>
        <sz val="11"/>
        <color rgb="FF000000"/>
        <rFont val="Times New Roman"/>
        <family val="1"/>
      </rPr>
      <t>SCATTER</t>
    </r>
    <r>
      <rPr>
        <sz val="11"/>
        <color rgb="FF000000"/>
        <rFont val="宋体"/>
        <family val="1"/>
        <charset val="134"/>
      </rPr>
      <t>都调整成差不多的概率，减小</t>
    </r>
    <r>
      <rPr>
        <sz val="11"/>
        <color rgb="FF000000"/>
        <rFont val="Times New Roman"/>
        <family val="1"/>
      </rPr>
      <t>nearmiss</t>
    </r>
    <r>
      <rPr>
        <sz val="11"/>
        <color rgb="FF000000"/>
        <rFont val="宋体"/>
        <family val="1"/>
        <charset val="134"/>
      </rPr>
      <t>的概率，</t>
    </r>
    <r>
      <rPr>
        <sz val="11"/>
        <color rgb="FF000000"/>
        <rFont val="Times New Roman"/>
        <family val="1"/>
      </rPr>
      <t>free</t>
    </r>
    <r>
      <rPr>
        <sz val="11"/>
        <color rgb="FF000000"/>
        <rFont val="宋体"/>
        <family val="1"/>
        <charset val="134"/>
      </rPr>
      <t>触发间隔保持不变，</t>
    </r>
    <phoneticPr fontId="7" type="noConversion"/>
  </si>
  <si>
    <r>
      <t>respin</t>
    </r>
    <r>
      <rPr>
        <sz val="11"/>
        <color rgb="FF000000"/>
        <rFont val="宋体"/>
        <family val="1"/>
        <charset val="134"/>
      </rPr>
      <t>里减小不同</t>
    </r>
    <r>
      <rPr>
        <sz val="11"/>
        <color indexed="8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另一半出东西不同的差异</t>
    </r>
    <r>
      <rPr>
        <sz val="11"/>
        <color rgb="FF000000"/>
        <rFont val="Times New Roman"/>
        <family val="1"/>
      </rPr>
      <t xml:space="preserve"> (</t>
    </r>
    <r>
      <rPr>
        <sz val="11"/>
        <color rgb="FF000000"/>
        <rFont val="宋体"/>
        <family val="1"/>
        <charset val="134"/>
      </rPr>
      <t>主要是提升第一组出倍数的概率</t>
    </r>
    <r>
      <rPr>
        <sz val="11"/>
        <color rgb="FF000000"/>
        <rFont val="Times New Roman"/>
        <family val="1"/>
      </rPr>
      <t>)</t>
    </r>
    <r>
      <rPr>
        <sz val="11"/>
        <color rgb="FF000000"/>
        <rFont val="宋体"/>
        <family val="1"/>
        <charset val="134"/>
      </rPr>
      <t>，提升一点点太刀变乘倍后另一半出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的概率</t>
    </r>
    <phoneticPr fontId="7" type="noConversion"/>
  </si>
  <si>
    <t>a</t>
    <phoneticPr fontId="8" type="noConversion"/>
  </si>
  <si>
    <t>v9:</t>
    <phoneticPr fontId="7" type="noConversion"/>
  </si>
  <si>
    <t>v10:</t>
    <phoneticPr fontId="7" type="noConversion"/>
  </si>
  <si>
    <r>
      <rPr>
        <sz val="11"/>
        <color rgb="FF000000"/>
        <rFont val="宋体"/>
        <family val="1"/>
        <charset val="134"/>
      </rPr>
      <t>提升</t>
    </r>
    <r>
      <rPr>
        <sz val="11"/>
        <color indexed="8"/>
        <rFont val="Times New Roman"/>
        <family val="1"/>
      </rPr>
      <t>base</t>
    </r>
    <r>
      <rPr>
        <sz val="11"/>
        <color rgb="FF000000"/>
        <rFont val="宋体"/>
        <family val="1"/>
        <charset val="134"/>
      </rPr>
      <t>下</t>
    </r>
    <r>
      <rPr>
        <sz val="11"/>
        <color indexed="8"/>
        <rFont val="Times New Roman"/>
        <family val="1"/>
      </rPr>
      <t xml:space="preserve"> bonus</t>
    </r>
    <r>
      <rPr>
        <sz val="11"/>
        <color rgb="FF000000"/>
        <rFont val="宋体"/>
        <family val="1"/>
        <charset val="134"/>
      </rPr>
      <t>分裂概率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降低轮带出</t>
    </r>
    <r>
      <rPr>
        <sz val="11"/>
        <color rgb="FF000000"/>
        <rFont val="Times New Roman"/>
        <family val="1"/>
      </rPr>
      <t>bonus</t>
    </r>
    <r>
      <rPr>
        <sz val="11"/>
        <color rgb="FF000000"/>
        <rFont val="宋体"/>
        <family val="1"/>
        <charset val="134"/>
      </rPr>
      <t>概率</t>
    </r>
    <r>
      <rPr>
        <sz val="11"/>
        <color rgb="FF000000"/>
        <rFont val="Times New Roman"/>
        <family val="1"/>
      </rPr>
      <t xml:space="preserve"> respin</t>
    </r>
    <r>
      <rPr>
        <sz val="11"/>
        <color rgb="FF000000"/>
        <rFont val="宋体"/>
        <family val="1"/>
        <charset val="134"/>
      </rPr>
      <t>间隔保持</t>
    </r>
    <r>
      <rPr>
        <sz val="11"/>
        <color rgb="FF000000"/>
        <rFont val="Times New Roman"/>
        <family val="1"/>
      </rPr>
      <t>109</t>
    </r>
    <r>
      <rPr>
        <sz val="11"/>
        <color rgb="FF000000"/>
        <rFont val="宋体"/>
        <family val="1"/>
        <charset val="134"/>
      </rPr>
      <t>不变</t>
    </r>
    <phoneticPr fontId="7" type="noConversion"/>
  </si>
  <si>
    <r>
      <rPr>
        <sz val="11"/>
        <color rgb="FF000000"/>
        <rFont val="宋体"/>
        <family val="1"/>
        <charset val="134"/>
      </rPr>
      <t>提升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刀变乘倍之后以及</t>
    </r>
    <r>
      <rPr>
        <sz val="11"/>
        <color rgb="FF000000"/>
        <rFont val="Times New Roman"/>
        <family val="1"/>
      </rPr>
      <t xml:space="preserve">jackpot </t>
    </r>
    <r>
      <rPr>
        <sz val="11"/>
        <color rgb="FF000000"/>
        <rFont val="宋体"/>
        <family val="1"/>
        <charset val="134"/>
      </rPr>
      <t>另一半出的概率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，提升</t>
    </r>
    <r>
      <rPr>
        <sz val="11"/>
        <color rgb="FF000000"/>
        <rFont val="Times New Roman"/>
        <family val="1"/>
      </rPr>
      <t>minor mini</t>
    </r>
    <r>
      <rPr>
        <sz val="11"/>
        <color rgb="FF000000"/>
        <rFont val="宋体"/>
        <family val="1"/>
        <charset val="134"/>
      </rPr>
      <t>配比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降低一点太刀切的数量</t>
    </r>
    <r>
      <rPr>
        <sz val="11"/>
        <color rgb="FF000000"/>
        <rFont val="Times New Roman"/>
        <family val="1"/>
      </rPr>
      <t>3.375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</si>
</sst>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\C\R"/>
    <numFmt numFmtId="177" formatCode="0.000000%"/>
    <numFmt numFmtId="178" formatCode="_-&quot;$&quot;* #,##0.00_-;\-&quot;$&quot;* #,##0.00_-;_-&quot;$&quot;* &quot;-&quot;??_-;_-@_-"/>
    <numFmt numFmtId="179" formatCode="0.00000%"/>
    <numFmt numFmtId="180" formatCode="0.00_);[Red]\(0.00\)"/>
    <numFmt numFmtId="181" formatCode="0.0000_);[Red]\(0.0000\)"/>
    <numFmt numFmtId="182" formatCode="0.00000_);[Red]\(0.00000\)"/>
    <numFmt numFmtId="183" formatCode="0.000"/>
    <numFmt numFmtId="184" formatCode="0.00_ "/>
    <numFmt numFmtId="185" formatCode="0.000000_);[Red]\(0.000000\)"/>
    <numFmt numFmtId="186" formatCode="0.0000_ "/>
    <numFmt numFmtId="187" formatCode="0_);[Red]\(0\)"/>
    <numFmt numFmtId="188" formatCode="0_ "/>
  </numFmts>
  <fonts count="28" x14ac:knownFonts="1">
    <font>
      <sz val="11"/>
      <color indexed="8"/>
      <name val="宋体"/>
      <charset val="134"/>
    </font>
    <font>
      <sz val="11"/>
      <color theme="1"/>
      <name val="宋体"/>
      <family val="2"/>
      <scheme val="minor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Calibri"/>
      <family val="2"/>
    </font>
    <font>
      <sz val="11"/>
      <color indexed="17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9C5700"/>
      <name val="Times New Roman"/>
      <family val="1"/>
    </font>
    <font>
      <sz val="11"/>
      <color theme="1"/>
      <name val="宋体"/>
      <family val="2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宋体"/>
      <family val="3"/>
      <charset val="134"/>
    </font>
    <font>
      <sz val="11"/>
      <color rgb="FF000000"/>
      <name val="宋体"/>
      <family val="1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color theme="1"/>
      <name val="Times New Roman"/>
      <family val="1"/>
    </font>
    <font>
      <b/>
      <sz val="14"/>
      <color indexed="8"/>
      <name val="Times New Roman"/>
      <family val="1"/>
    </font>
    <font>
      <b/>
      <vertAlign val="subscript"/>
      <sz val="14"/>
      <color indexed="8"/>
      <name val="Times New Roman"/>
      <family val="1"/>
    </font>
    <font>
      <b/>
      <vertAlign val="superscript"/>
      <sz val="14"/>
      <color indexed="8"/>
      <name val="Times New Roman"/>
      <family val="1"/>
    </font>
    <font>
      <sz val="11"/>
      <color rgb="FF9C0006"/>
      <name val="宋体"/>
      <family val="2"/>
      <charset val="134"/>
      <scheme val="minor"/>
    </font>
    <font>
      <sz val="11"/>
      <color rgb="FF9C0006"/>
      <name val="Times New Roman"/>
      <family val="1"/>
    </font>
    <font>
      <sz val="11"/>
      <color indexed="8"/>
      <name val="Times New Roman"/>
      <family val="1"/>
      <charset val="134"/>
    </font>
    <font>
      <sz val="11"/>
      <color rgb="FF00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C7CE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9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0" borderId="0">
      <alignment vertical="center"/>
    </xf>
    <xf numFmtId="17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1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7" fillId="0" borderId="0">
      <alignment vertical="center"/>
    </xf>
    <xf numFmtId="0" fontId="11" fillId="0" borderId="0">
      <alignment vertical="center"/>
    </xf>
    <xf numFmtId="0" fontId="24" fillId="7" borderId="0" applyNumberFormat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5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179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0" fontId="2" fillId="0" borderId="17" xfId="30" applyFont="1" applyBorder="1" applyAlignment="1">
      <alignment horizont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2" xfId="0" applyFont="1" applyBorder="1">
      <alignment vertical="center"/>
    </xf>
    <xf numFmtId="0" fontId="3" fillId="0" borderId="0" xfId="0" applyFont="1">
      <alignment vertical="center"/>
    </xf>
    <xf numFmtId="0" fontId="2" fillId="0" borderId="0" xfId="22" applyFont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13" fillId="0" borderId="0" xfId="0" applyFo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30" applyFont="1" applyBorder="1" applyAlignment="1">
      <alignment horizontal="center" vertical="center"/>
    </xf>
    <xf numFmtId="0" fontId="2" fillId="0" borderId="22" xfId="30" applyFont="1" applyBorder="1" applyAlignment="1">
      <alignment horizontal="center" vertical="center"/>
    </xf>
    <xf numFmtId="0" fontId="12" fillId="0" borderId="0" xfId="34" applyFont="1" applyAlignment="1">
      <alignment vertical="center"/>
    </xf>
    <xf numFmtId="0" fontId="12" fillId="0" borderId="0" xfId="34" applyFont="1"/>
    <xf numFmtId="0" fontId="2" fillId="0" borderId="0" xfId="35" applyFont="1"/>
    <xf numFmtId="0" fontId="12" fillId="0" borderId="0" xfId="35" applyFont="1" applyAlignment="1">
      <alignment horizontal="center" vertical="center"/>
    </xf>
    <xf numFmtId="0" fontId="12" fillId="0" borderId="0" xfId="35" applyFont="1"/>
    <xf numFmtId="0" fontId="12" fillId="0" borderId="0" xfId="36" applyFont="1">
      <alignment vertical="center"/>
    </xf>
    <xf numFmtId="0" fontId="12" fillId="0" borderId="17" xfId="36" applyFont="1" applyBorder="1">
      <alignment vertical="center"/>
    </xf>
    <xf numFmtId="0" fontId="12" fillId="0" borderId="20" xfId="34" applyFont="1" applyBorder="1"/>
    <xf numFmtId="0" fontId="12" fillId="0" borderId="17" xfId="34" applyFont="1" applyBorder="1" applyAlignment="1">
      <alignment vertical="center"/>
    </xf>
    <xf numFmtId="0" fontId="12" fillId="0" borderId="18" xfId="34" applyFont="1" applyBorder="1" applyAlignment="1">
      <alignment vertical="center"/>
    </xf>
    <xf numFmtId="0" fontId="12" fillId="0" borderId="20" xfId="34" applyFont="1" applyBorder="1" applyAlignment="1">
      <alignment vertical="center"/>
    </xf>
    <xf numFmtId="0" fontId="12" fillId="0" borderId="21" xfId="34" applyFont="1" applyBorder="1" applyAlignment="1">
      <alignment vertical="center"/>
    </xf>
    <xf numFmtId="0" fontId="12" fillId="0" borderId="22" xfId="34" applyFont="1" applyBorder="1" applyAlignment="1">
      <alignment vertical="center"/>
    </xf>
    <xf numFmtId="0" fontId="12" fillId="0" borderId="0" xfId="34" applyFont="1" applyAlignment="1">
      <alignment horizontal="center" vertical="center"/>
    </xf>
    <xf numFmtId="0" fontId="12" fillId="0" borderId="18" xfId="36" applyFont="1" applyBorder="1" applyAlignment="1">
      <alignment horizontal="center" vertical="center"/>
    </xf>
    <xf numFmtId="0" fontId="12" fillId="0" borderId="19" xfId="36" applyFont="1" applyBorder="1" applyAlignment="1">
      <alignment horizontal="center" vertical="center"/>
    </xf>
    <xf numFmtId="0" fontId="2" fillId="0" borderId="20" xfId="24" applyFont="1" applyBorder="1" applyAlignment="1"/>
    <xf numFmtId="0" fontId="2" fillId="0" borderId="21" xfId="24" applyFont="1" applyBorder="1" applyAlignment="1"/>
    <xf numFmtId="0" fontId="12" fillId="0" borderId="20" xfId="36" applyFont="1" applyBorder="1" applyAlignment="1">
      <alignment horizontal="center" vertical="center"/>
    </xf>
    <xf numFmtId="0" fontId="12" fillId="0" borderId="21" xfId="36" applyFont="1" applyBorder="1" applyAlignment="1">
      <alignment horizontal="center" vertical="center"/>
    </xf>
    <xf numFmtId="0" fontId="12" fillId="0" borderId="22" xfId="36" applyFont="1" applyBorder="1" applyAlignment="1">
      <alignment horizontal="center" vertical="center"/>
    </xf>
    <xf numFmtId="0" fontId="12" fillId="0" borderId="1" xfId="36" applyFont="1" applyBorder="1" applyAlignment="1">
      <alignment horizontal="center" vertical="center"/>
    </xf>
    <xf numFmtId="0" fontId="12" fillId="0" borderId="23" xfId="36" applyFont="1" applyBorder="1" applyAlignment="1">
      <alignment horizontal="center" vertical="center"/>
    </xf>
    <xf numFmtId="0" fontId="12" fillId="0" borderId="0" xfId="36" applyFont="1" applyAlignment="1"/>
    <xf numFmtId="0" fontId="2" fillId="0" borderId="0" xfId="26" applyFont="1" applyAlignment="1">
      <alignment horizontal="center" vertical="center"/>
    </xf>
    <xf numFmtId="0" fontId="12" fillId="0" borderId="17" xfId="36" applyFont="1" applyBorder="1" applyAlignment="1">
      <alignment horizontal="center" vertical="center"/>
    </xf>
    <xf numFmtId="0" fontId="2" fillId="0" borderId="20" xfId="24" applyFont="1" applyBorder="1" applyAlignment="1">
      <alignment horizontal="center"/>
    </xf>
    <xf numFmtId="0" fontId="2" fillId="0" borderId="21" xfId="24" applyFont="1" applyBorder="1" applyAlignment="1">
      <alignment horizontal="center"/>
    </xf>
    <xf numFmtId="0" fontId="2" fillId="0" borderId="0" xfId="24" applyFont="1" applyAlignment="1">
      <alignment horizontal="left" vertical="top"/>
    </xf>
    <xf numFmtId="0" fontId="20" fillId="0" borderId="6" xfId="24" applyFont="1" applyBorder="1" applyAlignment="1">
      <alignment horizontal="left" vertical="center"/>
    </xf>
    <xf numFmtId="0" fontId="2" fillId="0" borderId="0" xfId="24" applyFont="1" applyAlignment="1"/>
    <xf numFmtId="0" fontId="2" fillId="0" borderId="17" xfId="24" applyFont="1" applyBorder="1" applyAlignment="1"/>
    <xf numFmtId="0" fontId="2" fillId="0" borderId="19" xfId="24" applyFont="1" applyBorder="1" applyAlignment="1"/>
    <xf numFmtId="0" fontId="2" fillId="0" borderId="0" xfId="24" applyFont="1" applyAlignment="1">
      <alignment horizontal="left"/>
    </xf>
    <xf numFmtId="49" fontId="2" fillId="0" borderId="0" xfId="24" applyNumberFormat="1" applyFont="1" applyAlignment="1">
      <alignment horizontal="left" vertical="top"/>
    </xf>
    <xf numFmtId="0" fontId="12" fillId="0" borderId="0" xfId="36" applyFont="1" applyAlignment="1">
      <alignment horizontal="left" vertical="top"/>
    </xf>
    <xf numFmtId="10" fontId="2" fillId="0" borderId="0" xfId="0" applyNumberFormat="1" applyFont="1" applyAlignment="1"/>
    <xf numFmtId="0" fontId="2" fillId="0" borderId="0" xfId="0" applyFont="1" applyAlignment="1">
      <alignment horizontal="left"/>
    </xf>
    <xf numFmtId="49" fontId="2" fillId="0" borderId="0" xfId="24" applyNumberFormat="1" applyFont="1" applyAlignment="1">
      <alignment horizontal="left"/>
    </xf>
    <xf numFmtId="49" fontId="12" fillId="0" borderId="0" xfId="37" applyNumberFormat="1" applyFont="1" applyAlignment="1">
      <alignment horizontal="left"/>
    </xf>
    <xf numFmtId="0" fontId="2" fillId="0" borderId="18" xfId="30" applyFont="1" applyBorder="1" applyAlignment="1">
      <alignment horizontal="center"/>
    </xf>
    <xf numFmtId="181" fontId="2" fillId="0" borderId="21" xfId="0" applyNumberFormat="1" applyFont="1" applyBorder="1" applyAlignment="1">
      <alignment horizontal="center" vertical="center"/>
    </xf>
    <xf numFmtId="181" fontId="2" fillId="0" borderId="21" xfId="22" applyNumberFormat="1" applyFont="1" applyBorder="1" applyAlignment="1">
      <alignment horizontal="center" vertical="center"/>
    </xf>
    <xf numFmtId="0" fontId="2" fillId="0" borderId="1" xfId="30" applyFont="1" applyBorder="1" applyAlignment="1">
      <alignment horizontal="center" vertical="center"/>
    </xf>
    <xf numFmtId="10" fontId="2" fillId="0" borderId="1" xfId="30" applyNumberFormat="1" applyFont="1" applyBorder="1" applyAlignment="1">
      <alignment horizontal="center" vertical="center"/>
    </xf>
    <xf numFmtId="181" fontId="2" fillId="0" borderId="23" xfId="3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182" fontId="2" fillId="0" borderId="21" xfId="0" applyNumberFormat="1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182" fontId="2" fillId="0" borderId="23" xfId="0" applyNumberFormat="1" applyFont="1" applyBorder="1" applyAlignment="1">
      <alignment horizontal="left" vertical="center"/>
    </xf>
    <xf numFmtId="2" fontId="2" fillId="0" borderId="0" xfId="0" applyNumberFormat="1" applyFont="1" applyAlignment="1"/>
    <xf numFmtId="183" fontId="2" fillId="0" borderId="0" xfId="0" applyNumberFormat="1" applyFont="1" applyAlignment="1"/>
    <xf numFmtId="10" fontId="2" fillId="0" borderId="0" xfId="33" applyNumberFormat="1" applyFont="1" applyAlignment="1"/>
    <xf numFmtId="9" fontId="2" fillId="0" borderId="0" xfId="0" applyNumberFormat="1" applyFont="1" applyAlignment="1"/>
    <xf numFmtId="0" fontId="0" fillId="0" borderId="0" xfId="0" applyAlignment="1"/>
    <xf numFmtId="0" fontId="12" fillId="0" borderId="18" xfId="35" applyFont="1" applyBorder="1" applyAlignment="1">
      <alignment horizontal="center" vertical="center"/>
    </xf>
    <xf numFmtId="0" fontId="12" fillId="0" borderId="1" xfId="34" applyFont="1" applyBorder="1" applyAlignment="1">
      <alignment horizontal="center" vertical="center"/>
    </xf>
    <xf numFmtId="10" fontId="2" fillId="0" borderId="11" xfId="0" applyNumberFormat="1" applyFont="1" applyBorder="1">
      <alignment vertical="center"/>
    </xf>
    <xf numFmtId="0" fontId="2" fillId="0" borderId="0" xfId="30" applyFont="1" applyAlignment="1">
      <alignment horizontal="center" vertical="center"/>
    </xf>
    <xf numFmtId="10" fontId="2" fillId="0" borderId="0" xfId="30" applyNumberFormat="1" applyFont="1" applyAlignment="1">
      <alignment horizontal="center" vertical="center"/>
    </xf>
    <xf numFmtId="10" fontId="2" fillId="0" borderId="5" xfId="0" applyNumberFormat="1" applyFont="1" applyBorder="1">
      <alignment vertical="center"/>
    </xf>
    <xf numFmtId="10" fontId="2" fillId="0" borderId="0" xfId="33" applyNumberFormat="1" applyFont="1">
      <alignment vertical="center"/>
    </xf>
    <xf numFmtId="0" fontId="2" fillId="0" borderId="0" xfId="0" applyFont="1" applyAlignment="1">
      <alignment horizontal="left" vertical="center"/>
    </xf>
    <xf numFmtId="0" fontId="13" fillId="0" borderId="0" xfId="0" applyFont="1" applyAlignment="1"/>
    <xf numFmtId="0" fontId="2" fillId="0" borderId="0" xfId="22" applyFont="1">
      <alignment vertical="center"/>
    </xf>
    <xf numFmtId="0" fontId="21" fillId="0" borderId="32" xfId="0" applyFont="1" applyBorder="1">
      <alignment vertical="center"/>
    </xf>
    <xf numFmtId="0" fontId="2" fillId="0" borderId="33" xfId="0" applyFont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4" xfId="22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7" xfId="22" applyFont="1" applyBorder="1">
      <alignment vertical="center"/>
    </xf>
    <xf numFmtId="0" fontId="2" fillId="0" borderId="19" xfId="22" applyFont="1" applyBorder="1">
      <alignment vertical="center"/>
    </xf>
    <xf numFmtId="0" fontId="2" fillId="0" borderId="36" xfId="22" applyFont="1" applyBorder="1" applyAlignment="1">
      <alignment horizontal="center" vertical="center"/>
    </xf>
    <xf numFmtId="0" fontId="10" fillId="3" borderId="17" xfId="31" applyNumberFormat="1" applyFont="1" applyBorder="1">
      <alignment vertical="center"/>
    </xf>
    <xf numFmtId="0" fontId="2" fillId="0" borderId="22" xfId="22" applyFont="1" applyBorder="1">
      <alignment vertical="center"/>
    </xf>
    <xf numFmtId="0" fontId="2" fillId="0" borderId="23" xfId="22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10" fillId="3" borderId="0" xfId="31" applyNumberFormat="1" applyFont="1" applyBorder="1">
      <alignment vertical="center"/>
    </xf>
    <xf numFmtId="0" fontId="2" fillId="0" borderId="17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22" applyFont="1" applyAlignment="1">
      <alignment horizontal="left" vertical="center"/>
    </xf>
    <xf numFmtId="0" fontId="2" fillId="0" borderId="21" xfId="22" applyFont="1" applyBorder="1">
      <alignment vertical="center"/>
    </xf>
    <xf numFmtId="0" fontId="2" fillId="0" borderId="37" xfId="22" applyFont="1" applyBorder="1" applyAlignment="1">
      <alignment horizontal="center" vertical="center"/>
    </xf>
    <xf numFmtId="0" fontId="10" fillId="3" borderId="0" xfId="31" applyFont="1" applyBorder="1">
      <alignment vertical="center"/>
    </xf>
    <xf numFmtId="0" fontId="2" fillId="0" borderId="0" xfId="30" applyFont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1" xfId="22" applyFont="1" applyBorder="1">
      <alignment vertical="center"/>
    </xf>
    <xf numFmtId="0" fontId="10" fillId="3" borderId="23" xfId="31" applyNumberFormat="1" applyFont="1" applyBorder="1">
      <alignment vertical="center"/>
    </xf>
    <xf numFmtId="0" fontId="2" fillId="0" borderId="39" xfId="0" applyFont="1" applyBorder="1" applyAlignment="1">
      <alignment horizontal="center" vertical="center"/>
    </xf>
    <xf numFmtId="0" fontId="2" fillId="0" borderId="17" xfId="22" applyFont="1" applyBorder="1" applyAlignment="1">
      <alignment horizontal="center" vertical="center"/>
    </xf>
    <xf numFmtId="0" fontId="2" fillId="0" borderId="19" xfId="22" applyFont="1" applyBorder="1" applyAlignment="1">
      <alignment horizontal="center" vertical="center"/>
    </xf>
    <xf numFmtId="0" fontId="2" fillId="0" borderId="20" xfId="22" applyFont="1" applyBorder="1" applyAlignment="1">
      <alignment horizontal="center" vertical="center"/>
    </xf>
    <xf numFmtId="0" fontId="2" fillId="0" borderId="18" xfId="22" applyFont="1" applyBorder="1">
      <alignment vertical="center"/>
    </xf>
    <xf numFmtId="0" fontId="2" fillId="0" borderId="21" xfId="22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22" applyFont="1" applyBorder="1" applyAlignment="1">
      <alignment horizontal="center" vertical="center"/>
    </xf>
    <xf numFmtId="0" fontId="2" fillId="0" borderId="21" xfId="32" applyFont="1" applyBorder="1">
      <alignment vertical="center"/>
    </xf>
    <xf numFmtId="0" fontId="2" fillId="0" borderId="23" xfId="32" applyFont="1" applyBorder="1">
      <alignment vertical="center"/>
    </xf>
    <xf numFmtId="0" fontId="2" fillId="0" borderId="15" xfId="0" applyFont="1" applyBorder="1" applyAlignment="1">
      <alignment vertical="center" wrapText="1"/>
    </xf>
    <xf numFmtId="10" fontId="2" fillId="0" borderId="7" xfId="33" applyNumberFormat="1" applyFont="1" applyBorder="1">
      <alignment vertical="center"/>
    </xf>
    <xf numFmtId="10" fontId="2" fillId="0" borderId="15" xfId="33" applyNumberFormat="1" applyFont="1" applyBorder="1">
      <alignment vertical="center"/>
    </xf>
    <xf numFmtId="10" fontId="2" fillId="0" borderId="14" xfId="33" applyNumberFormat="1" applyFont="1" applyBorder="1">
      <alignment vertical="center"/>
    </xf>
    <xf numFmtId="10" fontId="2" fillId="0" borderId="2" xfId="33" applyNumberFormat="1" applyFont="1" applyBorder="1">
      <alignment vertical="center"/>
    </xf>
    <xf numFmtId="10" fontId="2" fillId="0" borderId="0" xfId="33" applyNumberFormat="1" applyFont="1" applyBorder="1">
      <alignment vertical="center"/>
    </xf>
    <xf numFmtId="10" fontId="2" fillId="0" borderId="5" xfId="33" applyNumberFormat="1" applyFont="1" applyBorder="1">
      <alignment vertical="center"/>
    </xf>
    <xf numFmtId="10" fontId="2" fillId="0" borderId="8" xfId="33" applyNumberFormat="1" applyFont="1" applyBorder="1">
      <alignment vertical="center"/>
    </xf>
    <xf numFmtId="10" fontId="2" fillId="0" borderId="10" xfId="33" applyNumberFormat="1" applyFont="1" applyBorder="1">
      <alignment vertical="center"/>
    </xf>
    <xf numFmtId="10" fontId="2" fillId="0" borderId="11" xfId="33" applyNumberFormat="1" applyFont="1" applyBorder="1">
      <alignment vertical="center"/>
    </xf>
    <xf numFmtId="10" fontId="2" fillId="0" borderId="21" xfId="22" applyNumberFormat="1" applyFont="1" applyBorder="1" applyAlignment="1">
      <alignment horizontal="center" vertical="center"/>
    </xf>
    <xf numFmtId="10" fontId="2" fillId="0" borderId="23" xfId="22" applyNumberFormat="1" applyFont="1" applyBorder="1" applyAlignment="1">
      <alignment horizontal="center" vertical="center"/>
    </xf>
    <xf numFmtId="10" fontId="2" fillId="0" borderId="0" xfId="22" applyNumberFormat="1" applyFont="1">
      <alignment vertical="center"/>
    </xf>
    <xf numFmtId="0" fontId="2" fillId="0" borderId="7" xfId="22" applyFont="1" applyBorder="1">
      <alignment vertical="center"/>
    </xf>
    <xf numFmtId="0" fontId="2" fillId="0" borderId="14" xfId="22" applyFont="1" applyBorder="1">
      <alignment vertical="center"/>
    </xf>
    <xf numFmtId="0" fontId="2" fillId="0" borderId="5" xfId="22" applyFont="1" applyBorder="1">
      <alignment vertical="center"/>
    </xf>
    <xf numFmtId="0" fontId="2" fillId="0" borderId="2" xfId="22" applyFont="1" applyBorder="1">
      <alignment vertical="center"/>
    </xf>
    <xf numFmtId="0" fontId="2" fillId="0" borderId="8" xfId="22" applyFont="1" applyBorder="1">
      <alignment vertical="center"/>
    </xf>
    <xf numFmtId="0" fontId="2" fillId="0" borderId="11" xfId="22" applyFont="1" applyBorder="1">
      <alignment vertical="center"/>
    </xf>
    <xf numFmtId="0" fontId="2" fillId="0" borderId="10" xfId="22" applyFont="1" applyBorder="1">
      <alignment vertical="center"/>
    </xf>
    <xf numFmtId="0" fontId="2" fillId="0" borderId="7" xfId="30" applyFont="1" applyBorder="1" applyAlignment="1">
      <alignment horizontal="center" vertical="center"/>
    </xf>
    <xf numFmtId="0" fontId="2" fillId="0" borderId="2" xfId="30" applyFont="1" applyBorder="1" applyAlignment="1">
      <alignment horizontal="center" vertical="center"/>
    </xf>
    <xf numFmtId="0" fontId="2" fillId="0" borderId="2" xfId="22" applyFont="1" applyBorder="1" applyAlignment="1">
      <alignment horizontal="center" vertical="center"/>
    </xf>
    <xf numFmtId="0" fontId="2" fillId="0" borderId="8" xfId="22" applyFont="1" applyBorder="1" applyAlignment="1">
      <alignment horizontal="center" vertical="center"/>
    </xf>
    <xf numFmtId="10" fontId="2" fillId="0" borderId="5" xfId="22" applyNumberFormat="1" applyFont="1" applyBorder="1">
      <alignment vertical="center"/>
    </xf>
    <xf numFmtId="10" fontId="2" fillId="0" borderId="11" xfId="22" applyNumberFormat="1" applyFont="1" applyBorder="1">
      <alignment vertical="center"/>
    </xf>
    <xf numFmtId="177" fontId="2" fillId="0" borderId="5" xfId="0" applyNumberFormat="1" applyFont="1" applyBorder="1">
      <alignment vertical="center"/>
    </xf>
    <xf numFmtId="177" fontId="2" fillId="0" borderId="10" xfId="0" applyNumberFormat="1" applyFont="1" applyBorder="1">
      <alignment vertical="center"/>
    </xf>
    <xf numFmtId="177" fontId="2" fillId="0" borderId="11" xfId="0" applyNumberFormat="1" applyFont="1" applyBorder="1">
      <alignment vertical="center"/>
    </xf>
    <xf numFmtId="185" fontId="2" fillId="4" borderId="7" xfId="0" applyNumberFormat="1" applyFont="1" applyFill="1" applyBorder="1">
      <alignment vertical="center"/>
    </xf>
    <xf numFmtId="185" fontId="2" fillId="4" borderId="15" xfId="0" applyNumberFormat="1" applyFont="1" applyFill="1" applyBorder="1">
      <alignment vertical="center"/>
    </xf>
    <xf numFmtId="185" fontId="2" fillId="4" borderId="14" xfId="0" applyNumberFormat="1" applyFont="1" applyFill="1" applyBorder="1">
      <alignment vertical="center"/>
    </xf>
    <xf numFmtId="185" fontId="2" fillId="4" borderId="2" xfId="0" applyNumberFormat="1" applyFont="1" applyFill="1" applyBorder="1">
      <alignment vertical="center"/>
    </xf>
    <xf numFmtId="185" fontId="2" fillId="4" borderId="0" xfId="0" applyNumberFormat="1" applyFont="1" applyFill="1">
      <alignment vertical="center"/>
    </xf>
    <xf numFmtId="185" fontId="2" fillId="4" borderId="5" xfId="0" applyNumberFormat="1" applyFont="1" applyFill="1" applyBorder="1">
      <alignment vertical="center"/>
    </xf>
    <xf numFmtId="185" fontId="2" fillId="4" borderId="8" xfId="0" applyNumberFormat="1" applyFont="1" applyFill="1" applyBorder="1">
      <alignment vertical="center"/>
    </xf>
    <xf numFmtId="185" fontId="2" fillId="4" borderId="10" xfId="0" applyNumberFormat="1" applyFont="1" applyFill="1" applyBorder="1">
      <alignment vertical="center"/>
    </xf>
    <xf numFmtId="185" fontId="2" fillId="4" borderId="11" xfId="0" applyNumberFormat="1" applyFont="1" applyFill="1" applyBorder="1">
      <alignment vertical="center"/>
    </xf>
    <xf numFmtId="10" fontId="2" fillId="0" borderId="7" xfId="22" applyNumberFormat="1" applyFont="1" applyBorder="1">
      <alignment vertical="center"/>
    </xf>
    <xf numFmtId="0" fontId="2" fillId="0" borderId="1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5" borderId="24" xfId="0" applyFont="1" applyFill="1" applyBorder="1" applyAlignment="1">
      <alignment horizontal="left"/>
    </xf>
    <xf numFmtId="0" fontId="2" fillId="5" borderId="25" xfId="0" applyFont="1" applyFill="1" applyBorder="1" applyAlignment="1">
      <alignment horizontal="left" vertical="center"/>
    </xf>
    <xf numFmtId="0" fontId="2" fillId="5" borderId="26" xfId="0" applyFont="1" applyFill="1" applyBorder="1" applyAlignment="1">
      <alignment horizontal="left"/>
    </xf>
    <xf numFmtId="10" fontId="2" fillId="5" borderId="25" xfId="0" applyNumberFormat="1" applyFont="1" applyFill="1" applyBorder="1" applyAlignment="1">
      <alignment horizontal="left" vertical="center"/>
    </xf>
    <xf numFmtId="180" fontId="2" fillId="5" borderId="25" xfId="0" applyNumberFormat="1" applyFont="1" applyFill="1" applyBorder="1" applyAlignment="1">
      <alignment horizontal="left" vertical="center"/>
    </xf>
    <xf numFmtId="184" fontId="2" fillId="5" borderId="25" xfId="0" applyNumberFormat="1" applyFont="1" applyFill="1" applyBorder="1" applyAlignment="1">
      <alignment horizontal="left"/>
    </xf>
    <xf numFmtId="10" fontId="2" fillId="5" borderId="26" xfId="0" applyNumberFormat="1" applyFont="1" applyFill="1" applyBorder="1" applyAlignment="1">
      <alignment horizontal="left"/>
    </xf>
    <xf numFmtId="0" fontId="2" fillId="5" borderId="27" xfId="0" applyFont="1" applyFill="1" applyBorder="1" applyAlignment="1">
      <alignment horizontal="left"/>
    </xf>
    <xf numFmtId="10" fontId="2" fillId="5" borderId="0" xfId="33" applyNumberFormat="1" applyFont="1" applyFill="1" applyBorder="1" applyAlignment="1">
      <alignment horizontal="left" vertical="center"/>
    </xf>
    <xf numFmtId="10" fontId="2" fillId="5" borderId="28" xfId="0" applyNumberFormat="1" applyFont="1" applyFill="1" applyBorder="1" applyAlignment="1">
      <alignment horizontal="left"/>
    </xf>
    <xf numFmtId="0" fontId="2" fillId="5" borderId="29" xfId="0" applyFont="1" applyFill="1" applyBorder="1" applyAlignment="1">
      <alignment horizontal="left" vertical="center"/>
    </xf>
    <xf numFmtId="10" fontId="2" fillId="5" borderId="30" xfId="33" applyNumberFormat="1" applyFont="1" applyFill="1" applyBorder="1" applyAlignment="1">
      <alignment horizontal="left" vertical="center"/>
    </xf>
    <xf numFmtId="180" fontId="2" fillId="5" borderId="30" xfId="0" applyNumberFormat="1" applyFont="1" applyFill="1" applyBorder="1" applyAlignment="1">
      <alignment horizontal="left" vertical="center"/>
    </xf>
    <xf numFmtId="184" fontId="2" fillId="5" borderId="30" xfId="0" applyNumberFormat="1" applyFont="1" applyFill="1" applyBorder="1" applyAlignment="1">
      <alignment horizontal="left"/>
    </xf>
    <xf numFmtId="10" fontId="2" fillId="5" borderId="31" xfId="0" applyNumberFormat="1" applyFont="1" applyFill="1" applyBorder="1" applyAlignment="1">
      <alignment horizontal="left"/>
    </xf>
    <xf numFmtId="10" fontId="2" fillId="0" borderId="0" xfId="0" applyNumberFormat="1" applyFont="1" applyAlignment="1">
      <alignment horizontal="left" vertical="center"/>
    </xf>
    <xf numFmtId="0" fontId="13" fillId="6" borderId="24" xfId="0" applyFont="1" applyFill="1" applyBorder="1" applyAlignment="1">
      <alignment horizontal="left"/>
    </xf>
    <xf numFmtId="0" fontId="2" fillId="6" borderId="25" xfId="0" applyFont="1" applyFill="1" applyBorder="1" applyAlignment="1">
      <alignment horizontal="left" vertical="center"/>
    </xf>
    <xf numFmtId="0" fontId="2" fillId="6" borderId="26" xfId="0" applyFont="1" applyFill="1" applyBorder="1" applyAlignment="1">
      <alignment horizontal="left"/>
    </xf>
    <xf numFmtId="0" fontId="2" fillId="6" borderId="24" xfId="0" applyFont="1" applyFill="1" applyBorder="1" applyAlignment="1">
      <alignment horizontal="left"/>
    </xf>
    <xf numFmtId="10" fontId="2" fillId="6" borderId="25" xfId="0" applyNumberFormat="1" applyFont="1" applyFill="1" applyBorder="1" applyAlignment="1">
      <alignment horizontal="left" vertical="center"/>
    </xf>
    <xf numFmtId="180" fontId="2" fillId="6" borderId="25" xfId="0" applyNumberFormat="1" applyFont="1" applyFill="1" applyBorder="1" applyAlignment="1">
      <alignment horizontal="left"/>
    </xf>
    <xf numFmtId="10" fontId="2" fillId="6" borderId="26" xfId="0" applyNumberFormat="1" applyFont="1" applyFill="1" applyBorder="1" applyAlignment="1">
      <alignment horizontal="left"/>
    </xf>
    <xf numFmtId="0" fontId="2" fillId="6" borderId="27" xfId="0" applyFont="1" applyFill="1" applyBorder="1" applyAlignment="1">
      <alignment horizontal="left"/>
    </xf>
    <xf numFmtId="10" fontId="2" fillId="6" borderId="0" xfId="0" applyNumberFormat="1" applyFont="1" applyFill="1" applyAlignment="1">
      <alignment horizontal="left" vertical="center"/>
    </xf>
    <xf numFmtId="180" fontId="2" fillId="6" borderId="0" xfId="0" applyNumberFormat="1" applyFont="1" applyFill="1" applyAlignment="1">
      <alignment horizontal="left"/>
    </xf>
    <xf numFmtId="10" fontId="2" fillId="6" borderId="28" xfId="0" applyNumberFormat="1" applyFont="1" applyFill="1" applyBorder="1" applyAlignment="1">
      <alignment horizontal="left"/>
    </xf>
    <xf numFmtId="0" fontId="2" fillId="6" borderId="29" xfId="0" applyFont="1" applyFill="1" applyBorder="1" applyAlignment="1">
      <alignment horizontal="left"/>
    </xf>
    <xf numFmtId="10" fontId="2" fillId="6" borderId="30" xfId="0" applyNumberFormat="1" applyFont="1" applyFill="1" applyBorder="1" applyAlignment="1">
      <alignment horizontal="left" vertical="center"/>
    </xf>
    <xf numFmtId="180" fontId="2" fillId="6" borderId="30" xfId="0" applyNumberFormat="1" applyFont="1" applyFill="1" applyBorder="1" applyAlignment="1">
      <alignment horizontal="left"/>
    </xf>
    <xf numFmtId="10" fontId="2" fillId="6" borderId="31" xfId="0" applyNumberFormat="1" applyFont="1" applyFill="1" applyBorder="1" applyAlignment="1">
      <alignment horizontal="left"/>
    </xf>
    <xf numFmtId="0" fontId="2" fillId="0" borderId="0" xfId="0" applyFont="1" applyAlignment="1">
      <alignment horizontal="left" vertical="top"/>
    </xf>
    <xf numFmtId="0" fontId="12" fillId="0" borderId="0" xfId="0" applyFont="1" applyAlignment="1"/>
    <xf numFmtId="0" fontId="2" fillId="0" borderId="0" xfId="24" applyFont="1" applyAlignment="1">
      <alignment horizontal="center"/>
    </xf>
    <xf numFmtId="0" fontId="12" fillId="0" borderId="0" xfId="36" applyFont="1" applyAlignment="1">
      <alignment horizontal="center" vertical="center"/>
    </xf>
    <xf numFmtId="0" fontId="2" fillId="0" borderId="7" xfId="22" applyFont="1" applyBorder="1" applyAlignment="1">
      <alignment horizontal="right" vertical="center"/>
    </xf>
    <xf numFmtId="0" fontId="2" fillId="0" borderId="8" xfId="30" applyFont="1" applyBorder="1" applyAlignment="1">
      <alignment horizontal="right"/>
    </xf>
    <xf numFmtId="11" fontId="2" fillId="0" borderId="0" xfId="0" applyNumberFormat="1" applyFont="1">
      <alignment vertical="center"/>
    </xf>
    <xf numFmtId="0" fontId="15" fillId="0" borderId="0" xfId="0" applyFont="1">
      <alignment vertical="center"/>
    </xf>
    <xf numFmtId="0" fontId="26" fillId="0" borderId="0" xfId="0" applyFont="1">
      <alignment vertical="center"/>
    </xf>
    <xf numFmtId="184" fontId="25" fillId="7" borderId="25" xfId="38" applyNumberFormat="1" applyFont="1" applyBorder="1" applyAlignment="1">
      <alignment horizontal="left" vertical="center"/>
    </xf>
    <xf numFmtId="184" fontId="25" fillId="7" borderId="0" xfId="38" applyNumberFormat="1" applyFont="1" applyAlignment="1">
      <alignment horizontal="left" vertical="center"/>
    </xf>
    <xf numFmtId="184" fontId="25" fillId="7" borderId="30" xfId="38" applyNumberFormat="1" applyFont="1" applyBorder="1" applyAlignment="1">
      <alignment horizontal="left" vertical="center"/>
    </xf>
    <xf numFmtId="10" fontId="2" fillId="0" borderId="10" xfId="0" applyNumberFormat="1" applyFont="1" applyBorder="1">
      <alignment vertical="center"/>
    </xf>
    <xf numFmtId="180" fontId="2" fillId="5" borderId="0" xfId="0" applyNumberFormat="1" applyFont="1" applyFill="1" applyAlignment="1">
      <alignment horizontal="left" vertical="center"/>
    </xf>
    <xf numFmtId="184" fontId="2" fillId="5" borderId="0" xfId="0" applyNumberFormat="1" applyFont="1" applyFill="1" applyAlignment="1">
      <alignment horizontal="left"/>
    </xf>
    <xf numFmtId="0" fontId="2" fillId="5" borderId="27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10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22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0" fontId="2" fillId="0" borderId="15" xfId="22" applyFont="1" applyBorder="1">
      <alignment vertical="center"/>
    </xf>
    <xf numFmtId="10" fontId="2" fillId="0" borderId="14" xfId="0" applyNumberFormat="1" applyFont="1" applyBorder="1" applyAlignment="1">
      <alignment horizontal="center" vertical="center"/>
    </xf>
    <xf numFmtId="0" fontId="2" fillId="0" borderId="6" xfId="22" applyFont="1" applyBorder="1">
      <alignment vertical="center"/>
    </xf>
    <xf numFmtId="0" fontId="2" fillId="0" borderId="3" xfId="22" applyFont="1" applyBorder="1">
      <alignment vertical="center"/>
    </xf>
    <xf numFmtId="0" fontId="2" fillId="0" borderId="4" xfId="22" applyFont="1" applyBorder="1">
      <alignment vertical="center"/>
    </xf>
    <xf numFmtId="0" fontId="2" fillId="0" borderId="9" xfId="22" applyFont="1" applyBorder="1">
      <alignment vertical="center"/>
    </xf>
    <xf numFmtId="186" fontId="2" fillId="0" borderId="10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80" fontId="2" fillId="0" borderId="2" xfId="0" applyNumberFormat="1" applyFont="1" applyBorder="1">
      <alignment vertical="center"/>
    </xf>
    <xf numFmtId="180" fontId="2" fillId="0" borderId="0" xfId="0" applyNumberFormat="1" applyFont="1">
      <alignment vertical="center"/>
    </xf>
    <xf numFmtId="180" fontId="2" fillId="0" borderId="5" xfId="0" applyNumberFormat="1" applyFont="1" applyBorder="1">
      <alignment vertical="center"/>
    </xf>
    <xf numFmtId="180" fontId="2" fillId="0" borderId="8" xfId="0" applyNumberFormat="1" applyFont="1" applyBorder="1">
      <alignment vertical="center"/>
    </xf>
    <xf numFmtId="180" fontId="2" fillId="0" borderId="10" xfId="0" applyNumberFormat="1" applyFont="1" applyBorder="1">
      <alignment vertical="center"/>
    </xf>
    <xf numFmtId="180" fontId="2" fillId="0" borderId="11" xfId="0" applyNumberFormat="1" applyFont="1" applyBorder="1">
      <alignment vertical="center"/>
    </xf>
    <xf numFmtId="187" fontId="2" fillId="0" borderId="7" xfId="0" applyNumberFormat="1" applyFont="1" applyBorder="1">
      <alignment vertical="center"/>
    </xf>
    <xf numFmtId="187" fontId="2" fillId="0" borderId="15" xfId="0" applyNumberFormat="1" applyFont="1" applyBorder="1">
      <alignment vertical="center"/>
    </xf>
    <xf numFmtId="187" fontId="2" fillId="0" borderId="14" xfId="0" applyNumberFormat="1" applyFont="1" applyBorder="1">
      <alignment vertical="center"/>
    </xf>
    <xf numFmtId="187" fontId="2" fillId="0" borderId="2" xfId="0" applyNumberFormat="1" applyFont="1" applyBorder="1">
      <alignment vertical="center"/>
    </xf>
    <xf numFmtId="187" fontId="2" fillId="0" borderId="0" xfId="0" applyNumberFormat="1" applyFont="1">
      <alignment vertical="center"/>
    </xf>
    <xf numFmtId="187" fontId="2" fillId="0" borderId="5" xfId="0" applyNumberFormat="1" applyFont="1" applyBorder="1">
      <alignment vertical="center"/>
    </xf>
    <xf numFmtId="188" fontId="2" fillId="0" borderId="7" xfId="0" applyNumberFormat="1" applyFont="1" applyBorder="1">
      <alignment vertical="center"/>
    </xf>
    <xf numFmtId="188" fontId="2" fillId="0" borderId="15" xfId="0" applyNumberFormat="1" applyFont="1" applyBorder="1">
      <alignment vertical="center"/>
    </xf>
    <xf numFmtId="188" fontId="2" fillId="0" borderId="14" xfId="0" applyNumberFormat="1" applyFont="1" applyBorder="1">
      <alignment vertical="center"/>
    </xf>
    <xf numFmtId="188" fontId="2" fillId="0" borderId="2" xfId="0" applyNumberFormat="1" applyFont="1" applyBorder="1">
      <alignment vertical="center"/>
    </xf>
    <xf numFmtId="188" fontId="2" fillId="0" borderId="0" xfId="0" applyNumberFormat="1" applyFont="1">
      <alignment vertical="center"/>
    </xf>
    <xf numFmtId="188" fontId="2" fillId="0" borderId="5" xfId="0" applyNumberFormat="1" applyFont="1" applyBorder="1">
      <alignment vertical="center"/>
    </xf>
    <xf numFmtId="188" fontId="2" fillId="0" borderId="8" xfId="0" applyNumberFormat="1" applyFont="1" applyBorder="1">
      <alignment vertical="center"/>
    </xf>
    <xf numFmtId="188" fontId="2" fillId="0" borderId="10" xfId="0" applyNumberFormat="1" applyFont="1" applyBorder="1">
      <alignment vertical="center"/>
    </xf>
    <xf numFmtId="188" fontId="2" fillId="0" borderId="11" xfId="0" applyNumberFormat="1" applyFont="1" applyBorder="1">
      <alignment vertical="center"/>
    </xf>
    <xf numFmtId="0" fontId="2" fillId="0" borderId="20" xfId="0" applyFont="1" applyBorder="1" applyAlignment="1"/>
    <xf numFmtId="0" fontId="2" fillId="0" borderId="22" xfId="0" applyFont="1" applyBorder="1" applyAlignment="1"/>
    <xf numFmtId="0" fontId="2" fillId="0" borderId="1" xfId="0" applyFont="1" applyBorder="1" applyAlignment="1"/>
    <xf numFmtId="10" fontId="13" fillId="5" borderId="25" xfId="0" applyNumberFormat="1" applyFont="1" applyFill="1" applyBorder="1" applyAlignment="1">
      <alignment horizontal="left"/>
    </xf>
    <xf numFmtId="10" fontId="13" fillId="6" borderId="25" xfId="0" applyNumberFormat="1" applyFont="1" applyFill="1" applyBorder="1" applyAlignment="1">
      <alignment horizontal="left"/>
    </xf>
    <xf numFmtId="10" fontId="2" fillId="0" borderId="19" xfId="33" applyNumberFormat="1" applyFont="1" applyBorder="1">
      <alignment vertical="center"/>
    </xf>
    <xf numFmtId="10" fontId="2" fillId="0" borderId="21" xfId="33" applyNumberFormat="1" applyFont="1" applyBorder="1">
      <alignment vertical="center"/>
    </xf>
    <xf numFmtId="10" fontId="2" fillId="0" borderId="23" xfId="33" applyNumberFormat="1" applyFont="1" applyBorder="1">
      <alignment vertical="center"/>
    </xf>
    <xf numFmtId="10" fontId="2" fillId="0" borderId="21" xfId="0" applyNumberFormat="1" applyFont="1" applyBorder="1" applyAlignment="1"/>
    <xf numFmtId="10" fontId="2" fillId="0" borderId="23" xfId="0" applyNumberFormat="1" applyFont="1" applyBorder="1" applyAlignment="1"/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4" borderId="24" xfId="0" applyFont="1" applyFill="1" applyBorder="1" applyAlignment="1">
      <alignment horizontal="right" vertical="center"/>
    </xf>
    <xf numFmtId="0" fontId="2" fillId="4" borderId="25" xfId="0" applyFont="1" applyFill="1" applyBorder="1">
      <alignment vertical="center"/>
    </xf>
    <xf numFmtId="0" fontId="2" fillId="4" borderId="26" xfId="0" applyFont="1" applyFill="1" applyBorder="1">
      <alignment vertical="center"/>
    </xf>
    <xf numFmtId="0" fontId="2" fillId="4" borderId="27" xfId="0" applyFont="1" applyFill="1" applyBorder="1" applyAlignment="1">
      <alignment horizontal="right" vertical="center"/>
    </xf>
    <xf numFmtId="0" fontId="2" fillId="4" borderId="0" xfId="0" applyFont="1" applyFill="1">
      <alignment vertical="center"/>
    </xf>
    <xf numFmtId="0" fontId="2" fillId="4" borderId="28" xfId="0" applyFont="1" applyFill="1" applyBorder="1">
      <alignment vertical="center"/>
    </xf>
    <xf numFmtId="0" fontId="2" fillId="4" borderId="29" xfId="0" applyFont="1" applyFill="1" applyBorder="1" applyAlignment="1">
      <alignment horizontal="right" vertical="center"/>
    </xf>
    <xf numFmtId="0" fontId="2" fillId="4" borderId="30" xfId="0" applyFont="1" applyFill="1" applyBorder="1">
      <alignment vertical="center"/>
    </xf>
    <xf numFmtId="0" fontId="2" fillId="4" borderId="31" xfId="0" applyFont="1" applyFill="1" applyBorder="1">
      <alignment vertical="center"/>
    </xf>
    <xf numFmtId="49" fontId="2" fillId="0" borderId="0" xfId="0" applyNumberFormat="1" applyFont="1" applyAlignment="1"/>
    <xf numFmtId="49" fontId="2" fillId="0" borderId="0" xfId="0" applyNumberFormat="1" applyFont="1">
      <alignment vertical="center"/>
    </xf>
    <xf numFmtId="10" fontId="2" fillId="0" borderId="36" xfId="22" applyNumberFormat="1" applyFont="1" applyBorder="1">
      <alignment vertical="center"/>
    </xf>
    <xf numFmtId="10" fontId="2" fillId="0" borderId="37" xfId="22" applyNumberFormat="1" applyFont="1" applyBorder="1">
      <alignment vertical="center"/>
    </xf>
    <xf numFmtId="10" fontId="2" fillId="0" borderId="38" xfId="22" applyNumberFormat="1" applyFont="1" applyBorder="1">
      <alignment vertical="center"/>
    </xf>
    <xf numFmtId="182" fontId="2" fillId="0" borderId="0" xfId="0" applyNumberFormat="1" applyFont="1" applyAlignment="1">
      <alignment horizontal="left" vertical="center"/>
    </xf>
    <xf numFmtId="0" fontId="2" fillId="0" borderId="14" xfId="22" applyFont="1" applyBorder="1" applyAlignment="1">
      <alignment horizontal="right" vertical="center"/>
    </xf>
    <xf numFmtId="0" fontId="2" fillId="0" borderId="2" xfId="22" applyFont="1" applyBorder="1" applyAlignment="1">
      <alignment horizontal="right" vertical="center"/>
    </xf>
    <xf numFmtId="0" fontId="2" fillId="0" borderId="8" xfId="22" applyFont="1" applyBorder="1" applyAlignment="1">
      <alignment horizontal="right" vertical="center"/>
    </xf>
    <xf numFmtId="0" fontId="2" fillId="0" borderId="12" xfId="22" applyFont="1" applyBorder="1">
      <alignment vertical="center"/>
    </xf>
    <xf numFmtId="0" fontId="2" fillId="0" borderId="16" xfId="22" applyFont="1" applyBorder="1">
      <alignment vertical="center"/>
    </xf>
    <xf numFmtId="10" fontId="0" fillId="0" borderId="2" xfId="0" applyNumberFormat="1" applyBorder="1">
      <alignment vertical="center"/>
    </xf>
    <xf numFmtId="10" fontId="0" fillId="0" borderId="0" xfId="0" applyNumberFormat="1">
      <alignment vertical="center"/>
    </xf>
    <xf numFmtId="10" fontId="0" fillId="0" borderId="5" xfId="0" applyNumberFormat="1" applyBorder="1">
      <alignment vertical="center"/>
    </xf>
    <xf numFmtId="10" fontId="0" fillId="0" borderId="8" xfId="0" applyNumberFormat="1" applyBorder="1">
      <alignment vertical="center"/>
    </xf>
    <xf numFmtId="10" fontId="0" fillId="0" borderId="10" xfId="0" applyNumberFormat="1" applyBorder="1">
      <alignment vertical="center"/>
    </xf>
    <xf numFmtId="10" fontId="0" fillId="0" borderId="11" xfId="0" applyNumberFormat="1" applyBorder="1">
      <alignment vertical="center"/>
    </xf>
    <xf numFmtId="10" fontId="13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/>
    <xf numFmtId="182" fontId="2" fillId="0" borderId="0" xfId="0" applyNumberFormat="1" applyFont="1">
      <alignment vertical="center"/>
    </xf>
    <xf numFmtId="185" fontId="2" fillId="4" borderId="0" xfId="0" applyNumberFormat="1" applyFont="1" applyFill="1" applyBorder="1">
      <alignment vertical="center"/>
    </xf>
    <xf numFmtId="10" fontId="10" fillId="3" borderId="0" xfId="31" applyNumberFormat="1" applyFont="1" applyBorder="1">
      <alignment vertical="center"/>
    </xf>
    <xf numFmtId="10" fontId="10" fillId="3" borderId="20" xfId="31" applyNumberFormat="1" applyFont="1" applyBorder="1">
      <alignment vertical="center"/>
    </xf>
    <xf numFmtId="10" fontId="10" fillId="3" borderId="1" xfId="31" applyNumberFormat="1" applyFont="1" applyBorder="1">
      <alignment vertical="center"/>
    </xf>
    <xf numFmtId="0" fontId="2" fillId="0" borderId="15" xfId="22" applyFont="1" applyBorder="1" applyAlignment="1">
      <alignment horizontal="right" vertical="center"/>
    </xf>
    <xf numFmtId="10" fontId="2" fillId="0" borderId="0" xfId="22" applyNumberFormat="1" applyFont="1" applyBorder="1" applyAlignment="1">
      <alignment horizontal="right" vertical="center"/>
    </xf>
    <xf numFmtId="0" fontId="2" fillId="0" borderId="5" xfId="22" applyFont="1" applyBorder="1" applyAlignment="1">
      <alignment horizontal="right" vertical="center"/>
    </xf>
    <xf numFmtId="10" fontId="2" fillId="0" borderId="10" xfId="22" applyNumberFormat="1" applyFont="1" applyBorder="1" applyAlignment="1">
      <alignment horizontal="right" vertical="center"/>
    </xf>
    <xf numFmtId="0" fontId="2" fillId="0" borderId="11" xfId="22" applyFont="1" applyBorder="1" applyAlignment="1">
      <alignment horizontal="right" vertical="center"/>
    </xf>
  </cellXfs>
  <cellStyles count="39">
    <cellStyle name="Currency 2" xfId="3" xr:uid="{00000000-0005-0000-0000-000000000000}"/>
    <cellStyle name="Currency 3" xfId="6" xr:uid="{00000000-0005-0000-0000-000001000000}"/>
    <cellStyle name="Good 2" xfId="4" xr:uid="{00000000-0005-0000-0000-000002000000}"/>
    <cellStyle name="Normal 2" xfId="7" xr:uid="{00000000-0005-0000-0000-000003000000}"/>
    <cellStyle name="Normal 3" xfId="9" xr:uid="{00000000-0005-0000-0000-000004000000}"/>
    <cellStyle name="Normal 3 2" xfId="30" xr:uid="{00000000-0005-0000-0000-000005000000}"/>
    <cellStyle name="Normal 4" xfId="10" xr:uid="{00000000-0005-0000-0000-000006000000}"/>
    <cellStyle name="Normal 5" xfId="11" xr:uid="{00000000-0005-0000-0000-000007000000}"/>
    <cellStyle name="Normal 6" xfId="12" xr:uid="{00000000-0005-0000-0000-000008000000}"/>
    <cellStyle name="Percent 2" xfId="13" xr:uid="{00000000-0005-0000-0000-000009000000}"/>
    <cellStyle name="Percent 3" xfId="14" xr:uid="{00000000-0005-0000-0000-00000A000000}"/>
    <cellStyle name="Percent 3 2" xfId="15" xr:uid="{00000000-0005-0000-0000-00000B000000}"/>
    <cellStyle name="Percent 4" xfId="1" xr:uid="{00000000-0005-0000-0000-00000C000000}"/>
    <cellStyle name="Percent 5" xfId="16" xr:uid="{00000000-0005-0000-0000-00000D000000}"/>
    <cellStyle name="Percent 6" xfId="2" xr:uid="{00000000-0005-0000-0000-00000E000000}"/>
    <cellStyle name="百分比" xfId="33" builtinId="5"/>
    <cellStyle name="百分比 7" xfId="17" xr:uid="{00000000-0005-0000-0000-00000F000000}"/>
    <cellStyle name="百分比 7 2" xfId="19" xr:uid="{00000000-0005-0000-0000-000010000000}"/>
    <cellStyle name="百分比 7 3" xfId="21" xr:uid="{00000000-0005-0000-0000-000011000000}"/>
    <cellStyle name="差" xfId="38" builtinId="27"/>
    <cellStyle name="常规" xfId="0" builtinId="0"/>
    <cellStyle name="常规 2" xfId="22" xr:uid="{00000000-0005-0000-0000-000013000000}"/>
    <cellStyle name="常规 2 2" xfId="8" xr:uid="{00000000-0005-0000-0000-000014000000}"/>
    <cellStyle name="常规 2 2 2" xfId="34" xr:uid="{4748443D-9540-4FBA-B34F-9E04A1FBF85D}"/>
    <cellStyle name="常规 2 2 2 2" xfId="36" xr:uid="{CE207016-AE2E-4F7F-A229-CB79B1D8D4B0}"/>
    <cellStyle name="常规 2 3" xfId="37" xr:uid="{A8A7F252-A8E2-41CC-8BA4-7DF62994CE60}"/>
    <cellStyle name="常规 3" xfId="23" xr:uid="{00000000-0005-0000-0000-000015000000}"/>
    <cellStyle name="常规 3 2" xfId="35" xr:uid="{A97E7824-71CB-40BA-BBD3-F24960E5EC87}"/>
    <cellStyle name="常规 4" xfId="24" xr:uid="{00000000-0005-0000-0000-000016000000}"/>
    <cellStyle name="常规 5" xfId="18" xr:uid="{00000000-0005-0000-0000-000017000000}"/>
    <cellStyle name="常规 5 2" xfId="5" xr:uid="{00000000-0005-0000-0000-000018000000}"/>
    <cellStyle name="常规 6" xfId="20" xr:uid="{00000000-0005-0000-0000-000019000000}"/>
    <cellStyle name="常规 6 2" xfId="26" xr:uid="{00000000-0005-0000-0000-00001A000000}"/>
    <cellStyle name="常规 7" xfId="27" xr:uid="{00000000-0005-0000-0000-00001B000000}"/>
    <cellStyle name="常规 7 2" xfId="28" xr:uid="{00000000-0005-0000-0000-00001C000000}"/>
    <cellStyle name="常规 7 3" xfId="29" xr:uid="{00000000-0005-0000-0000-00001D000000}"/>
    <cellStyle name="常规 8" xfId="25" xr:uid="{00000000-0005-0000-0000-00001E000000}"/>
    <cellStyle name="常规 9" xfId="32" xr:uid="{00000000-0005-0000-0000-00001F000000}"/>
    <cellStyle name="适中" xfId="31" builtinId="28"/>
  </cellStyles>
  <dxfs count="430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AppData\Roaming\Microsoft\Excel\1044_90%20(version%201).xlsb" TargetMode="External"/><Relationship Id="rId1" Type="http://schemas.openxmlformats.org/officeDocument/2006/relationships/externalLinkPath" Target="file:///C:\Users\Administrator\AppData\Roaming\Microsoft\Excel\1044_90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le"/>
      <sheetName val="#&lt;pay_table&gt;"/>
      <sheetName val="#&lt;config&gt;"/>
      <sheetName val="#&lt;base_reel_strip&gt;"/>
      <sheetName val="#&lt;free_reel_strip&gt;"/>
      <sheetName val="#&lt;super_free_reel_strip&gt;"/>
      <sheetName val="#&lt;prize&gt;"/>
      <sheetName val="Summary"/>
      <sheetName val="Base1"/>
      <sheetName val="Base2"/>
      <sheetName val="Base3"/>
      <sheetName val="Free1"/>
      <sheetName val="Free2"/>
      <sheetName val="Free3"/>
      <sheetName val="Free4"/>
      <sheetName val="Free5"/>
      <sheetName val="Free6"/>
      <sheetName val="free_reelstrip use"/>
      <sheetName val="free spin number"/>
      <sheetName val="长线"/>
      <sheetName val="super2"/>
      <sheetName val="super1"/>
      <sheetName val="super3"/>
      <sheetName val="super4"/>
      <sheetName val="super5"/>
      <sheetName val="super6"/>
      <sheetName val="super_reelstrip use"/>
      <sheetName val="super spin number"/>
    </sheetNames>
    <sheetDataSet>
      <sheetData sheetId="0"/>
      <sheetData sheetId="1"/>
      <sheetData sheetId="2">
        <row r="3">
          <cell r="D3" t="str">
            <v>Wild</v>
          </cell>
          <cell r="E3">
            <v>92</v>
          </cell>
        </row>
        <row r="4">
          <cell r="D4" t="str">
            <v>M1</v>
          </cell>
          <cell r="E4">
            <v>0</v>
          </cell>
        </row>
        <row r="5">
          <cell r="D5" t="str">
            <v>M2</v>
          </cell>
          <cell r="E5">
            <v>1</v>
          </cell>
        </row>
        <row r="6">
          <cell r="D6" t="str">
            <v>M3</v>
          </cell>
          <cell r="E6">
            <v>2</v>
          </cell>
        </row>
        <row r="7">
          <cell r="D7" t="str">
            <v>M4</v>
          </cell>
          <cell r="E7">
            <v>3</v>
          </cell>
        </row>
        <row r="8">
          <cell r="D8" t="str">
            <v>M5</v>
          </cell>
          <cell r="E8">
            <v>4</v>
          </cell>
        </row>
        <row r="9">
          <cell r="D9" t="str">
            <v>Ace</v>
          </cell>
          <cell r="E9">
            <v>5</v>
          </cell>
        </row>
        <row r="10">
          <cell r="D10" t="str">
            <v>King</v>
          </cell>
          <cell r="E10">
            <v>6</v>
          </cell>
        </row>
        <row r="11">
          <cell r="D11" t="str">
            <v>Queen</v>
          </cell>
          <cell r="E11">
            <v>7</v>
          </cell>
        </row>
        <row r="12">
          <cell r="D12" t="str">
            <v>Jack</v>
          </cell>
          <cell r="E12">
            <v>8</v>
          </cell>
        </row>
        <row r="13">
          <cell r="D13" t="str">
            <v>Ten</v>
          </cell>
          <cell r="E13">
            <v>9</v>
          </cell>
        </row>
        <row r="14">
          <cell r="D14" t="str">
            <v>Bonus</v>
          </cell>
          <cell r="E14">
            <v>94</v>
          </cell>
        </row>
        <row r="15">
          <cell r="D15" t="str">
            <v>Scatter</v>
          </cell>
          <cell r="E15">
            <v>90</v>
          </cell>
        </row>
        <row r="16">
          <cell r="D16" t="str">
            <v>Bonus_multiplier</v>
          </cell>
          <cell r="E16">
            <v>95</v>
          </cell>
        </row>
        <row r="17">
          <cell r="D17" t="str">
            <v>Bonus_gold</v>
          </cell>
          <cell r="E17">
            <v>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5F36-5420-4814-9A59-4E80787FB213}">
  <dimension ref="A2:B19"/>
  <sheetViews>
    <sheetView workbookViewId="0">
      <selection activeCell="R32" sqref="R32"/>
    </sheetView>
  </sheetViews>
  <sheetFormatPr defaultRowHeight="15" x14ac:dyDescent="0.15"/>
  <cols>
    <col min="1" max="1" width="14" style="1" customWidth="1"/>
    <col min="2" max="16384" width="9" style="1"/>
  </cols>
  <sheetData>
    <row r="2" spans="1:1" x14ac:dyDescent="0.15">
      <c r="A2" s="1" t="s">
        <v>377</v>
      </c>
    </row>
    <row r="3" spans="1:1" x14ac:dyDescent="0.15">
      <c r="A3" s="1" t="s">
        <v>283</v>
      </c>
    </row>
    <row r="4" spans="1:1" x14ac:dyDescent="0.15">
      <c r="A4" s="1" t="s">
        <v>285</v>
      </c>
    </row>
    <row r="5" spans="1:1" x14ac:dyDescent="0.15">
      <c r="A5" s="1" t="s">
        <v>309</v>
      </c>
    </row>
    <row r="6" spans="1:1" x14ac:dyDescent="0.15">
      <c r="A6" s="1" t="s">
        <v>310</v>
      </c>
    </row>
    <row r="7" spans="1:1" x14ac:dyDescent="0.15">
      <c r="A7" s="1" t="s">
        <v>317</v>
      </c>
    </row>
    <row r="8" spans="1:1" x14ac:dyDescent="0.15">
      <c r="A8" s="1" t="s">
        <v>284</v>
      </c>
    </row>
    <row r="9" spans="1:1" x14ac:dyDescent="0.15">
      <c r="A9" s="1" t="s">
        <v>286</v>
      </c>
    </row>
    <row r="10" spans="1:1" x14ac:dyDescent="0.15">
      <c r="A10" s="1" t="s">
        <v>287</v>
      </c>
    </row>
    <row r="11" spans="1:1" x14ac:dyDescent="0.15">
      <c r="A11" s="1" t="s">
        <v>288</v>
      </c>
    </row>
    <row r="12" spans="1:1" x14ac:dyDescent="0.15">
      <c r="A12" s="1" t="s">
        <v>289</v>
      </c>
    </row>
    <row r="16" spans="1:1" x14ac:dyDescent="0.15">
      <c r="A16" s="37"/>
    </row>
    <row r="17" spans="1:2" x14ac:dyDescent="0.15">
      <c r="A17" s="226" t="s">
        <v>290</v>
      </c>
      <c r="B17" s="1" t="s">
        <v>316</v>
      </c>
    </row>
    <row r="18" spans="1:2" x14ac:dyDescent="0.15">
      <c r="B18" s="227" t="s">
        <v>315</v>
      </c>
    </row>
    <row r="19" spans="1:2" x14ac:dyDescent="0.15">
      <c r="A19" s="37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A697-9D6D-4861-B4B1-E08527C870DA}">
  <dimension ref="A1:J13"/>
  <sheetViews>
    <sheetView workbookViewId="0">
      <selection activeCell="C8" sqref="C8:J8"/>
    </sheetView>
  </sheetViews>
  <sheetFormatPr defaultColWidth="8.125" defaultRowHeight="15" x14ac:dyDescent="0.25"/>
  <cols>
    <col min="1" max="1" width="9.625" style="43" bestFit="1" customWidth="1"/>
    <col min="2" max="2" width="9.625" style="43" customWidth="1"/>
    <col min="3" max="3" width="11.75" style="43" bestFit="1" customWidth="1"/>
    <col min="4" max="16384" width="8.125" style="43"/>
  </cols>
  <sheetData>
    <row r="1" spans="1:10" x14ac:dyDescent="0.25">
      <c r="A1" s="74" t="s">
        <v>58</v>
      </c>
      <c r="B1" s="63" t="s">
        <v>59</v>
      </c>
      <c r="C1" s="63" t="s">
        <v>60</v>
      </c>
      <c r="D1" s="63" t="s">
        <v>63</v>
      </c>
      <c r="E1" s="63" t="s">
        <v>64</v>
      </c>
      <c r="F1" s="63" t="s">
        <v>261</v>
      </c>
      <c r="G1" s="63" t="s">
        <v>262</v>
      </c>
      <c r="H1" s="63" t="s">
        <v>263</v>
      </c>
      <c r="I1" s="63" t="s">
        <v>264</v>
      </c>
      <c r="J1" s="64" t="s">
        <v>265</v>
      </c>
    </row>
    <row r="2" spans="1:10" x14ac:dyDescent="0.25">
      <c r="A2" s="75" t="s">
        <v>50</v>
      </c>
      <c r="B2" s="221" t="s">
        <v>61</v>
      </c>
      <c r="C2" s="221" t="s">
        <v>62</v>
      </c>
      <c r="D2" s="221" t="s">
        <v>65</v>
      </c>
      <c r="E2" s="221" t="s">
        <v>66</v>
      </c>
      <c r="F2" s="221" t="s">
        <v>266</v>
      </c>
      <c r="G2" s="221" t="s">
        <v>267</v>
      </c>
      <c r="H2" s="221" t="s">
        <v>268</v>
      </c>
      <c r="I2" s="221" t="s">
        <v>269</v>
      </c>
      <c r="J2" s="76" t="s">
        <v>270</v>
      </c>
    </row>
    <row r="3" spans="1:10" x14ac:dyDescent="0.25">
      <c r="A3" s="67">
        <f>VLOOKUP('Pay Table'!B6,'Pay Table'!$M$3:$N$18,2,FALSE)</f>
        <v>92</v>
      </c>
      <c r="B3" s="222">
        <f>'Pay Table'!C6</f>
        <v>0</v>
      </c>
      <c r="C3" s="222">
        <f>'Pay Table'!D6</f>
        <v>0</v>
      </c>
      <c r="D3" s="222">
        <f>'Pay Table'!E6</f>
        <v>0</v>
      </c>
      <c r="E3" s="222">
        <f>'Pay Table'!F6</f>
        <v>0</v>
      </c>
      <c r="F3" s="222">
        <f>'Pay Table'!G6</f>
        <v>0</v>
      </c>
      <c r="G3" s="222">
        <f>'Pay Table'!H6</f>
        <v>0</v>
      </c>
      <c r="H3" s="222">
        <f>'Pay Table'!I6</f>
        <v>0</v>
      </c>
      <c r="I3" s="222">
        <f>'Pay Table'!J6</f>
        <v>0</v>
      </c>
      <c r="J3" s="68">
        <f>'Pay Table'!K6</f>
        <v>0</v>
      </c>
    </row>
    <row r="4" spans="1:10" x14ac:dyDescent="0.25">
      <c r="A4" s="67">
        <f>VLOOKUP('Pay Table'!B7,'Pay Table'!$M$3:$N$18,2,FALSE)</f>
        <v>0</v>
      </c>
      <c r="B4" s="222">
        <v>1</v>
      </c>
      <c r="C4" s="222">
        <f>'Pay Table'!D7</f>
        <v>5</v>
      </c>
      <c r="D4" s="222">
        <f>'Pay Table'!E7</f>
        <v>15</v>
      </c>
      <c r="E4" s="222">
        <f>'Pay Table'!F7</f>
        <v>50</v>
      </c>
      <c r="F4" s="222">
        <f>'Pay Table'!G7</f>
        <v>100</v>
      </c>
      <c r="G4" s="222">
        <f>'Pay Table'!H7</f>
        <v>200</v>
      </c>
      <c r="H4" s="222">
        <f>'Pay Table'!I7</f>
        <v>500</v>
      </c>
      <c r="I4" s="222">
        <f>'Pay Table'!J7</f>
        <v>750</v>
      </c>
      <c r="J4" s="68">
        <f>'Pay Table'!K7</f>
        <v>1000</v>
      </c>
    </row>
    <row r="5" spans="1:10" x14ac:dyDescent="0.25">
      <c r="A5" s="67">
        <f>VLOOKUP('Pay Table'!B8,'Pay Table'!$M$3:$N$18,2,FALSE)</f>
        <v>1</v>
      </c>
      <c r="B5" s="222">
        <v>1</v>
      </c>
      <c r="C5" s="222">
        <f>'Pay Table'!D8</f>
        <v>5</v>
      </c>
      <c r="D5" s="222">
        <f>'Pay Table'!E8</f>
        <v>15</v>
      </c>
      <c r="E5" s="222">
        <f>'Pay Table'!F8</f>
        <v>50</v>
      </c>
      <c r="F5" s="222">
        <f>'Pay Table'!G8</f>
        <v>100</v>
      </c>
      <c r="G5" s="222">
        <f>'Pay Table'!H8</f>
        <v>200</v>
      </c>
      <c r="H5" s="222">
        <f>'Pay Table'!I8</f>
        <v>500</v>
      </c>
      <c r="I5" s="222">
        <f>'Pay Table'!J8</f>
        <v>750</v>
      </c>
      <c r="J5" s="68">
        <f>'Pay Table'!K8</f>
        <v>1000</v>
      </c>
    </row>
    <row r="6" spans="1:10" x14ac:dyDescent="0.25">
      <c r="A6" s="67">
        <f>VLOOKUP('Pay Table'!B9,'Pay Table'!$M$3:$N$18,2,FALSE)</f>
        <v>2</v>
      </c>
      <c r="B6" s="222">
        <v>1</v>
      </c>
      <c r="C6" s="222">
        <f>'Pay Table'!D9</f>
        <v>5</v>
      </c>
      <c r="D6" s="222">
        <f>'Pay Table'!E9</f>
        <v>10</v>
      </c>
      <c r="E6" s="222">
        <f>'Pay Table'!F9</f>
        <v>25</v>
      </c>
      <c r="F6" s="222">
        <f>'Pay Table'!G9</f>
        <v>50</v>
      </c>
      <c r="G6" s="222">
        <f>'Pay Table'!H9</f>
        <v>100</v>
      </c>
      <c r="H6" s="222">
        <f>'Pay Table'!I9</f>
        <v>200</v>
      </c>
      <c r="I6" s="222">
        <f>'Pay Table'!J9</f>
        <v>300</v>
      </c>
      <c r="J6" s="68">
        <f>'Pay Table'!K9</f>
        <v>500</v>
      </c>
    </row>
    <row r="7" spans="1:10" x14ac:dyDescent="0.25">
      <c r="A7" s="67">
        <f>VLOOKUP('Pay Table'!B10,'Pay Table'!$M$3:$N$18,2,FALSE)</f>
        <v>3</v>
      </c>
      <c r="B7" s="222">
        <v>1</v>
      </c>
      <c r="C7" s="222">
        <f>'Pay Table'!D10</f>
        <v>5</v>
      </c>
      <c r="D7" s="222">
        <f>'Pay Table'!E10</f>
        <v>10</v>
      </c>
      <c r="E7" s="222">
        <f>'Pay Table'!F10</f>
        <v>25</v>
      </c>
      <c r="F7" s="222">
        <f>'Pay Table'!G10</f>
        <v>50</v>
      </c>
      <c r="G7" s="222">
        <f>'Pay Table'!H10</f>
        <v>100</v>
      </c>
      <c r="H7" s="222">
        <f>'Pay Table'!I10</f>
        <v>200</v>
      </c>
      <c r="I7" s="222">
        <f>'Pay Table'!J10</f>
        <v>300</v>
      </c>
      <c r="J7" s="68">
        <f>'Pay Table'!K10</f>
        <v>500</v>
      </c>
    </row>
    <row r="8" spans="1:10" x14ac:dyDescent="0.25">
      <c r="A8" s="67">
        <f>VLOOKUP('Pay Table'!B11,'Pay Table'!$M$3:$N$18,2,FALSE)</f>
        <v>4</v>
      </c>
      <c r="B8" s="222">
        <v>1</v>
      </c>
      <c r="C8" s="222">
        <f>'Pay Table'!D11</f>
        <v>5</v>
      </c>
      <c r="D8" s="222">
        <f>'Pay Table'!E11</f>
        <v>10</v>
      </c>
      <c r="E8" s="222">
        <f>'Pay Table'!F11</f>
        <v>25</v>
      </c>
      <c r="F8" s="222">
        <f>'Pay Table'!G11</f>
        <v>50</v>
      </c>
      <c r="G8" s="222">
        <f>'Pay Table'!H11</f>
        <v>100</v>
      </c>
      <c r="H8" s="222">
        <f>'Pay Table'!I11</f>
        <v>200</v>
      </c>
      <c r="I8" s="222">
        <f>'Pay Table'!J11</f>
        <v>300</v>
      </c>
      <c r="J8" s="68">
        <f>'Pay Table'!K11</f>
        <v>500</v>
      </c>
    </row>
    <row r="9" spans="1:10" x14ac:dyDescent="0.25">
      <c r="A9" s="67">
        <f>VLOOKUP('Pay Table'!B12,'Pay Table'!$M$3:$N$18,2,FALSE)</f>
        <v>5</v>
      </c>
      <c r="B9" s="222">
        <v>1</v>
      </c>
      <c r="C9" s="222">
        <f>'Pay Table'!D12</f>
        <v>2</v>
      </c>
      <c r="D9" s="222">
        <f>'Pay Table'!E12</f>
        <v>5</v>
      </c>
      <c r="E9" s="222">
        <f>'Pay Table'!F12</f>
        <v>20</v>
      </c>
      <c r="F9" s="222">
        <f>'Pay Table'!G12</f>
        <v>30</v>
      </c>
      <c r="G9" s="222">
        <f>'Pay Table'!H12</f>
        <v>50</v>
      </c>
      <c r="H9" s="222">
        <f>'Pay Table'!I12</f>
        <v>75</v>
      </c>
      <c r="I9" s="222">
        <f>'Pay Table'!J12</f>
        <v>100</v>
      </c>
      <c r="J9" s="68">
        <f>'Pay Table'!K12</f>
        <v>0</v>
      </c>
    </row>
    <row r="10" spans="1:10" x14ac:dyDescent="0.25">
      <c r="A10" s="67">
        <f>VLOOKUP('Pay Table'!B13,'Pay Table'!$M$3:$N$18,2,FALSE)</f>
        <v>6</v>
      </c>
      <c r="B10" s="222">
        <v>1</v>
      </c>
      <c r="C10" s="222">
        <f>'Pay Table'!D13</f>
        <v>2</v>
      </c>
      <c r="D10" s="222">
        <f>'Pay Table'!E13</f>
        <v>5</v>
      </c>
      <c r="E10" s="222">
        <f>'Pay Table'!F13</f>
        <v>20</v>
      </c>
      <c r="F10" s="222">
        <f>'Pay Table'!G13</f>
        <v>30</v>
      </c>
      <c r="G10" s="222">
        <f>'Pay Table'!H13</f>
        <v>50</v>
      </c>
      <c r="H10" s="222">
        <f>'Pay Table'!I13</f>
        <v>75</v>
      </c>
      <c r="I10" s="222">
        <f>'Pay Table'!J13</f>
        <v>100</v>
      </c>
      <c r="J10" s="68">
        <f>'Pay Table'!K13</f>
        <v>0</v>
      </c>
    </row>
    <row r="11" spans="1:10" x14ac:dyDescent="0.25">
      <c r="A11" s="67">
        <f>VLOOKUP('Pay Table'!B14,'Pay Table'!$M$3:$N$18,2,FALSE)</f>
        <v>7</v>
      </c>
      <c r="B11" s="222">
        <v>1</v>
      </c>
      <c r="C11" s="222">
        <f>'Pay Table'!D14</f>
        <v>2</v>
      </c>
      <c r="D11" s="222">
        <f>'Pay Table'!E14</f>
        <v>5</v>
      </c>
      <c r="E11" s="222">
        <f>'Pay Table'!F14</f>
        <v>20</v>
      </c>
      <c r="F11" s="222">
        <f>'Pay Table'!G14</f>
        <v>30</v>
      </c>
      <c r="G11" s="222">
        <f>'Pay Table'!H14</f>
        <v>50</v>
      </c>
      <c r="H11" s="222">
        <f>'Pay Table'!I14</f>
        <v>75</v>
      </c>
      <c r="I11" s="222">
        <f>'Pay Table'!J14</f>
        <v>100</v>
      </c>
      <c r="J11" s="68">
        <f>'Pay Table'!K14</f>
        <v>0</v>
      </c>
    </row>
    <row r="12" spans="1:10" x14ac:dyDescent="0.25">
      <c r="A12" s="67">
        <f>VLOOKUP('Pay Table'!B15,'Pay Table'!$M$3:$N$18,2,FALSE)</f>
        <v>8</v>
      </c>
      <c r="B12" s="222">
        <v>1</v>
      </c>
      <c r="C12" s="222">
        <f>'Pay Table'!D15</f>
        <v>2</v>
      </c>
      <c r="D12" s="222">
        <f>'Pay Table'!E15</f>
        <v>5</v>
      </c>
      <c r="E12" s="222">
        <f>'Pay Table'!F15</f>
        <v>20</v>
      </c>
      <c r="F12" s="222">
        <f>'Pay Table'!G15</f>
        <v>30</v>
      </c>
      <c r="G12" s="222">
        <f>'Pay Table'!H15</f>
        <v>50</v>
      </c>
      <c r="H12" s="222">
        <f>'Pay Table'!I15</f>
        <v>75</v>
      </c>
      <c r="I12" s="222">
        <f>'Pay Table'!J15</f>
        <v>100</v>
      </c>
      <c r="J12" s="68">
        <f>'Pay Table'!K15</f>
        <v>0</v>
      </c>
    </row>
    <row r="13" spans="1:10" ht="15.75" thickBot="1" x14ac:dyDescent="0.3">
      <c r="A13" s="69">
        <f>VLOOKUP('Pay Table'!B16,'Pay Table'!$M$3:$N$18,2,FALSE)</f>
        <v>90</v>
      </c>
      <c r="B13" s="70">
        <f>'Pay Table'!C16</f>
        <v>0</v>
      </c>
      <c r="C13" s="70">
        <f>'Pay Table'!D16</f>
        <v>100</v>
      </c>
      <c r="D13" s="70">
        <f>'Pay Table'!E16</f>
        <v>200</v>
      </c>
      <c r="E13" s="70">
        <f>'Pay Table'!F16</f>
        <v>300</v>
      </c>
      <c r="F13" s="70">
        <f>'Pay Table'!G16</f>
        <v>500</v>
      </c>
      <c r="G13" s="70">
        <f>'Pay Table'!H16</f>
        <v>0</v>
      </c>
      <c r="H13" s="70">
        <f>'Pay Table'!I16</f>
        <v>0</v>
      </c>
      <c r="I13" s="70">
        <f>'Pay Table'!J16</f>
        <v>0</v>
      </c>
      <c r="J13" s="71">
        <f>'Pay Table'!K16</f>
        <v>0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5FC3-819D-40C1-9BC4-28A1E41A6A5E}">
  <dimension ref="A1:I19"/>
  <sheetViews>
    <sheetView workbookViewId="0">
      <selection activeCell="E5" sqref="B2:E5"/>
    </sheetView>
  </sheetViews>
  <sheetFormatPr defaultRowHeight="15" x14ac:dyDescent="0.25"/>
  <cols>
    <col min="1" max="1" width="9" style="43"/>
    <col min="2" max="3" width="22.75" style="43" customWidth="1"/>
    <col min="4" max="4" width="15.5" style="43" customWidth="1"/>
    <col min="5" max="16384" width="9" style="43"/>
  </cols>
  <sheetData>
    <row r="1" spans="1:9" x14ac:dyDescent="0.25">
      <c r="A1" s="72" t="s">
        <v>50</v>
      </c>
      <c r="B1" s="72" t="s">
        <v>67</v>
      </c>
      <c r="C1" s="72"/>
      <c r="D1" s="72" t="s">
        <v>68</v>
      </c>
      <c r="E1" s="72" t="s">
        <v>69</v>
      </c>
      <c r="F1" s="54"/>
      <c r="G1" s="54"/>
      <c r="H1" s="54"/>
      <c r="I1" s="54"/>
    </row>
    <row r="2" spans="1:9" x14ac:dyDescent="0.25">
      <c r="A2" s="72">
        <v>1</v>
      </c>
      <c r="B2" s="43">
        <f t="shared" ref="B2:B7" si="0">C2*100</f>
        <v>50000</v>
      </c>
      <c r="C2" s="54">
        <v>500</v>
      </c>
      <c r="D2" s="72">
        <v>1</v>
      </c>
      <c r="E2" s="72">
        <v>111204</v>
      </c>
      <c r="F2" s="72" t="s">
        <v>23</v>
      </c>
      <c r="G2" s="72">
        <f>A2</f>
        <v>1</v>
      </c>
      <c r="I2" s="43">
        <f>C2*1.1</f>
        <v>550</v>
      </c>
    </row>
    <row r="3" spans="1:9" x14ac:dyDescent="0.25">
      <c r="A3" s="72">
        <v>2</v>
      </c>
      <c r="B3" s="43">
        <f t="shared" si="0"/>
        <v>10000</v>
      </c>
      <c r="C3" s="54">
        <v>100</v>
      </c>
      <c r="D3" s="72">
        <v>1</v>
      </c>
      <c r="E3" s="72">
        <v>111203</v>
      </c>
      <c r="F3" s="72" t="s">
        <v>24</v>
      </c>
      <c r="G3" s="72">
        <f t="shared" ref="G3:G14" si="1">A3</f>
        <v>2</v>
      </c>
      <c r="I3" s="43">
        <f>C3*1.1</f>
        <v>110.00000000000001</v>
      </c>
    </row>
    <row r="4" spans="1:9" x14ac:dyDescent="0.25">
      <c r="A4" s="72">
        <v>3</v>
      </c>
      <c r="B4" s="43">
        <f t="shared" si="0"/>
        <v>2000</v>
      </c>
      <c r="C4" s="54">
        <v>20</v>
      </c>
      <c r="D4" s="72">
        <v>1</v>
      </c>
      <c r="E4" s="72">
        <v>111202</v>
      </c>
      <c r="F4" s="72" t="s">
        <v>169</v>
      </c>
      <c r="G4" s="72">
        <f t="shared" si="1"/>
        <v>3</v>
      </c>
      <c r="I4" s="43">
        <f>C4*1.1</f>
        <v>22</v>
      </c>
    </row>
    <row r="5" spans="1:9" x14ac:dyDescent="0.25">
      <c r="A5" s="72">
        <v>4</v>
      </c>
      <c r="B5" s="43">
        <f t="shared" si="0"/>
        <v>1000</v>
      </c>
      <c r="C5" s="54">
        <v>10</v>
      </c>
      <c r="D5" s="72">
        <v>1</v>
      </c>
      <c r="E5" s="72">
        <v>111201</v>
      </c>
      <c r="F5" s="54" t="s">
        <v>168</v>
      </c>
      <c r="G5" s="72">
        <f t="shared" si="1"/>
        <v>4</v>
      </c>
      <c r="I5" s="43">
        <f>C5*1.1</f>
        <v>11</v>
      </c>
    </row>
    <row r="6" spans="1:9" x14ac:dyDescent="0.25">
      <c r="A6" s="72">
        <v>5</v>
      </c>
      <c r="B6" s="43">
        <f t="shared" si="0"/>
        <v>5000</v>
      </c>
      <c r="C6" s="54">
        <v>50</v>
      </c>
      <c r="D6" s="72">
        <v>0</v>
      </c>
      <c r="E6" s="72">
        <v>0</v>
      </c>
      <c r="F6" s="54"/>
      <c r="G6" s="72">
        <f t="shared" si="1"/>
        <v>5</v>
      </c>
    </row>
    <row r="7" spans="1:9" x14ac:dyDescent="0.25">
      <c r="A7" s="72">
        <v>6</v>
      </c>
      <c r="B7" s="43">
        <f t="shared" si="0"/>
        <v>2500</v>
      </c>
      <c r="C7" s="43">
        <v>25</v>
      </c>
      <c r="D7" s="72">
        <v>0</v>
      </c>
      <c r="E7" s="72">
        <v>0</v>
      </c>
      <c r="F7" s="54"/>
      <c r="G7" s="72">
        <f t="shared" si="1"/>
        <v>6</v>
      </c>
    </row>
    <row r="8" spans="1:9" x14ac:dyDescent="0.25">
      <c r="A8" s="72">
        <v>7</v>
      </c>
      <c r="B8" s="43">
        <f t="shared" ref="B8:B14" si="2">C8*100</f>
        <v>750</v>
      </c>
      <c r="C8" s="54">
        <v>7.5</v>
      </c>
      <c r="D8" s="72">
        <v>0</v>
      </c>
      <c r="E8" s="72">
        <v>0</v>
      </c>
      <c r="F8" s="54"/>
      <c r="G8" s="72">
        <f t="shared" si="1"/>
        <v>7</v>
      </c>
    </row>
    <row r="9" spans="1:9" x14ac:dyDescent="0.25">
      <c r="A9" s="72">
        <v>8</v>
      </c>
      <c r="B9" s="43">
        <f t="shared" si="2"/>
        <v>500</v>
      </c>
      <c r="C9" s="54">
        <v>5</v>
      </c>
      <c r="D9" s="72">
        <v>0</v>
      </c>
      <c r="E9" s="72">
        <v>0</v>
      </c>
      <c r="F9" s="54"/>
      <c r="G9" s="72">
        <f t="shared" si="1"/>
        <v>8</v>
      </c>
    </row>
    <row r="10" spans="1:9" x14ac:dyDescent="0.25">
      <c r="A10" s="72">
        <v>9</v>
      </c>
      <c r="B10" s="43">
        <f t="shared" si="2"/>
        <v>250</v>
      </c>
      <c r="C10" s="54">
        <v>2.5</v>
      </c>
      <c r="D10" s="72">
        <v>0</v>
      </c>
      <c r="E10" s="72">
        <v>0</v>
      </c>
      <c r="F10" s="54"/>
      <c r="G10" s="72">
        <f t="shared" si="1"/>
        <v>9</v>
      </c>
    </row>
    <row r="11" spans="1:9" x14ac:dyDescent="0.25">
      <c r="A11" s="72">
        <v>10</v>
      </c>
      <c r="B11" s="43">
        <f t="shared" si="2"/>
        <v>200</v>
      </c>
      <c r="C11" s="54">
        <v>2</v>
      </c>
      <c r="D11" s="72">
        <v>0</v>
      </c>
      <c r="E11" s="72">
        <v>0</v>
      </c>
      <c r="F11" s="54"/>
      <c r="G11" s="72">
        <f>A11</f>
        <v>10</v>
      </c>
    </row>
    <row r="12" spans="1:9" x14ac:dyDescent="0.25">
      <c r="A12" s="72">
        <v>11</v>
      </c>
      <c r="B12" s="43">
        <f t="shared" si="2"/>
        <v>150</v>
      </c>
      <c r="C12" s="54">
        <v>1.5</v>
      </c>
      <c r="D12" s="72">
        <v>0</v>
      </c>
      <c r="E12" s="72">
        <v>0</v>
      </c>
      <c r="F12" s="54"/>
      <c r="G12" s="72">
        <f t="shared" si="1"/>
        <v>11</v>
      </c>
    </row>
    <row r="13" spans="1:9" x14ac:dyDescent="0.25">
      <c r="A13" s="72">
        <v>12</v>
      </c>
      <c r="B13" s="43">
        <f t="shared" si="2"/>
        <v>100</v>
      </c>
      <c r="C13" s="54">
        <v>1</v>
      </c>
      <c r="D13" s="72">
        <v>0</v>
      </c>
      <c r="E13" s="72">
        <v>0</v>
      </c>
      <c r="F13" s="54"/>
      <c r="G13" s="72">
        <f t="shared" si="1"/>
        <v>12</v>
      </c>
    </row>
    <row r="14" spans="1:9" x14ac:dyDescent="0.25">
      <c r="A14" s="72">
        <v>13</v>
      </c>
      <c r="B14" s="43">
        <f t="shared" si="2"/>
        <v>50</v>
      </c>
      <c r="C14" s="54">
        <v>0.5</v>
      </c>
      <c r="D14" s="72">
        <v>0</v>
      </c>
      <c r="E14" s="72">
        <v>0</v>
      </c>
      <c r="F14" s="54"/>
      <c r="G14" s="72">
        <f t="shared" si="1"/>
        <v>13</v>
      </c>
    </row>
    <row r="15" spans="1:9" x14ac:dyDescent="0.25">
      <c r="A15" s="72"/>
      <c r="C15" s="54"/>
      <c r="D15" s="72"/>
      <c r="E15" s="72"/>
      <c r="F15" s="54"/>
      <c r="G15" s="72"/>
    </row>
    <row r="16" spans="1:9" x14ac:dyDescent="0.25">
      <c r="A16" s="72"/>
      <c r="C16" s="54"/>
      <c r="D16" s="72"/>
      <c r="E16" s="72"/>
      <c r="G16" s="72"/>
    </row>
    <row r="17" spans="1:7" x14ac:dyDescent="0.25">
      <c r="A17" s="72"/>
      <c r="C17" s="54"/>
      <c r="D17" s="72"/>
      <c r="E17" s="72"/>
      <c r="G17" s="72"/>
    </row>
    <row r="18" spans="1:7" x14ac:dyDescent="0.25">
      <c r="A18" s="72"/>
    </row>
    <row r="19" spans="1:7" x14ac:dyDescent="0.25">
      <c r="A19" s="72"/>
    </row>
  </sheetData>
  <sortState xmlns:xlrd2="http://schemas.microsoft.com/office/spreadsheetml/2017/richdata2" ref="K6:L13">
    <sortCondition descending="1" ref="L13"/>
  </sortState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46E0-71AB-4970-9580-FD5914C1629A}">
  <dimension ref="A1:BE1831"/>
  <sheetViews>
    <sheetView zoomScale="98" zoomScaleNormal="98" workbookViewId="0">
      <selection activeCell="D3" sqref="D3"/>
    </sheetView>
  </sheetViews>
  <sheetFormatPr defaultColWidth="8.875" defaultRowHeight="15" x14ac:dyDescent="0.25"/>
  <cols>
    <col min="1" max="1" width="10.5" style="50" bestFit="1" customWidth="1"/>
    <col min="2" max="2" width="18.375" style="50" bestFit="1" customWidth="1"/>
    <col min="3" max="3" width="12" style="50" customWidth="1"/>
    <col min="4" max="4" width="11.125" style="50" customWidth="1"/>
    <col min="5" max="5" width="11.5" style="50" customWidth="1"/>
    <col min="6" max="7" width="11.875" style="50" customWidth="1"/>
    <col min="8" max="16384" width="8.875" style="50"/>
  </cols>
  <sheetData>
    <row r="1" spans="1:10" x14ac:dyDescent="0.25">
      <c r="A1" s="49"/>
      <c r="B1" s="49" t="s">
        <v>49</v>
      </c>
      <c r="C1" s="49"/>
      <c r="D1" s="49"/>
      <c r="E1" s="49"/>
      <c r="F1" s="49"/>
      <c r="G1" s="49"/>
    </row>
    <row r="2" spans="1:10" x14ac:dyDescent="0.25">
      <c r="A2" s="50" t="s">
        <v>50</v>
      </c>
      <c r="B2" s="50" t="s">
        <v>51</v>
      </c>
      <c r="C2" s="51" t="s">
        <v>55</v>
      </c>
      <c r="D2" s="51" t="s">
        <v>56</v>
      </c>
    </row>
    <row r="3" spans="1:10" x14ac:dyDescent="0.25">
      <c r="A3" s="49">
        <v>1</v>
      </c>
      <c r="B3" s="52">
        <v>1</v>
      </c>
      <c r="C3" s="53">
        <v>1</v>
      </c>
      <c r="D3" s="54" t="str">
        <f>_xlfn.TEXTJOIN(",",TRUE,'Base Game '!BB4:BB401)</f>
        <v>[3,100],[2,100],[5,100],[94,15],[94,25],[94,50],[5,100],[7,100],[3,100],[0,100],[0,100],[0,100],[7,100],[6,100],[4,100],[6,100],[4,100],[4,100],[0,100],[0,100],[0,100],[6,100],[3,100],[6,100],[2,100],[2,100],[3,100],[8,100],[2,100],[4,100],[4,100],[5,100],[6,100],[2,100],[7,100],[1,100],[1,100],[1,100],[5,100],[6,100],[94,50],[3,100],[94,100],[8,100],[2,100],[1,100],[1,100],[7,100],[3,100],[6,100],[7,100],[2,100],[4,100],[4,100],[0,100],[5,100],[2,100],[3,100],[5,100],[2,100],[3,100]</v>
      </c>
      <c r="H3" s="54"/>
      <c r="J3" s="54"/>
    </row>
    <row r="4" spans="1:10" x14ac:dyDescent="0.25">
      <c r="A4" s="49">
        <f>A3+1</f>
        <v>2</v>
      </c>
      <c r="B4" s="52">
        <v>1</v>
      </c>
      <c r="C4" s="53">
        <f>C3+1</f>
        <v>2</v>
      </c>
      <c r="D4" s="54" t="str">
        <f>_xlfn.TEXTJOIN(",",TRUE,'Base Game '!BC4:BC401)</f>
        <v>[1,100],[7,100],[92,100],[5,140],[90,144],[6,100],[4,100],[4,100],[2,100],[6,100],[5,100],[2,100],[2,100],[8,100],[5,100],[7,100],[4,100],[8,100],[92,100],[2,100],[4,100],[8,100],[7,100],[1,100],[1,100],[1,100],[3,100],[5,140],[90,150],[6,100],[1,100],[1,100],[1,100],[6,100],[94,15],[94,25],[94,50],[3,100],[3,100],[7,150],[90,200],[7,100],[0,100],[8,100],[94,50],[2,100],[94,100],[4,100],[4,200],[92,100],[6,100],[4,100],[0,100],[0,100],[0,100],[5,100],[2,100],[8,100]</v>
      </c>
      <c r="J4" s="54"/>
    </row>
    <row r="5" spans="1:10" x14ac:dyDescent="0.25">
      <c r="A5" s="49">
        <f>A4+1</f>
        <v>3</v>
      </c>
      <c r="B5" s="52">
        <v>1</v>
      </c>
      <c r="C5" s="53">
        <f>C4+1</f>
        <v>3</v>
      </c>
      <c r="D5" s="54" t="str">
        <f>_xlfn.TEXTJOIN(",",TRUE,'Base Game '!BD4:BD401)</f>
        <v>[0,100],[0,100],[0,100],[5,140],[90,144],[8,100],[2,100],[3,100],[0,100],[0,100],[7,100],[3,100],[7,100],[8,100],[7,100],[92,100],[7,100],[0,100],[0,100],[0,100],[5,100],[1,100],[4,100],[4,100],[2,130],[90,135],[7,100],[1,100],[1,100],[1,100],[6,100],[5,100],[94,50],[7,100],[94,100],[6,100],[3,100],[92,100],[6,100],[1,100],[1,100],[1,100],[6,100],[8,100],[3,100],[4,100],[3,100],[6,180],[90,195],[8,100],[0,100],[92,100],[5,100],[94,15],[94,25],[94,50],[6,100]</v>
      </c>
      <c r="J5" s="54"/>
    </row>
    <row r="6" spans="1:10" x14ac:dyDescent="0.25">
      <c r="A6" s="49">
        <f>A5+1</f>
        <v>4</v>
      </c>
      <c r="B6" s="52">
        <v>1</v>
      </c>
      <c r="C6" s="53">
        <f>C5+1</f>
        <v>4</v>
      </c>
      <c r="D6" s="54" t="str">
        <f>_xlfn.TEXTJOIN(",",TRUE,'Base Game '!BE4:BE401)</f>
        <v>[1,100],[1,100],[7,100],[8,100],[5,100],[3,100],[3,100],[5,100],[4,100],[0,100],[4,100],[2,100],[5,100],[92,100],[4,100],[8,100],[5,100],[4,100],[0,100],[0,100],[0,100],[5,100],[1,100],[1,100],[1,200],[6,190],[90,200],[5,100],[4,100],[2,100],[92,100],[3,100],[7,100],[0,100],[0,100],[0,100],[8,100],[94,50],[6,100],[94,100],[6,100],[3,100],[8,210],[7,210],[90,200],[6,100],[3,100],[6,100],[1,100],[1,100],[8,100],[94,15],[94,25],[94,50],[5,100],[3,100],[7,100],[8,100],[7,100],[92,100],[7,100],[8,100],[6,100],[1,100],[1,100],[1,100],[4,100],[8,100],[7,100],[2,100],[2,100],[7,100],[6,100],[4,100],[0,100],[0,100],[0,100],[5,100],[6,100],[1,100]</v>
      </c>
      <c r="J6" s="54"/>
    </row>
    <row r="7" spans="1:10" x14ac:dyDescent="0.25">
      <c r="A7" s="49">
        <f>A6+1</f>
        <v>5</v>
      </c>
      <c r="B7" s="52">
        <v>1</v>
      </c>
      <c r="C7" s="53">
        <f>C6+1</f>
        <v>5</v>
      </c>
      <c r="D7" s="54" t="str">
        <f t="array" ref="D7">_xlfn.TEXTJOIN(",",TRUE,'Base Game '!BF4:BF176)</f>
        <v>[3,100],[6,100],[94,15],[94,25],[94,50],[7,100],[0,100],[5,100],[6,100],[1,100],[1,100],[1,100],[6,100],[8,100],[2,100],[2,100],[3,100],[92,100],[6,100],[8,100],[94,50],[3,100],[94,100],[8,100],[7,100],[1,100],[1,100],[1,100],[2,100],[2,100],[5,100],[7,100],[6,100],[0,100],[0,100],[0,100],[4,100],[1,100],[8,100],[2,100],[6,100],[5,100],[3,100],[3,100],[8,100],[0,100],[0,100],[0,100],[92,100],[4,100],[1,100],[3,100],[4,100],[4,100],[0,100],[0,100],[0,100],[7,100],[1,100],[1,100],[1,100],[7,100],[6,100],[92,100],[6,100],[7,100],[0,100],[0,100],[0,100],[6,100],[5,100]</v>
      </c>
      <c r="J7" s="54"/>
    </row>
    <row r="8" spans="1:10" x14ac:dyDescent="0.25">
      <c r="A8" s="49"/>
      <c r="B8" s="52"/>
      <c r="C8" s="53"/>
      <c r="D8" s="54"/>
      <c r="J8" s="54"/>
    </row>
    <row r="9" spans="1:10" x14ac:dyDescent="0.25">
      <c r="A9" s="49"/>
      <c r="B9" s="52"/>
      <c r="C9" s="53"/>
      <c r="D9" s="54"/>
      <c r="J9" s="54"/>
    </row>
    <row r="10" spans="1:10" x14ac:dyDescent="0.25">
      <c r="A10" s="49"/>
      <c r="B10" s="52"/>
      <c r="C10" s="53"/>
      <c r="D10" s="54"/>
      <c r="J10" s="54"/>
    </row>
    <row r="11" spans="1:10" x14ac:dyDescent="0.25">
      <c r="A11" s="49"/>
      <c r="B11" s="52"/>
      <c r="C11" s="53"/>
      <c r="D11" s="54"/>
      <c r="J11" s="54"/>
    </row>
    <row r="12" spans="1:10" x14ac:dyDescent="0.25">
      <c r="A12" s="49"/>
      <c r="B12" s="52"/>
      <c r="C12" s="53"/>
      <c r="D12" s="54"/>
      <c r="J12" s="54"/>
    </row>
    <row r="13" spans="1:10" x14ac:dyDescent="0.25">
      <c r="A13" s="49"/>
      <c r="B13" s="52"/>
      <c r="C13" s="53"/>
      <c r="D13" s="54"/>
      <c r="J13" s="54"/>
    </row>
    <row r="14" spans="1:10" x14ac:dyDescent="0.25">
      <c r="A14" s="49"/>
      <c r="B14" s="52"/>
      <c r="C14" s="53"/>
      <c r="D14" s="54"/>
      <c r="J14" s="54"/>
    </row>
    <row r="15" spans="1:10" x14ac:dyDescent="0.25">
      <c r="A15" s="49"/>
      <c r="B15" s="52"/>
      <c r="C15" s="53"/>
      <c r="D15" s="54"/>
      <c r="J15" s="54"/>
    </row>
    <row r="16" spans="1:10" x14ac:dyDescent="0.25">
      <c r="A16" s="49"/>
      <c r="B16" s="52"/>
      <c r="C16" s="53"/>
      <c r="D16" s="54"/>
      <c r="J16" s="54"/>
    </row>
    <row r="17" spans="1:14" x14ac:dyDescent="0.25">
      <c r="A17" s="49"/>
      <c r="B17" s="52"/>
      <c r="C17" s="53"/>
      <c r="D17" s="54"/>
      <c r="J17" s="54"/>
    </row>
    <row r="18" spans="1:14" x14ac:dyDescent="0.25">
      <c r="A18" s="49"/>
      <c r="B18" s="52"/>
      <c r="C18" s="53"/>
      <c r="D18" s="54"/>
      <c r="J18" s="54"/>
    </row>
    <row r="19" spans="1:14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57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57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57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57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57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57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57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57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57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57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57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57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57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49"/>
      <c r="B309" s="6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49"/>
      <c r="B310" s="6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49"/>
      <c r="B311" s="6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49"/>
      <c r="B312" s="6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49"/>
      <c r="B313" s="6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49"/>
      <c r="B314" s="6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49"/>
      <c r="B315" s="6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49"/>
      <c r="B316" s="6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49"/>
      <c r="B317" s="6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49"/>
      <c r="B318" s="6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49"/>
      <c r="B319" s="6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49"/>
      <c r="B320" s="6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49"/>
      <c r="B321" s="6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49"/>
      <c r="B322" s="6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49"/>
      <c r="B323" s="6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49"/>
      <c r="B324" s="6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49"/>
      <c r="B325" s="6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49"/>
      <c r="B326" s="6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49"/>
      <c r="B327" s="6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49"/>
      <c r="B328" s="6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49"/>
      <c r="B329" s="6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49"/>
      <c r="B330" s="6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49"/>
      <c r="B331" s="6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49"/>
      <c r="B332" s="6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49"/>
      <c r="B333" s="6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49"/>
      <c r="B334" s="6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49"/>
      <c r="B335" s="6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49"/>
      <c r="B336" s="6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49"/>
      <c r="B337" s="6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49"/>
      <c r="B338" s="6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49"/>
      <c r="B339" s="6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49"/>
      <c r="B340" s="6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49"/>
      <c r="B341" s="6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49"/>
      <c r="B342" s="6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49"/>
      <c r="B343" s="6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49"/>
      <c r="B344" s="6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49"/>
      <c r="B345" s="6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49"/>
      <c r="B346" s="6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49"/>
      <c r="B347" s="6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49"/>
      <c r="B348" s="6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49"/>
      <c r="B349" s="6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49"/>
      <c r="B350" s="6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49"/>
      <c r="B351" s="6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49"/>
      <c r="B352" s="6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49"/>
      <c r="B353" s="6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49"/>
      <c r="B354" s="6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49"/>
      <c r="B355" s="6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49"/>
      <c r="B356" s="6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49"/>
      <c r="B357" s="6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49"/>
      <c r="B358" s="6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49"/>
      <c r="B359" s="6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49"/>
      <c r="B360" s="6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49"/>
      <c r="B361" s="6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49"/>
      <c r="B362" s="6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49"/>
      <c r="B363" s="6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49"/>
      <c r="B364" s="6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49"/>
      <c r="B365" s="6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49"/>
      <c r="B366" s="6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49"/>
      <c r="B367" s="6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49"/>
      <c r="B368" s="6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49"/>
      <c r="B369" s="6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49"/>
      <c r="B370" s="6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49"/>
      <c r="B371" s="6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49"/>
      <c r="B372" s="6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49"/>
      <c r="B373" s="6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49"/>
      <c r="B374" s="6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49"/>
      <c r="B375" s="6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49"/>
      <c r="B376" s="6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49"/>
      <c r="B377" s="6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49"/>
      <c r="B378" s="6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49"/>
      <c r="B379" s="6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49"/>
      <c r="B380" s="6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49"/>
      <c r="B381" s="6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49"/>
      <c r="B382" s="6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49"/>
      <c r="B383" s="6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49"/>
      <c r="B384" s="6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49"/>
      <c r="B385" s="6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49"/>
      <c r="B386" s="6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49"/>
      <c r="B387" s="6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49"/>
      <c r="B388" s="6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49"/>
      <c r="B389" s="6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49"/>
      <c r="B390" s="6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49"/>
      <c r="B391" s="6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49"/>
      <c r="B392" s="6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49"/>
      <c r="B393" s="6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49"/>
      <c r="B394" s="6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49"/>
      <c r="B395" s="6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49"/>
      <c r="B396" s="6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49"/>
      <c r="B397" s="6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49"/>
      <c r="B398" s="6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49"/>
      <c r="B399" s="6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49"/>
      <c r="B400" s="6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49"/>
      <c r="B401" s="6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49"/>
      <c r="B402" s="6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49"/>
      <c r="B403" s="6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49"/>
      <c r="B404" s="6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49"/>
      <c r="B405" s="6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49"/>
      <c r="B406" s="6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49"/>
      <c r="B407" s="6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49"/>
      <c r="B408" s="6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49"/>
      <c r="B409" s="6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49"/>
      <c r="B410" s="6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49"/>
      <c r="B411" s="6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49"/>
      <c r="B412" s="6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49"/>
      <c r="B413" s="6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49"/>
      <c r="B414" s="6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49"/>
      <c r="B415" s="6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49"/>
      <c r="B416" s="6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49"/>
      <c r="B417" s="6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49"/>
      <c r="B418" s="6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49"/>
      <c r="B419" s="6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49"/>
      <c r="B420" s="6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49"/>
      <c r="B421" s="6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49"/>
      <c r="B422" s="6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49"/>
      <c r="B423" s="6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49"/>
      <c r="B424" s="6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49"/>
      <c r="B425" s="6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49"/>
      <c r="B426" s="6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49"/>
      <c r="B427" s="6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49"/>
      <c r="B428" s="6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49"/>
      <c r="B429" s="6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49"/>
      <c r="B430" s="6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49"/>
      <c r="B431" s="6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49"/>
      <c r="B432" s="6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49"/>
      <c r="B433" s="6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49"/>
      <c r="B434" s="6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49"/>
      <c r="B435" s="6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49"/>
      <c r="B436" s="6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49"/>
      <c r="B437" s="6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49"/>
      <c r="B438" s="6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49"/>
      <c r="B439" s="6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49"/>
      <c r="B440" s="6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49"/>
      <c r="B441" s="6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49"/>
      <c r="B442" s="6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49"/>
      <c r="B443" s="6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49"/>
      <c r="B444" s="6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49"/>
      <c r="B445" s="6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49"/>
      <c r="B446" s="6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49"/>
      <c r="B447" s="6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49"/>
      <c r="B448" s="6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49"/>
      <c r="B449" s="6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49"/>
      <c r="B450" s="6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49"/>
      <c r="B451" s="6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49"/>
      <c r="B452" s="6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49"/>
      <c r="B453" s="6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49"/>
      <c r="B454" s="6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49"/>
      <c r="B455" s="6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49"/>
      <c r="B456" s="6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49"/>
      <c r="B457" s="6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49"/>
      <c r="B458" s="6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49"/>
      <c r="B459" s="6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49"/>
      <c r="B460" s="6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49"/>
      <c r="B461" s="6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49"/>
      <c r="B462" s="6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49"/>
      <c r="B463" s="6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49"/>
      <c r="B464" s="6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49"/>
      <c r="B465" s="6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49"/>
      <c r="B466" s="6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49"/>
      <c r="B467" s="6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49"/>
      <c r="B468" s="6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49"/>
      <c r="B469" s="6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49"/>
      <c r="B470" s="6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49"/>
      <c r="B471" s="6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49"/>
      <c r="B472" s="6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49"/>
      <c r="B473" s="6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49"/>
      <c r="B474" s="6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49"/>
      <c r="B475" s="6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49"/>
      <c r="B476" s="6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49"/>
      <c r="B477" s="6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49"/>
      <c r="B478" s="6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49"/>
      <c r="B479" s="6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49"/>
      <c r="B480" s="6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49"/>
      <c r="B481" s="6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49"/>
      <c r="B482" s="6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49"/>
      <c r="B483" s="6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49"/>
      <c r="B484" s="6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49"/>
      <c r="B485" s="6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49"/>
      <c r="B486" s="6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49"/>
      <c r="B487" s="6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49"/>
      <c r="B488" s="6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49"/>
      <c r="B489" s="6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49"/>
      <c r="B490" s="6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49"/>
      <c r="B491" s="6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49"/>
      <c r="B492" s="6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49"/>
      <c r="B493" s="6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49"/>
      <c r="B494" s="6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49"/>
      <c r="B495" s="6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49"/>
      <c r="B496" s="6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49"/>
      <c r="B497" s="6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49"/>
      <c r="B498" s="6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49"/>
      <c r="B499" s="6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x14ac:dyDescent="0.25">
      <c r="A500" s="49"/>
      <c r="B500" s="6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 spans="1:57" x14ac:dyDescent="0.25">
      <c r="A501" s="49"/>
      <c r="B501" s="6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 spans="1:57" x14ac:dyDescent="0.25">
      <c r="A502" s="49"/>
      <c r="B502" s="6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 spans="1:57" x14ac:dyDescent="0.25">
      <c r="A503" s="49"/>
      <c r="B503" s="6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 spans="1:57" x14ac:dyDescent="0.25">
      <c r="A504" s="49"/>
      <c r="B504" s="6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 spans="1:57" x14ac:dyDescent="0.25">
      <c r="A505" s="49"/>
      <c r="B505" s="6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 spans="1:57" x14ac:dyDescent="0.25">
      <c r="A506" s="49"/>
      <c r="B506" s="6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 spans="1:57" x14ac:dyDescent="0.25">
      <c r="A507" s="49"/>
      <c r="B507" s="6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 spans="1:57" x14ac:dyDescent="0.25">
      <c r="A508" s="49"/>
      <c r="B508" s="6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 spans="1:57" x14ac:dyDescent="0.25">
      <c r="A509" s="49"/>
      <c r="B509" s="6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spans="1:57" x14ac:dyDescent="0.25">
      <c r="A510" s="49"/>
      <c r="B510" s="6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spans="1:57" x14ac:dyDescent="0.25">
      <c r="A511" s="49"/>
      <c r="B511" s="6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spans="1:57" x14ac:dyDescent="0.25">
      <c r="A512" s="49"/>
      <c r="B512" s="6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spans="1:57" x14ac:dyDescent="0.25">
      <c r="A513" s="49"/>
      <c r="B513" s="6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spans="1:57" x14ac:dyDescent="0.25">
      <c r="A514" s="49"/>
      <c r="B514" s="6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spans="1:57" x14ac:dyDescent="0.25">
      <c r="A515" s="49"/>
      <c r="B515" s="6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spans="1:57" x14ac:dyDescent="0.25">
      <c r="A516" s="49"/>
      <c r="B516" s="6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spans="1:57" x14ac:dyDescent="0.25">
      <c r="A517" s="49"/>
      <c r="B517" s="6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spans="1:57" x14ac:dyDescent="0.25">
      <c r="A518" s="49"/>
      <c r="B518" s="6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spans="1:57" x14ac:dyDescent="0.25">
      <c r="A519" s="49"/>
      <c r="B519" s="6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 spans="1:57" x14ac:dyDescent="0.25">
      <c r="A520" s="49"/>
      <c r="B520" s="6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 spans="1:57" x14ac:dyDescent="0.25">
      <c r="A521" s="49"/>
      <c r="B521" s="6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 spans="1:57" x14ac:dyDescent="0.25">
      <c r="A522" s="49"/>
      <c r="B522" s="6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 spans="1:57" x14ac:dyDescent="0.25">
      <c r="A523" s="49"/>
      <c r="B523" s="6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 spans="1:57" x14ac:dyDescent="0.25">
      <c r="A524" s="49"/>
      <c r="B524" s="6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 spans="1:57" x14ac:dyDescent="0.25">
      <c r="A525" s="49"/>
      <c r="B525" s="6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 spans="1:57" x14ac:dyDescent="0.25">
      <c r="A526" s="49"/>
      <c r="B526" s="6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 spans="1:57" x14ac:dyDescent="0.25">
      <c r="A527" s="49"/>
      <c r="B527" s="6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 spans="1:57" x14ac:dyDescent="0.25">
      <c r="A528" s="49"/>
      <c r="B528" s="6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 spans="1:57" x14ac:dyDescent="0.25">
      <c r="A529" s="49"/>
      <c r="B529" s="6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 spans="1:57" x14ac:dyDescent="0.25">
      <c r="A530" s="49"/>
      <c r="B530" s="6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 spans="1:57" x14ac:dyDescent="0.25">
      <c r="A531" s="49"/>
      <c r="B531" s="6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 spans="1:57" x14ac:dyDescent="0.25">
      <c r="A532" s="49"/>
      <c r="B532" s="6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 spans="1:57" x14ac:dyDescent="0.25">
      <c r="A533" s="49"/>
      <c r="B533" s="6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 spans="1:57" x14ac:dyDescent="0.25">
      <c r="A534" s="49"/>
      <c r="B534" s="6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 spans="1:57" x14ac:dyDescent="0.25">
      <c r="A535" s="49"/>
      <c r="B535" s="6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 spans="1:57" x14ac:dyDescent="0.25">
      <c r="A536" s="49"/>
      <c r="B536" s="6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 spans="1:57" x14ac:dyDescent="0.25">
      <c r="A537" s="49"/>
      <c r="B537" s="6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 spans="1:57" x14ac:dyDescent="0.25">
      <c r="A538" s="49"/>
      <c r="B538" s="6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 spans="1:57" x14ac:dyDescent="0.25">
      <c r="A539" s="49"/>
      <c r="B539" s="6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 spans="1:57" x14ac:dyDescent="0.25">
      <c r="A540" s="49"/>
      <c r="B540" s="6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 spans="1:57" x14ac:dyDescent="0.25">
      <c r="A541" s="49"/>
      <c r="B541" s="6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 spans="1:57" x14ac:dyDescent="0.25">
      <c r="A542" s="49"/>
      <c r="B542" s="6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 spans="1:57" x14ac:dyDescent="0.25">
      <c r="A543" s="49"/>
      <c r="B543" s="6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 spans="1:57" x14ac:dyDescent="0.25">
      <c r="A544" s="49"/>
      <c r="B544" s="6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 spans="1:57" x14ac:dyDescent="0.25">
      <c r="A545" s="49"/>
      <c r="B545" s="6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 spans="1:57" x14ac:dyDescent="0.25">
      <c r="A546" s="49"/>
      <c r="B546" s="6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 spans="1:57" x14ac:dyDescent="0.25">
      <c r="A547" s="49"/>
      <c r="B547" s="6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 spans="1:57" x14ac:dyDescent="0.25">
      <c r="A548" s="49"/>
      <c r="B548" s="6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 spans="1:57" x14ac:dyDescent="0.25">
      <c r="A549" s="49"/>
      <c r="B549" s="6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 spans="1:57" x14ac:dyDescent="0.25">
      <c r="A550" s="49"/>
      <c r="B550" s="6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 spans="1:57" x14ac:dyDescent="0.25">
      <c r="A551" s="49"/>
      <c r="B551" s="6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spans="1:57" x14ac:dyDescent="0.25">
      <c r="A552" s="49"/>
      <c r="B552" s="6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spans="1:57" x14ac:dyDescent="0.25">
      <c r="A553" s="49"/>
      <c r="B553" s="6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spans="1:57" x14ac:dyDescent="0.25">
      <c r="A554" s="49"/>
      <c r="B554" s="6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spans="1:57" x14ac:dyDescent="0.25">
      <c r="A555" s="49"/>
      <c r="B555" s="6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spans="1:57" x14ac:dyDescent="0.25">
      <c r="A556" s="49"/>
      <c r="B556" s="6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spans="1:57" x14ac:dyDescent="0.25">
      <c r="A557" s="49"/>
      <c r="B557" s="6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spans="1:57" x14ac:dyDescent="0.25">
      <c r="A558" s="49"/>
      <c r="B558" s="6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spans="1:57" x14ac:dyDescent="0.25">
      <c r="A559" s="49"/>
      <c r="B559" s="6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spans="1:57" x14ac:dyDescent="0.25">
      <c r="A560" s="49"/>
      <c r="B560" s="6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 spans="1:57" x14ac:dyDescent="0.25">
      <c r="A561" s="49"/>
      <c r="B561" s="6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 spans="1:57" x14ac:dyDescent="0.25">
      <c r="A562" s="49"/>
      <c r="B562" s="6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 spans="1:57" x14ac:dyDescent="0.25">
      <c r="A563" s="49"/>
      <c r="B563" s="6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spans="1:57" x14ac:dyDescent="0.25">
      <c r="A564" s="49"/>
      <c r="B564" s="6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spans="1:57" x14ac:dyDescent="0.25">
      <c r="A565" s="49"/>
      <c r="B565" s="6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spans="1:57" x14ac:dyDescent="0.25">
      <c r="A566" s="49"/>
      <c r="B566" s="6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spans="1:57" x14ac:dyDescent="0.25">
      <c r="A567" s="49"/>
      <c r="B567" s="6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spans="1:57" x14ac:dyDescent="0.25">
      <c r="A568" s="49"/>
      <c r="B568" s="6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spans="1:57" x14ac:dyDescent="0.25">
      <c r="A569" s="49"/>
      <c r="B569" s="6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spans="1:57" x14ac:dyDescent="0.25">
      <c r="A570" s="49"/>
      <c r="B570" s="6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spans="1:57" x14ac:dyDescent="0.25">
      <c r="A571" s="49"/>
      <c r="B571" s="6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 spans="1:57" x14ac:dyDescent="0.25">
      <c r="A572" s="49"/>
      <c r="B572" s="6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 spans="1:57" x14ac:dyDescent="0.25">
      <c r="A573" s="49"/>
      <c r="B573" s="6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 spans="1:57" x14ac:dyDescent="0.25">
      <c r="A574" s="49"/>
      <c r="B574" s="6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 spans="1:57" x14ac:dyDescent="0.25">
      <c r="A575" s="49"/>
      <c r="B575" s="6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 spans="1:57" x14ac:dyDescent="0.25">
      <c r="A576" s="49"/>
      <c r="B576" s="6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 spans="1:57" x14ac:dyDescent="0.25">
      <c r="A577" s="49"/>
      <c r="B577" s="6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 spans="1:57" x14ac:dyDescent="0.25">
      <c r="A578" s="49"/>
      <c r="B578" s="6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 spans="1:57" x14ac:dyDescent="0.25">
      <c r="A579" s="49"/>
      <c r="B579" s="6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 spans="1:57" x14ac:dyDescent="0.25">
      <c r="A580" s="49"/>
      <c r="B580" s="6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 spans="1:57" x14ac:dyDescent="0.25">
      <c r="A581" s="49"/>
      <c r="B581" s="6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 spans="1:57" x14ac:dyDescent="0.25">
      <c r="A582" s="49"/>
      <c r="B582" s="6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 spans="1:57" x14ac:dyDescent="0.25">
      <c r="A583" s="49"/>
      <c r="B583" s="6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 spans="1:57" x14ac:dyDescent="0.25">
      <c r="A584" s="49"/>
      <c r="B584" s="6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 spans="1:57" x14ac:dyDescent="0.25">
      <c r="A585" s="49"/>
      <c r="B585" s="6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 spans="1:57" x14ac:dyDescent="0.25">
      <c r="A586" s="49"/>
      <c r="B586" s="6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 spans="1:57" x14ac:dyDescent="0.25">
      <c r="A587" s="49"/>
      <c r="B587" s="6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 spans="1:57" x14ac:dyDescent="0.25">
      <c r="A588" s="49"/>
      <c r="B588" s="6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 spans="1:57" x14ac:dyDescent="0.25">
      <c r="A589" s="49"/>
      <c r="B589" s="6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 spans="1:57" x14ac:dyDescent="0.25">
      <c r="A590" s="49"/>
      <c r="B590" s="6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 spans="1:57" x14ac:dyDescent="0.25">
      <c r="A591" s="49"/>
      <c r="B591" s="6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 spans="1:57" x14ac:dyDescent="0.25">
      <c r="A592" s="49"/>
      <c r="B592" s="6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 spans="1:57" x14ac:dyDescent="0.25">
      <c r="A593" s="49"/>
      <c r="B593" s="6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 spans="1:57" x14ac:dyDescent="0.25">
      <c r="A594" s="49"/>
      <c r="B594" s="6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 spans="1:57" x14ac:dyDescent="0.25">
      <c r="A595" s="49"/>
      <c r="B595" s="6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 spans="1:57" x14ac:dyDescent="0.25">
      <c r="A596" s="49"/>
      <c r="B596" s="6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 spans="1:57" x14ac:dyDescent="0.25">
      <c r="A597" s="49"/>
      <c r="B597" s="6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 spans="1:57" x14ac:dyDescent="0.25">
      <c r="A598" s="49"/>
      <c r="B598" s="6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 spans="1:57" x14ac:dyDescent="0.25">
      <c r="A599" s="49"/>
      <c r="B599" s="6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 spans="1:57" x14ac:dyDescent="0.25">
      <c r="A600" s="49"/>
      <c r="B600" s="6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 spans="1:57" x14ac:dyDescent="0.25">
      <c r="A601" s="49"/>
      <c r="B601" s="6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 spans="1:57" x14ac:dyDescent="0.25">
      <c r="A602" s="49"/>
      <c r="B602" s="6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 spans="1:57" x14ac:dyDescent="0.25">
      <c r="A603" s="49"/>
      <c r="B603" s="6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 spans="1:57" x14ac:dyDescent="0.25">
      <c r="A604" s="49"/>
      <c r="B604" s="6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 spans="1:57" x14ac:dyDescent="0.25">
      <c r="A605" s="49"/>
      <c r="B605" s="6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 spans="1:57" x14ac:dyDescent="0.25">
      <c r="A606" s="49"/>
      <c r="B606" s="6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 spans="1:57" x14ac:dyDescent="0.25">
      <c r="A607" s="49"/>
      <c r="B607" s="6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 spans="1:57" x14ac:dyDescent="0.25">
      <c r="A608" s="49"/>
      <c r="B608" s="6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 spans="1:57" x14ac:dyDescent="0.25">
      <c r="A609" s="49"/>
      <c r="B609" s="6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 spans="1:57" x14ac:dyDescent="0.25">
      <c r="A610" s="49"/>
      <c r="B610" s="6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 spans="1:57" x14ac:dyDescent="0.25">
      <c r="A611" s="49"/>
      <c r="B611" s="6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 spans="1:57" x14ac:dyDescent="0.25">
      <c r="A612" s="49"/>
      <c r="B612" s="6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 spans="1:57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 spans="1:57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 spans="1:57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 spans="1:57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 spans="1:57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 spans="1:57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 spans="1:57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 spans="1:57" x14ac:dyDescent="0.25">
      <c r="C620" s="1"/>
      <c r="D620" s="1"/>
      <c r="E620" s="1"/>
      <c r="F620" s="1" t="str">
        <f>IF([1]Base3!B201="","",",["&amp;VLOOKUP([1]Base3!B201,'[1]#&lt;config&gt;'!$D$2:$E$18,2,0)&amp;",10]")</f>
        <v/>
      </c>
      <c r="G620" s="1" t="str">
        <f>IF([1]Base3!C201="","",",["&amp;VLOOKUP([1]Base3!C201,'[1]#&lt;config&gt;'!$D$2:$E$18,2,0)&amp;",10]")</f>
        <v/>
      </c>
      <c r="H620" s="1" t="str">
        <f>IF([1]Base3!D201="","",",["&amp;VLOOKUP([1]Base3!D201,'[1]#&lt;config&gt;'!$D$2:$E$18,2,0)&amp;",10]")</f>
        <v/>
      </c>
      <c r="I620" s="1" t="str">
        <f>IF([1]Base3!E201="","",",["&amp;VLOOKUP([1]Base3!E201,'[1]#&lt;config&gt;'!$D$2:$E$18,2,0)&amp;",10]")</f>
        <v/>
      </c>
      <c r="J620" s="1" t="str">
        <f>IF([1]Base3!F201="","",",["&amp;VLOOKUP([1]Base3!F201,'[1]#&lt;config&gt;'!$D$2:$E$18,2,0)&amp;",10]")</f>
        <v/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 spans="1:57" x14ac:dyDescent="0.25">
      <c r="C621" s="1"/>
      <c r="D621" s="1"/>
      <c r="E621" s="1"/>
      <c r="F621" s="1" t="str">
        <f>IF([1]Base3!B202="","",",["&amp;VLOOKUP([1]Base3!B202,'[1]#&lt;config&gt;'!$D$2:$E$18,2,0)&amp;",10]")</f>
        <v/>
      </c>
      <c r="G621" s="1" t="str">
        <f>IF([1]Base3!C202="","",",["&amp;VLOOKUP([1]Base3!C202,'[1]#&lt;config&gt;'!$D$2:$E$18,2,0)&amp;",10]")</f>
        <v/>
      </c>
      <c r="H621" s="1" t="str">
        <f>IF([1]Base3!D202="","",",["&amp;VLOOKUP([1]Base3!D202,'[1]#&lt;config&gt;'!$D$2:$E$18,2,0)&amp;",10]")</f>
        <v/>
      </c>
      <c r="I621" s="1" t="str">
        <f>IF([1]Base3!E202="","",",["&amp;VLOOKUP([1]Base3!E202,'[1]#&lt;config&gt;'!$D$2:$E$18,2,0)&amp;",10]")</f>
        <v/>
      </c>
      <c r="J621" s="1" t="str">
        <f>IF([1]Base3!F202="","",",["&amp;VLOOKUP([1]Base3!F202,'[1]#&lt;config&gt;'!$D$2:$E$18,2,0)&amp;",10]")</f>
        <v/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 spans="1:57" x14ac:dyDescent="0.25">
      <c r="C622" s="1"/>
      <c r="D622" s="1"/>
      <c r="E622" s="1"/>
      <c r="F622" s="1" t="str">
        <f>IF([1]Base3!B203="","",",["&amp;VLOOKUP([1]Base3!B203,'[1]#&lt;config&gt;'!$D$2:$E$18,2,0)&amp;",10]")</f>
        <v/>
      </c>
      <c r="G622" s="1" t="str">
        <f>IF([1]Base3!C203="","",",["&amp;VLOOKUP([1]Base3!C203,'[1]#&lt;config&gt;'!$D$2:$E$18,2,0)&amp;",10]")</f>
        <v/>
      </c>
      <c r="H622" s="1" t="str">
        <f>IF([1]Base3!D203="","",",["&amp;VLOOKUP([1]Base3!D203,'[1]#&lt;config&gt;'!$D$2:$E$18,2,0)&amp;",10]")</f>
        <v/>
      </c>
      <c r="I622" s="1" t="str">
        <f>IF([1]Base3!E203="","",",["&amp;VLOOKUP([1]Base3!E203,'[1]#&lt;config&gt;'!$D$2:$E$18,2,0)&amp;",10]")</f>
        <v/>
      </c>
      <c r="J622" s="1" t="str">
        <f>IF([1]Base3!F203="","",",["&amp;VLOOKUP([1]Base3!F203,'[1]#&lt;config&gt;'!$D$2:$E$18,2,0)&amp;",10]")</f>
        <v/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 spans="1:57" x14ac:dyDescent="0.25">
      <c r="C623" s="1"/>
      <c r="D623" s="1"/>
      <c r="E623" s="1"/>
      <c r="F623" s="1" t="str">
        <f>IF([1]Base3!B204="","",",["&amp;VLOOKUP([1]Base3!B204,'[1]#&lt;config&gt;'!$D$2:$E$18,2,0)&amp;",10]")</f>
        <v/>
      </c>
      <c r="G623" s="1" t="str">
        <f>IF([1]Base3!C204="","",",["&amp;VLOOKUP([1]Base3!C204,'[1]#&lt;config&gt;'!$D$2:$E$18,2,0)&amp;",10]")</f>
        <v/>
      </c>
      <c r="H623" s="1" t="str">
        <f>IF([1]Base3!D204="","",",["&amp;VLOOKUP([1]Base3!D204,'[1]#&lt;config&gt;'!$D$2:$E$18,2,0)&amp;",10]")</f>
        <v/>
      </c>
      <c r="I623" s="1" t="str">
        <f>IF([1]Base3!E204="","",",["&amp;VLOOKUP([1]Base3!E204,'[1]#&lt;config&gt;'!$D$2:$E$18,2,0)&amp;",10]")</f>
        <v/>
      </c>
      <c r="J623" s="1" t="str">
        <f>IF([1]Base3!F204="","",",["&amp;VLOOKUP([1]Base3!F204,'[1]#&lt;config&gt;'!$D$2:$E$18,2,0)&amp;",10]")</f>
        <v/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 spans="1:57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 spans="2:57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 spans="2:57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 spans="2:57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 spans="2:57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 spans="2:57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 spans="2:57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 spans="2:57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 spans="2:57" x14ac:dyDescent="0.25">
      <c r="B632" s="4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 spans="2:57" x14ac:dyDescent="0.25">
      <c r="B633" s="4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 spans="2:57" x14ac:dyDescent="0.25">
      <c r="B634" s="4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 spans="2:57" x14ac:dyDescent="0.25">
      <c r="B635" s="4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 spans="2:57" x14ac:dyDescent="0.25">
      <c r="B636" s="4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 spans="2:57" x14ac:dyDescent="0.25">
      <c r="B637" s="4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 spans="2:57" x14ac:dyDescent="0.25">
      <c r="B638" s="4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 spans="2:57" x14ac:dyDescent="0.25">
      <c r="B639" s="4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 spans="2:57" x14ac:dyDescent="0.25">
      <c r="B640" s="4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 spans="2:57" x14ac:dyDescent="0.25">
      <c r="B641" s="4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 spans="2:57" x14ac:dyDescent="0.25">
      <c r="B642" s="4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 spans="2:57" x14ac:dyDescent="0.25">
      <c r="B643" s="4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 spans="2:57" x14ac:dyDescent="0.25">
      <c r="B644" s="4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 spans="2:57" x14ac:dyDescent="0.25">
      <c r="B645" s="4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 spans="2:57" x14ac:dyDescent="0.25">
      <c r="B646" s="4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 spans="2:57" x14ac:dyDescent="0.25">
      <c r="B647" s="4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 spans="2:57" x14ac:dyDescent="0.25">
      <c r="B648" s="4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 spans="2:57" x14ac:dyDescent="0.25">
      <c r="B649" s="4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 spans="2:57" x14ac:dyDescent="0.25">
      <c r="B650" s="4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 spans="2:57" x14ac:dyDescent="0.25">
      <c r="B651" s="4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 spans="2:57" x14ac:dyDescent="0.25">
      <c r="B652" s="4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 spans="2:57" x14ac:dyDescent="0.25">
      <c r="B653" s="4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 spans="2:57" x14ac:dyDescent="0.25">
      <c r="B654" s="4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 spans="2:57" x14ac:dyDescent="0.25">
      <c r="B655" s="4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 spans="2:57" x14ac:dyDescent="0.25">
      <c r="B656" s="4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 spans="2:57" x14ac:dyDescent="0.25">
      <c r="B657" s="4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 spans="2:57" x14ac:dyDescent="0.25">
      <c r="B658" s="4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 spans="2:57" x14ac:dyDescent="0.25">
      <c r="B659" s="4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 spans="2:57" x14ac:dyDescent="0.25">
      <c r="B660" s="4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 spans="2:57" x14ac:dyDescent="0.25">
      <c r="B661" s="4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 spans="2:57" x14ac:dyDescent="0.25">
      <c r="B662" s="4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 spans="2:57" x14ac:dyDescent="0.25">
      <c r="B663" s="4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 spans="2:57" x14ac:dyDescent="0.25">
      <c r="B664" s="4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 spans="2:57" x14ac:dyDescent="0.25">
      <c r="B665" s="4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 spans="2:57" x14ac:dyDescent="0.25">
      <c r="B666" s="4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 spans="2:57" x14ac:dyDescent="0.25">
      <c r="B667" s="4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 spans="2:57" x14ac:dyDescent="0.25">
      <c r="B668" s="4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 spans="2:57" x14ac:dyDescent="0.25">
      <c r="B669" s="4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 spans="2:57" x14ac:dyDescent="0.25">
      <c r="B670" s="4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 spans="2:57" x14ac:dyDescent="0.25">
      <c r="B671" s="4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 spans="2:57" x14ac:dyDescent="0.25">
      <c r="B672" s="4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 spans="2:57" x14ac:dyDescent="0.25">
      <c r="B673" s="4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 spans="2:57" x14ac:dyDescent="0.25">
      <c r="B674" s="4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 spans="2:57" x14ac:dyDescent="0.25">
      <c r="B675" s="4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 spans="2:57" x14ac:dyDescent="0.25">
      <c r="B676" s="4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 spans="2:57" x14ac:dyDescent="0.25">
      <c r="B677" s="4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 spans="2:57" x14ac:dyDescent="0.25">
      <c r="B678" s="4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 spans="2:57" x14ac:dyDescent="0.25">
      <c r="B679" s="4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 spans="2:57" x14ac:dyDescent="0.25">
      <c r="B680" s="4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 spans="2:57" x14ac:dyDescent="0.25">
      <c r="B681" s="4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 spans="2:57" x14ac:dyDescent="0.25">
      <c r="B682" s="4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 spans="2:57" x14ac:dyDescent="0.25">
      <c r="B683" s="4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 spans="2:57" x14ac:dyDescent="0.25">
      <c r="B684" s="4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 spans="2:57" x14ac:dyDescent="0.25">
      <c r="B685" s="4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 spans="2:57" x14ac:dyDescent="0.25">
      <c r="B686" s="4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 spans="2:57" x14ac:dyDescent="0.25">
      <c r="B687" s="4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 spans="2:57" x14ac:dyDescent="0.25">
      <c r="B688" s="4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 spans="2:57" x14ac:dyDescent="0.25">
      <c r="B689" s="4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 spans="2:57" x14ac:dyDescent="0.25">
      <c r="B690" s="4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 spans="2:57" x14ac:dyDescent="0.25">
      <c r="B691" s="4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 spans="2:57" x14ac:dyDescent="0.25">
      <c r="B692" s="4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 spans="2:57" x14ac:dyDescent="0.25">
      <c r="B693" s="4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 spans="2:57" x14ac:dyDescent="0.25">
      <c r="B694" s="4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 spans="2:57" x14ac:dyDescent="0.25">
      <c r="B695" s="4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 spans="2:57" x14ac:dyDescent="0.25">
      <c r="B696" s="4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 spans="2:57" x14ac:dyDescent="0.25">
      <c r="B697" s="4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 spans="2:57" x14ac:dyDescent="0.25">
      <c r="B698" s="4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 spans="2:57" x14ac:dyDescent="0.25">
      <c r="B699" s="4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 spans="2:57" x14ac:dyDescent="0.25">
      <c r="B700" s="4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 spans="2:57" x14ac:dyDescent="0.25">
      <c r="B701" s="4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 spans="2:57" x14ac:dyDescent="0.25">
      <c r="B702" s="4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 spans="2:57" x14ac:dyDescent="0.25">
      <c r="B703" s="4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 spans="2:57" x14ac:dyDescent="0.25">
      <c r="B704" s="4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 spans="2:57" x14ac:dyDescent="0.25">
      <c r="B705" s="4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 spans="2:57" x14ac:dyDescent="0.25">
      <c r="B706" s="4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 spans="2:57" x14ac:dyDescent="0.25">
      <c r="B707" s="4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 spans="2:57" x14ac:dyDescent="0.25">
      <c r="B708" s="4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 spans="2:57" x14ac:dyDescent="0.25">
      <c r="B709" s="4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 spans="2:57" x14ac:dyDescent="0.25">
      <c r="B710" s="4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 spans="2:57" x14ac:dyDescent="0.25">
      <c r="B711" s="4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 spans="2:57" x14ac:dyDescent="0.25">
      <c r="B712" s="4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 spans="2:57" x14ac:dyDescent="0.25">
      <c r="B713" s="4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 spans="2:57" x14ac:dyDescent="0.25">
      <c r="B714" s="4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 spans="2:57" x14ac:dyDescent="0.25">
      <c r="B715" s="4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 spans="2:57" x14ac:dyDescent="0.25">
      <c r="B716" s="4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 spans="2:57" x14ac:dyDescent="0.25">
      <c r="B717" s="4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 spans="2:57" x14ac:dyDescent="0.25">
      <c r="B718" s="4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 spans="2:57" x14ac:dyDescent="0.25">
      <c r="B719" s="4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 spans="2:57" x14ac:dyDescent="0.25">
      <c r="B720" s="4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 spans="2:57" x14ac:dyDescent="0.25">
      <c r="B721" s="4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 spans="2:57" x14ac:dyDescent="0.25">
      <c r="B722" s="4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 spans="2:57" x14ac:dyDescent="0.25">
      <c r="B723" s="4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 spans="2:57" x14ac:dyDescent="0.25">
      <c r="B724" s="4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 spans="2:57" x14ac:dyDescent="0.25">
      <c r="B725" s="4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 spans="2:57" x14ac:dyDescent="0.25">
      <c r="B726" s="4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 spans="2:57" x14ac:dyDescent="0.25">
      <c r="B727" s="4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 spans="2:57" x14ac:dyDescent="0.25">
      <c r="B728" s="4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 spans="2:57" x14ac:dyDescent="0.25">
      <c r="B729" s="4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 spans="2:57" x14ac:dyDescent="0.25">
      <c r="B730" s="4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 spans="2:57" x14ac:dyDescent="0.25">
      <c r="B731" s="4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 spans="2:57" x14ac:dyDescent="0.25">
      <c r="B732" s="4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 spans="2:57" x14ac:dyDescent="0.25">
      <c r="B733" s="4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 spans="2:57" x14ac:dyDescent="0.25">
      <c r="B734" s="4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 spans="2:57" x14ac:dyDescent="0.25">
      <c r="B735" s="4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 spans="2:57" x14ac:dyDescent="0.25">
      <c r="B736" s="4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 spans="2:57" x14ac:dyDescent="0.25">
      <c r="B737" s="4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 spans="2:57" x14ac:dyDescent="0.25">
      <c r="B738" s="4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 spans="2:57" x14ac:dyDescent="0.25">
      <c r="B739" s="4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 spans="2:57" x14ac:dyDescent="0.25">
      <c r="B740" s="4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 spans="2:57" x14ac:dyDescent="0.25">
      <c r="B741" s="4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 spans="2:57" x14ac:dyDescent="0.25">
      <c r="B742" s="4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 spans="2:57" x14ac:dyDescent="0.25">
      <c r="B743" s="4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 spans="2:57" x14ac:dyDescent="0.25">
      <c r="B744" s="4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 spans="2:57" x14ac:dyDescent="0.25">
      <c r="B745" s="4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 spans="2:57" x14ac:dyDescent="0.25">
      <c r="B746" s="4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 spans="2:57" x14ac:dyDescent="0.25">
      <c r="B747" s="4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 spans="2:57" x14ac:dyDescent="0.25">
      <c r="B748" s="4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 spans="2:57" x14ac:dyDescent="0.25">
      <c r="B749" s="4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 spans="2:57" x14ac:dyDescent="0.25">
      <c r="B750" s="4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 spans="2:57" x14ac:dyDescent="0.25">
      <c r="B751" s="4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 spans="2:57" x14ac:dyDescent="0.25">
      <c r="B752" s="4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 spans="2:57" x14ac:dyDescent="0.25">
      <c r="B753" s="4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 spans="2:57" x14ac:dyDescent="0.25">
      <c r="B754" s="4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 spans="2:57" x14ac:dyDescent="0.25">
      <c r="B755" s="4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 spans="2:57" x14ac:dyDescent="0.25">
      <c r="B756" s="4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 spans="2:57" x14ac:dyDescent="0.25">
      <c r="B757" s="4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 spans="2:57" x14ac:dyDescent="0.25">
      <c r="B758" s="4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 spans="2:57" x14ac:dyDescent="0.25">
      <c r="B759" s="4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 spans="2:57" x14ac:dyDescent="0.25">
      <c r="B760" s="4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 spans="2:57" x14ac:dyDescent="0.25">
      <c r="B761" s="4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 spans="2:57" x14ac:dyDescent="0.25">
      <c r="B762" s="4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 spans="2:57" x14ac:dyDescent="0.25">
      <c r="B763" s="4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 spans="2:57" x14ac:dyDescent="0.25">
      <c r="B764" s="4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 spans="2:57" x14ac:dyDescent="0.25">
      <c r="B765" s="4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 spans="2:57" x14ac:dyDescent="0.25">
      <c r="B766" s="4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 spans="2:57" x14ac:dyDescent="0.25">
      <c r="B767" s="4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 spans="2:57" x14ac:dyDescent="0.25">
      <c r="B768" s="4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 spans="2:57" x14ac:dyDescent="0.25">
      <c r="B769" s="4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 spans="2:57" x14ac:dyDescent="0.25">
      <c r="B770" s="4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 spans="2:57" x14ac:dyDescent="0.25">
      <c r="B771" s="4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 spans="2:57" x14ac:dyDescent="0.25">
      <c r="B772" s="4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 spans="2:57" x14ac:dyDescent="0.25">
      <c r="B773" s="4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 spans="2:57" x14ac:dyDescent="0.25">
      <c r="B774" s="4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 spans="2:57" x14ac:dyDescent="0.25">
      <c r="B775" s="4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 spans="2:57" x14ac:dyDescent="0.25">
      <c r="B776" s="4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 spans="2:57" x14ac:dyDescent="0.25">
      <c r="B777" s="4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 spans="2:57" x14ac:dyDescent="0.25">
      <c r="B778" s="4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 spans="2:57" x14ac:dyDescent="0.25">
      <c r="B779" s="4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 spans="2:57" x14ac:dyDescent="0.25">
      <c r="B780" s="4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 spans="2:57" x14ac:dyDescent="0.25">
      <c r="B781" s="4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 spans="2:57" x14ac:dyDescent="0.25">
      <c r="B782" s="4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 spans="2:57" x14ac:dyDescent="0.25">
      <c r="B783" s="4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 spans="2:57" x14ac:dyDescent="0.25">
      <c r="B784" s="4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 spans="2:57" x14ac:dyDescent="0.25">
      <c r="B785" s="4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 spans="2:57" x14ac:dyDescent="0.25">
      <c r="B786" s="4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 spans="2:57" x14ac:dyDescent="0.25">
      <c r="B787" s="4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 spans="2:57" x14ac:dyDescent="0.25">
      <c r="B788" s="4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 spans="2:57" x14ac:dyDescent="0.25">
      <c r="B789" s="4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 spans="2:57" x14ac:dyDescent="0.25">
      <c r="B790" s="4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 spans="2:57" x14ac:dyDescent="0.25">
      <c r="B791" s="4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 spans="2:57" x14ac:dyDescent="0.25">
      <c r="B792" s="4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 spans="2:57" x14ac:dyDescent="0.25">
      <c r="B793" s="4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 spans="2:57" x14ac:dyDescent="0.25">
      <c r="B794" s="4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 spans="2:57" x14ac:dyDescent="0.25">
      <c r="B795" s="4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 spans="2:57" x14ac:dyDescent="0.25">
      <c r="B796" s="4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 spans="2:57" x14ac:dyDescent="0.25">
      <c r="B797" s="4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 spans="2:57" x14ac:dyDescent="0.25">
      <c r="B798" s="4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 spans="2:57" x14ac:dyDescent="0.25">
      <c r="B799" s="4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 spans="2:57" x14ac:dyDescent="0.25">
      <c r="B800" s="4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 spans="2:57" x14ac:dyDescent="0.25">
      <c r="B801" s="4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 spans="2:57" x14ac:dyDescent="0.25">
      <c r="B802" s="4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 spans="2:57" x14ac:dyDescent="0.25">
      <c r="B803" s="4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 spans="2:57" x14ac:dyDescent="0.25">
      <c r="B804" s="4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 spans="2:57" x14ac:dyDescent="0.25">
      <c r="B805" s="4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 spans="2:57" x14ac:dyDescent="0.25">
      <c r="B806" s="4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 spans="2:57" x14ac:dyDescent="0.25">
      <c r="B807" s="4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 spans="2:57" x14ac:dyDescent="0.25">
      <c r="B808" s="4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 spans="2:57" x14ac:dyDescent="0.25">
      <c r="B809" s="4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 spans="2:57" x14ac:dyDescent="0.25">
      <c r="B810" s="4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 spans="2:57" x14ac:dyDescent="0.25">
      <c r="B811" s="4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 spans="2:57" x14ac:dyDescent="0.25">
      <c r="B812" s="4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 spans="2:57" x14ac:dyDescent="0.25">
      <c r="B813" s="4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 spans="2:57" x14ac:dyDescent="0.25">
      <c r="B814" s="4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 spans="2:57" x14ac:dyDescent="0.25">
      <c r="B815" s="4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 spans="2:57" x14ac:dyDescent="0.25">
      <c r="B816" s="4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 spans="2:57" x14ac:dyDescent="0.25">
      <c r="B817" s="4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 spans="2:57" x14ac:dyDescent="0.25">
      <c r="B818" s="4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 spans="2:57" x14ac:dyDescent="0.25">
      <c r="B819" s="4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 spans="2:57" x14ac:dyDescent="0.25">
      <c r="B820" s="4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 spans="2:57" x14ac:dyDescent="0.25">
      <c r="B821" s="4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 spans="2:57" x14ac:dyDescent="0.25">
      <c r="B822" s="4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 spans="2:57" x14ac:dyDescent="0.25">
      <c r="B823" s="4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 spans="2:57" x14ac:dyDescent="0.25">
      <c r="B824" s="4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 spans="2:57" x14ac:dyDescent="0.25">
      <c r="B825" s="4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 spans="2:57" x14ac:dyDescent="0.25">
      <c r="B826" s="4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 spans="2:57" x14ac:dyDescent="0.25">
      <c r="B827" s="4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 spans="2:57" x14ac:dyDescent="0.25">
      <c r="B828" s="4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 spans="2:57" x14ac:dyDescent="0.25">
      <c r="B829" s="4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 spans="2:57" x14ac:dyDescent="0.25">
      <c r="B830" s="4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 spans="2:57" x14ac:dyDescent="0.25">
      <c r="B831" s="4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 spans="2:57" x14ac:dyDescent="0.25">
      <c r="B832" s="4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 spans="2:57" x14ac:dyDescent="0.25">
      <c r="B833" s="4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 spans="2:57" x14ac:dyDescent="0.25">
      <c r="B834" s="4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 spans="2:57" x14ac:dyDescent="0.25">
      <c r="B835" s="4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 spans="2:57" x14ac:dyDescent="0.25">
      <c r="B836" s="4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 spans="2:57" x14ac:dyDescent="0.25">
      <c r="B837" s="4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 spans="2:57" x14ac:dyDescent="0.25">
      <c r="B838" s="4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 spans="2:57" x14ac:dyDescent="0.25">
      <c r="B839" s="4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 spans="2:57" x14ac:dyDescent="0.25">
      <c r="B840" s="4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 spans="2:57" x14ac:dyDescent="0.25">
      <c r="B841" s="4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 spans="2:57" x14ac:dyDescent="0.25">
      <c r="B842" s="4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 spans="2:57" x14ac:dyDescent="0.25">
      <c r="B843" s="4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 spans="2:57" x14ac:dyDescent="0.25">
      <c r="B844" s="4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 spans="2:57" x14ac:dyDescent="0.25">
      <c r="B845" s="4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 spans="2:57" x14ac:dyDescent="0.25">
      <c r="B846" s="4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 spans="2:57" x14ac:dyDescent="0.25">
      <c r="B847" s="4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 spans="2:57" x14ac:dyDescent="0.25">
      <c r="B848" s="4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 spans="2:57" x14ac:dyDescent="0.25">
      <c r="B849" s="4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 spans="2:57" x14ac:dyDescent="0.25">
      <c r="B850" s="4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 spans="2:57" x14ac:dyDescent="0.25">
      <c r="B851" s="4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 spans="2:57" x14ac:dyDescent="0.25">
      <c r="B852" s="4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 spans="2:57" x14ac:dyDescent="0.25">
      <c r="B853" s="4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 spans="2:57" x14ac:dyDescent="0.25">
      <c r="B854" s="4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 spans="2:57" x14ac:dyDescent="0.25">
      <c r="B855" s="4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 spans="2:57" x14ac:dyDescent="0.25">
      <c r="B856" s="4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 spans="2:57" x14ac:dyDescent="0.25">
      <c r="B857" s="4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 spans="2:57" x14ac:dyDescent="0.25">
      <c r="B858" s="4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 spans="2:57" x14ac:dyDescent="0.25">
      <c r="B859" s="4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 spans="2:57" x14ac:dyDescent="0.25">
      <c r="B860" s="4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 spans="2:57" x14ac:dyDescent="0.25">
      <c r="B861" s="4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 spans="2:57" x14ac:dyDescent="0.25">
      <c r="B862" s="4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 spans="2:57" x14ac:dyDescent="0.25">
      <c r="B863" s="4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 spans="2:57" x14ac:dyDescent="0.25">
      <c r="B864" s="4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 spans="2:57" x14ac:dyDescent="0.25">
      <c r="B865" s="4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 spans="2:57" x14ac:dyDescent="0.25">
      <c r="B866" s="4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 spans="2:57" x14ac:dyDescent="0.25">
      <c r="B867" s="4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 spans="2:57" x14ac:dyDescent="0.25">
      <c r="B868" s="4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 spans="2:57" x14ac:dyDescent="0.25">
      <c r="B869" s="4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 spans="2:57" x14ac:dyDescent="0.25">
      <c r="B870" s="4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 spans="2:57" x14ac:dyDescent="0.25">
      <c r="B871" s="4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 spans="2:57" x14ac:dyDescent="0.25">
      <c r="B872" s="4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 spans="2:57" x14ac:dyDescent="0.25">
      <c r="B873" s="4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 spans="2:57" x14ac:dyDescent="0.25">
      <c r="B874" s="4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 spans="2:57" x14ac:dyDescent="0.25">
      <c r="B875" s="4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 spans="2:57" x14ac:dyDescent="0.25">
      <c r="B876" s="4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 spans="2:57" x14ac:dyDescent="0.25">
      <c r="B877" s="4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 spans="2:57" x14ac:dyDescent="0.25">
      <c r="B878" s="4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 spans="2:57" x14ac:dyDescent="0.25">
      <c r="B879" s="4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 spans="2:57" x14ac:dyDescent="0.25">
      <c r="B880" s="4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 spans="2:57" x14ac:dyDescent="0.25">
      <c r="B881" s="4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 spans="2:57" x14ac:dyDescent="0.25">
      <c r="B882" s="4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 spans="2:57" x14ac:dyDescent="0.25">
      <c r="B883" s="4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 spans="2:57" x14ac:dyDescent="0.25">
      <c r="B884" s="4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 spans="2:57" x14ac:dyDescent="0.25">
      <c r="B885" s="4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spans="2:57" x14ac:dyDescent="0.25">
      <c r="B886" s="4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 spans="2:57" x14ac:dyDescent="0.25">
      <c r="B887" s="4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 spans="2:57" x14ac:dyDescent="0.25">
      <c r="B888" s="4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 spans="2:57" x14ac:dyDescent="0.25">
      <c r="B889" s="4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 spans="2:57" x14ac:dyDescent="0.25">
      <c r="B890" s="4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 spans="2:57" x14ac:dyDescent="0.25">
      <c r="B891" s="4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 spans="2:57" x14ac:dyDescent="0.25">
      <c r="B892" s="4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 spans="2:57" x14ac:dyDescent="0.25">
      <c r="B893" s="4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 spans="2:57" x14ac:dyDescent="0.25">
      <c r="B894" s="4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 spans="2:57" x14ac:dyDescent="0.25">
      <c r="B895" s="4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 spans="2:57" x14ac:dyDescent="0.25">
      <c r="B896" s="4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 spans="2:57" x14ac:dyDescent="0.25">
      <c r="B897" s="4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 spans="2:57" x14ac:dyDescent="0.25">
      <c r="B898" s="4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 spans="2:57" x14ac:dyDescent="0.25">
      <c r="B899" s="4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 spans="2:57" x14ac:dyDescent="0.25">
      <c r="B900" s="4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 spans="2:57" x14ac:dyDescent="0.25">
      <c r="B901" s="4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 spans="2:57" x14ac:dyDescent="0.25">
      <c r="B902" s="4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 spans="2:57" x14ac:dyDescent="0.25">
      <c r="B903" s="4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 spans="2:57" x14ac:dyDescent="0.25">
      <c r="B904" s="4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 spans="2:57" x14ac:dyDescent="0.25">
      <c r="B905" s="4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 spans="2:57" x14ac:dyDescent="0.25">
      <c r="B906" s="4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 spans="2:57" x14ac:dyDescent="0.25">
      <c r="B907" s="4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 spans="2:57" x14ac:dyDescent="0.25">
      <c r="B908" s="4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 spans="2:57" x14ac:dyDescent="0.25">
      <c r="B909" s="4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 spans="2:57" x14ac:dyDescent="0.25">
      <c r="B910" s="4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 spans="2:57" x14ac:dyDescent="0.25">
      <c r="B911" s="4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 spans="2:57" x14ac:dyDescent="0.25">
      <c r="B912" s="4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 spans="2:57" x14ac:dyDescent="0.25">
      <c r="B913" s="4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 spans="2:57" x14ac:dyDescent="0.25">
      <c r="B914" s="4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 spans="2:57" x14ac:dyDescent="0.25">
      <c r="B915" s="4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 spans="2:57" x14ac:dyDescent="0.25">
      <c r="B916" s="4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 spans="2:57" x14ac:dyDescent="0.25">
      <c r="B917" s="4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 spans="2:57" x14ac:dyDescent="0.25">
      <c r="B918" s="4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 spans="2:57" x14ac:dyDescent="0.25">
      <c r="B919" s="4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 spans="2:57" x14ac:dyDescent="0.25">
      <c r="B920" s="4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 spans="2:57" x14ac:dyDescent="0.25">
      <c r="B921" s="4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 spans="2:57" x14ac:dyDescent="0.25">
      <c r="B922" s="4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 spans="2:57" x14ac:dyDescent="0.25">
      <c r="B923" s="4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 spans="2:57" x14ac:dyDescent="0.25">
      <c r="B924" s="4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 spans="2:57" x14ac:dyDescent="0.25">
      <c r="B925" s="4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 spans="2:57" x14ac:dyDescent="0.25">
      <c r="B926" s="4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 spans="2:57" x14ac:dyDescent="0.25">
      <c r="B927" s="4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 spans="2:57" x14ac:dyDescent="0.25">
      <c r="B928" s="4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 spans="2:57" x14ac:dyDescent="0.25">
      <c r="B929" s="4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 spans="2:57" x14ac:dyDescent="0.25">
      <c r="B930" s="4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 spans="2:57" x14ac:dyDescent="0.25">
      <c r="B931" s="4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 spans="2:57" x14ac:dyDescent="0.25">
      <c r="B932" s="4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 spans="2:57" x14ac:dyDescent="0.25">
      <c r="B933" s="4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 spans="2:57" x14ac:dyDescent="0.25">
      <c r="B934" s="4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 spans="2:57" x14ac:dyDescent="0.25">
      <c r="B935" s="4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 spans="2:57" x14ac:dyDescent="0.25">
      <c r="B936" s="4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 spans="2:57" x14ac:dyDescent="0.25">
      <c r="B937" s="4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 spans="2:57" x14ac:dyDescent="0.25">
      <c r="B938" s="4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 spans="2:57" x14ac:dyDescent="0.25">
      <c r="B939" s="4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 spans="2:57" x14ac:dyDescent="0.25">
      <c r="B940" s="4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 spans="2:57" x14ac:dyDescent="0.25">
      <c r="B941" s="4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 spans="2:57" x14ac:dyDescent="0.25">
      <c r="B942" s="4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 spans="2:57" x14ac:dyDescent="0.25">
      <c r="B943" s="4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 spans="2:57" x14ac:dyDescent="0.25">
      <c r="B944" s="4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 spans="2:57" x14ac:dyDescent="0.25">
      <c r="B945" s="4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 spans="2:57" x14ac:dyDescent="0.25">
      <c r="B946" s="4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 spans="2:57" x14ac:dyDescent="0.25">
      <c r="B947" s="4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 spans="2:57" x14ac:dyDescent="0.25">
      <c r="B948" s="4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 spans="2:57" x14ac:dyDescent="0.25">
      <c r="B949" s="4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 spans="2:57" x14ac:dyDescent="0.25">
      <c r="B950" s="4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 spans="2:57" x14ac:dyDescent="0.25">
      <c r="B951" s="4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 spans="2:57" x14ac:dyDescent="0.25">
      <c r="B952" s="4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 spans="2:57" x14ac:dyDescent="0.25">
      <c r="B953" s="4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 spans="2:57" x14ac:dyDescent="0.25">
      <c r="B954" s="4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 spans="2:57" x14ac:dyDescent="0.25">
      <c r="B955" s="4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 spans="2:57" x14ac:dyDescent="0.25">
      <c r="B956" s="4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 spans="2:57" x14ac:dyDescent="0.25">
      <c r="B957" s="4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 spans="2:57" x14ac:dyDescent="0.25">
      <c r="B958" s="4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 spans="2:57" x14ac:dyDescent="0.25">
      <c r="B959" s="4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 spans="2:57" x14ac:dyDescent="0.25">
      <c r="B960" s="4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 spans="2:57" x14ac:dyDescent="0.25">
      <c r="B961" s="4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 spans="2:57" x14ac:dyDescent="0.25">
      <c r="B962" s="4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 spans="2:57" x14ac:dyDescent="0.25">
      <c r="B963" s="4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 spans="2:57" x14ac:dyDescent="0.25">
      <c r="B964" s="4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 spans="2:57" x14ac:dyDescent="0.25">
      <c r="B965" s="4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 spans="2:57" x14ac:dyDescent="0.25">
      <c r="B966" s="4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 spans="2:57" x14ac:dyDescent="0.25">
      <c r="B967" s="4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 spans="2:57" x14ac:dyDescent="0.25">
      <c r="B968" s="4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 spans="2:57" x14ac:dyDescent="0.25">
      <c r="B969" s="4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 spans="2:57" x14ac:dyDescent="0.25">
      <c r="B970" s="4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 spans="2:57" x14ac:dyDescent="0.25">
      <c r="B971" s="4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 spans="2:57" x14ac:dyDescent="0.25">
      <c r="B972" s="4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 spans="2:57" x14ac:dyDescent="0.25">
      <c r="B973" s="4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 spans="2:57" x14ac:dyDescent="0.25">
      <c r="B974" s="4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 spans="2:57" x14ac:dyDescent="0.25">
      <c r="B975" s="4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 spans="2:57" x14ac:dyDescent="0.25">
      <c r="B976" s="4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 spans="2:57" x14ac:dyDescent="0.25">
      <c r="B977" s="4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 spans="2:57" x14ac:dyDescent="0.25">
      <c r="B978" s="4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 spans="2:57" x14ac:dyDescent="0.25">
      <c r="B979" s="4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 spans="2:57" x14ac:dyDescent="0.25">
      <c r="B980" s="4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 spans="2:57" x14ac:dyDescent="0.25">
      <c r="B981" s="4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 spans="2:57" x14ac:dyDescent="0.25">
      <c r="B982" s="4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 spans="2:57" x14ac:dyDescent="0.25">
      <c r="B983" s="4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 spans="2:57" x14ac:dyDescent="0.25">
      <c r="B984" s="4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 spans="2:57" x14ac:dyDescent="0.25">
      <c r="B985" s="4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 spans="2:57" x14ac:dyDescent="0.25">
      <c r="B986" s="4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 spans="2:57" x14ac:dyDescent="0.25">
      <c r="B987" s="4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 spans="2:57" x14ac:dyDescent="0.25">
      <c r="B988" s="4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 spans="2:57" x14ac:dyDescent="0.25">
      <c r="B989" s="4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 spans="2:57" x14ac:dyDescent="0.25">
      <c r="B990" s="4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 spans="2:57" x14ac:dyDescent="0.25">
      <c r="B991" s="4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 spans="2:57" x14ac:dyDescent="0.25">
      <c r="B992" s="4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 spans="2:57" x14ac:dyDescent="0.25">
      <c r="B993" s="4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 spans="2:57" x14ac:dyDescent="0.25">
      <c r="B994" s="4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 spans="2:57" x14ac:dyDescent="0.25">
      <c r="B995" s="4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 spans="2:57" x14ac:dyDescent="0.25">
      <c r="B996" s="4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 spans="2:57" x14ac:dyDescent="0.25">
      <c r="B997" s="4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 spans="2:57" x14ac:dyDescent="0.25">
      <c r="B998" s="4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 spans="2:57" x14ac:dyDescent="0.25">
      <c r="B999" s="49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 spans="2:57" x14ac:dyDescent="0.25">
      <c r="B1000" s="49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  <row r="1001" spans="2:57" x14ac:dyDescent="0.25">
      <c r="B1001" s="49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</row>
    <row r="1002" spans="2:57" x14ac:dyDescent="0.25">
      <c r="B1002" s="49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</row>
    <row r="1003" spans="2:57" x14ac:dyDescent="0.25">
      <c r="B1003" s="49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</row>
    <row r="1004" spans="2:57" x14ac:dyDescent="0.25">
      <c r="B1004" s="49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</row>
    <row r="1005" spans="2:57" x14ac:dyDescent="0.25">
      <c r="B1005" s="49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</row>
    <row r="1006" spans="2:57" x14ac:dyDescent="0.25">
      <c r="B1006" s="49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</row>
    <row r="1007" spans="2:57" x14ac:dyDescent="0.25">
      <c r="B1007" s="49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</row>
    <row r="1008" spans="2:57" x14ac:dyDescent="0.25">
      <c r="B1008" s="49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</row>
    <row r="1009" spans="2:57" x14ac:dyDescent="0.25">
      <c r="B1009" s="49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</row>
    <row r="1010" spans="2:57" x14ac:dyDescent="0.25">
      <c r="B1010" s="49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</row>
    <row r="1011" spans="2:57" x14ac:dyDescent="0.25">
      <c r="B1011" s="49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</row>
    <row r="1012" spans="2:57" x14ac:dyDescent="0.25">
      <c r="B1012" s="49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</row>
    <row r="1013" spans="2:57" x14ac:dyDescent="0.25">
      <c r="B1013" s="49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</row>
    <row r="1014" spans="2:57" x14ac:dyDescent="0.25">
      <c r="B1014" s="49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</row>
    <row r="1015" spans="2:57" x14ac:dyDescent="0.25">
      <c r="B1015" s="49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</row>
    <row r="1016" spans="2:57" x14ac:dyDescent="0.25">
      <c r="B1016" s="49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</row>
    <row r="1017" spans="2:57" x14ac:dyDescent="0.25">
      <c r="B1017" s="49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</row>
    <row r="1018" spans="2:57" x14ac:dyDescent="0.25">
      <c r="B1018" s="49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</row>
    <row r="1019" spans="2:57" x14ac:dyDescent="0.25">
      <c r="B1019" s="49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</row>
    <row r="1020" spans="2:57" x14ac:dyDescent="0.25">
      <c r="B1020" s="49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</row>
    <row r="1021" spans="2:57" x14ac:dyDescent="0.25">
      <c r="B1021" s="49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</row>
    <row r="1022" spans="2:57" x14ac:dyDescent="0.25">
      <c r="B1022" s="49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</row>
    <row r="1023" spans="2:57" x14ac:dyDescent="0.25">
      <c r="B1023" s="49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</row>
    <row r="1024" spans="2:57" x14ac:dyDescent="0.25">
      <c r="B1024" s="49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</row>
    <row r="1025" spans="2:57" x14ac:dyDescent="0.25">
      <c r="B1025" s="49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</row>
    <row r="1026" spans="2:57" x14ac:dyDescent="0.25">
      <c r="B1026" s="49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</row>
    <row r="1027" spans="2:57" x14ac:dyDescent="0.25">
      <c r="B1027" s="49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</row>
    <row r="1028" spans="2:57" x14ac:dyDescent="0.25">
      <c r="B1028" s="49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</row>
    <row r="1029" spans="2:57" x14ac:dyDescent="0.25">
      <c r="B1029" s="49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</row>
    <row r="1030" spans="2:57" x14ac:dyDescent="0.25">
      <c r="B1030" s="49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</row>
    <row r="1031" spans="2:57" x14ac:dyDescent="0.25">
      <c r="B1031" s="49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</row>
    <row r="1032" spans="2:57" x14ac:dyDescent="0.25">
      <c r="B1032" s="49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</row>
    <row r="1033" spans="2:57" x14ac:dyDescent="0.25">
      <c r="B1033" s="49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</row>
    <row r="1034" spans="2:57" x14ac:dyDescent="0.25">
      <c r="B1034" s="49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</row>
    <row r="1035" spans="2:57" x14ac:dyDescent="0.25">
      <c r="B1035" s="49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</row>
    <row r="1036" spans="2:57" x14ac:dyDescent="0.25">
      <c r="B1036" s="49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</row>
    <row r="1037" spans="2:57" x14ac:dyDescent="0.25">
      <c r="B1037" s="49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</row>
    <row r="1038" spans="2:57" x14ac:dyDescent="0.25">
      <c r="B1038" s="49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</row>
    <row r="1039" spans="2:57" x14ac:dyDescent="0.25">
      <c r="B1039" s="49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</row>
    <row r="1040" spans="2:57" x14ac:dyDescent="0.25">
      <c r="B1040" s="49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</row>
    <row r="1041" spans="2:57" x14ac:dyDescent="0.25">
      <c r="B1041" s="49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</row>
    <row r="1042" spans="2:57" x14ac:dyDescent="0.25">
      <c r="B1042" s="49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</row>
    <row r="1043" spans="2:57" x14ac:dyDescent="0.25">
      <c r="B1043" s="49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</row>
    <row r="1044" spans="2:57" x14ac:dyDescent="0.25">
      <c r="B1044" s="49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</row>
    <row r="1045" spans="2:57" x14ac:dyDescent="0.25">
      <c r="B1045" s="49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</row>
    <row r="1046" spans="2:57" x14ac:dyDescent="0.25">
      <c r="B1046" s="49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</row>
    <row r="1047" spans="2:57" x14ac:dyDescent="0.25">
      <c r="B1047" s="49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</row>
    <row r="1048" spans="2:57" x14ac:dyDescent="0.25">
      <c r="B1048" s="49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</row>
    <row r="1049" spans="2:57" x14ac:dyDescent="0.25">
      <c r="B1049" s="49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</row>
    <row r="1050" spans="2:57" x14ac:dyDescent="0.25">
      <c r="B1050" s="49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</row>
    <row r="1051" spans="2:57" x14ac:dyDescent="0.25">
      <c r="B1051" s="49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</row>
    <row r="1052" spans="2:57" x14ac:dyDescent="0.25">
      <c r="B1052" s="49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</row>
    <row r="1053" spans="2:57" x14ac:dyDescent="0.25">
      <c r="B1053" s="49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</row>
    <row r="1054" spans="2:57" x14ac:dyDescent="0.25">
      <c r="B1054" s="49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</row>
    <row r="1055" spans="2:57" x14ac:dyDescent="0.25">
      <c r="B1055" s="49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</row>
    <row r="1056" spans="2:57" x14ac:dyDescent="0.25">
      <c r="B1056" s="49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</row>
    <row r="1057" spans="2:57" x14ac:dyDescent="0.25">
      <c r="B1057" s="49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</row>
    <row r="1058" spans="2:57" x14ac:dyDescent="0.25">
      <c r="B1058" s="49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</row>
    <row r="1059" spans="2:57" x14ac:dyDescent="0.25">
      <c r="B1059" s="49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</row>
    <row r="1060" spans="2:57" x14ac:dyDescent="0.25">
      <c r="B1060" s="49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</row>
    <row r="1061" spans="2:57" x14ac:dyDescent="0.25">
      <c r="B1061" s="49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</row>
    <row r="1062" spans="2:57" x14ac:dyDescent="0.25">
      <c r="B1062" s="49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</row>
    <row r="1063" spans="2:57" x14ac:dyDescent="0.25">
      <c r="B1063" s="49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</row>
    <row r="1064" spans="2:57" x14ac:dyDescent="0.25">
      <c r="B1064" s="49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</row>
    <row r="1065" spans="2:57" x14ac:dyDescent="0.25">
      <c r="B1065" s="49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</row>
    <row r="1066" spans="2:57" x14ac:dyDescent="0.25">
      <c r="B1066" s="49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</row>
    <row r="1067" spans="2:57" x14ac:dyDescent="0.25">
      <c r="B1067" s="49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</row>
    <row r="1068" spans="2:57" x14ac:dyDescent="0.25">
      <c r="B1068" s="49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</row>
    <row r="1069" spans="2:57" x14ac:dyDescent="0.25">
      <c r="B1069" s="49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</row>
    <row r="1070" spans="2:57" x14ac:dyDescent="0.25">
      <c r="B1070" s="49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</row>
    <row r="1071" spans="2:57" x14ac:dyDescent="0.25">
      <c r="B1071" s="49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</row>
    <row r="1072" spans="2:57" x14ac:dyDescent="0.25">
      <c r="B1072" s="49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</row>
    <row r="1073" spans="2:57" x14ac:dyDescent="0.25">
      <c r="B1073" s="49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</row>
    <row r="1074" spans="2:57" x14ac:dyDescent="0.25">
      <c r="B1074" s="49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</row>
    <row r="1075" spans="2:57" x14ac:dyDescent="0.25">
      <c r="B1075" s="49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</row>
    <row r="1076" spans="2:57" x14ac:dyDescent="0.25">
      <c r="B1076" s="49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</row>
    <row r="1077" spans="2:57" x14ac:dyDescent="0.25">
      <c r="B1077" s="49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</row>
    <row r="1078" spans="2:57" x14ac:dyDescent="0.25">
      <c r="B1078" s="49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</row>
    <row r="1079" spans="2:57" x14ac:dyDescent="0.25">
      <c r="B1079" s="49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</row>
    <row r="1080" spans="2:57" x14ac:dyDescent="0.25">
      <c r="B1080" s="49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</row>
    <row r="1081" spans="2:57" x14ac:dyDescent="0.25">
      <c r="B1081" s="49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</row>
    <row r="1082" spans="2:57" x14ac:dyDescent="0.25">
      <c r="B1082" s="49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</row>
    <row r="1083" spans="2:57" x14ac:dyDescent="0.25">
      <c r="B1083" s="49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</row>
    <row r="1084" spans="2:57" x14ac:dyDescent="0.25">
      <c r="B1084" s="49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</row>
    <row r="1085" spans="2:57" x14ac:dyDescent="0.25">
      <c r="B1085" s="49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</row>
    <row r="1086" spans="2:57" x14ac:dyDescent="0.25">
      <c r="B1086" s="49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</row>
    <row r="1087" spans="2:57" x14ac:dyDescent="0.25">
      <c r="B1087" s="49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</row>
    <row r="1088" spans="2:57" x14ac:dyDescent="0.25">
      <c r="B1088" s="49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</row>
    <row r="1089" spans="2:57" x14ac:dyDescent="0.25">
      <c r="B1089" s="49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</row>
    <row r="1090" spans="2:57" x14ac:dyDescent="0.25">
      <c r="B1090" s="49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</row>
    <row r="1091" spans="2:57" x14ac:dyDescent="0.25">
      <c r="B1091" s="49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</row>
    <row r="1092" spans="2:57" x14ac:dyDescent="0.25">
      <c r="B1092" s="49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</row>
    <row r="1093" spans="2:57" x14ac:dyDescent="0.25">
      <c r="B1093" s="49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</row>
    <row r="1094" spans="2:57" x14ac:dyDescent="0.25">
      <c r="B1094" s="49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</row>
    <row r="1095" spans="2:57" x14ac:dyDescent="0.25">
      <c r="B1095" s="49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</row>
    <row r="1096" spans="2:57" x14ac:dyDescent="0.25">
      <c r="B1096" s="49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</row>
    <row r="1097" spans="2:57" x14ac:dyDescent="0.25">
      <c r="B1097" s="49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</row>
    <row r="1098" spans="2:57" x14ac:dyDescent="0.25">
      <c r="B1098" s="49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</row>
    <row r="1099" spans="2:57" x14ac:dyDescent="0.25">
      <c r="B1099" s="49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</row>
    <row r="1100" spans="2:57" x14ac:dyDescent="0.25">
      <c r="B1100" s="49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</row>
    <row r="1101" spans="2:57" x14ac:dyDescent="0.25">
      <c r="B1101" s="49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</row>
    <row r="1102" spans="2:57" x14ac:dyDescent="0.25">
      <c r="B1102" s="49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</row>
    <row r="1103" spans="2:57" x14ac:dyDescent="0.25">
      <c r="B1103" s="49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</row>
    <row r="1104" spans="2:57" x14ac:dyDescent="0.25">
      <c r="B1104" s="49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</row>
    <row r="1105" spans="2:57" x14ac:dyDescent="0.25">
      <c r="B1105" s="49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</row>
    <row r="1106" spans="2:57" x14ac:dyDescent="0.25">
      <c r="B1106" s="49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</row>
    <row r="1107" spans="2:57" x14ac:dyDescent="0.25">
      <c r="B1107" s="49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</row>
    <row r="1108" spans="2:57" x14ac:dyDescent="0.25">
      <c r="B1108" s="49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</row>
    <row r="1109" spans="2:57" x14ac:dyDescent="0.25">
      <c r="B1109" s="49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</row>
    <row r="1110" spans="2:57" x14ac:dyDescent="0.25">
      <c r="B1110" s="49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</row>
    <row r="1111" spans="2:57" x14ac:dyDescent="0.25">
      <c r="B1111" s="49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</row>
    <row r="1112" spans="2:57" x14ac:dyDescent="0.25">
      <c r="B1112" s="49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</row>
    <row r="1113" spans="2:57" x14ac:dyDescent="0.25">
      <c r="B1113" s="49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</row>
    <row r="1114" spans="2:57" x14ac:dyDescent="0.25">
      <c r="B1114" s="49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</row>
    <row r="1115" spans="2:57" x14ac:dyDescent="0.25">
      <c r="B1115" s="49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</row>
    <row r="1116" spans="2:57" x14ac:dyDescent="0.25">
      <c r="B1116" s="49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</row>
    <row r="1117" spans="2:57" x14ac:dyDescent="0.25">
      <c r="B1117" s="49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</row>
    <row r="1118" spans="2:57" x14ac:dyDescent="0.25">
      <c r="B1118" s="49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</row>
    <row r="1119" spans="2:57" x14ac:dyDescent="0.25">
      <c r="B1119" s="49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</row>
    <row r="1120" spans="2:57" x14ac:dyDescent="0.25">
      <c r="B1120" s="49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</row>
    <row r="1121" spans="2:57" x14ac:dyDescent="0.25">
      <c r="B1121" s="49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</row>
    <row r="1122" spans="2:57" x14ac:dyDescent="0.25">
      <c r="B1122" s="49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</row>
    <row r="1123" spans="2:57" x14ac:dyDescent="0.25">
      <c r="B1123" s="49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</row>
    <row r="1124" spans="2:57" x14ac:dyDescent="0.25">
      <c r="B1124" s="49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</row>
    <row r="1125" spans="2:57" x14ac:dyDescent="0.25">
      <c r="B1125" s="49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</row>
    <row r="1126" spans="2:57" x14ac:dyDescent="0.25">
      <c r="B1126" s="49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</row>
    <row r="1127" spans="2:57" x14ac:dyDescent="0.25">
      <c r="B1127" s="49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</row>
    <row r="1128" spans="2:57" x14ac:dyDescent="0.25">
      <c r="B1128" s="49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</row>
    <row r="1129" spans="2:57" x14ac:dyDescent="0.25">
      <c r="B1129" s="49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</row>
    <row r="1130" spans="2:57" x14ac:dyDescent="0.25">
      <c r="B1130" s="49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</row>
    <row r="1131" spans="2:57" x14ac:dyDescent="0.25">
      <c r="B1131" s="49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</row>
    <row r="1132" spans="2:57" x14ac:dyDescent="0.25">
      <c r="B1132" s="49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</row>
    <row r="1133" spans="2:57" x14ac:dyDescent="0.25">
      <c r="B1133" s="49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</row>
    <row r="1134" spans="2:57" x14ac:dyDescent="0.25">
      <c r="B1134" s="49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</row>
    <row r="1135" spans="2:57" x14ac:dyDescent="0.25">
      <c r="B1135" s="49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</row>
    <row r="1136" spans="2:57" x14ac:dyDescent="0.25">
      <c r="B1136" s="49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</row>
    <row r="1137" spans="2:57" x14ac:dyDescent="0.25">
      <c r="B1137" s="49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</row>
    <row r="1138" spans="2:57" x14ac:dyDescent="0.25">
      <c r="B1138" s="49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</row>
    <row r="1139" spans="2:57" x14ac:dyDescent="0.25">
      <c r="B1139" s="49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</row>
    <row r="1140" spans="2:57" x14ac:dyDescent="0.25">
      <c r="B1140" s="49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</row>
    <row r="1141" spans="2:57" x14ac:dyDescent="0.25">
      <c r="B1141" s="49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</row>
    <row r="1142" spans="2:57" x14ac:dyDescent="0.25">
      <c r="B1142" s="49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</row>
    <row r="1143" spans="2:57" x14ac:dyDescent="0.25">
      <c r="B1143" s="49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</row>
    <row r="1144" spans="2:57" x14ac:dyDescent="0.25">
      <c r="B1144" s="49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</row>
    <row r="1145" spans="2:57" x14ac:dyDescent="0.25">
      <c r="B1145" s="49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</row>
    <row r="1146" spans="2:57" x14ac:dyDescent="0.25">
      <c r="B1146" s="49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</row>
    <row r="1147" spans="2:57" x14ac:dyDescent="0.25">
      <c r="B1147" s="49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</row>
    <row r="1148" spans="2:57" x14ac:dyDescent="0.25">
      <c r="B1148" s="49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</row>
    <row r="1149" spans="2:57" x14ac:dyDescent="0.25">
      <c r="B1149" s="49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</row>
    <row r="1150" spans="2:57" x14ac:dyDescent="0.25">
      <c r="B1150" s="49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</row>
    <row r="1151" spans="2:57" x14ac:dyDescent="0.25">
      <c r="B1151" s="49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</row>
    <row r="1152" spans="2:57" x14ac:dyDescent="0.25">
      <c r="B1152" s="49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</row>
    <row r="1153" spans="2:57" x14ac:dyDescent="0.25">
      <c r="B1153" s="49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</row>
    <row r="1154" spans="2:57" x14ac:dyDescent="0.25">
      <c r="B1154" s="49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</row>
    <row r="1155" spans="2:57" x14ac:dyDescent="0.25">
      <c r="B1155" s="49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</row>
    <row r="1156" spans="2:57" x14ac:dyDescent="0.25">
      <c r="B1156" s="49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</row>
    <row r="1157" spans="2:57" x14ac:dyDescent="0.25">
      <c r="B1157" s="49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</row>
    <row r="1158" spans="2:57" x14ac:dyDescent="0.25">
      <c r="B1158" s="49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</row>
    <row r="1159" spans="2:57" x14ac:dyDescent="0.25">
      <c r="B1159" s="49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</row>
    <row r="1160" spans="2:57" x14ac:dyDescent="0.25">
      <c r="B1160" s="49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</row>
    <row r="1161" spans="2:57" x14ac:dyDescent="0.25">
      <c r="B1161" s="49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</row>
    <row r="1162" spans="2:57" x14ac:dyDescent="0.25">
      <c r="B1162" s="49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</row>
    <row r="1163" spans="2:57" x14ac:dyDescent="0.25">
      <c r="B1163" s="49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</row>
    <row r="1164" spans="2:57" x14ac:dyDescent="0.25">
      <c r="B1164" s="49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</row>
    <row r="1165" spans="2:57" x14ac:dyDescent="0.25">
      <c r="B1165" s="49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</row>
    <row r="1166" spans="2:57" x14ac:dyDescent="0.25">
      <c r="B1166" s="49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</row>
    <row r="1167" spans="2:57" x14ac:dyDescent="0.25">
      <c r="B1167" s="49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</row>
    <row r="1168" spans="2:57" x14ac:dyDescent="0.25">
      <c r="B1168" s="49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</row>
    <row r="1169" spans="2:57" x14ac:dyDescent="0.25">
      <c r="B1169" s="49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</row>
    <row r="1170" spans="2:57" x14ac:dyDescent="0.25">
      <c r="B1170" s="49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</row>
    <row r="1171" spans="2:57" x14ac:dyDescent="0.25">
      <c r="B1171" s="49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</row>
    <row r="1172" spans="2:57" x14ac:dyDescent="0.25">
      <c r="B1172" s="49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</row>
    <row r="1173" spans="2:57" x14ac:dyDescent="0.25">
      <c r="B1173" s="49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</row>
    <row r="1174" spans="2:57" x14ac:dyDescent="0.25">
      <c r="B1174" s="49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</row>
    <row r="1175" spans="2:57" x14ac:dyDescent="0.25">
      <c r="B1175" s="49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</row>
    <row r="1176" spans="2:57" x14ac:dyDescent="0.25">
      <c r="B1176" s="49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</row>
    <row r="1177" spans="2:57" x14ac:dyDescent="0.25">
      <c r="B1177" s="49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</row>
    <row r="1178" spans="2:57" x14ac:dyDescent="0.25">
      <c r="B1178" s="49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</row>
    <row r="1179" spans="2:57" x14ac:dyDescent="0.25">
      <c r="B1179" s="49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</row>
    <row r="1180" spans="2:57" x14ac:dyDescent="0.25">
      <c r="B1180" s="49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</row>
    <row r="1181" spans="2:57" x14ac:dyDescent="0.25">
      <c r="B1181" s="49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</row>
    <row r="1182" spans="2:57" x14ac:dyDescent="0.25">
      <c r="B1182" s="49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</row>
    <row r="1183" spans="2:57" x14ac:dyDescent="0.25">
      <c r="B1183" s="49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</row>
    <row r="1184" spans="2:57" x14ac:dyDescent="0.25">
      <c r="B1184" s="49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</row>
    <row r="1185" spans="2:57" x14ac:dyDescent="0.25">
      <c r="B1185" s="49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</row>
    <row r="1186" spans="2:57" x14ac:dyDescent="0.25">
      <c r="B1186" s="49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</row>
    <row r="1187" spans="2:57" x14ac:dyDescent="0.25">
      <c r="B1187" s="49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</row>
    <row r="1188" spans="2:57" x14ac:dyDescent="0.25">
      <c r="B1188" s="49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</row>
    <row r="1189" spans="2:57" x14ac:dyDescent="0.25">
      <c r="B1189" s="49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</row>
    <row r="1190" spans="2:57" x14ac:dyDescent="0.25">
      <c r="B1190" s="49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</row>
    <row r="1191" spans="2:57" x14ac:dyDescent="0.25">
      <c r="B1191" s="49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</row>
    <row r="1192" spans="2:57" x14ac:dyDescent="0.25">
      <c r="B1192" s="49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</row>
    <row r="1193" spans="2:57" x14ac:dyDescent="0.25">
      <c r="B1193" s="49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</row>
    <row r="1194" spans="2:57" x14ac:dyDescent="0.25">
      <c r="B1194" s="49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</row>
    <row r="1195" spans="2:57" x14ac:dyDescent="0.25">
      <c r="B1195" s="49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</row>
    <row r="1196" spans="2:57" x14ac:dyDescent="0.25">
      <c r="B1196" s="49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</row>
    <row r="1197" spans="2:57" x14ac:dyDescent="0.25">
      <c r="B1197" s="49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</row>
    <row r="1198" spans="2:57" x14ac:dyDescent="0.25">
      <c r="B1198" s="49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</row>
    <row r="1199" spans="2:57" x14ac:dyDescent="0.25">
      <c r="B1199" s="49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</row>
    <row r="1200" spans="2:57" x14ac:dyDescent="0.25">
      <c r="B1200" s="49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</row>
    <row r="1201" spans="2:57" x14ac:dyDescent="0.25">
      <c r="B1201" s="49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</row>
    <row r="1202" spans="2:57" x14ac:dyDescent="0.25">
      <c r="B1202" s="49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</row>
    <row r="1203" spans="2:57" x14ac:dyDescent="0.25">
      <c r="B1203" s="49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</row>
    <row r="1204" spans="2:57" x14ac:dyDescent="0.25">
      <c r="B1204" s="49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</row>
    <row r="1205" spans="2:57" x14ac:dyDescent="0.25">
      <c r="B1205" s="49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</row>
    <row r="1206" spans="2:57" x14ac:dyDescent="0.25">
      <c r="B1206" s="49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</row>
    <row r="1207" spans="2:57" x14ac:dyDescent="0.25">
      <c r="B1207" s="49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</row>
    <row r="1208" spans="2:57" x14ac:dyDescent="0.25">
      <c r="B1208" s="49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</row>
    <row r="1209" spans="2:57" x14ac:dyDescent="0.25">
      <c r="B1209" s="49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</row>
    <row r="1210" spans="2:57" x14ac:dyDescent="0.25">
      <c r="B1210" s="49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</row>
    <row r="1211" spans="2:57" x14ac:dyDescent="0.25">
      <c r="B1211" s="49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</row>
    <row r="1212" spans="2:57" x14ac:dyDescent="0.25">
      <c r="B1212" s="49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</row>
    <row r="1213" spans="2:57" x14ac:dyDescent="0.25">
      <c r="B1213" s="49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</row>
    <row r="1214" spans="2:57" x14ac:dyDescent="0.25">
      <c r="B1214" s="49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</row>
    <row r="1215" spans="2:57" x14ac:dyDescent="0.25">
      <c r="B1215" s="49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</row>
    <row r="1216" spans="2:57" x14ac:dyDescent="0.25">
      <c r="B1216" s="49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</row>
    <row r="1217" spans="2:57" x14ac:dyDescent="0.25">
      <c r="B1217" s="49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</row>
    <row r="1218" spans="2:57" x14ac:dyDescent="0.25">
      <c r="B1218" s="49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</row>
    <row r="1219" spans="2:57" x14ac:dyDescent="0.25">
      <c r="B1219" s="49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</row>
    <row r="1220" spans="2:57" x14ac:dyDescent="0.25">
      <c r="B1220" s="49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</row>
    <row r="1221" spans="2:57" x14ac:dyDescent="0.25">
      <c r="B1221" s="49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</row>
    <row r="1222" spans="2:57" x14ac:dyDescent="0.25">
      <c r="B1222" s="49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</row>
    <row r="1223" spans="2:57" x14ac:dyDescent="0.25">
      <c r="B1223" s="49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</row>
    <row r="1224" spans="2:57" x14ac:dyDescent="0.25">
      <c r="B1224" s="49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</row>
    <row r="1225" spans="2:57" x14ac:dyDescent="0.25">
      <c r="B1225" s="49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</row>
    <row r="1226" spans="2:57" x14ac:dyDescent="0.25">
      <c r="B1226" s="49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</row>
    <row r="1227" spans="2:57" x14ac:dyDescent="0.25">
      <c r="B1227" s="49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</row>
    <row r="1228" spans="2:57" x14ac:dyDescent="0.25">
      <c r="B1228" s="49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</row>
    <row r="1229" spans="2:57" x14ac:dyDescent="0.25">
      <c r="B1229" s="49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</row>
    <row r="1230" spans="2:57" x14ac:dyDescent="0.25">
      <c r="B1230" s="49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</row>
    <row r="1231" spans="2:57" x14ac:dyDescent="0.25">
      <c r="B1231" s="49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</row>
    <row r="1232" spans="2:57" x14ac:dyDescent="0.25">
      <c r="B1232" s="49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</row>
    <row r="1233" spans="2:57" x14ac:dyDescent="0.25">
      <c r="B1233" s="49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</row>
    <row r="1234" spans="2:57" x14ac:dyDescent="0.25">
      <c r="B1234" s="49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</row>
    <row r="1235" spans="2:57" x14ac:dyDescent="0.25">
      <c r="B1235" s="49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</row>
    <row r="1236" spans="2:57" x14ac:dyDescent="0.25">
      <c r="B1236" s="49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</row>
    <row r="1237" spans="2:57" x14ac:dyDescent="0.25">
      <c r="B1237" s="49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</row>
    <row r="1238" spans="2:57" x14ac:dyDescent="0.25">
      <c r="B1238" s="49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</row>
    <row r="1239" spans="2:57" x14ac:dyDescent="0.25">
      <c r="B1239" s="49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</row>
    <row r="1240" spans="2:57" x14ac:dyDescent="0.25">
      <c r="B1240" s="49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</row>
    <row r="1241" spans="2:57" x14ac:dyDescent="0.25">
      <c r="B1241" s="49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</row>
    <row r="1242" spans="2:57" x14ac:dyDescent="0.25">
      <c r="B1242" s="49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</row>
    <row r="1243" spans="2:57" x14ac:dyDescent="0.25">
      <c r="B1243" s="49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</row>
    <row r="1244" spans="2:57" x14ac:dyDescent="0.25">
      <c r="B1244" s="49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</row>
    <row r="1245" spans="2:57" x14ac:dyDescent="0.25">
      <c r="B1245" s="49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</row>
    <row r="1246" spans="2:57" x14ac:dyDescent="0.25">
      <c r="B1246" s="49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</row>
    <row r="1247" spans="2:57" x14ac:dyDescent="0.25">
      <c r="B1247" s="49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</row>
    <row r="1248" spans="2:57" x14ac:dyDescent="0.25">
      <c r="B1248" s="49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</row>
    <row r="1249" spans="2:57" x14ac:dyDescent="0.25">
      <c r="B1249" s="49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</row>
    <row r="1250" spans="2:57" x14ac:dyDescent="0.25">
      <c r="B1250" s="49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</row>
    <row r="1251" spans="2:57" x14ac:dyDescent="0.25">
      <c r="B1251" s="49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</row>
    <row r="1252" spans="2:57" x14ac:dyDescent="0.25">
      <c r="B1252" s="49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</row>
    <row r="1253" spans="2:57" x14ac:dyDescent="0.25">
      <c r="B1253" s="49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</row>
    <row r="1254" spans="2:57" x14ac:dyDescent="0.25">
      <c r="B1254" s="49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</row>
    <row r="1255" spans="2:57" x14ac:dyDescent="0.25">
      <c r="B1255" s="49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</row>
    <row r="1256" spans="2:57" x14ac:dyDescent="0.25">
      <c r="B1256" s="49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</row>
    <row r="1257" spans="2:57" x14ac:dyDescent="0.25">
      <c r="B1257" s="49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</row>
    <row r="1258" spans="2:57" x14ac:dyDescent="0.25">
      <c r="B1258" s="49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</row>
    <row r="1259" spans="2:57" x14ac:dyDescent="0.25">
      <c r="B1259" s="49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</row>
    <row r="1260" spans="2:57" x14ac:dyDescent="0.25">
      <c r="B1260" s="49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</row>
    <row r="1261" spans="2:57" x14ac:dyDescent="0.25">
      <c r="B1261" s="49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</row>
    <row r="1262" spans="2:57" x14ac:dyDescent="0.25">
      <c r="B1262" s="49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</row>
    <row r="1263" spans="2:57" x14ac:dyDescent="0.25">
      <c r="B1263" s="49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</row>
    <row r="1264" spans="2:57" x14ac:dyDescent="0.25">
      <c r="B1264" s="49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</row>
    <row r="1265" spans="2:57" x14ac:dyDescent="0.25">
      <c r="B1265" s="49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</row>
    <row r="1266" spans="2:57" x14ac:dyDescent="0.25">
      <c r="B1266" s="49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</row>
    <row r="1267" spans="2:57" x14ac:dyDescent="0.25">
      <c r="B1267" s="49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</row>
    <row r="1268" spans="2:57" x14ac:dyDescent="0.25">
      <c r="B1268" s="49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</row>
    <row r="1269" spans="2:57" x14ac:dyDescent="0.25">
      <c r="B1269" s="49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</row>
    <row r="1270" spans="2:57" x14ac:dyDescent="0.25">
      <c r="B1270" s="49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</row>
    <row r="1271" spans="2:57" x14ac:dyDescent="0.25">
      <c r="B1271" s="49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</row>
    <row r="1272" spans="2:57" x14ac:dyDescent="0.25">
      <c r="B1272" s="49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</row>
    <row r="1273" spans="2:57" x14ac:dyDescent="0.25">
      <c r="B1273" s="49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</row>
    <row r="1274" spans="2:57" x14ac:dyDescent="0.25">
      <c r="B1274" s="49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</row>
    <row r="1275" spans="2:57" x14ac:dyDescent="0.25">
      <c r="B1275" s="49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</row>
    <row r="1276" spans="2:57" x14ac:dyDescent="0.25">
      <c r="B1276" s="49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</row>
    <row r="1277" spans="2:57" x14ac:dyDescent="0.25">
      <c r="B1277" s="49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</row>
    <row r="1278" spans="2:57" x14ac:dyDescent="0.25">
      <c r="B1278" s="49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</row>
    <row r="1279" spans="2:57" x14ac:dyDescent="0.25">
      <c r="B1279" s="49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</row>
    <row r="1280" spans="2:57" x14ac:dyDescent="0.25">
      <c r="B1280" s="49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</row>
    <row r="1281" spans="2:57" x14ac:dyDescent="0.25">
      <c r="B1281" s="49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</row>
    <row r="1282" spans="2:57" x14ac:dyDescent="0.25">
      <c r="B1282" s="49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</row>
    <row r="1283" spans="2:57" x14ac:dyDescent="0.25">
      <c r="B1283" s="49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</row>
    <row r="1284" spans="2:57" x14ac:dyDescent="0.25">
      <c r="B1284" s="49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</row>
    <row r="1285" spans="2:57" x14ac:dyDescent="0.25">
      <c r="B1285" s="49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</row>
    <row r="1286" spans="2:57" x14ac:dyDescent="0.25">
      <c r="B1286" s="49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</row>
    <row r="1287" spans="2:57" x14ac:dyDescent="0.25">
      <c r="B1287" s="49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</row>
    <row r="1288" spans="2:57" x14ac:dyDescent="0.25">
      <c r="B1288" s="49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</row>
    <row r="1289" spans="2:57" x14ac:dyDescent="0.25">
      <c r="B1289" s="49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</row>
    <row r="1290" spans="2:57" x14ac:dyDescent="0.25">
      <c r="B1290" s="49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</row>
    <row r="1291" spans="2:57" x14ac:dyDescent="0.25">
      <c r="B1291" s="49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</row>
    <row r="1292" spans="2:57" x14ac:dyDescent="0.25">
      <c r="B1292" s="49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</row>
    <row r="1293" spans="2:57" x14ac:dyDescent="0.25">
      <c r="B1293" s="49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</row>
    <row r="1294" spans="2:57" x14ac:dyDescent="0.25">
      <c r="B1294" s="49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</row>
    <row r="1295" spans="2:57" x14ac:dyDescent="0.25">
      <c r="B1295" s="49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</row>
    <row r="1296" spans="2:57" x14ac:dyDescent="0.25">
      <c r="B1296" s="49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</row>
    <row r="1297" spans="2:57" x14ac:dyDescent="0.25">
      <c r="B1297" s="49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</row>
    <row r="1298" spans="2:57" x14ac:dyDescent="0.25">
      <c r="B1298" s="49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</row>
    <row r="1299" spans="2:57" x14ac:dyDescent="0.25">
      <c r="B1299" s="49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</row>
    <row r="1300" spans="2:57" x14ac:dyDescent="0.25">
      <c r="B1300" s="49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</row>
    <row r="1301" spans="2:57" x14ac:dyDescent="0.25">
      <c r="B1301" s="49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</row>
    <row r="1302" spans="2:57" x14ac:dyDescent="0.25">
      <c r="B1302" s="49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</row>
    <row r="1303" spans="2:57" x14ac:dyDescent="0.25">
      <c r="B1303" s="49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</row>
    <row r="1304" spans="2:57" x14ac:dyDescent="0.25">
      <c r="B1304" s="49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</row>
    <row r="1305" spans="2:57" x14ac:dyDescent="0.25">
      <c r="B1305" s="49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</row>
    <row r="1306" spans="2:57" x14ac:dyDescent="0.25">
      <c r="B1306" s="49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</row>
    <row r="1307" spans="2:57" x14ac:dyDescent="0.25">
      <c r="B1307" s="49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</row>
    <row r="1308" spans="2:57" x14ac:dyDescent="0.25">
      <c r="B1308" s="49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</row>
    <row r="1309" spans="2:57" x14ac:dyDescent="0.25">
      <c r="B1309" s="49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</row>
    <row r="1310" spans="2:57" x14ac:dyDescent="0.25">
      <c r="B1310" s="49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</row>
    <row r="1311" spans="2:57" x14ac:dyDescent="0.25">
      <c r="B1311" s="49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</row>
    <row r="1312" spans="2:57" x14ac:dyDescent="0.25">
      <c r="B1312" s="49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</row>
    <row r="1313" spans="2:57" x14ac:dyDescent="0.25">
      <c r="B1313" s="49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</row>
    <row r="1314" spans="2:57" x14ac:dyDescent="0.25">
      <c r="B1314" s="49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</row>
    <row r="1315" spans="2:57" x14ac:dyDescent="0.25">
      <c r="B1315" s="49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</row>
    <row r="1316" spans="2:57" x14ac:dyDescent="0.25">
      <c r="B1316" s="49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</row>
    <row r="1317" spans="2:57" x14ac:dyDescent="0.25">
      <c r="B1317" s="49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</row>
    <row r="1318" spans="2:57" x14ac:dyDescent="0.25">
      <c r="B1318" s="49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</row>
    <row r="1319" spans="2:57" x14ac:dyDescent="0.25">
      <c r="B1319" s="49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</row>
    <row r="1320" spans="2:57" x14ac:dyDescent="0.25">
      <c r="B1320" s="49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</row>
    <row r="1321" spans="2:57" x14ac:dyDescent="0.25">
      <c r="B1321" s="49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</row>
    <row r="1322" spans="2:57" x14ac:dyDescent="0.25">
      <c r="B1322" s="49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</row>
    <row r="1323" spans="2:57" x14ac:dyDescent="0.25">
      <c r="B1323" s="49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</row>
    <row r="1324" spans="2:57" x14ac:dyDescent="0.25">
      <c r="B1324" s="49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</row>
    <row r="1325" spans="2:57" x14ac:dyDescent="0.25">
      <c r="B1325" s="49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</row>
    <row r="1326" spans="2:57" x14ac:dyDescent="0.25">
      <c r="B1326" s="49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</row>
    <row r="1327" spans="2:57" x14ac:dyDescent="0.25">
      <c r="B1327" s="49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</row>
    <row r="1328" spans="2:57" x14ac:dyDescent="0.25">
      <c r="B1328" s="49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</row>
    <row r="1329" spans="2:57" x14ac:dyDescent="0.25">
      <c r="B1329" s="49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</row>
    <row r="1330" spans="2:57" x14ac:dyDescent="0.25">
      <c r="B1330" s="49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</row>
    <row r="1331" spans="2:57" x14ac:dyDescent="0.25">
      <c r="B1331" s="49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</row>
    <row r="1332" spans="2:57" x14ac:dyDescent="0.25">
      <c r="B1332" s="49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</row>
    <row r="1333" spans="2:57" x14ac:dyDescent="0.25">
      <c r="B1333" s="49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</row>
    <row r="1334" spans="2:57" x14ac:dyDescent="0.25">
      <c r="B1334" s="49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</row>
    <row r="1335" spans="2:57" x14ac:dyDescent="0.25">
      <c r="B1335" s="49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</row>
    <row r="1336" spans="2:57" x14ac:dyDescent="0.25">
      <c r="B1336" s="49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</row>
    <row r="1337" spans="2:57" x14ac:dyDescent="0.25">
      <c r="B1337" s="49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</row>
    <row r="1338" spans="2:57" x14ac:dyDescent="0.25">
      <c r="B1338" s="49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</row>
    <row r="1339" spans="2:57" x14ac:dyDescent="0.25">
      <c r="B1339" s="49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</row>
    <row r="1340" spans="2:57" x14ac:dyDescent="0.25">
      <c r="B1340" s="49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</row>
    <row r="1341" spans="2:57" x14ac:dyDescent="0.25">
      <c r="B1341" s="49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</row>
    <row r="1342" spans="2:57" x14ac:dyDescent="0.25">
      <c r="B1342" s="49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</row>
    <row r="1343" spans="2:57" x14ac:dyDescent="0.25">
      <c r="B1343" s="49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</row>
    <row r="1344" spans="2:57" x14ac:dyDescent="0.25">
      <c r="B1344" s="49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</row>
    <row r="1345" spans="2:57" x14ac:dyDescent="0.25">
      <c r="B1345" s="49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</row>
    <row r="1346" spans="2:57" x14ac:dyDescent="0.25">
      <c r="B1346" s="49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</row>
    <row r="1347" spans="2:57" x14ac:dyDescent="0.25">
      <c r="B1347" s="49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</row>
    <row r="1348" spans="2:57" x14ac:dyDescent="0.25">
      <c r="B1348" s="49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</row>
    <row r="1349" spans="2:57" x14ac:dyDescent="0.25">
      <c r="B1349" s="49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</row>
    <row r="1350" spans="2:57" x14ac:dyDescent="0.25">
      <c r="B1350" s="49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</row>
    <row r="1351" spans="2:57" x14ac:dyDescent="0.25">
      <c r="B1351" s="49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</row>
    <row r="1352" spans="2:57" x14ac:dyDescent="0.25">
      <c r="B1352" s="49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</row>
    <row r="1353" spans="2:57" x14ac:dyDescent="0.25">
      <c r="B1353" s="49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</row>
    <row r="1354" spans="2:57" x14ac:dyDescent="0.25">
      <c r="B1354" s="49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</row>
    <row r="1355" spans="2:57" x14ac:dyDescent="0.25">
      <c r="B1355" s="49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</row>
    <row r="1356" spans="2:57" x14ac:dyDescent="0.25">
      <c r="B1356" s="49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</row>
    <row r="1357" spans="2:57" x14ac:dyDescent="0.25">
      <c r="B1357" s="49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</row>
    <row r="1358" spans="2:57" x14ac:dyDescent="0.25">
      <c r="B1358" s="49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</row>
    <row r="1359" spans="2:57" x14ac:dyDescent="0.25">
      <c r="B1359" s="49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</row>
    <row r="1360" spans="2:57" x14ac:dyDescent="0.25">
      <c r="B1360" s="49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</row>
    <row r="1361" spans="2:57" x14ac:dyDescent="0.25">
      <c r="B1361" s="49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</row>
    <row r="1362" spans="2:57" x14ac:dyDescent="0.25">
      <c r="B1362" s="49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</row>
    <row r="1363" spans="2:57" x14ac:dyDescent="0.25">
      <c r="B1363" s="49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</row>
    <row r="1364" spans="2:57" x14ac:dyDescent="0.25">
      <c r="B1364" s="49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</row>
    <row r="1365" spans="2:57" x14ac:dyDescent="0.25">
      <c r="B1365" s="49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</row>
    <row r="1366" spans="2:57" x14ac:dyDescent="0.25">
      <c r="B1366" s="49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</row>
    <row r="1367" spans="2:57" x14ac:dyDescent="0.25">
      <c r="B1367" s="49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</row>
    <row r="1368" spans="2:57" x14ac:dyDescent="0.25">
      <c r="B1368" s="49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</row>
    <row r="1369" spans="2:57" x14ac:dyDescent="0.25">
      <c r="B1369" s="49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</row>
    <row r="1370" spans="2:57" x14ac:dyDescent="0.25">
      <c r="B1370" s="49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</row>
    <row r="1371" spans="2:57" x14ac:dyDescent="0.25">
      <c r="B1371" s="49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</row>
    <row r="1372" spans="2:57" x14ac:dyDescent="0.25">
      <c r="B1372" s="49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</row>
    <row r="1373" spans="2:57" x14ac:dyDescent="0.25">
      <c r="B1373" s="49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</row>
    <row r="1374" spans="2:57" x14ac:dyDescent="0.25">
      <c r="B1374" s="49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</row>
    <row r="1375" spans="2:57" x14ac:dyDescent="0.25">
      <c r="B1375" s="49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</row>
    <row r="1376" spans="2:57" x14ac:dyDescent="0.25">
      <c r="B1376" s="49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</row>
    <row r="1377" spans="2:57" x14ac:dyDescent="0.25">
      <c r="B1377" s="49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</row>
    <row r="1378" spans="2:57" x14ac:dyDescent="0.25">
      <c r="B1378" s="49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</row>
    <row r="1379" spans="2:57" x14ac:dyDescent="0.25">
      <c r="B1379" s="49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</row>
    <row r="1380" spans="2:57" x14ac:dyDescent="0.25">
      <c r="B1380" s="49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</row>
    <row r="1381" spans="2:57" x14ac:dyDescent="0.25">
      <c r="B1381" s="49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</row>
    <row r="1382" spans="2:57" x14ac:dyDescent="0.25">
      <c r="B1382" s="49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</row>
    <row r="1383" spans="2:57" x14ac:dyDescent="0.25">
      <c r="B1383" s="49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</row>
    <row r="1384" spans="2:57" x14ac:dyDescent="0.25">
      <c r="B1384" s="49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</row>
    <row r="1385" spans="2:57" x14ac:dyDescent="0.25">
      <c r="B1385" s="49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</row>
    <row r="1386" spans="2:57" x14ac:dyDescent="0.25">
      <c r="B1386" s="49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</row>
    <row r="1387" spans="2:57" x14ac:dyDescent="0.25">
      <c r="B1387" s="49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</row>
    <row r="1388" spans="2:57" x14ac:dyDescent="0.25">
      <c r="B1388" s="49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</row>
    <row r="1389" spans="2:57" x14ac:dyDescent="0.25">
      <c r="B1389" s="49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</row>
    <row r="1390" spans="2:57" x14ac:dyDescent="0.25">
      <c r="B1390" s="49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</row>
    <row r="1391" spans="2:57" x14ac:dyDescent="0.25">
      <c r="B1391" s="49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</row>
    <row r="1392" spans="2:57" x14ac:dyDescent="0.25">
      <c r="B1392" s="49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</row>
    <row r="1393" spans="2:57" x14ac:dyDescent="0.25">
      <c r="B1393" s="49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</row>
    <row r="1394" spans="2:57" x14ac:dyDescent="0.25">
      <c r="B1394" s="49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</row>
    <row r="1395" spans="2:57" x14ac:dyDescent="0.25">
      <c r="B1395" s="49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</row>
    <row r="1396" spans="2:57" x14ac:dyDescent="0.25">
      <c r="B1396" s="49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</row>
    <row r="1397" spans="2:57" x14ac:dyDescent="0.25">
      <c r="B1397" s="49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</row>
    <row r="1398" spans="2:57" x14ac:dyDescent="0.25">
      <c r="B1398" s="49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</row>
    <row r="1399" spans="2:57" x14ac:dyDescent="0.25">
      <c r="B1399" s="49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</row>
    <row r="1400" spans="2:57" x14ac:dyDescent="0.25">
      <c r="B1400" s="49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</row>
    <row r="1401" spans="2:57" x14ac:dyDescent="0.25">
      <c r="B1401" s="49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</row>
    <row r="1402" spans="2:57" x14ac:dyDescent="0.25">
      <c r="B1402" s="49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</row>
    <row r="1403" spans="2:57" x14ac:dyDescent="0.25">
      <c r="B1403" s="49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</row>
    <row r="1404" spans="2:57" x14ac:dyDescent="0.25">
      <c r="B1404" s="49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</row>
    <row r="1405" spans="2:57" x14ac:dyDescent="0.25">
      <c r="B1405" s="49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</row>
    <row r="1406" spans="2:57" x14ac:dyDescent="0.25">
      <c r="B1406" s="49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</row>
    <row r="1407" spans="2:57" x14ac:dyDescent="0.25">
      <c r="B1407" s="49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</row>
    <row r="1408" spans="2:57" x14ac:dyDescent="0.25">
      <c r="B1408" s="49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</row>
    <row r="1409" spans="2:57" x14ac:dyDescent="0.25">
      <c r="B1409" s="49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</row>
    <row r="1410" spans="2:57" x14ac:dyDescent="0.25">
      <c r="B1410" s="49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</row>
    <row r="1411" spans="2:57" x14ac:dyDescent="0.25">
      <c r="B1411" s="49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</row>
    <row r="1412" spans="2:57" x14ac:dyDescent="0.25">
      <c r="B1412" s="49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</row>
    <row r="1413" spans="2:57" x14ac:dyDescent="0.25">
      <c r="B1413" s="49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</row>
    <row r="1414" spans="2:57" x14ac:dyDescent="0.25">
      <c r="B1414" s="49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</row>
    <row r="1415" spans="2:57" x14ac:dyDescent="0.25">
      <c r="B1415" s="49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</row>
    <row r="1416" spans="2:57" x14ac:dyDescent="0.25">
      <c r="B1416" s="49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</row>
    <row r="1417" spans="2:57" x14ac:dyDescent="0.25">
      <c r="B1417" s="49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</row>
    <row r="1418" spans="2:57" x14ac:dyDescent="0.25">
      <c r="B1418" s="49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</row>
    <row r="1419" spans="2:57" x14ac:dyDescent="0.25">
      <c r="B1419" s="49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</row>
    <row r="1420" spans="2:57" x14ac:dyDescent="0.25">
      <c r="B1420" s="49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</row>
    <row r="1421" spans="2:57" x14ac:dyDescent="0.25">
      <c r="B1421" s="49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</row>
    <row r="1422" spans="2:57" x14ac:dyDescent="0.25">
      <c r="B1422" s="49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</row>
    <row r="1423" spans="2:57" x14ac:dyDescent="0.25">
      <c r="B1423" s="49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</row>
    <row r="1424" spans="2:57" x14ac:dyDescent="0.25">
      <c r="B1424" s="49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</row>
    <row r="1425" spans="2:57" x14ac:dyDescent="0.25">
      <c r="B1425" s="49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</row>
    <row r="1426" spans="2:57" x14ac:dyDescent="0.25">
      <c r="B1426" s="49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</row>
    <row r="1427" spans="2:57" x14ac:dyDescent="0.25">
      <c r="B1427" s="49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</row>
    <row r="1428" spans="2:57" x14ac:dyDescent="0.25">
      <c r="B1428" s="49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</row>
    <row r="1429" spans="2:57" x14ac:dyDescent="0.25">
      <c r="B1429" s="49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</row>
    <row r="1430" spans="2:57" x14ac:dyDescent="0.25">
      <c r="B1430" s="49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</row>
    <row r="1431" spans="2:57" x14ac:dyDescent="0.25">
      <c r="B1431" s="49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</row>
    <row r="1432" spans="2:57" x14ac:dyDescent="0.25">
      <c r="B1432" s="49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</row>
    <row r="1433" spans="2:57" x14ac:dyDescent="0.25">
      <c r="B1433" s="49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</row>
    <row r="1434" spans="2:57" x14ac:dyDescent="0.25">
      <c r="B1434" s="49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</row>
    <row r="1435" spans="2:57" x14ac:dyDescent="0.25">
      <c r="B1435" s="49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</row>
    <row r="1436" spans="2:57" x14ac:dyDescent="0.25">
      <c r="B1436" s="49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</row>
    <row r="1437" spans="2:57" x14ac:dyDescent="0.25">
      <c r="B1437" s="49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</row>
    <row r="1438" spans="2:57" x14ac:dyDescent="0.25">
      <c r="B1438" s="49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</row>
    <row r="1439" spans="2:57" x14ac:dyDescent="0.25">
      <c r="B1439" s="49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</row>
    <row r="1440" spans="2:57" x14ac:dyDescent="0.25">
      <c r="B1440" s="49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</row>
    <row r="1441" spans="2:57" x14ac:dyDescent="0.25">
      <c r="B1441" s="49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</row>
    <row r="1442" spans="2:57" x14ac:dyDescent="0.25">
      <c r="B1442" s="49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</row>
    <row r="1443" spans="2:57" x14ac:dyDescent="0.25">
      <c r="B1443" s="49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</row>
    <row r="1444" spans="2:57" x14ac:dyDescent="0.25">
      <c r="B1444" s="49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</row>
    <row r="1445" spans="2:57" x14ac:dyDescent="0.25">
      <c r="B1445" s="49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</row>
    <row r="1446" spans="2:57" x14ac:dyDescent="0.25">
      <c r="B1446" s="49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</row>
    <row r="1447" spans="2:57" x14ac:dyDescent="0.25">
      <c r="B1447" s="49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</row>
    <row r="1448" spans="2:57" x14ac:dyDescent="0.25">
      <c r="B1448" s="49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</row>
    <row r="1449" spans="2:57" x14ac:dyDescent="0.25">
      <c r="B1449" s="49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</row>
    <row r="1450" spans="2:57" x14ac:dyDescent="0.25">
      <c r="B1450" s="49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</row>
    <row r="1451" spans="2:57" x14ac:dyDescent="0.25">
      <c r="B1451" s="49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</row>
    <row r="1452" spans="2:57" x14ac:dyDescent="0.25">
      <c r="B1452" s="49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</row>
    <row r="1453" spans="2:57" x14ac:dyDescent="0.25">
      <c r="B1453" s="49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</row>
    <row r="1454" spans="2:57" x14ac:dyDescent="0.25">
      <c r="B1454" s="49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</row>
    <row r="1455" spans="2:57" x14ac:dyDescent="0.25">
      <c r="B1455" s="49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</row>
    <row r="1456" spans="2:57" x14ac:dyDescent="0.25">
      <c r="B1456" s="49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</row>
    <row r="1457" spans="2:57" x14ac:dyDescent="0.25">
      <c r="B1457" s="49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</row>
    <row r="1458" spans="2:57" x14ac:dyDescent="0.25">
      <c r="B1458" s="49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</row>
    <row r="1459" spans="2:57" x14ac:dyDescent="0.25">
      <c r="B1459" s="49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</row>
    <row r="1460" spans="2:57" x14ac:dyDescent="0.25">
      <c r="B1460" s="49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</row>
    <row r="1461" spans="2:57" x14ac:dyDescent="0.25">
      <c r="B1461" s="49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</row>
    <row r="1462" spans="2:57" x14ac:dyDescent="0.25">
      <c r="B1462" s="49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</row>
    <row r="1463" spans="2:57" x14ac:dyDescent="0.25">
      <c r="B1463" s="49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</row>
    <row r="1464" spans="2:57" x14ac:dyDescent="0.25">
      <c r="B1464" s="49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</row>
    <row r="1465" spans="2:57" x14ac:dyDescent="0.25">
      <c r="B1465" s="49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</row>
    <row r="1466" spans="2:57" x14ac:dyDescent="0.25">
      <c r="B1466" s="49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</row>
    <row r="1467" spans="2:57" x14ac:dyDescent="0.25">
      <c r="B1467" s="49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</row>
    <row r="1468" spans="2:57" x14ac:dyDescent="0.25">
      <c r="B1468" s="49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</row>
    <row r="1469" spans="2:57" x14ac:dyDescent="0.25">
      <c r="B1469" s="49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</row>
    <row r="1470" spans="2:57" x14ac:dyDescent="0.25">
      <c r="B1470" s="49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</row>
    <row r="1471" spans="2:57" x14ac:dyDescent="0.25">
      <c r="B1471" s="49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</row>
    <row r="1472" spans="2:57" x14ac:dyDescent="0.25">
      <c r="B1472" s="49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</row>
    <row r="1473" spans="2:57" x14ac:dyDescent="0.25">
      <c r="B1473" s="49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</row>
    <row r="1474" spans="2:57" x14ac:dyDescent="0.25">
      <c r="B1474" s="49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</row>
    <row r="1475" spans="2:57" x14ac:dyDescent="0.25">
      <c r="B1475" s="49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</row>
    <row r="1476" spans="2:57" x14ac:dyDescent="0.25">
      <c r="B1476" s="49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</row>
    <row r="1477" spans="2:57" x14ac:dyDescent="0.25">
      <c r="B1477" s="49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</row>
    <row r="1478" spans="2:57" x14ac:dyDescent="0.25">
      <c r="B1478" s="49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</row>
    <row r="1479" spans="2:57" x14ac:dyDescent="0.25">
      <c r="B1479" s="49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</row>
    <row r="1480" spans="2:57" x14ac:dyDescent="0.25">
      <c r="B1480" s="49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</row>
    <row r="1481" spans="2:57" x14ac:dyDescent="0.25">
      <c r="B1481" s="49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</row>
    <row r="1482" spans="2:57" x14ac:dyDescent="0.25">
      <c r="B1482" s="49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</row>
    <row r="1483" spans="2:57" x14ac:dyDescent="0.25">
      <c r="B1483" s="49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</row>
    <row r="1484" spans="2:57" x14ac:dyDescent="0.25">
      <c r="B1484" s="49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</row>
    <row r="1485" spans="2:57" x14ac:dyDescent="0.25">
      <c r="B1485" s="49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</row>
    <row r="1486" spans="2:57" x14ac:dyDescent="0.25">
      <c r="B1486" s="49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</row>
    <row r="1487" spans="2:57" x14ac:dyDescent="0.25">
      <c r="B1487" s="49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</row>
    <row r="1488" spans="2:57" x14ac:dyDescent="0.25">
      <c r="B1488" s="49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</row>
    <row r="1489" spans="2:57" x14ac:dyDescent="0.25">
      <c r="B1489" s="49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</row>
    <row r="1490" spans="2:57" x14ac:dyDescent="0.25">
      <c r="B1490" s="49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</row>
    <row r="1491" spans="2:57" x14ac:dyDescent="0.25">
      <c r="B1491" s="49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</row>
    <row r="1492" spans="2:57" x14ac:dyDescent="0.25">
      <c r="B1492" s="49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</row>
    <row r="1493" spans="2:57" x14ac:dyDescent="0.25">
      <c r="B1493" s="49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</row>
    <row r="1494" spans="2:57" x14ac:dyDescent="0.25">
      <c r="B1494" s="49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</row>
    <row r="1495" spans="2:57" x14ac:dyDescent="0.25">
      <c r="B1495" s="49"/>
      <c r="C1495" s="62"/>
      <c r="D1495" s="49"/>
      <c r="E1495" s="49"/>
      <c r="F1495" s="49"/>
      <c r="G1495" s="49"/>
      <c r="H1495" s="49"/>
    </row>
    <row r="1496" spans="2:57" x14ac:dyDescent="0.25">
      <c r="B1496" s="49"/>
      <c r="C1496" s="62"/>
      <c r="D1496" s="49"/>
      <c r="E1496" s="49"/>
      <c r="F1496" s="49"/>
      <c r="G1496" s="49"/>
      <c r="H1496" s="49"/>
    </row>
    <row r="1497" spans="2:57" x14ac:dyDescent="0.25">
      <c r="B1497" s="49"/>
      <c r="C1497" s="62"/>
      <c r="D1497" s="49"/>
      <c r="E1497" s="49"/>
      <c r="F1497" s="49"/>
      <c r="G1497" s="49"/>
      <c r="H1497" s="49"/>
    </row>
    <row r="1498" spans="2:57" x14ac:dyDescent="0.25">
      <c r="B1498" s="49"/>
      <c r="C1498" s="62"/>
      <c r="D1498" s="49"/>
      <c r="E1498" s="49"/>
      <c r="F1498" s="49"/>
      <c r="G1498" s="49"/>
      <c r="H1498" s="49"/>
    </row>
    <row r="1499" spans="2:57" x14ac:dyDescent="0.25">
      <c r="B1499" s="49"/>
      <c r="C1499" s="62"/>
      <c r="D1499" s="49"/>
      <c r="E1499" s="49"/>
      <c r="F1499" s="49"/>
      <c r="G1499" s="49"/>
      <c r="H1499" s="49"/>
    </row>
    <row r="1500" spans="2:57" x14ac:dyDescent="0.25">
      <c r="B1500" s="49"/>
      <c r="C1500" s="62"/>
      <c r="D1500" s="49"/>
      <c r="E1500" s="49"/>
      <c r="F1500" s="49"/>
      <c r="G1500" s="49"/>
      <c r="H1500" s="49"/>
    </row>
    <row r="1501" spans="2:57" x14ac:dyDescent="0.25">
      <c r="B1501" s="49"/>
      <c r="C1501" s="62"/>
      <c r="D1501" s="49"/>
      <c r="E1501" s="49"/>
      <c r="F1501" s="49"/>
      <c r="G1501" s="49"/>
      <c r="H1501" s="49"/>
    </row>
    <row r="1502" spans="2:57" x14ac:dyDescent="0.25">
      <c r="B1502" s="49"/>
      <c r="C1502" s="62"/>
      <c r="D1502" s="49"/>
      <c r="E1502" s="49"/>
      <c r="F1502" s="49"/>
      <c r="G1502" s="49"/>
      <c r="H1502" s="49"/>
    </row>
    <row r="1503" spans="2:57" x14ac:dyDescent="0.25">
      <c r="B1503" s="49"/>
      <c r="C1503" s="62"/>
      <c r="D1503" s="49"/>
      <c r="E1503" s="49"/>
      <c r="F1503" s="49"/>
      <c r="G1503" s="49"/>
      <c r="H1503" s="49"/>
    </row>
    <row r="1504" spans="2:57" x14ac:dyDescent="0.25">
      <c r="B1504" s="49"/>
      <c r="C1504" s="62"/>
      <c r="D1504" s="49"/>
      <c r="E1504" s="49"/>
      <c r="F1504" s="49"/>
      <c r="G1504" s="49"/>
      <c r="H1504" s="49"/>
    </row>
    <row r="1505" spans="2:8" x14ac:dyDescent="0.25">
      <c r="B1505" s="49"/>
      <c r="C1505" s="62"/>
      <c r="D1505" s="49"/>
      <c r="E1505" s="49"/>
      <c r="F1505" s="49"/>
      <c r="G1505" s="49"/>
      <c r="H1505" s="49"/>
    </row>
    <row r="1506" spans="2:8" x14ac:dyDescent="0.25">
      <c r="B1506" s="49"/>
      <c r="C1506" s="62"/>
      <c r="D1506" s="49"/>
      <c r="E1506" s="49"/>
      <c r="F1506" s="49"/>
      <c r="G1506" s="49"/>
      <c r="H1506" s="49"/>
    </row>
    <row r="1507" spans="2:8" x14ac:dyDescent="0.25">
      <c r="B1507" s="49"/>
      <c r="C1507" s="62"/>
      <c r="D1507" s="49"/>
      <c r="E1507" s="49"/>
      <c r="F1507" s="49"/>
      <c r="G1507" s="49"/>
      <c r="H1507" s="49"/>
    </row>
    <row r="1508" spans="2:8" x14ac:dyDescent="0.25">
      <c r="B1508" s="49"/>
      <c r="C1508" s="62"/>
      <c r="D1508" s="49"/>
      <c r="E1508" s="49"/>
      <c r="F1508" s="49"/>
      <c r="G1508" s="49"/>
      <c r="H1508" s="49"/>
    </row>
    <row r="1509" spans="2:8" x14ac:dyDescent="0.25">
      <c r="B1509" s="49"/>
      <c r="C1509" s="62"/>
      <c r="D1509" s="49"/>
      <c r="E1509" s="49"/>
      <c r="F1509" s="49"/>
      <c r="G1509" s="49"/>
      <c r="H1509" s="49"/>
    </row>
    <row r="1510" spans="2:8" x14ac:dyDescent="0.25">
      <c r="B1510" s="49"/>
      <c r="C1510" s="62"/>
      <c r="D1510" s="49"/>
      <c r="E1510" s="49"/>
      <c r="F1510" s="49"/>
      <c r="G1510" s="49"/>
      <c r="H1510" s="49"/>
    </row>
    <row r="1511" spans="2:8" x14ac:dyDescent="0.25">
      <c r="B1511" s="49"/>
      <c r="C1511" s="62"/>
      <c r="D1511" s="49"/>
      <c r="E1511" s="49"/>
      <c r="F1511" s="49"/>
      <c r="G1511" s="49"/>
      <c r="H1511" s="49"/>
    </row>
    <row r="1512" spans="2:8" x14ac:dyDescent="0.25">
      <c r="B1512" s="49"/>
      <c r="C1512" s="62"/>
      <c r="D1512" s="49"/>
      <c r="E1512" s="49"/>
      <c r="F1512" s="49"/>
      <c r="G1512" s="49"/>
      <c r="H1512" s="49"/>
    </row>
    <row r="1513" spans="2:8" x14ac:dyDescent="0.25">
      <c r="B1513" s="49"/>
      <c r="C1513" s="62"/>
      <c r="D1513" s="49"/>
      <c r="E1513" s="49"/>
      <c r="F1513" s="49"/>
      <c r="G1513" s="49"/>
      <c r="H1513" s="49"/>
    </row>
    <row r="1514" spans="2:8" x14ac:dyDescent="0.25">
      <c r="B1514" s="49"/>
      <c r="C1514" s="62"/>
      <c r="D1514" s="49"/>
      <c r="E1514" s="49"/>
      <c r="F1514" s="49"/>
      <c r="G1514" s="49"/>
      <c r="H1514" s="49"/>
    </row>
    <row r="1515" spans="2:8" x14ac:dyDescent="0.25">
      <c r="B1515" s="49"/>
      <c r="C1515" s="62"/>
      <c r="D1515" s="49"/>
      <c r="E1515" s="49"/>
      <c r="F1515" s="49"/>
      <c r="G1515" s="49"/>
      <c r="H1515" s="49"/>
    </row>
    <row r="1516" spans="2:8" x14ac:dyDescent="0.25">
      <c r="B1516" s="49"/>
      <c r="C1516" s="62"/>
      <c r="D1516" s="49"/>
      <c r="E1516" s="49"/>
      <c r="F1516" s="49"/>
      <c r="G1516" s="49"/>
      <c r="H1516" s="49"/>
    </row>
    <row r="1517" spans="2:8" x14ac:dyDescent="0.25">
      <c r="B1517" s="49"/>
      <c r="C1517" s="62"/>
      <c r="D1517" s="49"/>
      <c r="E1517" s="49"/>
      <c r="F1517" s="49"/>
      <c r="G1517" s="49"/>
      <c r="H1517" s="49"/>
    </row>
    <row r="1518" spans="2:8" x14ac:dyDescent="0.25">
      <c r="B1518" s="49"/>
      <c r="C1518" s="62"/>
      <c r="D1518" s="49"/>
      <c r="E1518" s="49"/>
      <c r="F1518" s="49"/>
      <c r="G1518" s="49"/>
      <c r="H1518" s="49"/>
    </row>
    <row r="1519" spans="2:8" x14ac:dyDescent="0.25">
      <c r="B1519" s="49"/>
      <c r="C1519" s="62"/>
      <c r="D1519" s="49"/>
      <c r="E1519" s="49"/>
      <c r="F1519" s="49"/>
      <c r="G1519" s="49"/>
      <c r="H1519" s="49"/>
    </row>
    <row r="1520" spans="2:8" x14ac:dyDescent="0.25">
      <c r="B1520" s="49"/>
      <c r="C1520" s="62"/>
      <c r="D1520" s="49"/>
      <c r="E1520" s="49"/>
      <c r="F1520" s="49"/>
      <c r="G1520" s="49"/>
      <c r="H1520" s="49"/>
    </row>
    <row r="1521" spans="2:8" x14ac:dyDescent="0.25">
      <c r="B1521" s="49"/>
      <c r="C1521" s="62"/>
      <c r="D1521" s="49"/>
      <c r="E1521" s="49"/>
      <c r="F1521" s="49"/>
      <c r="G1521" s="49"/>
      <c r="H1521" s="49"/>
    </row>
    <row r="1522" spans="2:8" x14ac:dyDescent="0.25">
      <c r="B1522" s="49"/>
      <c r="C1522" s="62"/>
      <c r="D1522" s="49"/>
      <c r="E1522" s="49"/>
      <c r="F1522" s="49"/>
      <c r="G1522" s="49"/>
      <c r="H1522" s="49"/>
    </row>
    <row r="1523" spans="2:8" x14ac:dyDescent="0.25">
      <c r="B1523" s="49"/>
      <c r="C1523" s="62"/>
      <c r="D1523" s="49"/>
      <c r="E1523" s="49"/>
      <c r="F1523" s="49"/>
      <c r="G1523" s="49"/>
      <c r="H1523" s="49"/>
    </row>
    <row r="1524" spans="2:8" x14ac:dyDescent="0.25">
      <c r="B1524" s="49"/>
      <c r="C1524" s="62"/>
      <c r="D1524" s="49"/>
      <c r="E1524" s="49"/>
      <c r="F1524" s="49"/>
      <c r="G1524" s="49"/>
      <c r="H1524" s="49"/>
    </row>
    <row r="1525" spans="2:8" x14ac:dyDescent="0.25">
      <c r="B1525" s="49"/>
      <c r="C1525" s="62"/>
      <c r="D1525" s="49"/>
      <c r="E1525" s="49"/>
      <c r="F1525" s="49"/>
      <c r="G1525" s="49"/>
      <c r="H1525" s="49"/>
    </row>
    <row r="1526" spans="2:8" x14ac:dyDescent="0.25">
      <c r="B1526" s="49"/>
      <c r="C1526" s="62"/>
      <c r="D1526" s="49"/>
      <c r="E1526" s="49"/>
      <c r="F1526" s="49"/>
      <c r="G1526" s="49"/>
      <c r="H1526" s="49"/>
    </row>
    <row r="1527" spans="2:8" x14ac:dyDescent="0.25">
      <c r="B1527" s="49"/>
      <c r="C1527" s="62"/>
      <c r="D1527" s="49"/>
      <c r="E1527" s="49"/>
      <c r="F1527" s="49"/>
      <c r="G1527" s="49"/>
      <c r="H1527" s="49"/>
    </row>
    <row r="1528" spans="2:8" x14ac:dyDescent="0.25">
      <c r="B1528" s="49"/>
      <c r="C1528" s="62"/>
      <c r="D1528" s="49"/>
      <c r="E1528" s="49"/>
      <c r="F1528" s="49"/>
      <c r="G1528" s="49"/>
      <c r="H1528" s="49"/>
    </row>
    <row r="1529" spans="2:8" x14ac:dyDescent="0.25">
      <c r="B1529" s="49"/>
      <c r="C1529" s="62"/>
      <c r="D1529" s="49"/>
      <c r="E1529" s="49"/>
      <c r="F1529" s="49"/>
      <c r="G1529" s="49"/>
      <c r="H1529" s="49"/>
    </row>
    <row r="1530" spans="2:8" x14ac:dyDescent="0.25">
      <c r="B1530" s="49"/>
      <c r="C1530" s="62"/>
      <c r="D1530" s="49"/>
      <c r="E1530" s="49"/>
      <c r="F1530" s="49"/>
      <c r="G1530" s="49"/>
      <c r="H1530" s="49"/>
    </row>
    <row r="1531" spans="2:8" x14ac:dyDescent="0.25">
      <c r="B1531" s="49"/>
      <c r="C1531" s="62"/>
      <c r="D1531" s="49"/>
      <c r="E1531" s="49"/>
      <c r="F1531" s="49"/>
      <c r="G1531" s="49"/>
      <c r="H1531" s="49"/>
    </row>
    <row r="1532" spans="2:8" x14ac:dyDescent="0.25">
      <c r="B1532" s="49"/>
      <c r="C1532" s="62"/>
      <c r="D1532" s="49"/>
      <c r="E1532" s="49"/>
      <c r="F1532" s="49"/>
      <c r="G1532" s="49"/>
      <c r="H1532" s="49"/>
    </row>
    <row r="1533" spans="2:8" x14ac:dyDescent="0.25">
      <c r="B1533" s="49"/>
      <c r="C1533" s="62"/>
      <c r="D1533" s="49"/>
      <c r="E1533" s="49"/>
      <c r="F1533" s="49"/>
      <c r="G1533" s="49"/>
      <c r="H1533" s="49"/>
    </row>
    <row r="1534" spans="2:8" x14ac:dyDescent="0.25">
      <c r="B1534" s="49"/>
      <c r="C1534" s="62"/>
      <c r="D1534" s="49"/>
      <c r="E1534" s="49"/>
      <c r="F1534" s="49"/>
      <c r="G1534" s="49"/>
      <c r="H1534" s="49"/>
    </row>
    <row r="1535" spans="2:8" x14ac:dyDescent="0.25">
      <c r="B1535" s="49"/>
      <c r="C1535" s="62"/>
      <c r="D1535" s="49"/>
      <c r="E1535" s="49"/>
      <c r="F1535" s="49"/>
      <c r="G1535" s="49"/>
      <c r="H1535" s="49"/>
    </row>
    <row r="1536" spans="2:8" x14ac:dyDescent="0.25">
      <c r="B1536" s="49"/>
      <c r="C1536" s="62"/>
      <c r="D1536" s="49"/>
      <c r="E1536" s="49"/>
      <c r="F1536" s="49"/>
      <c r="G1536" s="49"/>
      <c r="H1536" s="49"/>
    </row>
    <row r="1537" spans="2:8" x14ac:dyDescent="0.25">
      <c r="B1537" s="49"/>
      <c r="C1537" s="62"/>
      <c r="D1537" s="49"/>
      <c r="E1537" s="49"/>
      <c r="F1537" s="49"/>
      <c r="G1537" s="49"/>
      <c r="H1537" s="49"/>
    </row>
    <row r="1538" spans="2:8" x14ac:dyDescent="0.25">
      <c r="B1538" s="49"/>
      <c r="C1538" s="62"/>
      <c r="D1538" s="49"/>
      <c r="E1538" s="49"/>
      <c r="F1538" s="49"/>
      <c r="G1538" s="49"/>
      <c r="H1538" s="49"/>
    </row>
    <row r="1539" spans="2:8" x14ac:dyDescent="0.25">
      <c r="B1539" s="49"/>
      <c r="C1539" s="62"/>
      <c r="D1539" s="49"/>
      <c r="E1539" s="49"/>
      <c r="F1539" s="49"/>
      <c r="G1539" s="49"/>
      <c r="H1539" s="49"/>
    </row>
    <row r="1540" spans="2:8" x14ac:dyDescent="0.25">
      <c r="B1540" s="49"/>
      <c r="C1540" s="62"/>
      <c r="D1540" s="49"/>
      <c r="E1540" s="49"/>
      <c r="F1540" s="49"/>
      <c r="G1540" s="49"/>
      <c r="H1540" s="49"/>
    </row>
    <row r="1541" spans="2:8" x14ac:dyDescent="0.25">
      <c r="B1541" s="49"/>
      <c r="C1541" s="62"/>
      <c r="D1541" s="49"/>
      <c r="E1541" s="49"/>
      <c r="F1541" s="49"/>
      <c r="G1541" s="49"/>
      <c r="H1541" s="49"/>
    </row>
    <row r="1542" spans="2:8" x14ac:dyDescent="0.25">
      <c r="B1542" s="49"/>
      <c r="C1542" s="62"/>
      <c r="D1542" s="49"/>
      <c r="E1542" s="49"/>
      <c r="F1542" s="49"/>
      <c r="G1542" s="49"/>
      <c r="H1542" s="49"/>
    </row>
    <row r="1543" spans="2:8" x14ac:dyDescent="0.25">
      <c r="B1543" s="49"/>
      <c r="C1543" s="62"/>
      <c r="D1543" s="49"/>
      <c r="E1543" s="49"/>
      <c r="F1543" s="49"/>
      <c r="G1543" s="49"/>
      <c r="H1543" s="49"/>
    </row>
    <row r="1544" spans="2:8" x14ac:dyDescent="0.25">
      <c r="B1544" s="49"/>
      <c r="C1544" s="62"/>
      <c r="D1544" s="49"/>
      <c r="E1544" s="49"/>
      <c r="F1544" s="49"/>
      <c r="G1544" s="49"/>
      <c r="H1544" s="49"/>
    </row>
    <row r="1545" spans="2:8" x14ac:dyDescent="0.25">
      <c r="B1545" s="49"/>
      <c r="C1545" s="62"/>
      <c r="D1545" s="49"/>
      <c r="E1545" s="49"/>
      <c r="F1545" s="49"/>
      <c r="G1545" s="49"/>
      <c r="H1545" s="49"/>
    </row>
    <row r="1546" spans="2:8" x14ac:dyDescent="0.25">
      <c r="B1546" s="49"/>
      <c r="C1546" s="62"/>
      <c r="D1546" s="49"/>
      <c r="E1546" s="49"/>
      <c r="F1546" s="49"/>
      <c r="G1546" s="49"/>
      <c r="H1546" s="49"/>
    </row>
    <row r="1547" spans="2:8" x14ac:dyDescent="0.25">
      <c r="B1547" s="49"/>
      <c r="C1547" s="62"/>
      <c r="D1547" s="49"/>
      <c r="E1547" s="49"/>
      <c r="F1547" s="49"/>
      <c r="G1547" s="49"/>
      <c r="H1547" s="49"/>
    </row>
    <row r="1548" spans="2:8" x14ac:dyDescent="0.25">
      <c r="B1548" s="49"/>
      <c r="C1548" s="62"/>
      <c r="D1548" s="49"/>
      <c r="E1548" s="49"/>
      <c r="F1548" s="49"/>
      <c r="G1548" s="49"/>
      <c r="H1548" s="49"/>
    </row>
    <row r="1549" spans="2:8" x14ac:dyDescent="0.25">
      <c r="B1549" s="49"/>
      <c r="C1549" s="62"/>
      <c r="D1549" s="49"/>
      <c r="E1549" s="49"/>
      <c r="F1549" s="49"/>
      <c r="G1549" s="49"/>
      <c r="H1549" s="49"/>
    </row>
    <row r="1550" spans="2:8" x14ac:dyDescent="0.25">
      <c r="B1550" s="49"/>
      <c r="C1550" s="62"/>
      <c r="D1550" s="49"/>
      <c r="E1550" s="49"/>
      <c r="F1550" s="49"/>
      <c r="G1550" s="49"/>
      <c r="H1550" s="49"/>
    </row>
    <row r="1551" spans="2:8" x14ac:dyDescent="0.25">
      <c r="B1551" s="49"/>
      <c r="C1551" s="62"/>
      <c r="D1551" s="49"/>
      <c r="E1551" s="49"/>
      <c r="F1551" s="49"/>
      <c r="G1551" s="49"/>
      <c r="H1551" s="49"/>
    </row>
    <row r="1552" spans="2:8" x14ac:dyDescent="0.25">
      <c r="B1552" s="49"/>
      <c r="C1552" s="62"/>
      <c r="D1552" s="49"/>
      <c r="E1552" s="49"/>
      <c r="F1552" s="49"/>
      <c r="G1552" s="49"/>
      <c r="H1552" s="49"/>
    </row>
    <row r="1553" spans="2:8" x14ac:dyDescent="0.25">
      <c r="B1553" s="49"/>
      <c r="C1553" s="62"/>
      <c r="D1553" s="49"/>
      <c r="E1553" s="49"/>
      <c r="F1553" s="49"/>
      <c r="G1553" s="49"/>
      <c r="H1553" s="49"/>
    </row>
    <row r="1554" spans="2:8" x14ac:dyDescent="0.25">
      <c r="B1554" s="49"/>
      <c r="C1554" s="62"/>
      <c r="D1554" s="49"/>
      <c r="E1554" s="49"/>
      <c r="F1554" s="49"/>
      <c r="G1554" s="49"/>
      <c r="H1554" s="49"/>
    </row>
    <row r="1555" spans="2:8" x14ac:dyDescent="0.25">
      <c r="B1555" s="49"/>
      <c r="C1555" s="62"/>
      <c r="D1555" s="49"/>
      <c r="E1555" s="49"/>
      <c r="F1555" s="49"/>
      <c r="G1555" s="49"/>
      <c r="H1555" s="49"/>
    </row>
    <row r="1556" spans="2:8" x14ac:dyDescent="0.25">
      <c r="B1556" s="49"/>
      <c r="C1556" s="62"/>
      <c r="D1556" s="49"/>
      <c r="E1556" s="49"/>
      <c r="F1556" s="49"/>
      <c r="G1556" s="49"/>
      <c r="H1556" s="49"/>
    </row>
    <row r="1557" spans="2:8" x14ac:dyDescent="0.25">
      <c r="B1557" s="49"/>
      <c r="C1557" s="62"/>
      <c r="D1557" s="49"/>
      <c r="E1557" s="49"/>
      <c r="F1557" s="49"/>
      <c r="G1557" s="49"/>
      <c r="H1557" s="49"/>
    </row>
    <row r="1558" spans="2:8" x14ac:dyDescent="0.25">
      <c r="B1558" s="49"/>
      <c r="C1558" s="62"/>
      <c r="D1558" s="49"/>
      <c r="E1558" s="49"/>
      <c r="F1558" s="49"/>
      <c r="G1558" s="49"/>
      <c r="H1558" s="49"/>
    </row>
    <row r="1559" spans="2:8" x14ac:dyDescent="0.25">
      <c r="B1559" s="49"/>
      <c r="C1559" s="62"/>
      <c r="D1559" s="49"/>
      <c r="E1559" s="49"/>
      <c r="F1559" s="49"/>
      <c r="G1559" s="49"/>
      <c r="H1559" s="49"/>
    </row>
    <row r="1560" spans="2:8" x14ac:dyDescent="0.25">
      <c r="B1560" s="49"/>
      <c r="C1560" s="62"/>
      <c r="D1560" s="49"/>
      <c r="E1560" s="49"/>
      <c r="F1560" s="49"/>
      <c r="G1560" s="49"/>
      <c r="H1560" s="49"/>
    </row>
    <row r="1561" spans="2:8" x14ac:dyDescent="0.25">
      <c r="B1561" s="49"/>
      <c r="C1561" s="62"/>
      <c r="D1561" s="49"/>
      <c r="E1561" s="49"/>
      <c r="F1561" s="49"/>
      <c r="G1561" s="49"/>
      <c r="H1561" s="49"/>
    </row>
    <row r="1562" spans="2:8" x14ac:dyDescent="0.25">
      <c r="B1562" s="49"/>
      <c r="C1562" s="62"/>
      <c r="D1562" s="49"/>
      <c r="E1562" s="49"/>
      <c r="F1562" s="49"/>
      <c r="G1562" s="49"/>
      <c r="H1562" s="49"/>
    </row>
    <row r="1563" spans="2:8" x14ac:dyDescent="0.25">
      <c r="B1563" s="49"/>
      <c r="C1563" s="62"/>
      <c r="D1563" s="49"/>
      <c r="E1563" s="49"/>
      <c r="F1563" s="49"/>
      <c r="G1563" s="49"/>
      <c r="H1563" s="49"/>
    </row>
    <row r="1564" spans="2:8" x14ac:dyDescent="0.25">
      <c r="B1564" s="49"/>
      <c r="C1564" s="62"/>
      <c r="D1564" s="49"/>
      <c r="E1564" s="49"/>
      <c r="F1564" s="49"/>
      <c r="G1564" s="49"/>
      <c r="H1564" s="49"/>
    </row>
    <row r="1565" spans="2:8" x14ac:dyDescent="0.25">
      <c r="B1565" s="49"/>
      <c r="C1565" s="62"/>
      <c r="D1565" s="49"/>
      <c r="E1565" s="49"/>
      <c r="F1565" s="49"/>
      <c r="G1565" s="49"/>
      <c r="H1565" s="49"/>
    </row>
    <row r="1566" spans="2:8" x14ac:dyDescent="0.25">
      <c r="B1566" s="49"/>
      <c r="C1566" s="62"/>
      <c r="D1566" s="49"/>
      <c r="E1566" s="49"/>
      <c r="F1566" s="49"/>
      <c r="G1566" s="49"/>
      <c r="H1566" s="49"/>
    </row>
    <row r="1567" spans="2:8" x14ac:dyDescent="0.25">
      <c r="B1567" s="49"/>
      <c r="C1567" s="62"/>
      <c r="D1567" s="49"/>
      <c r="E1567" s="49"/>
      <c r="F1567" s="49"/>
      <c r="G1567" s="49"/>
      <c r="H1567" s="49"/>
    </row>
    <row r="1568" spans="2:8" x14ac:dyDescent="0.25">
      <c r="B1568" s="49"/>
      <c r="C1568" s="62"/>
      <c r="D1568" s="49"/>
      <c r="E1568" s="49"/>
      <c r="F1568" s="49"/>
      <c r="G1568" s="49"/>
      <c r="H1568" s="49"/>
    </row>
    <row r="1569" spans="2:8" x14ac:dyDescent="0.25">
      <c r="B1569" s="49"/>
      <c r="C1569" s="62"/>
      <c r="D1569" s="49"/>
      <c r="E1569" s="49"/>
      <c r="F1569" s="49"/>
      <c r="G1569" s="49"/>
      <c r="H1569" s="49"/>
    </row>
    <row r="1570" spans="2:8" x14ac:dyDescent="0.25">
      <c r="B1570" s="49"/>
      <c r="C1570" s="62"/>
      <c r="D1570" s="49"/>
      <c r="E1570" s="49"/>
      <c r="F1570" s="49"/>
      <c r="G1570" s="49"/>
      <c r="H1570" s="49"/>
    </row>
    <row r="1571" spans="2:8" x14ac:dyDescent="0.25">
      <c r="B1571" s="49"/>
      <c r="C1571" s="62"/>
      <c r="D1571" s="49"/>
      <c r="E1571" s="49"/>
      <c r="F1571" s="49"/>
      <c r="G1571" s="49"/>
      <c r="H1571" s="49"/>
    </row>
    <row r="1572" spans="2:8" x14ac:dyDescent="0.25">
      <c r="B1572" s="49"/>
      <c r="C1572" s="62"/>
      <c r="D1572" s="49"/>
      <c r="E1572" s="49"/>
      <c r="F1572" s="49"/>
      <c r="G1572" s="49"/>
      <c r="H1572" s="49"/>
    </row>
    <row r="1573" spans="2:8" x14ac:dyDescent="0.25">
      <c r="B1573" s="49"/>
      <c r="C1573" s="62"/>
      <c r="D1573" s="49"/>
      <c r="E1573" s="49"/>
      <c r="F1573" s="49"/>
      <c r="G1573" s="49"/>
      <c r="H1573" s="49"/>
    </row>
    <row r="1574" spans="2:8" x14ac:dyDescent="0.25">
      <c r="B1574" s="49"/>
      <c r="C1574" s="62"/>
      <c r="D1574" s="49"/>
      <c r="E1574" s="49"/>
      <c r="F1574" s="49"/>
      <c r="G1574" s="49"/>
      <c r="H1574" s="49"/>
    </row>
    <row r="1575" spans="2:8" x14ac:dyDescent="0.25">
      <c r="B1575" s="49"/>
      <c r="C1575" s="62"/>
      <c r="D1575" s="49"/>
      <c r="E1575" s="49"/>
      <c r="F1575" s="49"/>
      <c r="G1575" s="49"/>
      <c r="H1575" s="49"/>
    </row>
    <row r="1576" spans="2:8" x14ac:dyDescent="0.25">
      <c r="B1576" s="49"/>
      <c r="C1576" s="62"/>
      <c r="D1576" s="49"/>
      <c r="E1576" s="49"/>
      <c r="F1576" s="49"/>
      <c r="G1576" s="49"/>
      <c r="H1576" s="49"/>
    </row>
    <row r="1577" spans="2:8" x14ac:dyDescent="0.25">
      <c r="B1577" s="49"/>
      <c r="C1577" s="62"/>
      <c r="D1577" s="49"/>
      <c r="E1577" s="49"/>
      <c r="F1577" s="49"/>
      <c r="G1577" s="49"/>
      <c r="H1577" s="49"/>
    </row>
    <row r="1578" spans="2:8" x14ac:dyDescent="0.25">
      <c r="B1578" s="49"/>
      <c r="C1578" s="62"/>
      <c r="D1578" s="49"/>
      <c r="E1578" s="49"/>
      <c r="F1578" s="49"/>
      <c r="G1578" s="49"/>
      <c r="H1578" s="49"/>
    </row>
    <row r="1579" spans="2:8" x14ac:dyDescent="0.25">
      <c r="B1579" s="49"/>
      <c r="C1579" s="62"/>
      <c r="D1579" s="49"/>
      <c r="E1579" s="49"/>
      <c r="F1579" s="49"/>
      <c r="G1579" s="49"/>
      <c r="H1579" s="49"/>
    </row>
    <row r="1580" spans="2:8" x14ac:dyDescent="0.25">
      <c r="B1580" s="49"/>
      <c r="C1580" s="62"/>
      <c r="D1580" s="49"/>
      <c r="E1580" s="49"/>
      <c r="F1580" s="49"/>
      <c r="G1580" s="49"/>
      <c r="H1580" s="49"/>
    </row>
    <row r="1581" spans="2:8" x14ac:dyDescent="0.25">
      <c r="B1581" s="49"/>
      <c r="C1581" s="62"/>
      <c r="D1581" s="49"/>
      <c r="E1581" s="49"/>
      <c r="F1581" s="49"/>
      <c r="G1581" s="49"/>
      <c r="H1581" s="49"/>
    </row>
    <row r="1582" spans="2:8" x14ac:dyDescent="0.25">
      <c r="B1582" s="49"/>
      <c r="C1582" s="62"/>
      <c r="D1582" s="49"/>
      <c r="E1582" s="49"/>
      <c r="F1582" s="49"/>
      <c r="G1582" s="49"/>
      <c r="H1582" s="49"/>
    </row>
    <row r="1583" spans="2:8" x14ac:dyDescent="0.25">
      <c r="B1583" s="49"/>
      <c r="C1583" s="62"/>
      <c r="D1583" s="49"/>
      <c r="E1583" s="49"/>
      <c r="F1583" s="49"/>
      <c r="G1583" s="49"/>
      <c r="H1583" s="49"/>
    </row>
    <row r="1584" spans="2:8" x14ac:dyDescent="0.25">
      <c r="B1584" s="49"/>
      <c r="C1584" s="62"/>
      <c r="D1584" s="49"/>
      <c r="E1584" s="49"/>
      <c r="F1584" s="49"/>
      <c r="G1584" s="49"/>
      <c r="H1584" s="49"/>
    </row>
    <row r="1585" spans="2:8" x14ac:dyDescent="0.25">
      <c r="B1585" s="49"/>
      <c r="C1585" s="62"/>
      <c r="D1585" s="49"/>
      <c r="E1585" s="49"/>
      <c r="F1585" s="49"/>
      <c r="G1585" s="49"/>
      <c r="H1585" s="49"/>
    </row>
    <row r="1586" spans="2:8" x14ac:dyDescent="0.25">
      <c r="B1586" s="49"/>
      <c r="C1586" s="62"/>
      <c r="D1586" s="49"/>
      <c r="E1586" s="49"/>
      <c r="F1586" s="49"/>
      <c r="G1586" s="49"/>
      <c r="H1586" s="49"/>
    </row>
    <row r="1587" spans="2:8" x14ac:dyDescent="0.25">
      <c r="B1587" s="49"/>
      <c r="C1587" s="62"/>
      <c r="D1587" s="49"/>
      <c r="E1587" s="49"/>
      <c r="F1587" s="49"/>
      <c r="G1587" s="49"/>
      <c r="H1587" s="49"/>
    </row>
    <row r="1588" spans="2:8" x14ac:dyDescent="0.25">
      <c r="B1588" s="49"/>
      <c r="C1588" s="62"/>
      <c r="D1588" s="49"/>
      <c r="E1588" s="49"/>
      <c r="F1588" s="49"/>
      <c r="G1588" s="49"/>
      <c r="H1588" s="49"/>
    </row>
    <row r="1589" spans="2:8" x14ac:dyDescent="0.25">
      <c r="B1589" s="49"/>
      <c r="C1589" s="62"/>
      <c r="D1589" s="49"/>
      <c r="E1589" s="49"/>
      <c r="F1589" s="49"/>
      <c r="G1589" s="49"/>
      <c r="H1589" s="49"/>
    </row>
    <row r="1590" spans="2:8" x14ac:dyDescent="0.25">
      <c r="B1590" s="49"/>
      <c r="C1590" s="62"/>
      <c r="D1590" s="49"/>
      <c r="E1590" s="49"/>
      <c r="F1590" s="49"/>
      <c r="G1590" s="49"/>
      <c r="H1590" s="49"/>
    </row>
    <row r="1591" spans="2:8" x14ac:dyDescent="0.25">
      <c r="B1591" s="49"/>
      <c r="C1591" s="62"/>
      <c r="D1591" s="49"/>
      <c r="E1591" s="49"/>
      <c r="F1591" s="49"/>
      <c r="G1591" s="49"/>
      <c r="H1591" s="49"/>
    </row>
    <row r="1592" spans="2:8" x14ac:dyDescent="0.25">
      <c r="B1592" s="49"/>
      <c r="C1592" s="62"/>
      <c r="D1592" s="49"/>
      <c r="E1592" s="49"/>
      <c r="F1592" s="49"/>
      <c r="G1592" s="49"/>
      <c r="H1592" s="49"/>
    </row>
    <row r="1593" spans="2:8" x14ac:dyDescent="0.25">
      <c r="B1593" s="49"/>
      <c r="C1593" s="62"/>
      <c r="D1593" s="49"/>
      <c r="E1593" s="49"/>
      <c r="F1593" s="49"/>
      <c r="G1593" s="49"/>
      <c r="H1593" s="49"/>
    </row>
    <row r="1594" spans="2:8" x14ac:dyDescent="0.25">
      <c r="B1594" s="49"/>
      <c r="C1594" s="62"/>
      <c r="D1594" s="49"/>
      <c r="E1594" s="49"/>
      <c r="F1594" s="49"/>
      <c r="G1594" s="49"/>
      <c r="H1594" s="49"/>
    </row>
    <row r="1595" spans="2:8" x14ac:dyDescent="0.25">
      <c r="B1595" s="49"/>
      <c r="C1595" s="62"/>
      <c r="D1595" s="49"/>
      <c r="E1595" s="49"/>
      <c r="F1595" s="49"/>
      <c r="G1595" s="49"/>
      <c r="H1595" s="49"/>
    </row>
    <row r="1596" spans="2:8" x14ac:dyDescent="0.25">
      <c r="B1596" s="49"/>
      <c r="C1596" s="62"/>
      <c r="D1596" s="49"/>
      <c r="E1596" s="49"/>
      <c r="F1596" s="49"/>
      <c r="G1596" s="49"/>
      <c r="H1596" s="49"/>
    </row>
    <row r="1597" spans="2:8" x14ac:dyDescent="0.25">
      <c r="B1597" s="49"/>
      <c r="C1597" s="62"/>
      <c r="D1597" s="49"/>
      <c r="E1597" s="49"/>
      <c r="F1597" s="49"/>
      <c r="G1597" s="49"/>
      <c r="H1597" s="49"/>
    </row>
    <row r="1598" spans="2:8" x14ac:dyDescent="0.25">
      <c r="B1598" s="49"/>
      <c r="C1598" s="62"/>
      <c r="D1598" s="49"/>
      <c r="E1598" s="49"/>
      <c r="F1598" s="49"/>
      <c r="G1598" s="49"/>
      <c r="H1598" s="49"/>
    </row>
    <row r="1599" spans="2:8" x14ac:dyDescent="0.25">
      <c r="B1599" s="49"/>
      <c r="C1599" s="62"/>
      <c r="D1599" s="49"/>
      <c r="E1599" s="49"/>
      <c r="F1599" s="49"/>
      <c r="G1599" s="49"/>
      <c r="H1599" s="49"/>
    </row>
    <row r="1600" spans="2:8" x14ac:dyDescent="0.25">
      <c r="B1600" s="49"/>
      <c r="C1600" s="62"/>
      <c r="D1600" s="49"/>
      <c r="E1600" s="49"/>
      <c r="F1600" s="49"/>
      <c r="G1600" s="49"/>
      <c r="H1600" s="49"/>
    </row>
    <row r="1601" spans="2:8" x14ac:dyDescent="0.25">
      <c r="B1601" s="49"/>
      <c r="C1601" s="62"/>
      <c r="D1601" s="49"/>
      <c r="E1601" s="49"/>
      <c r="F1601" s="49"/>
      <c r="G1601" s="49"/>
      <c r="H1601" s="49"/>
    </row>
    <row r="1602" spans="2:8" x14ac:dyDescent="0.25">
      <c r="B1602" s="49"/>
      <c r="C1602" s="62"/>
      <c r="D1602" s="49"/>
      <c r="E1602" s="49"/>
      <c r="F1602" s="49"/>
      <c r="G1602" s="49"/>
      <c r="H1602" s="49"/>
    </row>
    <row r="1603" spans="2:8" x14ac:dyDescent="0.25">
      <c r="B1603" s="49"/>
      <c r="C1603" s="62"/>
      <c r="D1603" s="49"/>
      <c r="E1603" s="49"/>
      <c r="F1603" s="49"/>
      <c r="G1603" s="49"/>
      <c r="H1603" s="49"/>
    </row>
    <row r="1604" spans="2:8" x14ac:dyDescent="0.25">
      <c r="B1604" s="49"/>
      <c r="C1604" s="62"/>
      <c r="D1604" s="49"/>
      <c r="E1604" s="49"/>
      <c r="F1604" s="49"/>
      <c r="G1604" s="49"/>
      <c r="H1604" s="49"/>
    </row>
    <row r="1605" spans="2:8" x14ac:dyDescent="0.25">
      <c r="B1605" s="49"/>
      <c r="C1605" s="62"/>
      <c r="D1605" s="49"/>
      <c r="E1605" s="49"/>
      <c r="F1605" s="49"/>
      <c r="G1605" s="49"/>
      <c r="H1605" s="49"/>
    </row>
    <row r="1606" spans="2:8" x14ac:dyDescent="0.25">
      <c r="B1606" s="49"/>
      <c r="C1606" s="62"/>
      <c r="D1606" s="49"/>
      <c r="E1606" s="49"/>
      <c r="F1606" s="49"/>
      <c r="G1606" s="49"/>
      <c r="H1606" s="49"/>
    </row>
    <row r="1607" spans="2:8" x14ac:dyDescent="0.25">
      <c r="B1607" s="49"/>
      <c r="C1607" s="62"/>
      <c r="D1607" s="49"/>
      <c r="E1607" s="49"/>
      <c r="F1607" s="49"/>
      <c r="G1607" s="49"/>
      <c r="H1607" s="49"/>
    </row>
    <row r="1608" spans="2:8" x14ac:dyDescent="0.25">
      <c r="B1608" s="49"/>
      <c r="C1608" s="62"/>
      <c r="D1608" s="49"/>
      <c r="E1608" s="49"/>
      <c r="F1608" s="49"/>
      <c r="G1608" s="49"/>
      <c r="H1608" s="49"/>
    </row>
    <row r="1609" spans="2:8" x14ac:dyDescent="0.25">
      <c r="B1609" s="49"/>
      <c r="C1609" s="62"/>
      <c r="D1609" s="49"/>
      <c r="E1609" s="49"/>
      <c r="F1609" s="49"/>
      <c r="G1609" s="49"/>
      <c r="H1609" s="49"/>
    </row>
    <row r="1610" spans="2:8" x14ac:dyDescent="0.25">
      <c r="B1610" s="49"/>
      <c r="C1610" s="62"/>
      <c r="D1610" s="49"/>
      <c r="E1610" s="49"/>
      <c r="F1610" s="49"/>
      <c r="G1610" s="49"/>
      <c r="H1610" s="49"/>
    </row>
    <row r="1611" spans="2:8" x14ac:dyDescent="0.25">
      <c r="B1611" s="49"/>
      <c r="C1611" s="62"/>
      <c r="D1611" s="49"/>
      <c r="E1611" s="49"/>
      <c r="F1611" s="49"/>
      <c r="G1611" s="49"/>
      <c r="H1611" s="49"/>
    </row>
    <row r="1612" spans="2:8" x14ac:dyDescent="0.25">
      <c r="B1612" s="49"/>
      <c r="C1612" s="62"/>
      <c r="D1612" s="49"/>
      <c r="E1612" s="49"/>
      <c r="F1612" s="49"/>
      <c r="G1612" s="49"/>
      <c r="H1612" s="49"/>
    </row>
    <row r="1613" spans="2:8" x14ac:dyDescent="0.25">
      <c r="B1613" s="49"/>
      <c r="C1613" s="62"/>
      <c r="D1613" s="49"/>
      <c r="E1613" s="49"/>
      <c r="F1613" s="49"/>
      <c r="G1613" s="49"/>
      <c r="H1613" s="49"/>
    </row>
    <row r="1614" spans="2:8" x14ac:dyDescent="0.25">
      <c r="B1614" s="49"/>
      <c r="C1614" s="62"/>
      <c r="D1614" s="49"/>
      <c r="E1614" s="49"/>
      <c r="F1614" s="49"/>
      <c r="G1614" s="49"/>
      <c r="H1614" s="49"/>
    </row>
    <row r="1615" spans="2:8" x14ac:dyDescent="0.25">
      <c r="B1615" s="49"/>
      <c r="C1615" s="62"/>
      <c r="D1615" s="49"/>
      <c r="E1615" s="49"/>
      <c r="F1615" s="49"/>
      <c r="G1615" s="49"/>
      <c r="H1615" s="49"/>
    </row>
    <row r="1616" spans="2:8" x14ac:dyDescent="0.25">
      <c r="B1616" s="49"/>
      <c r="C1616" s="62"/>
      <c r="D1616" s="49"/>
      <c r="E1616" s="49"/>
      <c r="F1616" s="49"/>
      <c r="G1616" s="49"/>
      <c r="H1616" s="49"/>
    </row>
    <row r="1617" spans="2:8" x14ac:dyDescent="0.25">
      <c r="B1617" s="49"/>
      <c r="C1617" s="62"/>
      <c r="D1617" s="49"/>
      <c r="E1617" s="49"/>
      <c r="F1617" s="49"/>
      <c r="G1617" s="49"/>
      <c r="H1617" s="49"/>
    </row>
    <row r="1618" spans="2:8" x14ac:dyDescent="0.25">
      <c r="B1618" s="49"/>
      <c r="C1618" s="62"/>
      <c r="D1618" s="49"/>
      <c r="E1618" s="49"/>
      <c r="F1618" s="49"/>
      <c r="G1618" s="49"/>
      <c r="H1618" s="49"/>
    </row>
    <row r="1619" spans="2:8" x14ac:dyDescent="0.25">
      <c r="B1619" s="49"/>
      <c r="C1619" s="62"/>
      <c r="D1619" s="49"/>
      <c r="E1619" s="49"/>
      <c r="F1619" s="49"/>
      <c r="G1619" s="49"/>
      <c r="H1619" s="49"/>
    </row>
    <row r="1620" spans="2:8" x14ac:dyDescent="0.25">
      <c r="B1620" s="49"/>
      <c r="C1620" s="62"/>
      <c r="D1620" s="49"/>
      <c r="E1620" s="49"/>
      <c r="F1620" s="49"/>
      <c r="G1620" s="49"/>
      <c r="H1620" s="49"/>
    </row>
    <row r="1621" spans="2:8" x14ac:dyDescent="0.25">
      <c r="B1621" s="49"/>
      <c r="C1621" s="62"/>
      <c r="D1621" s="49"/>
      <c r="E1621" s="49"/>
      <c r="F1621" s="49"/>
      <c r="G1621" s="49"/>
      <c r="H1621" s="49"/>
    </row>
    <row r="1622" spans="2:8" x14ac:dyDescent="0.25">
      <c r="B1622" s="49"/>
      <c r="C1622" s="62"/>
      <c r="D1622" s="49"/>
      <c r="E1622" s="49"/>
      <c r="F1622" s="49"/>
      <c r="G1622" s="49"/>
      <c r="H1622" s="49"/>
    </row>
    <row r="1623" spans="2:8" x14ac:dyDescent="0.25">
      <c r="B1623" s="49"/>
      <c r="C1623" s="62"/>
      <c r="D1623" s="49"/>
      <c r="E1623" s="49"/>
      <c r="F1623" s="49"/>
      <c r="G1623" s="49"/>
      <c r="H1623" s="49"/>
    </row>
    <row r="1624" spans="2:8" x14ac:dyDescent="0.25">
      <c r="B1624" s="49"/>
      <c r="C1624" s="62"/>
      <c r="D1624" s="49"/>
      <c r="E1624" s="49"/>
      <c r="F1624" s="49"/>
      <c r="G1624" s="49"/>
      <c r="H1624" s="49"/>
    </row>
    <row r="1625" spans="2:8" x14ac:dyDescent="0.25">
      <c r="B1625" s="49"/>
      <c r="C1625" s="62"/>
      <c r="D1625" s="49"/>
      <c r="E1625" s="49"/>
      <c r="F1625" s="49"/>
      <c r="G1625" s="49"/>
      <c r="H1625" s="49"/>
    </row>
    <row r="1626" spans="2:8" x14ac:dyDescent="0.25">
      <c r="B1626" s="49"/>
      <c r="C1626" s="62"/>
      <c r="D1626" s="49"/>
      <c r="E1626" s="49"/>
      <c r="F1626" s="49"/>
      <c r="G1626" s="49"/>
      <c r="H1626" s="49"/>
    </row>
    <row r="1627" spans="2:8" x14ac:dyDescent="0.25">
      <c r="B1627" s="49"/>
      <c r="C1627" s="62"/>
      <c r="D1627" s="49"/>
      <c r="E1627" s="49"/>
      <c r="F1627" s="49"/>
      <c r="G1627" s="49"/>
      <c r="H1627" s="49"/>
    </row>
    <row r="1628" spans="2:8" x14ac:dyDescent="0.25">
      <c r="B1628" s="49"/>
      <c r="C1628" s="62"/>
      <c r="D1628" s="49"/>
      <c r="E1628" s="49"/>
      <c r="F1628" s="49"/>
      <c r="G1628" s="49"/>
      <c r="H1628" s="49"/>
    </row>
    <row r="1629" spans="2:8" x14ac:dyDescent="0.25">
      <c r="B1629" s="49"/>
      <c r="C1629" s="62"/>
      <c r="D1629" s="49"/>
      <c r="E1629" s="49"/>
      <c r="F1629" s="49"/>
      <c r="G1629" s="49"/>
      <c r="H1629" s="49"/>
    </row>
    <row r="1630" spans="2:8" x14ac:dyDescent="0.25">
      <c r="B1630" s="49"/>
      <c r="C1630" s="62"/>
      <c r="D1630" s="49"/>
      <c r="E1630" s="49"/>
      <c r="F1630" s="49"/>
      <c r="G1630" s="49"/>
      <c r="H1630" s="49"/>
    </row>
    <row r="1631" spans="2:8" x14ac:dyDescent="0.25">
      <c r="B1631" s="49"/>
      <c r="C1631" s="62"/>
      <c r="D1631" s="49"/>
      <c r="E1631" s="49"/>
      <c r="F1631" s="49"/>
      <c r="G1631" s="49"/>
      <c r="H1631" s="49"/>
    </row>
    <row r="1632" spans="2:8" x14ac:dyDescent="0.25">
      <c r="B1632" s="49"/>
      <c r="C1632" s="62"/>
      <c r="D1632" s="49"/>
      <c r="E1632" s="49"/>
      <c r="F1632" s="49"/>
      <c r="G1632" s="49"/>
      <c r="H1632" s="49"/>
    </row>
    <row r="1633" spans="2:8" x14ac:dyDescent="0.25">
      <c r="B1633" s="49"/>
      <c r="C1633" s="62"/>
      <c r="D1633" s="49"/>
      <c r="E1633" s="49"/>
      <c r="F1633" s="49"/>
      <c r="G1633" s="49"/>
      <c r="H1633" s="49"/>
    </row>
    <row r="1634" spans="2:8" x14ac:dyDescent="0.25">
      <c r="B1634" s="49"/>
      <c r="C1634" s="62"/>
      <c r="D1634" s="49"/>
      <c r="E1634" s="49"/>
      <c r="F1634" s="49"/>
      <c r="G1634" s="49"/>
      <c r="H1634" s="49"/>
    </row>
    <row r="1635" spans="2:8" x14ac:dyDescent="0.25">
      <c r="B1635" s="49"/>
      <c r="C1635" s="62"/>
      <c r="D1635" s="49"/>
      <c r="E1635" s="49"/>
      <c r="F1635" s="49"/>
      <c r="G1635" s="49"/>
      <c r="H1635" s="49"/>
    </row>
    <row r="1636" spans="2:8" x14ac:dyDescent="0.25">
      <c r="B1636" s="49"/>
      <c r="C1636" s="62"/>
      <c r="D1636" s="49"/>
      <c r="E1636" s="49"/>
      <c r="F1636" s="49"/>
      <c r="G1636" s="49"/>
      <c r="H1636" s="49"/>
    </row>
    <row r="1637" spans="2:8" x14ac:dyDescent="0.25">
      <c r="B1637" s="49"/>
      <c r="C1637" s="62"/>
      <c r="D1637" s="49"/>
      <c r="E1637" s="49"/>
      <c r="F1637" s="49"/>
      <c r="G1637" s="49"/>
      <c r="H1637" s="49"/>
    </row>
    <row r="1638" spans="2:8" x14ac:dyDescent="0.25">
      <c r="B1638" s="49"/>
      <c r="C1638" s="62"/>
      <c r="D1638" s="49"/>
      <c r="E1638" s="49"/>
      <c r="F1638" s="49"/>
      <c r="G1638" s="49"/>
      <c r="H1638" s="49"/>
    </row>
    <row r="1639" spans="2:8" x14ac:dyDescent="0.25">
      <c r="B1639" s="49"/>
      <c r="C1639" s="62"/>
      <c r="D1639" s="49"/>
      <c r="E1639" s="49"/>
      <c r="F1639" s="49"/>
      <c r="G1639" s="49"/>
      <c r="H1639" s="49"/>
    </row>
    <row r="1640" spans="2:8" x14ac:dyDescent="0.25">
      <c r="B1640" s="49"/>
      <c r="C1640" s="62"/>
      <c r="D1640" s="49"/>
      <c r="E1640" s="49"/>
      <c r="F1640" s="49"/>
      <c r="G1640" s="49"/>
      <c r="H1640" s="49"/>
    </row>
    <row r="1641" spans="2:8" x14ac:dyDescent="0.25">
      <c r="B1641" s="49"/>
      <c r="C1641" s="62"/>
      <c r="D1641" s="49"/>
      <c r="E1641" s="49"/>
      <c r="F1641" s="49"/>
      <c r="G1641" s="49"/>
      <c r="H1641" s="49"/>
    </row>
    <row r="1642" spans="2:8" x14ac:dyDescent="0.25">
      <c r="B1642" s="49"/>
      <c r="C1642" s="62"/>
      <c r="D1642" s="49"/>
      <c r="E1642" s="49"/>
      <c r="F1642" s="49"/>
      <c r="G1642" s="49"/>
      <c r="H1642" s="49"/>
    </row>
    <row r="1643" spans="2:8" x14ac:dyDescent="0.25">
      <c r="B1643" s="49"/>
      <c r="C1643" s="62"/>
      <c r="D1643" s="49"/>
      <c r="E1643" s="49"/>
      <c r="F1643" s="49"/>
      <c r="G1643" s="49"/>
      <c r="H1643" s="49"/>
    </row>
    <row r="1644" spans="2:8" x14ac:dyDescent="0.25">
      <c r="B1644" s="49"/>
      <c r="C1644" s="62"/>
      <c r="D1644" s="49"/>
      <c r="E1644" s="49"/>
      <c r="F1644" s="49"/>
      <c r="G1644" s="49"/>
      <c r="H1644" s="49"/>
    </row>
    <row r="1645" spans="2:8" x14ac:dyDescent="0.25">
      <c r="B1645" s="49"/>
      <c r="C1645" s="62"/>
      <c r="D1645" s="49"/>
      <c r="E1645" s="49"/>
      <c r="F1645" s="49"/>
      <c r="G1645" s="49"/>
      <c r="H1645" s="49"/>
    </row>
    <row r="1646" spans="2:8" x14ac:dyDescent="0.25">
      <c r="B1646" s="49"/>
      <c r="C1646" s="62"/>
      <c r="D1646" s="49"/>
      <c r="E1646" s="49"/>
      <c r="F1646" s="49"/>
      <c r="G1646" s="49"/>
      <c r="H1646" s="49"/>
    </row>
    <row r="1647" spans="2:8" x14ac:dyDescent="0.25">
      <c r="B1647" s="49"/>
      <c r="C1647" s="62"/>
      <c r="D1647" s="49"/>
      <c r="E1647" s="49"/>
      <c r="F1647" s="49"/>
      <c r="G1647" s="49"/>
      <c r="H1647" s="49"/>
    </row>
    <row r="1648" spans="2:8" x14ac:dyDescent="0.25">
      <c r="B1648" s="49"/>
      <c r="C1648" s="62"/>
      <c r="D1648" s="49"/>
      <c r="E1648" s="49"/>
      <c r="F1648" s="49"/>
      <c r="G1648" s="49"/>
      <c r="H1648" s="49"/>
    </row>
    <row r="1649" spans="2:8" x14ac:dyDescent="0.25">
      <c r="B1649" s="49"/>
      <c r="C1649" s="62"/>
      <c r="D1649" s="49"/>
      <c r="E1649" s="49"/>
      <c r="F1649" s="49"/>
      <c r="G1649" s="49"/>
      <c r="H1649" s="49"/>
    </row>
    <row r="1650" spans="2:8" x14ac:dyDescent="0.25">
      <c r="B1650" s="49"/>
      <c r="C1650" s="62"/>
      <c r="D1650" s="49"/>
      <c r="E1650" s="49"/>
      <c r="F1650" s="49"/>
      <c r="G1650" s="49"/>
      <c r="H1650" s="49"/>
    </row>
    <row r="1651" spans="2:8" x14ac:dyDescent="0.25">
      <c r="B1651" s="49"/>
      <c r="C1651" s="62"/>
      <c r="D1651" s="49"/>
      <c r="E1651" s="49"/>
      <c r="F1651" s="49"/>
      <c r="G1651" s="49"/>
      <c r="H1651" s="49"/>
    </row>
    <row r="1652" spans="2:8" x14ac:dyDescent="0.25">
      <c r="B1652" s="49"/>
      <c r="C1652" s="62"/>
      <c r="D1652" s="49"/>
      <c r="E1652" s="49"/>
      <c r="F1652" s="49"/>
      <c r="G1652" s="49"/>
      <c r="H1652" s="49"/>
    </row>
    <row r="1653" spans="2:8" x14ac:dyDescent="0.25">
      <c r="B1653" s="49"/>
      <c r="C1653" s="62"/>
      <c r="D1653" s="49"/>
      <c r="E1653" s="49"/>
      <c r="F1653" s="49"/>
      <c r="G1653" s="49"/>
      <c r="H1653" s="49"/>
    </row>
    <row r="1654" spans="2:8" x14ac:dyDescent="0.25">
      <c r="B1654" s="49"/>
      <c r="C1654" s="62"/>
      <c r="D1654" s="49"/>
      <c r="E1654" s="49"/>
      <c r="F1654" s="49"/>
      <c r="G1654" s="49"/>
      <c r="H1654" s="49"/>
    </row>
    <row r="1655" spans="2:8" x14ac:dyDescent="0.25">
      <c r="B1655" s="49"/>
      <c r="C1655" s="62"/>
      <c r="D1655" s="49"/>
      <c r="E1655" s="49"/>
      <c r="F1655" s="49"/>
      <c r="G1655" s="49"/>
      <c r="H1655" s="49"/>
    </row>
    <row r="1656" spans="2:8" x14ac:dyDescent="0.25">
      <c r="B1656" s="49"/>
      <c r="C1656" s="62"/>
      <c r="D1656" s="49"/>
      <c r="E1656" s="49"/>
      <c r="F1656" s="49"/>
      <c r="G1656" s="49"/>
      <c r="H1656" s="49"/>
    </row>
    <row r="1657" spans="2:8" x14ac:dyDescent="0.25">
      <c r="B1657" s="49"/>
      <c r="C1657" s="62"/>
      <c r="D1657" s="49"/>
      <c r="E1657" s="49"/>
      <c r="F1657" s="49"/>
      <c r="G1657" s="49"/>
      <c r="H1657" s="49"/>
    </row>
    <row r="1658" spans="2:8" x14ac:dyDescent="0.25">
      <c r="B1658" s="49"/>
      <c r="C1658" s="62"/>
      <c r="D1658" s="49"/>
      <c r="E1658" s="49"/>
      <c r="F1658" s="49"/>
      <c r="G1658" s="49"/>
      <c r="H1658" s="49"/>
    </row>
    <row r="1659" spans="2:8" x14ac:dyDescent="0.25">
      <c r="B1659" s="49"/>
      <c r="C1659" s="62"/>
      <c r="D1659" s="49"/>
      <c r="E1659" s="49"/>
      <c r="F1659" s="49"/>
      <c r="G1659" s="49"/>
      <c r="H1659" s="49"/>
    </row>
    <row r="1660" spans="2:8" x14ac:dyDescent="0.25">
      <c r="B1660" s="49"/>
      <c r="C1660" s="62"/>
      <c r="D1660" s="49"/>
      <c r="E1660" s="49"/>
      <c r="F1660" s="49"/>
      <c r="G1660" s="49"/>
      <c r="H1660" s="49"/>
    </row>
    <row r="1661" spans="2:8" x14ac:dyDescent="0.25">
      <c r="B1661" s="49"/>
      <c r="C1661" s="62"/>
      <c r="D1661" s="49"/>
      <c r="E1661" s="49"/>
      <c r="F1661" s="49"/>
      <c r="G1661" s="49"/>
      <c r="H1661" s="49"/>
    </row>
    <row r="1662" spans="2:8" x14ac:dyDescent="0.25">
      <c r="B1662" s="49"/>
      <c r="C1662" s="62"/>
      <c r="D1662" s="49"/>
      <c r="E1662" s="49"/>
      <c r="F1662" s="49"/>
      <c r="G1662" s="49"/>
      <c r="H1662" s="49"/>
    </row>
    <row r="1663" spans="2:8" x14ac:dyDescent="0.25">
      <c r="B1663" s="49"/>
      <c r="C1663" s="62"/>
      <c r="D1663" s="49"/>
      <c r="E1663" s="49"/>
      <c r="F1663" s="49"/>
      <c r="G1663" s="49"/>
      <c r="H1663" s="49"/>
    </row>
    <row r="1664" spans="2:8" x14ac:dyDescent="0.25">
      <c r="B1664" s="49"/>
      <c r="C1664" s="62"/>
      <c r="D1664" s="49"/>
      <c r="E1664" s="49"/>
      <c r="F1664" s="49"/>
      <c r="G1664" s="49"/>
      <c r="H1664" s="49"/>
    </row>
    <row r="1665" spans="2:8" x14ac:dyDescent="0.25">
      <c r="B1665" s="49"/>
      <c r="C1665" s="62"/>
      <c r="D1665" s="49"/>
      <c r="E1665" s="49"/>
      <c r="F1665" s="49"/>
      <c r="G1665" s="49"/>
      <c r="H1665" s="49"/>
    </row>
    <row r="1666" spans="2:8" x14ac:dyDescent="0.25">
      <c r="B1666" s="49"/>
      <c r="C1666" s="62"/>
      <c r="D1666" s="49"/>
      <c r="E1666" s="49"/>
      <c r="F1666" s="49"/>
      <c r="G1666" s="49"/>
      <c r="H1666" s="49"/>
    </row>
    <row r="1667" spans="2:8" x14ac:dyDescent="0.25">
      <c r="B1667" s="49"/>
      <c r="C1667" s="62"/>
      <c r="D1667" s="49"/>
      <c r="E1667" s="49"/>
      <c r="F1667" s="49"/>
      <c r="G1667" s="49"/>
      <c r="H1667" s="49"/>
    </row>
    <row r="1668" spans="2:8" x14ac:dyDescent="0.25">
      <c r="B1668" s="49"/>
      <c r="C1668" s="62"/>
      <c r="D1668" s="49"/>
      <c r="E1668" s="49"/>
      <c r="F1668" s="49"/>
      <c r="G1668" s="49"/>
      <c r="H1668" s="49"/>
    </row>
    <row r="1669" spans="2:8" x14ac:dyDescent="0.25">
      <c r="B1669" s="49"/>
      <c r="C1669" s="62"/>
      <c r="D1669" s="49"/>
      <c r="E1669" s="49"/>
      <c r="F1669" s="49"/>
      <c r="G1669" s="49"/>
      <c r="H1669" s="49"/>
    </row>
    <row r="1670" spans="2:8" x14ac:dyDescent="0.25">
      <c r="B1670" s="49"/>
      <c r="C1670" s="62"/>
      <c r="D1670" s="49"/>
      <c r="E1670" s="49"/>
      <c r="F1670" s="49"/>
      <c r="G1670" s="49"/>
      <c r="H1670" s="49"/>
    </row>
    <row r="1671" spans="2:8" x14ac:dyDescent="0.25">
      <c r="B1671" s="49"/>
      <c r="C1671" s="62"/>
      <c r="D1671" s="49"/>
      <c r="E1671" s="49"/>
      <c r="F1671" s="49"/>
      <c r="G1671" s="49"/>
      <c r="H1671" s="49"/>
    </row>
    <row r="1672" spans="2:8" x14ac:dyDescent="0.25">
      <c r="B1672" s="49"/>
      <c r="C1672" s="62"/>
      <c r="D1672" s="49"/>
      <c r="E1672" s="49"/>
      <c r="F1672" s="49"/>
      <c r="G1672" s="49"/>
      <c r="H1672" s="49"/>
    </row>
    <row r="1673" spans="2:8" x14ac:dyDescent="0.25">
      <c r="B1673" s="49"/>
      <c r="C1673" s="62"/>
      <c r="D1673" s="49"/>
      <c r="E1673" s="49"/>
      <c r="F1673" s="49"/>
      <c r="G1673" s="49"/>
      <c r="H1673" s="49"/>
    </row>
    <row r="1674" spans="2:8" x14ac:dyDescent="0.25">
      <c r="B1674" s="49"/>
      <c r="C1674" s="62"/>
      <c r="D1674" s="49"/>
      <c r="E1674" s="49"/>
      <c r="F1674" s="49"/>
      <c r="G1674" s="49"/>
      <c r="H1674" s="49"/>
    </row>
    <row r="1675" spans="2:8" x14ac:dyDescent="0.25">
      <c r="B1675" s="49"/>
      <c r="C1675" s="62"/>
      <c r="D1675" s="49"/>
      <c r="E1675" s="49"/>
      <c r="F1675" s="49"/>
      <c r="G1675" s="49"/>
      <c r="H1675" s="49"/>
    </row>
    <row r="1676" spans="2:8" x14ac:dyDescent="0.25">
      <c r="B1676" s="49"/>
      <c r="C1676" s="62"/>
      <c r="D1676" s="49"/>
      <c r="E1676" s="49"/>
      <c r="F1676" s="49"/>
      <c r="G1676" s="49"/>
      <c r="H1676" s="49"/>
    </row>
    <row r="1677" spans="2:8" x14ac:dyDescent="0.25">
      <c r="B1677" s="49"/>
      <c r="C1677" s="62"/>
      <c r="D1677" s="49"/>
      <c r="E1677" s="49"/>
      <c r="F1677" s="49"/>
      <c r="G1677" s="49"/>
      <c r="H1677" s="49"/>
    </row>
    <row r="1678" spans="2:8" x14ac:dyDescent="0.25">
      <c r="B1678" s="49"/>
      <c r="C1678" s="62"/>
      <c r="D1678" s="49"/>
      <c r="E1678" s="49"/>
      <c r="F1678" s="49"/>
      <c r="G1678" s="49"/>
      <c r="H1678" s="49"/>
    </row>
    <row r="1679" spans="2:8" x14ac:dyDescent="0.25">
      <c r="B1679" s="49"/>
      <c r="C1679" s="62"/>
      <c r="D1679" s="49"/>
      <c r="E1679" s="49"/>
      <c r="F1679" s="49"/>
      <c r="G1679" s="49"/>
      <c r="H1679" s="49"/>
    </row>
    <row r="1680" spans="2:8" x14ac:dyDescent="0.25">
      <c r="B1680" s="49"/>
      <c r="C1680" s="62"/>
      <c r="D1680" s="49"/>
      <c r="E1680" s="49"/>
      <c r="F1680" s="49"/>
      <c r="G1680" s="49"/>
      <c r="H1680" s="49"/>
    </row>
    <row r="1681" spans="2:8" x14ac:dyDescent="0.25">
      <c r="B1681" s="49"/>
      <c r="C1681" s="62"/>
      <c r="D1681" s="49"/>
      <c r="E1681" s="49"/>
      <c r="F1681" s="49"/>
      <c r="G1681" s="49"/>
      <c r="H1681" s="49"/>
    </row>
    <row r="1682" spans="2:8" x14ac:dyDescent="0.25">
      <c r="B1682" s="49"/>
      <c r="C1682" s="62"/>
      <c r="D1682" s="49"/>
      <c r="E1682" s="49"/>
      <c r="F1682" s="49"/>
      <c r="G1682" s="49"/>
      <c r="H1682" s="49"/>
    </row>
    <row r="1683" spans="2:8" x14ac:dyDescent="0.25">
      <c r="B1683" s="49"/>
      <c r="C1683" s="62"/>
      <c r="D1683" s="49"/>
      <c r="E1683" s="49"/>
      <c r="F1683" s="49"/>
      <c r="G1683" s="49"/>
      <c r="H1683" s="49"/>
    </row>
    <row r="1684" spans="2:8" x14ac:dyDescent="0.25">
      <c r="B1684" s="49"/>
      <c r="C1684" s="62"/>
      <c r="D1684" s="49"/>
      <c r="E1684" s="49"/>
      <c r="F1684" s="49"/>
      <c r="G1684" s="49"/>
      <c r="H1684" s="49"/>
    </row>
    <row r="1685" spans="2:8" x14ac:dyDescent="0.25">
      <c r="B1685" s="49"/>
      <c r="C1685" s="62"/>
      <c r="D1685" s="49"/>
      <c r="E1685" s="49"/>
      <c r="F1685" s="49"/>
      <c r="G1685" s="49"/>
      <c r="H1685" s="49"/>
    </row>
    <row r="1686" spans="2:8" x14ac:dyDescent="0.25">
      <c r="B1686" s="49"/>
      <c r="C1686" s="62"/>
      <c r="D1686" s="49"/>
      <c r="E1686" s="49"/>
      <c r="F1686" s="49"/>
      <c r="G1686" s="49"/>
      <c r="H1686" s="49"/>
    </row>
    <row r="1687" spans="2:8" x14ac:dyDescent="0.25">
      <c r="B1687" s="49"/>
      <c r="C1687" s="62"/>
      <c r="D1687" s="49"/>
      <c r="E1687" s="49"/>
      <c r="F1687" s="49"/>
      <c r="G1687" s="49"/>
      <c r="H1687" s="49"/>
    </row>
    <row r="1688" spans="2:8" x14ac:dyDescent="0.25">
      <c r="B1688" s="49"/>
      <c r="C1688" s="62"/>
      <c r="D1688" s="49"/>
      <c r="E1688" s="49"/>
      <c r="F1688" s="49"/>
      <c r="G1688" s="49"/>
      <c r="H1688" s="49"/>
    </row>
    <row r="1689" spans="2:8" x14ac:dyDescent="0.25">
      <c r="B1689" s="49"/>
      <c r="C1689" s="62"/>
      <c r="D1689" s="49"/>
      <c r="E1689" s="49"/>
      <c r="F1689" s="49"/>
      <c r="G1689" s="49"/>
      <c r="H1689" s="49"/>
    </row>
    <row r="1690" spans="2:8" x14ac:dyDescent="0.25">
      <c r="B1690" s="49"/>
      <c r="C1690" s="62"/>
      <c r="D1690" s="49"/>
      <c r="E1690" s="49"/>
      <c r="F1690" s="49"/>
      <c r="G1690" s="49"/>
      <c r="H1690" s="49"/>
    </row>
    <row r="1691" spans="2:8" x14ac:dyDescent="0.25">
      <c r="B1691" s="49"/>
      <c r="C1691" s="62"/>
      <c r="D1691" s="49"/>
      <c r="E1691" s="49"/>
      <c r="F1691" s="49"/>
      <c r="G1691" s="49"/>
      <c r="H1691" s="49"/>
    </row>
    <row r="1692" spans="2:8" x14ac:dyDescent="0.25">
      <c r="B1692" s="49"/>
      <c r="C1692" s="62"/>
      <c r="D1692" s="49"/>
      <c r="E1692" s="49"/>
      <c r="F1692" s="49"/>
      <c r="G1692" s="49"/>
      <c r="H1692" s="49"/>
    </row>
    <row r="1693" spans="2:8" x14ac:dyDescent="0.25">
      <c r="B1693" s="49"/>
      <c r="C1693" s="62"/>
      <c r="D1693" s="49"/>
      <c r="E1693" s="49"/>
      <c r="F1693" s="49"/>
      <c r="G1693" s="49"/>
      <c r="H1693" s="49"/>
    </row>
    <row r="1694" spans="2:8" x14ac:dyDescent="0.25">
      <c r="B1694" s="49"/>
      <c r="C1694" s="62"/>
      <c r="D1694" s="49"/>
      <c r="E1694" s="49"/>
      <c r="F1694" s="49"/>
      <c r="G1694" s="49"/>
      <c r="H1694" s="49"/>
    </row>
    <row r="1695" spans="2:8" x14ac:dyDescent="0.25">
      <c r="B1695" s="49"/>
      <c r="C1695" s="62"/>
      <c r="D1695" s="49"/>
      <c r="E1695" s="49"/>
      <c r="F1695" s="49"/>
      <c r="G1695" s="49"/>
      <c r="H1695" s="49"/>
    </row>
    <row r="1696" spans="2:8" x14ac:dyDescent="0.25">
      <c r="B1696" s="49"/>
      <c r="C1696" s="62"/>
      <c r="D1696" s="49"/>
      <c r="E1696" s="49"/>
      <c r="F1696" s="49"/>
      <c r="G1696" s="49"/>
      <c r="H1696" s="49"/>
    </row>
    <row r="1697" spans="2:8" x14ac:dyDescent="0.25">
      <c r="B1697" s="49"/>
      <c r="C1697" s="62"/>
      <c r="D1697" s="49"/>
      <c r="E1697" s="49"/>
      <c r="F1697" s="49"/>
      <c r="G1697" s="49"/>
      <c r="H1697" s="49"/>
    </row>
    <row r="1698" spans="2:8" x14ac:dyDescent="0.25">
      <c r="B1698" s="49"/>
      <c r="C1698" s="62"/>
      <c r="D1698" s="49"/>
      <c r="E1698" s="49"/>
      <c r="F1698" s="49"/>
      <c r="G1698" s="49"/>
      <c r="H1698" s="49"/>
    </row>
    <row r="1699" spans="2:8" x14ac:dyDescent="0.25">
      <c r="B1699" s="49"/>
      <c r="C1699" s="62"/>
      <c r="D1699" s="49"/>
      <c r="E1699" s="49"/>
      <c r="F1699" s="49"/>
      <c r="G1699" s="49"/>
      <c r="H1699" s="49"/>
    </row>
    <row r="1700" spans="2:8" x14ac:dyDescent="0.25">
      <c r="B1700" s="49"/>
      <c r="C1700" s="62"/>
      <c r="D1700" s="49"/>
      <c r="E1700" s="49"/>
      <c r="F1700" s="49"/>
      <c r="G1700" s="49"/>
      <c r="H1700" s="49"/>
    </row>
    <row r="1701" spans="2:8" x14ac:dyDescent="0.25">
      <c r="B1701" s="49"/>
      <c r="C1701" s="62"/>
      <c r="D1701" s="49"/>
      <c r="E1701" s="49"/>
      <c r="F1701" s="49"/>
      <c r="G1701" s="49"/>
      <c r="H1701" s="49"/>
    </row>
    <row r="1702" spans="2:8" x14ac:dyDescent="0.25">
      <c r="B1702" s="49"/>
      <c r="C1702" s="62"/>
      <c r="D1702" s="49"/>
      <c r="E1702" s="49"/>
      <c r="F1702" s="49"/>
      <c r="G1702" s="49"/>
      <c r="H1702" s="49"/>
    </row>
    <row r="1703" spans="2:8" x14ac:dyDescent="0.25">
      <c r="B1703" s="49"/>
      <c r="C1703" s="62"/>
      <c r="D1703" s="49"/>
      <c r="E1703" s="49"/>
      <c r="F1703" s="49"/>
      <c r="G1703" s="49"/>
      <c r="H1703" s="49"/>
    </row>
    <row r="1704" spans="2:8" x14ac:dyDescent="0.25">
      <c r="B1704" s="49"/>
      <c r="C1704" s="62"/>
      <c r="D1704" s="49"/>
      <c r="E1704" s="49"/>
      <c r="F1704" s="49"/>
      <c r="G1704" s="49"/>
      <c r="H1704" s="49"/>
    </row>
    <row r="1705" spans="2:8" x14ac:dyDescent="0.25">
      <c r="B1705" s="49"/>
      <c r="C1705" s="62"/>
      <c r="D1705" s="49"/>
      <c r="E1705" s="49"/>
      <c r="F1705" s="49"/>
      <c r="G1705" s="49"/>
      <c r="H1705" s="49"/>
    </row>
    <row r="1706" spans="2:8" x14ac:dyDescent="0.25">
      <c r="B1706" s="49"/>
      <c r="C1706" s="62"/>
      <c r="D1706" s="49"/>
      <c r="E1706" s="49"/>
      <c r="F1706" s="49"/>
      <c r="G1706" s="49"/>
      <c r="H1706" s="49"/>
    </row>
    <row r="1707" spans="2:8" x14ac:dyDescent="0.25">
      <c r="B1707" s="49"/>
      <c r="C1707" s="62"/>
      <c r="D1707" s="49"/>
      <c r="E1707" s="49"/>
      <c r="F1707" s="49"/>
      <c r="G1707" s="49"/>
      <c r="H1707" s="49"/>
    </row>
    <row r="1708" spans="2:8" x14ac:dyDescent="0.25">
      <c r="B1708" s="49"/>
      <c r="C1708" s="62"/>
      <c r="D1708" s="49"/>
      <c r="E1708" s="49"/>
      <c r="F1708" s="49"/>
      <c r="G1708" s="49"/>
      <c r="H1708" s="49"/>
    </row>
    <row r="1709" spans="2:8" x14ac:dyDescent="0.25">
      <c r="B1709" s="49"/>
      <c r="C1709" s="62"/>
      <c r="D1709" s="49"/>
      <c r="E1709" s="49"/>
      <c r="F1709" s="49"/>
      <c r="G1709" s="49"/>
      <c r="H1709" s="49"/>
    </row>
    <row r="1710" spans="2:8" x14ac:dyDescent="0.25">
      <c r="B1710" s="49"/>
      <c r="C1710" s="62"/>
      <c r="D1710" s="49"/>
      <c r="E1710" s="49"/>
      <c r="F1710" s="49"/>
      <c r="G1710" s="49"/>
      <c r="H1710" s="49"/>
    </row>
    <row r="1711" spans="2:8" x14ac:dyDescent="0.25">
      <c r="B1711" s="49"/>
      <c r="C1711" s="62"/>
      <c r="D1711" s="49"/>
      <c r="E1711" s="49"/>
      <c r="F1711" s="49"/>
      <c r="G1711" s="49"/>
      <c r="H1711" s="49"/>
    </row>
    <row r="1712" spans="2:8" x14ac:dyDescent="0.25">
      <c r="B1712" s="49"/>
      <c r="C1712" s="62"/>
      <c r="D1712" s="49"/>
      <c r="E1712" s="49"/>
      <c r="F1712" s="49"/>
      <c r="G1712" s="49"/>
      <c r="H1712" s="49"/>
    </row>
    <row r="1713" spans="2:8" x14ac:dyDescent="0.25">
      <c r="B1713" s="49"/>
      <c r="C1713" s="62"/>
      <c r="D1713" s="49"/>
      <c r="E1713" s="49"/>
      <c r="F1713" s="49"/>
      <c r="G1713" s="49"/>
      <c r="H1713" s="49"/>
    </row>
    <row r="1714" spans="2:8" x14ac:dyDescent="0.25">
      <c r="B1714" s="49"/>
      <c r="C1714" s="62"/>
      <c r="D1714" s="49"/>
      <c r="E1714" s="49"/>
      <c r="F1714" s="49"/>
      <c r="G1714" s="49"/>
      <c r="H1714" s="49"/>
    </row>
    <row r="1715" spans="2:8" x14ac:dyDescent="0.25">
      <c r="B1715" s="49"/>
      <c r="C1715" s="62"/>
      <c r="D1715" s="49"/>
      <c r="E1715" s="49"/>
      <c r="F1715" s="49"/>
      <c r="G1715" s="49"/>
      <c r="H1715" s="49"/>
    </row>
    <row r="1716" spans="2:8" x14ac:dyDescent="0.25">
      <c r="B1716" s="49"/>
      <c r="C1716" s="62"/>
      <c r="D1716" s="49"/>
      <c r="E1716" s="49"/>
      <c r="F1716" s="49"/>
      <c r="G1716" s="49"/>
      <c r="H1716" s="49"/>
    </row>
    <row r="1717" spans="2:8" x14ac:dyDescent="0.25">
      <c r="B1717" s="49"/>
      <c r="C1717" s="62"/>
      <c r="D1717" s="49"/>
      <c r="E1717" s="49"/>
      <c r="F1717" s="49"/>
      <c r="G1717" s="49"/>
      <c r="H1717" s="49"/>
    </row>
    <row r="1718" spans="2:8" x14ac:dyDescent="0.25">
      <c r="B1718" s="49"/>
      <c r="C1718" s="62"/>
      <c r="D1718" s="49"/>
      <c r="E1718" s="49"/>
      <c r="F1718" s="49"/>
      <c r="G1718" s="49"/>
      <c r="H1718" s="49"/>
    </row>
    <row r="1719" spans="2:8" x14ac:dyDescent="0.25">
      <c r="B1719" s="49"/>
      <c r="C1719" s="62"/>
      <c r="D1719" s="49"/>
      <c r="E1719" s="49"/>
      <c r="F1719" s="49"/>
      <c r="G1719" s="49"/>
      <c r="H1719" s="49"/>
    </row>
    <row r="1720" spans="2:8" x14ac:dyDescent="0.25">
      <c r="B1720" s="49"/>
      <c r="C1720" s="62"/>
      <c r="D1720" s="49"/>
      <c r="E1720" s="49"/>
      <c r="F1720" s="49"/>
      <c r="G1720" s="49"/>
      <c r="H1720" s="49"/>
    </row>
    <row r="1721" spans="2:8" x14ac:dyDescent="0.25">
      <c r="B1721" s="49"/>
      <c r="C1721" s="62"/>
      <c r="D1721" s="49"/>
      <c r="E1721" s="49"/>
      <c r="F1721" s="49"/>
      <c r="G1721" s="49"/>
      <c r="H1721" s="49"/>
    </row>
    <row r="1722" spans="2:8" x14ac:dyDescent="0.25">
      <c r="B1722" s="49"/>
      <c r="C1722" s="62"/>
      <c r="D1722" s="49"/>
      <c r="E1722" s="49"/>
      <c r="F1722" s="49"/>
      <c r="G1722" s="49"/>
      <c r="H1722" s="49"/>
    </row>
    <row r="1723" spans="2:8" x14ac:dyDescent="0.25">
      <c r="B1723" s="49"/>
      <c r="C1723" s="62"/>
      <c r="D1723" s="49"/>
      <c r="E1723" s="49"/>
      <c r="F1723" s="49"/>
      <c r="G1723" s="49"/>
      <c r="H1723" s="49"/>
    </row>
    <row r="1724" spans="2:8" x14ac:dyDescent="0.25">
      <c r="B1724" s="49"/>
      <c r="C1724" s="62"/>
      <c r="D1724" s="49"/>
      <c r="E1724" s="49"/>
      <c r="F1724" s="49"/>
      <c r="G1724" s="49"/>
      <c r="H1724" s="49"/>
    </row>
    <row r="1725" spans="2:8" x14ac:dyDescent="0.25">
      <c r="B1725" s="49"/>
      <c r="C1725" s="62"/>
      <c r="D1725" s="49"/>
      <c r="E1725" s="49"/>
      <c r="F1725" s="49"/>
      <c r="G1725" s="49"/>
      <c r="H1725" s="49"/>
    </row>
    <row r="1726" spans="2:8" x14ac:dyDescent="0.25">
      <c r="B1726" s="49"/>
      <c r="C1726" s="62"/>
      <c r="D1726" s="49"/>
      <c r="E1726" s="49"/>
      <c r="F1726" s="49"/>
      <c r="G1726" s="49"/>
      <c r="H1726" s="49"/>
    </row>
    <row r="1727" spans="2:8" x14ac:dyDescent="0.25">
      <c r="B1727" s="49"/>
      <c r="C1727" s="62"/>
      <c r="D1727" s="49"/>
      <c r="E1727" s="49"/>
      <c r="F1727" s="49"/>
      <c r="G1727" s="49"/>
      <c r="H1727" s="49"/>
    </row>
    <row r="1728" spans="2:8" x14ac:dyDescent="0.25">
      <c r="B1728" s="49"/>
      <c r="C1728" s="62"/>
      <c r="D1728" s="49"/>
      <c r="E1728" s="49"/>
      <c r="F1728" s="49"/>
      <c r="G1728" s="49"/>
      <c r="H1728" s="49"/>
    </row>
    <row r="1729" spans="2:8" x14ac:dyDescent="0.25">
      <c r="B1729" s="49"/>
      <c r="C1729" s="62"/>
      <c r="D1729" s="49"/>
      <c r="E1729" s="49"/>
      <c r="F1729" s="49"/>
      <c r="G1729" s="49"/>
      <c r="H1729" s="49"/>
    </row>
    <row r="1730" spans="2:8" x14ac:dyDescent="0.25">
      <c r="B1730" s="49"/>
      <c r="C1730" s="62"/>
      <c r="D1730" s="49"/>
      <c r="E1730" s="49"/>
      <c r="F1730" s="49"/>
      <c r="G1730" s="49"/>
      <c r="H1730" s="49"/>
    </row>
    <row r="1731" spans="2:8" x14ac:dyDescent="0.25">
      <c r="B1731" s="49"/>
      <c r="C1731" s="62"/>
      <c r="D1731" s="49"/>
      <c r="E1731" s="49"/>
      <c r="F1731" s="49"/>
      <c r="G1731" s="49"/>
      <c r="H1731" s="49"/>
    </row>
    <row r="1732" spans="2:8" x14ac:dyDescent="0.25">
      <c r="B1732" s="49"/>
      <c r="C1732" s="62"/>
      <c r="D1732" s="49"/>
      <c r="E1732" s="49"/>
      <c r="F1732" s="49"/>
      <c r="G1732" s="49"/>
      <c r="H1732" s="49"/>
    </row>
    <row r="1733" spans="2:8" x14ac:dyDescent="0.25">
      <c r="B1733" s="49"/>
      <c r="C1733" s="62"/>
      <c r="D1733" s="49"/>
      <c r="E1733" s="49"/>
      <c r="F1733" s="49"/>
      <c r="G1733" s="49"/>
      <c r="H1733" s="49"/>
    </row>
    <row r="1734" spans="2:8" x14ac:dyDescent="0.25">
      <c r="B1734" s="49"/>
      <c r="C1734" s="62"/>
      <c r="D1734" s="49"/>
      <c r="E1734" s="49"/>
      <c r="F1734" s="49"/>
      <c r="G1734" s="49"/>
      <c r="H1734" s="49"/>
    </row>
    <row r="1735" spans="2:8" x14ac:dyDescent="0.25">
      <c r="B1735" s="49"/>
      <c r="C1735" s="62"/>
      <c r="D1735" s="49"/>
      <c r="E1735" s="49"/>
      <c r="F1735" s="49"/>
      <c r="G1735" s="49"/>
      <c r="H1735" s="49"/>
    </row>
    <row r="1736" spans="2:8" x14ac:dyDescent="0.25">
      <c r="B1736" s="49"/>
      <c r="C1736" s="62"/>
      <c r="D1736" s="49"/>
      <c r="E1736" s="49"/>
      <c r="F1736" s="49"/>
      <c r="G1736" s="49"/>
      <c r="H1736" s="49"/>
    </row>
    <row r="1737" spans="2:8" x14ac:dyDescent="0.25">
      <c r="B1737" s="49"/>
      <c r="C1737" s="62"/>
      <c r="D1737" s="49"/>
      <c r="E1737" s="49"/>
      <c r="F1737" s="49"/>
      <c r="G1737" s="49"/>
      <c r="H1737" s="49"/>
    </row>
    <row r="1738" spans="2:8" x14ac:dyDescent="0.25">
      <c r="B1738" s="49"/>
      <c r="C1738" s="62"/>
      <c r="D1738" s="49"/>
      <c r="E1738" s="49"/>
      <c r="F1738" s="49"/>
      <c r="G1738" s="49"/>
      <c r="H1738" s="49"/>
    </row>
    <row r="1739" spans="2:8" x14ac:dyDescent="0.25">
      <c r="B1739" s="49"/>
      <c r="C1739" s="62"/>
      <c r="D1739" s="49"/>
      <c r="E1739" s="49"/>
      <c r="F1739" s="49"/>
      <c r="G1739" s="49"/>
      <c r="H1739" s="49"/>
    </row>
    <row r="1740" spans="2:8" x14ac:dyDescent="0.25">
      <c r="B1740" s="49"/>
      <c r="C1740" s="62"/>
      <c r="D1740" s="49"/>
      <c r="E1740" s="49"/>
      <c r="F1740" s="49"/>
      <c r="G1740" s="49"/>
      <c r="H1740" s="49"/>
    </row>
    <row r="1741" spans="2:8" x14ac:dyDescent="0.25">
      <c r="B1741" s="49"/>
      <c r="C1741" s="62"/>
      <c r="D1741" s="49"/>
      <c r="E1741" s="49"/>
      <c r="F1741" s="49"/>
      <c r="G1741" s="49"/>
      <c r="H1741" s="49"/>
    </row>
    <row r="1742" spans="2:8" x14ac:dyDescent="0.25">
      <c r="B1742" s="49"/>
      <c r="C1742" s="62"/>
      <c r="D1742" s="49"/>
      <c r="E1742" s="49"/>
      <c r="F1742" s="49"/>
      <c r="G1742" s="49"/>
      <c r="H1742" s="49"/>
    </row>
    <row r="1743" spans="2:8" x14ac:dyDescent="0.25">
      <c r="B1743" s="49"/>
      <c r="C1743" s="62"/>
      <c r="D1743" s="49"/>
      <c r="E1743" s="49"/>
      <c r="F1743" s="49"/>
      <c r="G1743" s="49"/>
      <c r="H1743" s="49"/>
    </row>
    <row r="1744" spans="2:8" x14ac:dyDescent="0.25">
      <c r="B1744" s="49"/>
      <c r="C1744" s="62"/>
      <c r="D1744" s="49"/>
      <c r="E1744" s="49"/>
      <c r="F1744" s="49"/>
      <c r="G1744" s="49"/>
      <c r="H1744" s="49"/>
    </row>
    <row r="1745" spans="2:8" x14ac:dyDescent="0.25">
      <c r="B1745" s="49"/>
      <c r="C1745" s="62"/>
      <c r="D1745" s="49"/>
      <c r="E1745" s="49"/>
      <c r="F1745" s="49"/>
      <c r="G1745" s="49"/>
      <c r="H1745" s="49"/>
    </row>
    <row r="1746" spans="2:8" x14ac:dyDescent="0.25">
      <c r="B1746" s="49"/>
      <c r="C1746" s="62"/>
      <c r="D1746" s="49"/>
      <c r="E1746" s="49"/>
      <c r="F1746" s="49"/>
      <c r="G1746" s="49"/>
      <c r="H1746" s="49"/>
    </row>
    <row r="1747" spans="2:8" x14ac:dyDescent="0.25">
      <c r="B1747" s="49"/>
      <c r="C1747" s="62"/>
      <c r="D1747" s="49"/>
      <c r="E1747" s="49"/>
      <c r="F1747" s="49"/>
      <c r="G1747" s="49"/>
      <c r="H1747" s="49"/>
    </row>
    <row r="1748" spans="2:8" x14ac:dyDescent="0.25">
      <c r="B1748" s="49"/>
      <c r="C1748" s="62"/>
      <c r="D1748" s="49"/>
      <c r="E1748" s="49"/>
      <c r="F1748" s="49"/>
      <c r="G1748" s="49"/>
      <c r="H1748" s="49"/>
    </row>
    <row r="1749" spans="2:8" x14ac:dyDescent="0.25">
      <c r="B1749" s="49"/>
      <c r="C1749" s="62"/>
      <c r="D1749" s="49"/>
      <c r="E1749" s="49"/>
      <c r="F1749" s="49"/>
      <c r="G1749" s="49"/>
      <c r="H1749" s="49"/>
    </row>
    <row r="1750" spans="2:8" x14ac:dyDescent="0.25">
      <c r="B1750" s="49"/>
      <c r="C1750" s="62"/>
      <c r="D1750" s="49"/>
      <c r="E1750" s="49"/>
      <c r="F1750" s="49"/>
      <c r="G1750" s="49"/>
      <c r="H1750" s="49"/>
    </row>
    <row r="1751" spans="2:8" x14ac:dyDescent="0.25">
      <c r="B1751" s="49"/>
      <c r="C1751" s="62"/>
      <c r="D1751" s="49"/>
      <c r="E1751" s="49"/>
      <c r="F1751" s="49"/>
      <c r="G1751" s="49"/>
      <c r="H1751" s="49"/>
    </row>
    <row r="1752" spans="2:8" x14ac:dyDescent="0.25">
      <c r="B1752" s="49"/>
      <c r="C1752" s="62"/>
      <c r="D1752" s="49"/>
      <c r="E1752" s="49"/>
      <c r="F1752" s="49"/>
      <c r="G1752" s="49"/>
      <c r="H1752" s="49"/>
    </row>
    <row r="1753" spans="2:8" x14ac:dyDescent="0.25">
      <c r="B1753" s="49"/>
      <c r="C1753" s="62"/>
      <c r="D1753" s="49"/>
      <c r="E1753" s="49"/>
      <c r="F1753" s="49"/>
      <c r="G1753" s="49"/>
      <c r="H1753" s="49"/>
    </row>
    <row r="1754" spans="2:8" x14ac:dyDescent="0.25">
      <c r="B1754" s="49"/>
      <c r="C1754" s="62"/>
      <c r="D1754" s="49"/>
      <c r="E1754" s="49"/>
      <c r="F1754" s="49"/>
      <c r="G1754" s="49"/>
      <c r="H1754" s="49"/>
    </row>
    <row r="1755" spans="2:8" x14ac:dyDescent="0.25">
      <c r="B1755" s="49"/>
      <c r="C1755" s="62"/>
      <c r="D1755" s="49"/>
      <c r="E1755" s="49"/>
      <c r="F1755" s="49"/>
      <c r="G1755" s="49"/>
      <c r="H1755" s="49"/>
    </row>
    <row r="1756" spans="2:8" x14ac:dyDescent="0.25">
      <c r="B1756" s="49"/>
      <c r="C1756" s="62"/>
      <c r="D1756" s="49"/>
      <c r="E1756" s="49"/>
      <c r="F1756" s="49"/>
      <c r="G1756" s="49"/>
      <c r="H1756" s="49"/>
    </row>
    <row r="1757" spans="2:8" x14ac:dyDescent="0.25">
      <c r="B1757" s="49"/>
      <c r="C1757" s="62"/>
      <c r="D1757" s="49"/>
      <c r="E1757" s="49"/>
      <c r="F1757" s="49"/>
      <c r="G1757" s="49"/>
      <c r="H1757" s="49"/>
    </row>
    <row r="1758" spans="2:8" x14ac:dyDescent="0.25">
      <c r="B1758" s="49"/>
      <c r="C1758" s="62"/>
      <c r="D1758" s="49"/>
      <c r="E1758" s="49"/>
      <c r="F1758" s="49"/>
      <c r="G1758" s="49"/>
      <c r="H1758" s="49"/>
    </row>
    <row r="1759" spans="2:8" x14ac:dyDescent="0.25">
      <c r="B1759" s="49"/>
      <c r="C1759" s="62"/>
      <c r="D1759" s="49"/>
      <c r="E1759" s="49"/>
      <c r="F1759" s="49"/>
      <c r="G1759" s="49"/>
      <c r="H1759" s="49"/>
    </row>
    <row r="1760" spans="2:8" x14ac:dyDescent="0.25">
      <c r="B1760" s="49"/>
      <c r="C1760" s="62"/>
      <c r="D1760" s="49"/>
      <c r="E1760" s="49"/>
      <c r="F1760" s="49"/>
      <c r="G1760" s="49"/>
      <c r="H1760" s="49"/>
    </row>
    <row r="1761" spans="2:8" x14ac:dyDescent="0.25">
      <c r="B1761" s="49"/>
      <c r="C1761" s="62"/>
      <c r="D1761" s="49"/>
      <c r="E1761" s="49"/>
      <c r="F1761" s="49"/>
      <c r="G1761" s="49"/>
      <c r="H1761" s="49"/>
    </row>
    <row r="1762" spans="2:8" x14ac:dyDescent="0.25">
      <c r="B1762" s="49"/>
      <c r="C1762" s="62"/>
      <c r="D1762" s="49"/>
      <c r="E1762" s="49"/>
      <c r="F1762" s="49"/>
      <c r="G1762" s="49"/>
      <c r="H1762" s="49"/>
    </row>
    <row r="1763" spans="2:8" x14ac:dyDescent="0.25">
      <c r="B1763" s="49"/>
      <c r="C1763" s="62"/>
      <c r="D1763" s="49"/>
      <c r="E1763" s="49"/>
      <c r="F1763" s="49"/>
      <c r="G1763" s="49"/>
      <c r="H1763" s="49"/>
    </row>
    <row r="1764" spans="2:8" x14ac:dyDescent="0.25">
      <c r="B1764" s="49"/>
      <c r="C1764" s="62"/>
      <c r="D1764" s="49"/>
      <c r="E1764" s="49"/>
      <c r="F1764" s="49"/>
      <c r="G1764" s="49"/>
      <c r="H1764" s="49"/>
    </row>
    <row r="1765" spans="2:8" x14ac:dyDescent="0.25">
      <c r="B1765" s="49"/>
      <c r="C1765" s="62"/>
      <c r="D1765" s="49"/>
      <c r="E1765" s="49"/>
      <c r="F1765" s="49"/>
      <c r="G1765" s="49"/>
      <c r="H1765" s="49"/>
    </row>
    <row r="1766" spans="2:8" x14ac:dyDescent="0.25">
      <c r="B1766" s="49"/>
      <c r="C1766" s="62"/>
      <c r="D1766" s="49"/>
      <c r="E1766" s="49"/>
      <c r="F1766" s="49"/>
      <c r="G1766" s="49"/>
      <c r="H1766" s="49"/>
    </row>
    <row r="1767" spans="2:8" x14ac:dyDescent="0.25">
      <c r="B1767" s="49"/>
      <c r="C1767" s="62"/>
      <c r="D1767" s="49"/>
      <c r="E1767" s="49"/>
      <c r="F1767" s="49"/>
      <c r="G1767" s="49"/>
      <c r="H1767" s="49"/>
    </row>
    <row r="1768" spans="2:8" x14ac:dyDescent="0.25">
      <c r="B1768" s="49"/>
      <c r="C1768" s="62"/>
      <c r="D1768" s="49"/>
      <c r="E1768" s="49"/>
      <c r="F1768" s="49"/>
      <c r="G1768" s="49"/>
      <c r="H1768" s="49"/>
    </row>
    <row r="1769" spans="2:8" x14ac:dyDescent="0.25">
      <c r="B1769" s="49"/>
      <c r="C1769" s="62"/>
      <c r="D1769" s="49"/>
      <c r="E1769" s="49"/>
      <c r="F1769" s="49"/>
      <c r="G1769" s="49"/>
      <c r="H1769" s="49"/>
    </row>
    <row r="1770" spans="2:8" x14ac:dyDescent="0.25">
      <c r="B1770" s="49"/>
      <c r="C1770" s="62"/>
      <c r="D1770" s="49"/>
      <c r="E1770" s="49"/>
      <c r="F1770" s="49"/>
      <c r="G1770" s="49"/>
      <c r="H1770" s="49"/>
    </row>
    <row r="1771" spans="2:8" x14ac:dyDescent="0.25">
      <c r="B1771" s="49"/>
      <c r="C1771" s="62"/>
      <c r="D1771" s="49"/>
      <c r="E1771" s="49"/>
      <c r="F1771" s="49"/>
      <c r="G1771" s="49"/>
      <c r="H1771" s="49"/>
    </row>
    <row r="1772" spans="2:8" x14ac:dyDescent="0.25">
      <c r="B1772" s="49"/>
      <c r="C1772" s="62"/>
      <c r="D1772" s="49"/>
      <c r="E1772" s="49"/>
      <c r="F1772" s="49"/>
      <c r="G1772" s="49"/>
      <c r="H1772" s="49"/>
    </row>
    <row r="1773" spans="2:8" x14ac:dyDescent="0.25">
      <c r="B1773" s="49"/>
      <c r="C1773" s="62"/>
      <c r="D1773" s="49"/>
      <c r="E1773" s="49"/>
      <c r="F1773" s="49"/>
      <c r="G1773" s="49"/>
      <c r="H1773" s="49"/>
    </row>
    <row r="1774" spans="2:8" x14ac:dyDescent="0.25">
      <c r="B1774" s="49"/>
      <c r="C1774" s="62"/>
      <c r="D1774" s="49"/>
      <c r="E1774" s="49"/>
      <c r="F1774" s="49"/>
      <c r="G1774" s="49"/>
      <c r="H1774" s="49"/>
    </row>
    <row r="1775" spans="2:8" x14ac:dyDescent="0.25">
      <c r="B1775" s="49"/>
      <c r="C1775" s="62"/>
      <c r="D1775" s="49"/>
      <c r="E1775" s="49"/>
      <c r="F1775" s="49"/>
      <c r="G1775" s="49"/>
      <c r="H1775" s="49"/>
    </row>
    <row r="1776" spans="2:8" x14ac:dyDescent="0.25">
      <c r="B1776" s="49"/>
      <c r="C1776" s="62"/>
      <c r="D1776" s="49"/>
      <c r="E1776" s="49"/>
      <c r="F1776" s="49"/>
      <c r="G1776" s="49"/>
      <c r="H1776" s="49"/>
    </row>
    <row r="1777" spans="2:8" x14ac:dyDescent="0.25">
      <c r="B1777" s="49"/>
      <c r="C1777" s="62"/>
      <c r="D1777" s="49"/>
      <c r="E1777" s="49"/>
      <c r="F1777" s="49"/>
      <c r="G1777" s="49"/>
      <c r="H1777" s="49"/>
    </row>
    <row r="1778" spans="2:8" x14ac:dyDescent="0.25">
      <c r="B1778" s="49"/>
      <c r="C1778" s="62"/>
      <c r="D1778" s="49"/>
      <c r="E1778" s="49"/>
      <c r="F1778" s="49"/>
      <c r="G1778" s="49"/>
      <c r="H1778" s="49"/>
    </row>
    <row r="1779" spans="2:8" x14ac:dyDescent="0.25">
      <c r="B1779" s="49"/>
      <c r="C1779" s="62"/>
      <c r="D1779" s="49"/>
      <c r="E1779" s="49"/>
      <c r="F1779" s="49"/>
      <c r="G1779" s="49"/>
      <c r="H1779" s="49"/>
    </row>
    <row r="1780" spans="2:8" x14ac:dyDescent="0.25">
      <c r="B1780" s="49"/>
      <c r="C1780" s="62"/>
      <c r="D1780" s="49"/>
      <c r="E1780" s="49"/>
      <c r="F1780" s="49"/>
      <c r="G1780" s="49"/>
      <c r="H1780" s="49"/>
    </row>
    <row r="1781" spans="2:8" x14ac:dyDescent="0.25">
      <c r="B1781" s="49"/>
      <c r="C1781" s="62"/>
      <c r="D1781" s="49"/>
      <c r="E1781" s="49"/>
      <c r="F1781" s="49"/>
      <c r="G1781" s="49"/>
      <c r="H1781" s="49"/>
    </row>
    <row r="1782" spans="2:8" x14ac:dyDescent="0.25">
      <c r="B1782" s="49"/>
      <c r="C1782" s="62"/>
      <c r="D1782" s="49"/>
      <c r="E1782" s="49"/>
      <c r="F1782" s="49"/>
      <c r="G1782" s="49"/>
      <c r="H1782" s="49"/>
    </row>
    <row r="1783" spans="2:8" x14ac:dyDescent="0.25">
      <c r="B1783" s="49"/>
      <c r="C1783" s="62"/>
      <c r="D1783" s="49"/>
      <c r="E1783" s="49"/>
      <c r="F1783" s="49"/>
      <c r="G1783" s="49"/>
      <c r="H1783" s="49"/>
    </row>
    <row r="1784" spans="2:8" x14ac:dyDescent="0.25">
      <c r="B1784" s="49"/>
      <c r="C1784" s="62"/>
      <c r="D1784" s="49"/>
      <c r="E1784" s="49"/>
      <c r="F1784" s="49"/>
      <c r="G1784" s="49"/>
      <c r="H1784" s="49"/>
    </row>
    <row r="1785" spans="2:8" x14ac:dyDescent="0.25">
      <c r="B1785" s="49"/>
      <c r="C1785" s="62"/>
      <c r="D1785" s="49"/>
      <c r="E1785" s="49"/>
      <c r="F1785" s="49"/>
      <c r="G1785" s="49"/>
      <c r="H1785" s="49"/>
    </row>
    <row r="1786" spans="2:8" x14ac:dyDescent="0.25">
      <c r="B1786" s="49"/>
      <c r="C1786" s="62"/>
      <c r="D1786" s="49"/>
      <c r="E1786" s="49"/>
      <c r="F1786" s="49"/>
      <c r="G1786" s="49"/>
      <c r="H1786" s="49"/>
    </row>
    <row r="1787" spans="2:8" x14ac:dyDescent="0.25">
      <c r="B1787" s="49"/>
      <c r="C1787" s="62"/>
      <c r="D1787" s="49"/>
      <c r="E1787" s="49"/>
      <c r="F1787" s="49"/>
      <c r="G1787" s="49"/>
      <c r="H1787" s="49"/>
    </row>
    <row r="1788" spans="2:8" x14ac:dyDescent="0.25">
      <c r="B1788" s="49"/>
      <c r="C1788" s="62"/>
      <c r="D1788" s="49"/>
      <c r="E1788" s="49"/>
      <c r="F1788" s="49"/>
      <c r="G1788" s="49"/>
      <c r="H1788" s="49"/>
    </row>
    <row r="1789" spans="2:8" x14ac:dyDescent="0.25">
      <c r="B1789" s="49"/>
      <c r="C1789" s="62"/>
      <c r="D1789" s="49"/>
      <c r="E1789" s="49"/>
      <c r="F1789" s="49"/>
      <c r="G1789" s="49"/>
      <c r="H1789" s="49"/>
    </row>
    <row r="1790" spans="2:8" x14ac:dyDescent="0.25">
      <c r="B1790" s="49"/>
      <c r="C1790" s="62"/>
      <c r="D1790" s="49"/>
      <c r="E1790" s="49"/>
      <c r="F1790" s="49"/>
      <c r="G1790" s="49"/>
      <c r="H1790" s="49"/>
    </row>
    <row r="1791" spans="2:8" x14ac:dyDescent="0.25">
      <c r="B1791" s="49"/>
      <c r="C1791" s="62"/>
      <c r="D1791" s="49"/>
      <c r="E1791" s="49"/>
      <c r="F1791" s="49"/>
      <c r="G1791" s="49"/>
      <c r="H1791" s="49"/>
    </row>
    <row r="1792" spans="2:8" x14ac:dyDescent="0.25">
      <c r="B1792" s="49"/>
      <c r="C1792" s="62"/>
      <c r="D1792" s="49"/>
      <c r="E1792" s="49"/>
      <c r="F1792" s="49"/>
      <c r="G1792" s="49"/>
      <c r="H1792" s="49"/>
    </row>
    <row r="1793" spans="2:8" x14ac:dyDescent="0.25">
      <c r="B1793" s="49"/>
      <c r="C1793" s="62"/>
      <c r="D1793" s="49"/>
      <c r="E1793" s="49"/>
      <c r="F1793" s="49"/>
      <c r="G1793" s="49"/>
      <c r="H1793" s="49"/>
    </row>
    <row r="1794" spans="2:8" x14ac:dyDescent="0.25">
      <c r="B1794" s="49"/>
      <c r="C1794" s="62"/>
      <c r="D1794" s="49"/>
      <c r="E1794" s="49"/>
      <c r="F1794" s="49"/>
      <c r="G1794" s="49"/>
      <c r="H1794" s="49"/>
    </row>
    <row r="1795" spans="2:8" x14ac:dyDescent="0.25">
      <c r="B1795" s="49"/>
      <c r="C1795" s="62"/>
      <c r="D1795" s="49"/>
      <c r="E1795" s="49"/>
      <c r="F1795" s="49"/>
      <c r="G1795" s="49"/>
      <c r="H1795" s="49"/>
    </row>
    <row r="1796" spans="2:8" x14ac:dyDescent="0.25">
      <c r="B1796" s="49"/>
      <c r="C1796" s="62"/>
      <c r="D1796" s="49"/>
      <c r="E1796" s="49"/>
      <c r="F1796" s="49"/>
      <c r="G1796" s="49"/>
      <c r="H1796" s="49"/>
    </row>
    <row r="1797" spans="2:8" x14ac:dyDescent="0.25">
      <c r="B1797" s="49"/>
      <c r="C1797" s="62"/>
      <c r="D1797" s="49"/>
      <c r="E1797" s="49"/>
      <c r="F1797" s="49"/>
      <c r="G1797" s="49"/>
      <c r="H1797" s="49"/>
    </row>
    <row r="1798" spans="2:8" x14ac:dyDescent="0.25">
      <c r="B1798" s="49"/>
      <c r="C1798" s="62"/>
      <c r="D1798" s="49"/>
      <c r="E1798" s="49"/>
      <c r="F1798" s="49"/>
      <c r="G1798" s="49"/>
      <c r="H1798" s="49"/>
    </row>
    <row r="1799" spans="2:8" x14ac:dyDescent="0.25">
      <c r="B1799" s="49"/>
      <c r="C1799" s="62"/>
      <c r="D1799" s="49"/>
      <c r="E1799" s="49"/>
      <c r="F1799" s="49"/>
      <c r="G1799" s="49"/>
      <c r="H1799" s="49"/>
    </row>
    <row r="1800" spans="2:8" x14ac:dyDescent="0.25">
      <c r="B1800" s="49"/>
      <c r="C1800" s="62"/>
      <c r="D1800" s="49"/>
      <c r="E1800" s="49"/>
      <c r="F1800" s="49"/>
      <c r="G1800" s="49"/>
      <c r="H1800" s="49"/>
    </row>
    <row r="1801" spans="2:8" x14ac:dyDescent="0.25">
      <c r="B1801" s="49"/>
      <c r="C1801" s="62"/>
      <c r="D1801" s="49"/>
      <c r="E1801" s="49"/>
      <c r="F1801" s="49"/>
      <c r="G1801" s="49"/>
      <c r="H1801" s="49"/>
    </row>
    <row r="1802" spans="2:8" x14ac:dyDescent="0.25">
      <c r="B1802" s="49"/>
      <c r="C1802" s="62"/>
      <c r="D1802" s="49"/>
      <c r="E1802" s="49"/>
      <c r="F1802" s="49"/>
      <c r="G1802" s="49"/>
      <c r="H1802" s="49"/>
    </row>
    <row r="1803" spans="2:8" x14ac:dyDescent="0.25">
      <c r="B1803" s="49"/>
      <c r="C1803" s="62"/>
      <c r="D1803" s="49"/>
      <c r="E1803" s="49"/>
      <c r="F1803" s="49"/>
      <c r="G1803" s="49"/>
      <c r="H1803" s="49"/>
    </row>
    <row r="1804" spans="2:8" x14ac:dyDescent="0.25">
      <c r="B1804" s="49"/>
      <c r="C1804" s="62"/>
      <c r="D1804" s="49"/>
      <c r="E1804" s="49"/>
      <c r="F1804" s="49"/>
      <c r="G1804" s="49"/>
      <c r="H1804" s="49"/>
    </row>
    <row r="1805" spans="2:8" x14ac:dyDescent="0.25">
      <c r="B1805" s="49"/>
      <c r="C1805" s="62"/>
      <c r="D1805" s="49"/>
      <c r="E1805" s="49"/>
      <c r="F1805" s="49"/>
      <c r="G1805" s="49"/>
      <c r="H1805" s="49"/>
    </row>
    <row r="1806" spans="2:8" x14ac:dyDescent="0.25">
      <c r="B1806" s="49"/>
      <c r="C1806" s="62"/>
      <c r="D1806" s="49"/>
      <c r="E1806" s="49"/>
      <c r="F1806" s="49"/>
      <c r="G1806" s="49"/>
      <c r="H1806" s="49"/>
    </row>
    <row r="1807" spans="2:8" x14ac:dyDescent="0.25">
      <c r="B1807" s="49"/>
      <c r="C1807" s="62"/>
      <c r="D1807" s="49"/>
      <c r="E1807" s="49"/>
      <c r="F1807" s="49"/>
      <c r="G1807" s="49"/>
      <c r="H1807" s="49"/>
    </row>
    <row r="1808" spans="2:8" x14ac:dyDescent="0.25">
      <c r="B1808" s="49"/>
      <c r="C1808" s="62"/>
      <c r="D1808" s="49"/>
      <c r="E1808" s="49"/>
      <c r="F1808" s="49"/>
      <c r="G1808" s="49"/>
      <c r="H1808" s="49"/>
    </row>
    <row r="1809" spans="2:8" x14ac:dyDescent="0.25">
      <c r="B1809" s="49"/>
      <c r="C1809" s="62"/>
      <c r="D1809" s="49"/>
      <c r="E1809" s="49"/>
      <c r="F1809" s="49"/>
      <c r="G1809" s="49"/>
      <c r="H1809" s="49"/>
    </row>
    <row r="1810" spans="2:8" x14ac:dyDescent="0.25">
      <c r="B1810" s="49"/>
      <c r="C1810" s="62"/>
      <c r="D1810" s="49"/>
      <c r="E1810" s="49"/>
      <c r="F1810" s="49"/>
      <c r="G1810" s="49"/>
      <c r="H1810" s="49"/>
    </row>
    <row r="1811" spans="2:8" x14ac:dyDescent="0.25">
      <c r="B1811" s="49"/>
      <c r="C1811" s="62"/>
      <c r="D1811" s="49"/>
      <c r="E1811" s="49"/>
      <c r="F1811" s="49"/>
      <c r="G1811" s="49"/>
      <c r="H1811" s="49"/>
    </row>
    <row r="1812" spans="2:8" x14ac:dyDescent="0.25">
      <c r="B1812" s="49"/>
      <c r="C1812" s="62"/>
      <c r="D1812" s="49"/>
      <c r="E1812" s="49"/>
      <c r="F1812" s="49"/>
      <c r="G1812" s="49"/>
      <c r="H1812" s="49"/>
    </row>
    <row r="1813" spans="2:8" x14ac:dyDescent="0.25">
      <c r="B1813" s="49"/>
      <c r="C1813" s="62"/>
      <c r="D1813" s="49"/>
      <c r="E1813" s="49"/>
      <c r="F1813" s="49"/>
      <c r="G1813" s="49"/>
      <c r="H1813" s="49"/>
    </row>
    <row r="1814" spans="2:8" x14ac:dyDescent="0.25">
      <c r="B1814" s="49"/>
      <c r="C1814" s="62"/>
      <c r="D1814" s="49"/>
      <c r="E1814" s="49"/>
      <c r="F1814" s="49"/>
      <c r="G1814" s="49"/>
      <c r="H1814" s="49"/>
    </row>
    <row r="1815" spans="2:8" x14ac:dyDescent="0.25">
      <c r="B1815" s="49"/>
      <c r="C1815" s="62"/>
      <c r="D1815" s="49"/>
      <c r="E1815" s="49"/>
      <c r="F1815" s="49"/>
      <c r="G1815" s="49"/>
      <c r="H1815" s="49"/>
    </row>
    <row r="1816" spans="2:8" x14ac:dyDescent="0.25">
      <c r="B1816" s="49"/>
      <c r="C1816" s="62"/>
      <c r="D1816" s="49"/>
      <c r="E1816" s="49"/>
      <c r="F1816" s="49"/>
      <c r="G1816" s="49"/>
      <c r="H1816" s="49"/>
    </row>
    <row r="1817" spans="2:8" x14ac:dyDescent="0.25">
      <c r="B1817" s="49"/>
      <c r="C1817" s="62"/>
      <c r="D1817" s="49"/>
      <c r="E1817" s="49"/>
      <c r="F1817" s="49"/>
      <c r="G1817" s="49"/>
      <c r="H1817" s="49"/>
    </row>
    <row r="1818" spans="2:8" x14ac:dyDescent="0.25">
      <c r="B1818" s="49"/>
      <c r="C1818" s="62"/>
      <c r="D1818" s="49"/>
      <c r="E1818" s="49"/>
      <c r="F1818" s="49"/>
      <c r="G1818" s="49"/>
      <c r="H1818" s="49"/>
    </row>
    <row r="1819" spans="2:8" x14ac:dyDescent="0.25">
      <c r="B1819" s="49"/>
      <c r="C1819" s="62"/>
      <c r="D1819" s="49"/>
      <c r="E1819" s="49"/>
      <c r="F1819" s="49"/>
      <c r="G1819" s="49"/>
      <c r="H1819" s="49"/>
    </row>
    <row r="1820" spans="2:8" x14ac:dyDescent="0.25">
      <c r="B1820" s="49"/>
      <c r="C1820" s="62"/>
      <c r="D1820" s="49"/>
      <c r="E1820" s="49"/>
      <c r="F1820" s="49"/>
      <c r="G1820" s="49"/>
      <c r="H1820" s="49"/>
    </row>
    <row r="1821" spans="2:8" x14ac:dyDescent="0.25">
      <c r="B1821" s="49"/>
      <c r="C1821" s="62"/>
      <c r="D1821" s="49"/>
      <c r="E1821" s="49"/>
      <c r="F1821" s="49"/>
      <c r="G1821" s="49"/>
      <c r="H1821" s="49"/>
    </row>
    <row r="1822" spans="2:8" x14ac:dyDescent="0.25">
      <c r="B1822" s="49"/>
      <c r="C1822" s="62"/>
      <c r="D1822" s="49"/>
      <c r="E1822" s="49"/>
      <c r="F1822" s="49"/>
      <c r="G1822" s="49"/>
      <c r="H1822" s="49"/>
    </row>
    <row r="1823" spans="2:8" x14ac:dyDescent="0.25">
      <c r="B1823" s="49"/>
      <c r="C1823" s="62"/>
      <c r="D1823" s="49"/>
      <c r="E1823" s="49"/>
      <c r="F1823" s="49"/>
      <c r="G1823" s="49"/>
      <c r="H1823" s="49"/>
    </row>
    <row r="1824" spans="2:8" x14ac:dyDescent="0.25">
      <c r="B1824" s="49"/>
      <c r="C1824" s="62"/>
      <c r="D1824" s="49"/>
      <c r="E1824" s="49"/>
      <c r="F1824" s="49"/>
      <c r="G1824" s="49"/>
      <c r="H1824" s="49"/>
    </row>
    <row r="1825" spans="2:8" x14ac:dyDescent="0.25">
      <c r="B1825" s="49"/>
      <c r="C1825" s="62"/>
      <c r="D1825" s="49"/>
      <c r="E1825" s="49"/>
      <c r="F1825" s="49"/>
      <c r="G1825" s="49"/>
      <c r="H1825" s="49"/>
    </row>
    <row r="1826" spans="2:8" x14ac:dyDescent="0.25">
      <c r="B1826" s="49"/>
      <c r="C1826" s="62"/>
      <c r="D1826" s="49"/>
      <c r="E1826" s="49"/>
      <c r="F1826" s="49"/>
      <c r="G1826" s="49"/>
      <c r="H1826" s="49"/>
    </row>
    <row r="1827" spans="2:8" x14ac:dyDescent="0.25">
      <c r="B1827" s="49"/>
      <c r="C1827" s="62"/>
      <c r="D1827" s="49"/>
      <c r="E1827" s="49"/>
      <c r="F1827" s="49"/>
      <c r="G1827" s="49"/>
      <c r="H1827" s="49"/>
    </row>
    <row r="1828" spans="2:8" x14ac:dyDescent="0.25">
      <c r="B1828" s="49"/>
      <c r="C1828" s="62"/>
      <c r="D1828" s="49"/>
      <c r="E1828" s="49"/>
      <c r="F1828" s="49"/>
      <c r="G1828" s="49"/>
      <c r="H1828" s="49"/>
    </row>
    <row r="1829" spans="2:8" x14ac:dyDescent="0.25">
      <c r="B1829" s="49"/>
      <c r="C1829" s="62"/>
      <c r="D1829" s="49"/>
      <c r="E1829" s="49"/>
      <c r="F1829" s="49"/>
      <c r="G1829" s="49"/>
      <c r="H1829" s="49"/>
    </row>
    <row r="1830" spans="2:8" x14ac:dyDescent="0.25">
      <c r="B1830" s="49"/>
      <c r="C1830" s="62"/>
      <c r="D1830" s="49"/>
      <c r="E1830" s="49"/>
      <c r="F1830" s="49"/>
      <c r="G1830" s="49"/>
      <c r="H1830" s="49"/>
    </row>
    <row r="1831" spans="2:8" x14ac:dyDescent="0.25">
      <c r="B1831" s="49"/>
      <c r="C1831" s="62"/>
      <c r="D1831" s="49"/>
      <c r="E1831" s="49"/>
      <c r="F1831" s="49"/>
      <c r="G1831" s="49"/>
      <c r="H1831" s="49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6691-2441-42CC-87D4-C38334E7E2EC}">
  <dimension ref="A1:BE1831"/>
  <sheetViews>
    <sheetView workbookViewId="0">
      <selection activeCell="D8" sqref="D8"/>
    </sheetView>
  </sheetViews>
  <sheetFormatPr defaultColWidth="8.875" defaultRowHeight="15" x14ac:dyDescent="0.25"/>
  <cols>
    <col min="1" max="1" width="10.5" style="50" bestFit="1" customWidth="1"/>
    <col min="2" max="2" width="18.375" style="50" bestFit="1" customWidth="1"/>
    <col min="3" max="3" width="12" style="50" customWidth="1"/>
    <col min="4" max="4" width="11.125" style="50" customWidth="1"/>
    <col min="5" max="5" width="11.5" style="50" customWidth="1"/>
    <col min="6" max="7" width="11.875" style="50" customWidth="1"/>
    <col min="8" max="16384" width="8.875" style="50"/>
  </cols>
  <sheetData>
    <row r="1" spans="1:10" x14ac:dyDescent="0.25">
      <c r="A1" s="49"/>
      <c r="B1" s="49" t="s">
        <v>49</v>
      </c>
      <c r="C1" s="49"/>
      <c r="D1" s="49"/>
      <c r="E1" s="49"/>
      <c r="F1" s="49"/>
      <c r="G1" s="49"/>
    </row>
    <row r="2" spans="1:10" x14ac:dyDescent="0.25">
      <c r="A2" s="50" t="s">
        <v>50</v>
      </c>
      <c r="B2" s="50" t="s">
        <v>51</v>
      </c>
      <c r="C2" s="51" t="s">
        <v>55</v>
      </c>
      <c r="D2" s="51" t="s">
        <v>56</v>
      </c>
    </row>
    <row r="3" spans="1:10" x14ac:dyDescent="0.25">
      <c r="A3" s="49">
        <v>1</v>
      </c>
      <c r="B3" s="52">
        <v>1</v>
      </c>
      <c r="C3" s="53">
        <v>1</v>
      </c>
      <c r="D3" s="54" t="str">
        <f>_xlfn.TEXTJOIN(",",TRUE,'Free Game'!BB3:BB400)</f>
        <v>[1,100],[3,100],[7,100],[94,5],[94,10],[94,25],[6,100],[7,100],[2,100],[4,100],[3,100],[8,100],[5,100],[3,100],[4,100],[6,100],[0,100],[0,100],[2,100],[8,100],[2,100],[3,100],[2,100],[7,100],[6,100],[1,100],[1,100],[4,100],[4,100],[8,100],[1,100],[6,100],[4,100],[2,100],[5,100],[1,100],[1,100],[1,100],[5,100],[4,100],[2,25],[6,25],[94,25],[8,100],[2,100],[3,100],[4,100],[7,100],[8,100],[3,100],[0,100],[0,100],[0,100],[8,100],[7,100],[4,100],[2,100],[3,100],[5,100],[6,100],[3,100]</v>
      </c>
      <c r="H3" s="54"/>
      <c r="J3" s="54"/>
    </row>
    <row r="4" spans="1:10" x14ac:dyDescent="0.25">
      <c r="A4" s="49">
        <f>A3+1</f>
        <v>2</v>
      </c>
      <c r="B4" s="52">
        <v>1</v>
      </c>
      <c r="C4" s="53">
        <f>C3+1</f>
        <v>2</v>
      </c>
      <c r="D4" s="54" t="str">
        <f>_xlfn.TEXTJOIN(",",TRUE,'Free Game'!BC3:BC400)</f>
        <v>[3,100],[0,100],[0,100],[0,100],[4,100],[6,100],[4,100],[92,100],[92,100],[2,100],[5,100],[8,100],[1,100],[1,100],[1,100],[7,100],[8,100],[6,100],[92,100],[7,100],[3,100],[4,100],[4,100],[0,100],[0,100],[0,100],[6,100],[5,100],[7,100],[2,100],[1,100],[3,100],[3,100],[6,100],[94,5],[94,10],[94,25],[8,100],[6,100],[2,100],[0,100],[4,100],[8,100],[1,100],[2,25],[2,25],[94,25],[8,100],[92,100],[92,100],[92,100],[7,100],[5,100],[1,100],[1,100],[1,100],[6,100],[3,100]</v>
      </c>
      <c r="J4" s="54"/>
    </row>
    <row r="5" spans="1:10" x14ac:dyDescent="0.25">
      <c r="A5" s="49">
        <f>A4+1</f>
        <v>3</v>
      </c>
      <c r="B5" s="52">
        <v>1</v>
      </c>
      <c r="C5" s="53">
        <f>C4+1</f>
        <v>3</v>
      </c>
      <c r="D5" s="54" t="str">
        <f>_xlfn.TEXTJOIN(",",TRUE,'Free Game'!BD3:BD400)</f>
        <v>[4,100],[92,100],[92,100],[92,100],[2,100],[8,100],[3,100],[3,100],[1,100],[1,100],[1,100],[6,100],[3,100],[5,100],[2,100],[0,100],[0,100],[4,100],[8,100],[5,100],[92,100],[0,100],[0,100],[0,100],[2,100],[7,100],[6,100],[0,100],[0,100],[0,100],[6,100],[5,100],[2,10],[7,25],[94,25],[6,100],[92,100],[8,100],[6,100],[0,100],[0,100],[2,100],[2,100],[8,100],[4,100],[6,100],[7,100],[1,100],[1,100],[1,100],[2,100],[4,100],[4,100],[94,5],[94,10],[94,25],[7,100]</v>
      </c>
      <c r="J5" s="54"/>
    </row>
    <row r="6" spans="1:10" x14ac:dyDescent="0.25">
      <c r="A6" s="49">
        <f>A5+1</f>
        <v>4</v>
      </c>
      <c r="B6" s="52">
        <v>1</v>
      </c>
      <c r="C6" s="53">
        <f>C5+1</f>
        <v>4</v>
      </c>
      <c r="D6" s="54" t="str">
        <f>_xlfn.TEXTJOIN(",",TRUE,'Free Game'!BE3:BE400)</f>
        <v>[6,100],[0,100],[0,100],[0,100],[5,100],[3,100],[6,100],[92,100],[92,100],[92,100],[8,100],[2,100],[6,100],[4,100],[2,100],[0,100],[92,100],[4,100],[5,100],[7,100],[0,100],[5,100],[8,100],[2,100],[7,100],[1,100],[1,100],[92,100],[4,100],[2,100],[8,100],[3,100],[1,100],[1,100],[1,100],[3,100],[3,100],[2,25],[6,25],[94,25],[6,100],[2,100],[2,100],[1,100],[5,100],[6,100],[0,100],[0,100],[0,100],[2,100],[8,100],[94,5],[94,10],[94,25],[6,100],[8,100],[2,100],[92,100],[4,100],[5,100],[2,100],[92,100],[3,100],[8,100],[4,100],[4,100],[0,100],[0,100],[0,100],[6,100],[2,100],[7,100],[6,100],[92,100],[6,100],[7,100],[8,100],[1,100],[1,100],[1,100]</v>
      </c>
      <c r="J6" s="54"/>
    </row>
    <row r="7" spans="1:10" x14ac:dyDescent="0.25">
      <c r="A7" s="49">
        <f>A6+1</f>
        <v>5</v>
      </c>
      <c r="B7" s="52">
        <v>1</v>
      </c>
      <c r="C7" s="53">
        <f>C6+1</f>
        <v>5</v>
      </c>
      <c r="D7" s="54" t="str">
        <f>_xlfn.TEXTJOIN(",",TRUE,'Free Game'!BF3:BF253)</f>
        <v>[1,100],[6,100],[94,5],[94,10],[94,25],[4,100],[7,100],[8,100],[5,100],[4,100],[1,100],[1,100],[6,100],[8,100],[92,100],[0,100],[0,100],[0,100],[6,100],[5,100],[2,25],[2,25],[94,25],[8,100],[7,100],[6,100],[92,100],[92,100],[92,100],[3,100],[5,100],[4,100],[0,100],[0,100],[0,100],[6,100],[4,100],[1,100],[1,100],[1,100],[5,100],[6,100],[2,100],[8,100],[92,100],[5,100],[7,100],[3,100],[3,100],[1,100],[1,100],[1,100],[6,100],[2,100],[4,100],[0,100],[0,100],[0,100],[7,100],[4,100],[4,100],[3,100],[6,100],[92,100],[2,100],[7,100],[5,100],[4,100],[3,100],[1,100],[1,100]</v>
      </c>
      <c r="J7" s="54"/>
    </row>
    <row r="8" spans="1:10" x14ac:dyDescent="0.25">
      <c r="A8" s="49"/>
      <c r="B8" s="52"/>
      <c r="C8" s="53"/>
      <c r="D8" s="54"/>
      <c r="J8" s="54"/>
    </row>
    <row r="9" spans="1:10" x14ac:dyDescent="0.25">
      <c r="A9" s="49"/>
      <c r="B9" s="52"/>
      <c r="C9" s="53"/>
      <c r="D9" s="54"/>
      <c r="J9" s="54"/>
    </row>
    <row r="10" spans="1:10" x14ac:dyDescent="0.25">
      <c r="A10" s="49"/>
      <c r="B10" s="52"/>
      <c r="C10" s="53"/>
      <c r="D10" s="54"/>
      <c r="J10" s="54"/>
    </row>
    <row r="11" spans="1:10" x14ac:dyDescent="0.25">
      <c r="A11" s="49"/>
      <c r="B11" s="52"/>
      <c r="C11" s="53"/>
      <c r="D11" s="54"/>
      <c r="J11" s="54"/>
    </row>
    <row r="12" spans="1:10" x14ac:dyDescent="0.25">
      <c r="A12" s="49"/>
      <c r="B12" s="52"/>
      <c r="C12" s="53"/>
      <c r="D12" s="54"/>
      <c r="J12" s="54"/>
    </row>
    <row r="13" spans="1:10" x14ac:dyDescent="0.25">
      <c r="A13" s="49"/>
      <c r="B13" s="52"/>
      <c r="C13" s="53"/>
      <c r="D13" s="54"/>
      <c r="J13" s="54"/>
    </row>
    <row r="14" spans="1:10" x14ac:dyDescent="0.25">
      <c r="A14" s="49"/>
      <c r="B14" s="52"/>
      <c r="C14" s="53"/>
      <c r="D14" s="54"/>
      <c r="J14" s="54"/>
    </row>
    <row r="15" spans="1:10" x14ac:dyDescent="0.25">
      <c r="A15" s="49"/>
      <c r="B15" s="52"/>
      <c r="C15" s="53"/>
      <c r="D15" s="54"/>
      <c r="J15" s="54"/>
    </row>
    <row r="16" spans="1:10" x14ac:dyDescent="0.25">
      <c r="A16" s="49"/>
      <c r="B16" s="52"/>
      <c r="C16" s="53"/>
      <c r="D16" s="54"/>
      <c r="J16" s="54"/>
    </row>
    <row r="17" spans="1:14" x14ac:dyDescent="0.25">
      <c r="A17" s="49"/>
      <c r="B17" s="52"/>
      <c r="C17" s="53"/>
      <c r="D17" s="54"/>
      <c r="J17" s="54"/>
    </row>
    <row r="18" spans="1:14" x14ac:dyDescent="0.25">
      <c r="A18" s="49"/>
      <c r="B18" s="52"/>
      <c r="C18" s="53"/>
      <c r="D18" s="54"/>
      <c r="J18" s="54"/>
    </row>
    <row r="19" spans="1:14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57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57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57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57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57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57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57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57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57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57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57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57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57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49"/>
      <c r="B309" s="6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49"/>
      <c r="B310" s="6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49"/>
      <c r="B311" s="6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49"/>
      <c r="B312" s="6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49"/>
      <c r="B313" s="6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49"/>
      <c r="B314" s="6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49"/>
      <c r="B315" s="6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49"/>
      <c r="B316" s="6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49"/>
      <c r="B317" s="6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49"/>
      <c r="B318" s="6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49"/>
      <c r="B319" s="6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49"/>
      <c r="B320" s="6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49"/>
      <c r="B321" s="6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49"/>
      <c r="B322" s="6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49"/>
      <c r="B323" s="6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49"/>
      <c r="B324" s="6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49"/>
      <c r="B325" s="6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49"/>
      <c r="B326" s="6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49"/>
      <c r="B327" s="6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49"/>
      <c r="B328" s="6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49"/>
      <c r="B329" s="6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49"/>
      <c r="B330" s="6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49"/>
      <c r="B331" s="6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49"/>
      <c r="B332" s="6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49"/>
      <c r="B333" s="6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49"/>
      <c r="B334" s="6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49"/>
      <c r="B335" s="6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49"/>
      <c r="B336" s="6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49"/>
      <c r="B337" s="6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49"/>
      <c r="B338" s="6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49"/>
      <c r="B339" s="6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49"/>
      <c r="B340" s="6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49"/>
      <c r="B341" s="6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49"/>
      <c r="B342" s="6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49"/>
      <c r="B343" s="6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49"/>
      <c r="B344" s="6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49"/>
      <c r="B345" s="6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49"/>
      <c r="B346" s="6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49"/>
      <c r="B347" s="6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49"/>
      <c r="B348" s="6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49"/>
      <c r="B349" s="6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49"/>
      <c r="B350" s="6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49"/>
      <c r="B351" s="6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49"/>
      <c r="B352" s="6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49"/>
      <c r="B353" s="6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49"/>
      <c r="B354" s="6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49"/>
      <c r="B355" s="6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49"/>
      <c r="B356" s="6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49"/>
      <c r="B357" s="6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49"/>
      <c r="B358" s="6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49"/>
      <c r="B359" s="6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49"/>
      <c r="B360" s="6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49"/>
      <c r="B361" s="6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49"/>
      <c r="B362" s="6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49"/>
      <c r="B363" s="6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49"/>
      <c r="B364" s="6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49"/>
      <c r="B365" s="6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49"/>
      <c r="B366" s="6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49"/>
      <c r="B367" s="6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49"/>
      <c r="B368" s="6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49"/>
      <c r="B369" s="6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49"/>
      <c r="B370" s="6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49"/>
      <c r="B371" s="6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49"/>
      <c r="B372" s="6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49"/>
      <c r="B373" s="6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49"/>
      <c r="B374" s="6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49"/>
      <c r="B375" s="6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49"/>
      <c r="B376" s="6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49"/>
      <c r="B377" s="6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49"/>
      <c r="B378" s="6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49"/>
      <c r="B379" s="6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49"/>
      <c r="B380" s="6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49"/>
      <c r="B381" s="6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49"/>
      <c r="B382" s="6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49"/>
      <c r="B383" s="6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49"/>
      <c r="B384" s="6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49"/>
      <c r="B385" s="6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49"/>
      <c r="B386" s="6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49"/>
      <c r="B387" s="6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49"/>
      <c r="B388" s="6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49"/>
      <c r="B389" s="6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49"/>
      <c r="B390" s="6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49"/>
      <c r="B391" s="6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49"/>
      <c r="B392" s="6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49"/>
      <c r="B393" s="6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49"/>
      <c r="B394" s="6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49"/>
      <c r="B395" s="6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49"/>
      <c r="B396" s="6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49"/>
      <c r="B397" s="6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49"/>
      <c r="B398" s="6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49"/>
      <c r="B399" s="6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49"/>
      <c r="B400" s="6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49"/>
      <c r="B401" s="6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49"/>
      <c r="B402" s="6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49"/>
      <c r="B403" s="6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49"/>
      <c r="B404" s="6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49"/>
      <c r="B405" s="6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49"/>
      <c r="B406" s="6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49"/>
      <c r="B407" s="6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49"/>
      <c r="B408" s="6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49"/>
      <c r="B409" s="6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49"/>
      <c r="B410" s="6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49"/>
      <c r="B411" s="6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49"/>
      <c r="B412" s="6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49"/>
      <c r="B413" s="6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49"/>
      <c r="B414" s="6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49"/>
      <c r="B415" s="6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49"/>
      <c r="B416" s="6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49"/>
      <c r="B417" s="6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49"/>
      <c r="B418" s="6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49"/>
      <c r="B419" s="6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49"/>
      <c r="B420" s="6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49"/>
      <c r="B421" s="6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49"/>
      <c r="B422" s="6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49"/>
      <c r="B423" s="6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49"/>
      <c r="B424" s="6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49"/>
      <c r="B425" s="6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49"/>
      <c r="B426" s="6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49"/>
      <c r="B427" s="6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49"/>
      <c r="B428" s="6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49"/>
      <c r="B429" s="6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49"/>
      <c r="B430" s="6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49"/>
      <c r="B431" s="6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49"/>
      <c r="B432" s="6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49"/>
      <c r="B433" s="6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49"/>
      <c r="B434" s="6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49"/>
      <c r="B435" s="6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49"/>
      <c r="B436" s="6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49"/>
      <c r="B437" s="6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49"/>
      <c r="B438" s="6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49"/>
      <c r="B439" s="6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49"/>
      <c r="B440" s="6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49"/>
      <c r="B441" s="6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49"/>
      <c r="B442" s="6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49"/>
      <c r="B443" s="6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49"/>
      <c r="B444" s="6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49"/>
      <c r="B445" s="6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49"/>
      <c r="B446" s="6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49"/>
      <c r="B447" s="6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49"/>
      <c r="B448" s="6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49"/>
      <c r="B449" s="6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49"/>
      <c r="B450" s="6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49"/>
      <c r="B451" s="6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49"/>
      <c r="B452" s="6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49"/>
      <c r="B453" s="6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49"/>
      <c r="B454" s="6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49"/>
      <c r="B455" s="6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49"/>
      <c r="B456" s="6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49"/>
      <c r="B457" s="6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49"/>
      <c r="B458" s="6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49"/>
      <c r="B459" s="6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49"/>
      <c r="B460" s="6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49"/>
      <c r="B461" s="6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49"/>
      <c r="B462" s="6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49"/>
      <c r="B463" s="6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49"/>
      <c r="B464" s="6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49"/>
      <c r="B465" s="6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49"/>
      <c r="B466" s="6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49"/>
      <c r="B467" s="6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49"/>
      <c r="B468" s="6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49"/>
      <c r="B469" s="6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49"/>
      <c r="B470" s="6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49"/>
      <c r="B471" s="6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49"/>
      <c r="B472" s="6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49"/>
      <c r="B473" s="6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49"/>
      <c r="B474" s="6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49"/>
      <c r="B475" s="6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49"/>
      <c r="B476" s="6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49"/>
      <c r="B477" s="6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49"/>
      <c r="B478" s="6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49"/>
      <c r="B479" s="6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49"/>
      <c r="B480" s="6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49"/>
      <c r="B481" s="6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49"/>
      <c r="B482" s="6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49"/>
      <c r="B483" s="6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49"/>
      <c r="B484" s="6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49"/>
      <c r="B485" s="6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49"/>
      <c r="B486" s="6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49"/>
      <c r="B487" s="6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49"/>
      <c r="B488" s="6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49"/>
      <c r="B489" s="6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49"/>
      <c r="B490" s="6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49"/>
      <c r="B491" s="6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49"/>
      <c r="B492" s="6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49"/>
      <c r="B493" s="6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49"/>
      <c r="B494" s="6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49"/>
      <c r="B495" s="6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49"/>
      <c r="B496" s="6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49"/>
      <c r="B497" s="6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49"/>
      <c r="B498" s="6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49"/>
      <c r="B499" s="6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x14ac:dyDescent="0.25">
      <c r="A500" s="49"/>
      <c r="B500" s="6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 spans="1:57" x14ac:dyDescent="0.25">
      <c r="A501" s="49"/>
      <c r="B501" s="6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 spans="1:57" x14ac:dyDescent="0.25">
      <c r="A502" s="49"/>
      <c r="B502" s="6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 spans="1:57" x14ac:dyDescent="0.25">
      <c r="A503" s="49"/>
      <c r="B503" s="6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 spans="1:57" x14ac:dyDescent="0.25">
      <c r="A504" s="49"/>
      <c r="B504" s="6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 spans="1:57" x14ac:dyDescent="0.25">
      <c r="A505" s="49"/>
      <c r="B505" s="6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 spans="1:57" x14ac:dyDescent="0.25">
      <c r="A506" s="49"/>
      <c r="B506" s="6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 spans="1:57" x14ac:dyDescent="0.25">
      <c r="A507" s="49"/>
      <c r="B507" s="6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 spans="1:57" x14ac:dyDescent="0.25">
      <c r="A508" s="49"/>
      <c r="B508" s="6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 spans="1:57" x14ac:dyDescent="0.25">
      <c r="A509" s="49"/>
      <c r="B509" s="6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spans="1:57" x14ac:dyDescent="0.25">
      <c r="A510" s="49"/>
      <c r="B510" s="6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spans="1:57" x14ac:dyDescent="0.25">
      <c r="A511" s="49"/>
      <c r="B511" s="6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spans="1:57" x14ac:dyDescent="0.25">
      <c r="A512" s="49"/>
      <c r="B512" s="6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spans="1:57" x14ac:dyDescent="0.25">
      <c r="A513" s="49"/>
      <c r="B513" s="6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spans="1:57" x14ac:dyDescent="0.25">
      <c r="A514" s="49"/>
      <c r="B514" s="6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spans="1:57" x14ac:dyDescent="0.25">
      <c r="A515" s="49"/>
      <c r="B515" s="6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spans="1:57" x14ac:dyDescent="0.25">
      <c r="A516" s="49"/>
      <c r="B516" s="6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spans="1:57" x14ac:dyDescent="0.25">
      <c r="A517" s="49"/>
      <c r="B517" s="6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spans="1:57" x14ac:dyDescent="0.25">
      <c r="A518" s="49"/>
      <c r="B518" s="6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spans="1:57" x14ac:dyDescent="0.25">
      <c r="A519" s="49"/>
      <c r="B519" s="6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 spans="1:57" x14ac:dyDescent="0.25">
      <c r="A520" s="49"/>
      <c r="B520" s="6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 spans="1:57" x14ac:dyDescent="0.25">
      <c r="A521" s="49"/>
      <c r="B521" s="6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 spans="1:57" x14ac:dyDescent="0.25">
      <c r="A522" s="49"/>
      <c r="B522" s="6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 spans="1:57" x14ac:dyDescent="0.25">
      <c r="A523" s="49"/>
      <c r="B523" s="6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 spans="1:57" x14ac:dyDescent="0.25">
      <c r="A524" s="49"/>
      <c r="B524" s="6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 spans="1:57" x14ac:dyDescent="0.25">
      <c r="A525" s="49"/>
      <c r="B525" s="6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 spans="1:57" x14ac:dyDescent="0.25">
      <c r="A526" s="49"/>
      <c r="B526" s="6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 spans="1:57" x14ac:dyDescent="0.25">
      <c r="A527" s="49"/>
      <c r="B527" s="6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 spans="1:57" x14ac:dyDescent="0.25">
      <c r="A528" s="49"/>
      <c r="B528" s="6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 spans="1:57" x14ac:dyDescent="0.25">
      <c r="A529" s="49"/>
      <c r="B529" s="6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 spans="1:57" x14ac:dyDescent="0.25">
      <c r="A530" s="49"/>
      <c r="B530" s="6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 spans="1:57" x14ac:dyDescent="0.25">
      <c r="A531" s="49"/>
      <c r="B531" s="6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 spans="1:57" x14ac:dyDescent="0.25">
      <c r="A532" s="49"/>
      <c r="B532" s="6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 spans="1:57" x14ac:dyDescent="0.25">
      <c r="A533" s="49"/>
      <c r="B533" s="6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 spans="1:57" x14ac:dyDescent="0.25">
      <c r="A534" s="49"/>
      <c r="B534" s="6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 spans="1:57" x14ac:dyDescent="0.25">
      <c r="A535" s="49"/>
      <c r="B535" s="6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 spans="1:57" x14ac:dyDescent="0.25">
      <c r="A536" s="49"/>
      <c r="B536" s="6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 spans="1:57" x14ac:dyDescent="0.25">
      <c r="A537" s="49"/>
      <c r="B537" s="6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 spans="1:57" x14ac:dyDescent="0.25">
      <c r="A538" s="49"/>
      <c r="B538" s="6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 spans="1:57" x14ac:dyDescent="0.25">
      <c r="A539" s="49"/>
      <c r="B539" s="6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 spans="1:57" x14ac:dyDescent="0.25">
      <c r="A540" s="49"/>
      <c r="B540" s="6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 spans="1:57" x14ac:dyDescent="0.25">
      <c r="A541" s="49"/>
      <c r="B541" s="6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 spans="1:57" x14ac:dyDescent="0.25">
      <c r="A542" s="49"/>
      <c r="B542" s="6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 spans="1:57" x14ac:dyDescent="0.25">
      <c r="A543" s="49"/>
      <c r="B543" s="6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 spans="1:57" x14ac:dyDescent="0.25">
      <c r="A544" s="49"/>
      <c r="B544" s="6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 spans="1:57" x14ac:dyDescent="0.25">
      <c r="A545" s="49"/>
      <c r="B545" s="6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 spans="1:57" x14ac:dyDescent="0.25">
      <c r="A546" s="49"/>
      <c r="B546" s="6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 spans="1:57" x14ac:dyDescent="0.25">
      <c r="A547" s="49"/>
      <c r="B547" s="6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 spans="1:57" x14ac:dyDescent="0.25">
      <c r="A548" s="49"/>
      <c r="B548" s="6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 spans="1:57" x14ac:dyDescent="0.25">
      <c r="A549" s="49"/>
      <c r="B549" s="6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 spans="1:57" x14ac:dyDescent="0.25">
      <c r="A550" s="49"/>
      <c r="B550" s="6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 spans="1:57" x14ac:dyDescent="0.25">
      <c r="A551" s="49"/>
      <c r="B551" s="6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spans="1:57" x14ac:dyDescent="0.25">
      <c r="A552" s="49"/>
      <c r="B552" s="6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spans="1:57" x14ac:dyDescent="0.25">
      <c r="A553" s="49"/>
      <c r="B553" s="6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spans="1:57" x14ac:dyDescent="0.25">
      <c r="A554" s="49"/>
      <c r="B554" s="6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spans="1:57" x14ac:dyDescent="0.25">
      <c r="A555" s="49"/>
      <c r="B555" s="6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spans="1:57" x14ac:dyDescent="0.25">
      <c r="A556" s="49"/>
      <c r="B556" s="6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spans="1:57" x14ac:dyDescent="0.25">
      <c r="A557" s="49"/>
      <c r="B557" s="6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spans="1:57" x14ac:dyDescent="0.25">
      <c r="A558" s="49"/>
      <c r="B558" s="6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spans="1:57" x14ac:dyDescent="0.25">
      <c r="A559" s="49"/>
      <c r="B559" s="6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spans="1:57" x14ac:dyDescent="0.25">
      <c r="A560" s="49"/>
      <c r="B560" s="6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 spans="1:57" x14ac:dyDescent="0.25">
      <c r="A561" s="49"/>
      <c r="B561" s="6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 spans="1:57" x14ac:dyDescent="0.25">
      <c r="A562" s="49"/>
      <c r="B562" s="6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 spans="1:57" x14ac:dyDescent="0.25">
      <c r="A563" s="49"/>
      <c r="B563" s="6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spans="1:57" x14ac:dyDescent="0.25">
      <c r="A564" s="49"/>
      <c r="B564" s="6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spans="1:57" x14ac:dyDescent="0.25">
      <c r="A565" s="49"/>
      <c r="B565" s="6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spans="1:57" x14ac:dyDescent="0.25">
      <c r="A566" s="49"/>
      <c r="B566" s="6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spans="1:57" x14ac:dyDescent="0.25">
      <c r="A567" s="49"/>
      <c r="B567" s="6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spans="1:57" x14ac:dyDescent="0.25">
      <c r="A568" s="49"/>
      <c r="B568" s="6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spans="1:57" x14ac:dyDescent="0.25">
      <c r="A569" s="49"/>
      <c r="B569" s="6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spans="1:57" x14ac:dyDescent="0.25">
      <c r="A570" s="49"/>
      <c r="B570" s="6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spans="1:57" x14ac:dyDescent="0.25">
      <c r="A571" s="49"/>
      <c r="B571" s="6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 spans="1:57" x14ac:dyDescent="0.25">
      <c r="A572" s="49"/>
      <c r="B572" s="6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 spans="1:57" x14ac:dyDescent="0.25">
      <c r="A573" s="49"/>
      <c r="B573" s="6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 spans="1:57" x14ac:dyDescent="0.25">
      <c r="A574" s="49"/>
      <c r="B574" s="6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 spans="1:57" x14ac:dyDescent="0.25">
      <c r="A575" s="49"/>
      <c r="B575" s="6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 spans="1:57" x14ac:dyDescent="0.25">
      <c r="A576" s="49"/>
      <c r="B576" s="6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 spans="1:57" x14ac:dyDescent="0.25">
      <c r="A577" s="49"/>
      <c r="B577" s="6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 spans="1:57" x14ac:dyDescent="0.25">
      <c r="A578" s="49"/>
      <c r="B578" s="6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 spans="1:57" x14ac:dyDescent="0.25">
      <c r="A579" s="49"/>
      <c r="B579" s="6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 spans="1:57" x14ac:dyDescent="0.25">
      <c r="A580" s="49"/>
      <c r="B580" s="6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 spans="1:57" x14ac:dyDescent="0.25">
      <c r="A581" s="49"/>
      <c r="B581" s="6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 spans="1:57" x14ac:dyDescent="0.25">
      <c r="A582" s="49"/>
      <c r="B582" s="6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 spans="1:57" x14ac:dyDescent="0.25">
      <c r="A583" s="49"/>
      <c r="B583" s="6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 spans="1:57" x14ac:dyDescent="0.25">
      <c r="A584" s="49"/>
      <c r="B584" s="6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 spans="1:57" x14ac:dyDescent="0.25">
      <c r="A585" s="49"/>
      <c r="B585" s="6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 spans="1:57" x14ac:dyDescent="0.25">
      <c r="A586" s="49"/>
      <c r="B586" s="6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 spans="1:57" x14ac:dyDescent="0.25">
      <c r="A587" s="49"/>
      <c r="B587" s="6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 spans="1:57" x14ac:dyDescent="0.25">
      <c r="A588" s="49"/>
      <c r="B588" s="6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 spans="1:57" x14ac:dyDescent="0.25">
      <c r="A589" s="49"/>
      <c r="B589" s="6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 spans="1:57" x14ac:dyDescent="0.25">
      <c r="A590" s="49"/>
      <c r="B590" s="6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 spans="1:57" x14ac:dyDescent="0.25">
      <c r="A591" s="49"/>
      <c r="B591" s="6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 spans="1:57" x14ac:dyDescent="0.25">
      <c r="A592" s="49"/>
      <c r="B592" s="6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 spans="1:57" x14ac:dyDescent="0.25">
      <c r="A593" s="49"/>
      <c r="B593" s="6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 spans="1:57" x14ac:dyDescent="0.25">
      <c r="A594" s="49"/>
      <c r="B594" s="6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 spans="1:57" x14ac:dyDescent="0.25">
      <c r="A595" s="49"/>
      <c r="B595" s="6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 spans="1:57" x14ac:dyDescent="0.25">
      <c r="A596" s="49"/>
      <c r="B596" s="6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 spans="1:57" x14ac:dyDescent="0.25">
      <c r="A597" s="49"/>
      <c r="B597" s="6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 spans="1:57" x14ac:dyDescent="0.25">
      <c r="A598" s="49"/>
      <c r="B598" s="6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 spans="1:57" x14ac:dyDescent="0.25">
      <c r="A599" s="49"/>
      <c r="B599" s="6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 spans="1:57" x14ac:dyDescent="0.25">
      <c r="A600" s="49"/>
      <c r="B600" s="6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 spans="1:57" x14ac:dyDescent="0.25">
      <c r="A601" s="49"/>
      <c r="B601" s="6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 spans="1:57" x14ac:dyDescent="0.25">
      <c r="A602" s="49"/>
      <c r="B602" s="6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 spans="1:57" x14ac:dyDescent="0.25">
      <c r="A603" s="49"/>
      <c r="B603" s="6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 spans="1:57" x14ac:dyDescent="0.25">
      <c r="A604" s="49"/>
      <c r="B604" s="6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 spans="1:57" x14ac:dyDescent="0.25">
      <c r="A605" s="49"/>
      <c r="B605" s="6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 spans="1:57" x14ac:dyDescent="0.25">
      <c r="A606" s="49"/>
      <c r="B606" s="6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 spans="1:57" x14ac:dyDescent="0.25">
      <c r="A607" s="49"/>
      <c r="B607" s="6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 spans="1:57" x14ac:dyDescent="0.25">
      <c r="A608" s="49"/>
      <c r="B608" s="6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 spans="1:57" x14ac:dyDescent="0.25">
      <c r="A609" s="49"/>
      <c r="B609" s="6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 spans="1:57" x14ac:dyDescent="0.25">
      <c r="A610" s="49"/>
      <c r="B610" s="6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 spans="1:57" x14ac:dyDescent="0.25">
      <c r="A611" s="49"/>
      <c r="B611" s="6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 spans="1:57" x14ac:dyDescent="0.25">
      <c r="A612" s="49"/>
      <c r="B612" s="6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 spans="1:57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 spans="1:57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 spans="1:57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 spans="1:57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 spans="1:57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 spans="1:57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 spans="1:57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 spans="1:57" x14ac:dyDescent="0.25">
      <c r="C620" s="1"/>
      <c r="D620" s="1"/>
      <c r="E620" s="1"/>
      <c r="F620" s="1" t="str">
        <f>IF([1]Base3!B201="","",",["&amp;VLOOKUP([1]Base3!B201,'[1]#&lt;config&gt;'!$D$2:$E$18,2,0)&amp;",10]")</f>
        <v/>
      </c>
      <c r="G620" s="1" t="str">
        <f>IF([1]Base3!C201="","",",["&amp;VLOOKUP([1]Base3!C201,'[1]#&lt;config&gt;'!$D$2:$E$18,2,0)&amp;",10]")</f>
        <v/>
      </c>
      <c r="H620" s="1" t="str">
        <f>IF([1]Base3!D201="","",",["&amp;VLOOKUP([1]Base3!D201,'[1]#&lt;config&gt;'!$D$2:$E$18,2,0)&amp;",10]")</f>
        <v/>
      </c>
      <c r="I620" s="1" t="str">
        <f>IF([1]Base3!E201="","",",["&amp;VLOOKUP([1]Base3!E201,'[1]#&lt;config&gt;'!$D$2:$E$18,2,0)&amp;",10]")</f>
        <v/>
      </c>
      <c r="J620" s="1" t="str">
        <f>IF([1]Base3!F201="","",",["&amp;VLOOKUP([1]Base3!F201,'[1]#&lt;config&gt;'!$D$2:$E$18,2,0)&amp;",10]")</f>
        <v/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 spans="1:57" x14ac:dyDescent="0.25">
      <c r="C621" s="1"/>
      <c r="D621" s="1"/>
      <c r="E621" s="1"/>
      <c r="F621" s="1" t="str">
        <f>IF([1]Base3!B202="","",",["&amp;VLOOKUP([1]Base3!B202,'[1]#&lt;config&gt;'!$D$2:$E$18,2,0)&amp;",10]")</f>
        <v/>
      </c>
      <c r="G621" s="1" t="str">
        <f>IF([1]Base3!C202="","",",["&amp;VLOOKUP([1]Base3!C202,'[1]#&lt;config&gt;'!$D$2:$E$18,2,0)&amp;",10]")</f>
        <v/>
      </c>
      <c r="H621" s="1" t="str">
        <f>IF([1]Base3!D202="","",",["&amp;VLOOKUP([1]Base3!D202,'[1]#&lt;config&gt;'!$D$2:$E$18,2,0)&amp;",10]")</f>
        <v/>
      </c>
      <c r="I621" s="1" t="str">
        <f>IF([1]Base3!E202="","",",["&amp;VLOOKUP([1]Base3!E202,'[1]#&lt;config&gt;'!$D$2:$E$18,2,0)&amp;",10]")</f>
        <v/>
      </c>
      <c r="J621" s="1" t="str">
        <f>IF([1]Base3!F202="","",",["&amp;VLOOKUP([1]Base3!F202,'[1]#&lt;config&gt;'!$D$2:$E$18,2,0)&amp;",10]")</f>
        <v/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 spans="1:57" x14ac:dyDescent="0.25">
      <c r="C622" s="1"/>
      <c r="D622" s="1"/>
      <c r="E622" s="1"/>
      <c r="F622" s="1" t="str">
        <f>IF([1]Base3!B203="","",",["&amp;VLOOKUP([1]Base3!B203,'[1]#&lt;config&gt;'!$D$2:$E$18,2,0)&amp;",10]")</f>
        <v/>
      </c>
      <c r="G622" s="1" t="str">
        <f>IF([1]Base3!C203="","",",["&amp;VLOOKUP([1]Base3!C203,'[1]#&lt;config&gt;'!$D$2:$E$18,2,0)&amp;",10]")</f>
        <v/>
      </c>
      <c r="H622" s="1" t="str">
        <f>IF([1]Base3!D203="","",",["&amp;VLOOKUP([1]Base3!D203,'[1]#&lt;config&gt;'!$D$2:$E$18,2,0)&amp;",10]")</f>
        <v/>
      </c>
      <c r="I622" s="1" t="str">
        <f>IF([1]Base3!E203="","",",["&amp;VLOOKUP([1]Base3!E203,'[1]#&lt;config&gt;'!$D$2:$E$18,2,0)&amp;",10]")</f>
        <v/>
      </c>
      <c r="J622" s="1" t="str">
        <f>IF([1]Base3!F203="","",",["&amp;VLOOKUP([1]Base3!F203,'[1]#&lt;config&gt;'!$D$2:$E$18,2,0)&amp;",10]")</f>
        <v/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 spans="1:57" x14ac:dyDescent="0.25">
      <c r="C623" s="1"/>
      <c r="D623" s="1"/>
      <c r="E623" s="1"/>
      <c r="F623" s="1" t="str">
        <f>IF([1]Base3!B204="","",",["&amp;VLOOKUP([1]Base3!B204,'[1]#&lt;config&gt;'!$D$2:$E$18,2,0)&amp;",10]")</f>
        <v/>
      </c>
      <c r="G623" s="1" t="str">
        <f>IF([1]Base3!C204="","",",["&amp;VLOOKUP([1]Base3!C204,'[1]#&lt;config&gt;'!$D$2:$E$18,2,0)&amp;",10]")</f>
        <v/>
      </c>
      <c r="H623" s="1" t="str">
        <f>IF([1]Base3!D204="","",",["&amp;VLOOKUP([1]Base3!D204,'[1]#&lt;config&gt;'!$D$2:$E$18,2,0)&amp;",10]")</f>
        <v/>
      </c>
      <c r="I623" s="1" t="str">
        <f>IF([1]Base3!E204="","",",["&amp;VLOOKUP([1]Base3!E204,'[1]#&lt;config&gt;'!$D$2:$E$18,2,0)&amp;",10]")</f>
        <v/>
      </c>
      <c r="J623" s="1" t="str">
        <f>IF([1]Base3!F204="","",",["&amp;VLOOKUP([1]Base3!F204,'[1]#&lt;config&gt;'!$D$2:$E$18,2,0)&amp;",10]")</f>
        <v/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 spans="1:57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 spans="2:57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 spans="2:57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 spans="2:57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 spans="2:57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 spans="2:57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 spans="2:57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 spans="2:57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 spans="2:57" x14ac:dyDescent="0.25">
      <c r="B632" s="4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 spans="2:57" x14ac:dyDescent="0.25">
      <c r="B633" s="4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 spans="2:57" x14ac:dyDescent="0.25">
      <c r="B634" s="4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 spans="2:57" x14ac:dyDescent="0.25">
      <c r="B635" s="4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 spans="2:57" x14ac:dyDescent="0.25">
      <c r="B636" s="4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 spans="2:57" x14ac:dyDescent="0.25">
      <c r="B637" s="4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 spans="2:57" x14ac:dyDescent="0.25">
      <c r="B638" s="4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 spans="2:57" x14ac:dyDescent="0.25">
      <c r="B639" s="4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 spans="2:57" x14ac:dyDescent="0.25">
      <c r="B640" s="4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 spans="2:57" x14ac:dyDescent="0.25">
      <c r="B641" s="4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 spans="2:57" x14ac:dyDescent="0.25">
      <c r="B642" s="4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 spans="2:57" x14ac:dyDescent="0.25">
      <c r="B643" s="4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 spans="2:57" x14ac:dyDescent="0.25">
      <c r="B644" s="4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 spans="2:57" x14ac:dyDescent="0.25">
      <c r="B645" s="4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 spans="2:57" x14ac:dyDescent="0.25">
      <c r="B646" s="4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 spans="2:57" x14ac:dyDescent="0.25">
      <c r="B647" s="4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 spans="2:57" x14ac:dyDescent="0.25">
      <c r="B648" s="4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 spans="2:57" x14ac:dyDescent="0.25">
      <c r="B649" s="4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 spans="2:57" x14ac:dyDescent="0.25">
      <c r="B650" s="4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 spans="2:57" x14ac:dyDescent="0.25">
      <c r="B651" s="4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 spans="2:57" x14ac:dyDescent="0.25">
      <c r="B652" s="4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 spans="2:57" x14ac:dyDescent="0.25">
      <c r="B653" s="4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 spans="2:57" x14ac:dyDescent="0.25">
      <c r="B654" s="4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 spans="2:57" x14ac:dyDescent="0.25">
      <c r="B655" s="4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 spans="2:57" x14ac:dyDescent="0.25">
      <c r="B656" s="4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 spans="2:57" x14ac:dyDescent="0.25">
      <c r="B657" s="4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 spans="2:57" x14ac:dyDescent="0.25">
      <c r="B658" s="4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 spans="2:57" x14ac:dyDescent="0.25">
      <c r="B659" s="4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 spans="2:57" x14ac:dyDescent="0.25">
      <c r="B660" s="4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 spans="2:57" x14ac:dyDescent="0.25">
      <c r="B661" s="4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 spans="2:57" x14ac:dyDescent="0.25">
      <c r="B662" s="4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 spans="2:57" x14ac:dyDescent="0.25">
      <c r="B663" s="4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 spans="2:57" x14ac:dyDescent="0.25">
      <c r="B664" s="4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 spans="2:57" x14ac:dyDescent="0.25">
      <c r="B665" s="4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 spans="2:57" x14ac:dyDescent="0.25">
      <c r="B666" s="4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 spans="2:57" x14ac:dyDescent="0.25">
      <c r="B667" s="4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 spans="2:57" x14ac:dyDescent="0.25">
      <c r="B668" s="4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 spans="2:57" x14ac:dyDescent="0.25">
      <c r="B669" s="4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 spans="2:57" x14ac:dyDescent="0.25">
      <c r="B670" s="4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 spans="2:57" x14ac:dyDescent="0.25">
      <c r="B671" s="4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 spans="2:57" x14ac:dyDescent="0.25">
      <c r="B672" s="4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 spans="2:57" x14ac:dyDescent="0.25">
      <c r="B673" s="4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 spans="2:57" x14ac:dyDescent="0.25">
      <c r="B674" s="4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 spans="2:57" x14ac:dyDescent="0.25">
      <c r="B675" s="4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 spans="2:57" x14ac:dyDescent="0.25">
      <c r="B676" s="4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 spans="2:57" x14ac:dyDescent="0.25">
      <c r="B677" s="4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 spans="2:57" x14ac:dyDescent="0.25">
      <c r="B678" s="4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 spans="2:57" x14ac:dyDescent="0.25">
      <c r="B679" s="4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 spans="2:57" x14ac:dyDescent="0.25">
      <c r="B680" s="4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 spans="2:57" x14ac:dyDescent="0.25">
      <c r="B681" s="4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 spans="2:57" x14ac:dyDescent="0.25">
      <c r="B682" s="4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 spans="2:57" x14ac:dyDescent="0.25">
      <c r="B683" s="4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 spans="2:57" x14ac:dyDescent="0.25">
      <c r="B684" s="4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 spans="2:57" x14ac:dyDescent="0.25">
      <c r="B685" s="4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 spans="2:57" x14ac:dyDescent="0.25">
      <c r="B686" s="4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 spans="2:57" x14ac:dyDescent="0.25">
      <c r="B687" s="4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 spans="2:57" x14ac:dyDescent="0.25">
      <c r="B688" s="4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 spans="2:57" x14ac:dyDescent="0.25">
      <c r="B689" s="4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 spans="2:57" x14ac:dyDescent="0.25">
      <c r="B690" s="4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 spans="2:57" x14ac:dyDescent="0.25">
      <c r="B691" s="4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 spans="2:57" x14ac:dyDescent="0.25">
      <c r="B692" s="4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 spans="2:57" x14ac:dyDescent="0.25">
      <c r="B693" s="4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 spans="2:57" x14ac:dyDescent="0.25">
      <c r="B694" s="4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 spans="2:57" x14ac:dyDescent="0.25">
      <c r="B695" s="4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 spans="2:57" x14ac:dyDescent="0.25">
      <c r="B696" s="4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 spans="2:57" x14ac:dyDescent="0.25">
      <c r="B697" s="4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 spans="2:57" x14ac:dyDescent="0.25">
      <c r="B698" s="4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 spans="2:57" x14ac:dyDescent="0.25">
      <c r="B699" s="4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 spans="2:57" x14ac:dyDescent="0.25">
      <c r="B700" s="4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 spans="2:57" x14ac:dyDescent="0.25">
      <c r="B701" s="4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 spans="2:57" x14ac:dyDescent="0.25">
      <c r="B702" s="4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 spans="2:57" x14ac:dyDescent="0.25">
      <c r="B703" s="4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 spans="2:57" x14ac:dyDescent="0.25">
      <c r="B704" s="4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 spans="2:57" x14ac:dyDescent="0.25">
      <c r="B705" s="4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 spans="2:57" x14ac:dyDescent="0.25">
      <c r="B706" s="4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 spans="2:57" x14ac:dyDescent="0.25">
      <c r="B707" s="4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 spans="2:57" x14ac:dyDescent="0.25">
      <c r="B708" s="4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 spans="2:57" x14ac:dyDescent="0.25">
      <c r="B709" s="4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 spans="2:57" x14ac:dyDescent="0.25">
      <c r="B710" s="4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 spans="2:57" x14ac:dyDescent="0.25">
      <c r="B711" s="4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 spans="2:57" x14ac:dyDescent="0.25">
      <c r="B712" s="4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 spans="2:57" x14ac:dyDescent="0.25">
      <c r="B713" s="4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 spans="2:57" x14ac:dyDescent="0.25">
      <c r="B714" s="4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 spans="2:57" x14ac:dyDescent="0.25">
      <c r="B715" s="4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 spans="2:57" x14ac:dyDescent="0.25">
      <c r="B716" s="4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 spans="2:57" x14ac:dyDescent="0.25">
      <c r="B717" s="4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 spans="2:57" x14ac:dyDescent="0.25">
      <c r="B718" s="4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 spans="2:57" x14ac:dyDescent="0.25">
      <c r="B719" s="4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 spans="2:57" x14ac:dyDescent="0.25">
      <c r="B720" s="4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 spans="2:57" x14ac:dyDescent="0.25">
      <c r="B721" s="4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 spans="2:57" x14ac:dyDescent="0.25">
      <c r="B722" s="4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 spans="2:57" x14ac:dyDescent="0.25">
      <c r="B723" s="4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 spans="2:57" x14ac:dyDescent="0.25">
      <c r="B724" s="4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 spans="2:57" x14ac:dyDescent="0.25">
      <c r="B725" s="4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 spans="2:57" x14ac:dyDescent="0.25">
      <c r="B726" s="4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 spans="2:57" x14ac:dyDescent="0.25">
      <c r="B727" s="4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 spans="2:57" x14ac:dyDescent="0.25">
      <c r="B728" s="4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 spans="2:57" x14ac:dyDescent="0.25">
      <c r="B729" s="4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 spans="2:57" x14ac:dyDescent="0.25">
      <c r="B730" s="4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 spans="2:57" x14ac:dyDescent="0.25">
      <c r="B731" s="4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 spans="2:57" x14ac:dyDescent="0.25">
      <c r="B732" s="4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 spans="2:57" x14ac:dyDescent="0.25">
      <c r="B733" s="4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 spans="2:57" x14ac:dyDescent="0.25">
      <c r="B734" s="4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 spans="2:57" x14ac:dyDescent="0.25">
      <c r="B735" s="4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 spans="2:57" x14ac:dyDescent="0.25">
      <c r="B736" s="4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 spans="2:57" x14ac:dyDescent="0.25">
      <c r="B737" s="4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 spans="2:57" x14ac:dyDescent="0.25">
      <c r="B738" s="4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 spans="2:57" x14ac:dyDescent="0.25">
      <c r="B739" s="4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 spans="2:57" x14ac:dyDescent="0.25">
      <c r="B740" s="4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 spans="2:57" x14ac:dyDescent="0.25">
      <c r="B741" s="4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 spans="2:57" x14ac:dyDescent="0.25">
      <c r="B742" s="4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 spans="2:57" x14ac:dyDescent="0.25">
      <c r="B743" s="4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 spans="2:57" x14ac:dyDescent="0.25">
      <c r="B744" s="4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 spans="2:57" x14ac:dyDescent="0.25">
      <c r="B745" s="4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 spans="2:57" x14ac:dyDescent="0.25">
      <c r="B746" s="4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 spans="2:57" x14ac:dyDescent="0.25">
      <c r="B747" s="4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 spans="2:57" x14ac:dyDescent="0.25">
      <c r="B748" s="4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 spans="2:57" x14ac:dyDescent="0.25">
      <c r="B749" s="4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 spans="2:57" x14ac:dyDescent="0.25">
      <c r="B750" s="4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 spans="2:57" x14ac:dyDescent="0.25">
      <c r="B751" s="4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 spans="2:57" x14ac:dyDescent="0.25">
      <c r="B752" s="4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 spans="2:57" x14ac:dyDescent="0.25">
      <c r="B753" s="4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 spans="2:57" x14ac:dyDescent="0.25">
      <c r="B754" s="4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 spans="2:57" x14ac:dyDescent="0.25">
      <c r="B755" s="4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 spans="2:57" x14ac:dyDescent="0.25">
      <c r="B756" s="4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 spans="2:57" x14ac:dyDescent="0.25">
      <c r="B757" s="4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 spans="2:57" x14ac:dyDescent="0.25">
      <c r="B758" s="4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 spans="2:57" x14ac:dyDescent="0.25">
      <c r="B759" s="4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 spans="2:57" x14ac:dyDescent="0.25">
      <c r="B760" s="4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 spans="2:57" x14ac:dyDescent="0.25">
      <c r="B761" s="4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 spans="2:57" x14ac:dyDescent="0.25">
      <c r="B762" s="4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 spans="2:57" x14ac:dyDescent="0.25">
      <c r="B763" s="4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 spans="2:57" x14ac:dyDescent="0.25">
      <c r="B764" s="4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 spans="2:57" x14ac:dyDescent="0.25">
      <c r="B765" s="4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 spans="2:57" x14ac:dyDescent="0.25">
      <c r="B766" s="4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 spans="2:57" x14ac:dyDescent="0.25">
      <c r="B767" s="4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 spans="2:57" x14ac:dyDescent="0.25">
      <c r="B768" s="4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 spans="2:57" x14ac:dyDescent="0.25">
      <c r="B769" s="4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 spans="2:57" x14ac:dyDescent="0.25">
      <c r="B770" s="4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 spans="2:57" x14ac:dyDescent="0.25">
      <c r="B771" s="4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 spans="2:57" x14ac:dyDescent="0.25">
      <c r="B772" s="4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 spans="2:57" x14ac:dyDescent="0.25">
      <c r="B773" s="4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 spans="2:57" x14ac:dyDescent="0.25">
      <c r="B774" s="4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 spans="2:57" x14ac:dyDescent="0.25">
      <c r="B775" s="4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 spans="2:57" x14ac:dyDescent="0.25">
      <c r="B776" s="4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 spans="2:57" x14ac:dyDescent="0.25">
      <c r="B777" s="4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 spans="2:57" x14ac:dyDescent="0.25">
      <c r="B778" s="4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 spans="2:57" x14ac:dyDescent="0.25">
      <c r="B779" s="4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 spans="2:57" x14ac:dyDescent="0.25">
      <c r="B780" s="4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 spans="2:57" x14ac:dyDescent="0.25">
      <c r="B781" s="4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 spans="2:57" x14ac:dyDescent="0.25">
      <c r="B782" s="4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 spans="2:57" x14ac:dyDescent="0.25">
      <c r="B783" s="4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 spans="2:57" x14ac:dyDescent="0.25">
      <c r="B784" s="4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 spans="2:57" x14ac:dyDescent="0.25">
      <c r="B785" s="4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 spans="2:57" x14ac:dyDescent="0.25">
      <c r="B786" s="4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 spans="2:57" x14ac:dyDescent="0.25">
      <c r="B787" s="4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 spans="2:57" x14ac:dyDescent="0.25">
      <c r="B788" s="4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 spans="2:57" x14ac:dyDescent="0.25">
      <c r="B789" s="4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 spans="2:57" x14ac:dyDescent="0.25">
      <c r="B790" s="4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 spans="2:57" x14ac:dyDescent="0.25">
      <c r="B791" s="4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 spans="2:57" x14ac:dyDescent="0.25">
      <c r="B792" s="4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 spans="2:57" x14ac:dyDescent="0.25">
      <c r="B793" s="4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 spans="2:57" x14ac:dyDescent="0.25">
      <c r="B794" s="4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 spans="2:57" x14ac:dyDescent="0.25">
      <c r="B795" s="4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 spans="2:57" x14ac:dyDescent="0.25">
      <c r="B796" s="4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 spans="2:57" x14ac:dyDescent="0.25">
      <c r="B797" s="4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 spans="2:57" x14ac:dyDescent="0.25">
      <c r="B798" s="4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 spans="2:57" x14ac:dyDescent="0.25">
      <c r="B799" s="4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 spans="2:57" x14ac:dyDescent="0.25">
      <c r="B800" s="4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 spans="2:57" x14ac:dyDescent="0.25">
      <c r="B801" s="4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 spans="2:57" x14ac:dyDescent="0.25">
      <c r="B802" s="4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 spans="2:57" x14ac:dyDescent="0.25">
      <c r="B803" s="4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 spans="2:57" x14ac:dyDescent="0.25">
      <c r="B804" s="4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 spans="2:57" x14ac:dyDescent="0.25">
      <c r="B805" s="4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 spans="2:57" x14ac:dyDescent="0.25">
      <c r="B806" s="4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 spans="2:57" x14ac:dyDescent="0.25">
      <c r="B807" s="4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 spans="2:57" x14ac:dyDescent="0.25">
      <c r="B808" s="4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 spans="2:57" x14ac:dyDescent="0.25">
      <c r="B809" s="4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 spans="2:57" x14ac:dyDescent="0.25">
      <c r="B810" s="4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 spans="2:57" x14ac:dyDescent="0.25">
      <c r="B811" s="4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 spans="2:57" x14ac:dyDescent="0.25">
      <c r="B812" s="4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 spans="2:57" x14ac:dyDescent="0.25">
      <c r="B813" s="4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 spans="2:57" x14ac:dyDescent="0.25">
      <c r="B814" s="4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 spans="2:57" x14ac:dyDescent="0.25">
      <c r="B815" s="4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 spans="2:57" x14ac:dyDescent="0.25">
      <c r="B816" s="4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 spans="2:57" x14ac:dyDescent="0.25">
      <c r="B817" s="4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 spans="2:57" x14ac:dyDescent="0.25">
      <c r="B818" s="4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 spans="2:57" x14ac:dyDescent="0.25">
      <c r="B819" s="4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 spans="2:57" x14ac:dyDescent="0.25">
      <c r="B820" s="4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 spans="2:57" x14ac:dyDescent="0.25">
      <c r="B821" s="4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 spans="2:57" x14ac:dyDescent="0.25">
      <c r="B822" s="4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 spans="2:57" x14ac:dyDescent="0.25">
      <c r="B823" s="4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 spans="2:57" x14ac:dyDescent="0.25">
      <c r="B824" s="4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 spans="2:57" x14ac:dyDescent="0.25">
      <c r="B825" s="4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 spans="2:57" x14ac:dyDescent="0.25">
      <c r="B826" s="4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 spans="2:57" x14ac:dyDescent="0.25">
      <c r="B827" s="4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 spans="2:57" x14ac:dyDescent="0.25">
      <c r="B828" s="4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 spans="2:57" x14ac:dyDescent="0.25">
      <c r="B829" s="4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 spans="2:57" x14ac:dyDescent="0.25">
      <c r="B830" s="4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 spans="2:57" x14ac:dyDescent="0.25">
      <c r="B831" s="4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 spans="2:57" x14ac:dyDescent="0.25">
      <c r="B832" s="4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 spans="2:57" x14ac:dyDescent="0.25">
      <c r="B833" s="4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 spans="2:57" x14ac:dyDescent="0.25">
      <c r="B834" s="4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 spans="2:57" x14ac:dyDescent="0.25">
      <c r="B835" s="4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 spans="2:57" x14ac:dyDescent="0.25">
      <c r="B836" s="4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 spans="2:57" x14ac:dyDescent="0.25">
      <c r="B837" s="4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 spans="2:57" x14ac:dyDescent="0.25">
      <c r="B838" s="4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 spans="2:57" x14ac:dyDescent="0.25">
      <c r="B839" s="4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 spans="2:57" x14ac:dyDescent="0.25">
      <c r="B840" s="4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 spans="2:57" x14ac:dyDescent="0.25">
      <c r="B841" s="4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 spans="2:57" x14ac:dyDescent="0.25">
      <c r="B842" s="4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 spans="2:57" x14ac:dyDescent="0.25">
      <c r="B843" s="4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 spans="2:57" x14ac:dyDescent="0.25">
      <c r="B844" s="4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 spans="2:57" x14ac:dyDescent="0.25">
      <c r="B845" s="4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 spans="2:57" x14ac:dyDescent="0.25">
      <c r="B846" s="4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 spans="2:57" x14ac:dyDescent="0.25">
      <c r="B847" s="4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 spans="2:57" x14ac:dyDescent="0.25">
      <c r="B848" s="4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 spans="2:57" x14ac:dyDescent="0.25">
      <c r="B849" s="4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 spans="2:57" x14ac:dyDescent="0.25">
      <c r="B850" s="4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 spans="2:57" x14ac:dyDescent="0.25">
      <c r="B851" s="4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 spans="2:57" x14ac:dyDescent="0.25">
      <c r="B852" s="4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 spans="2:57" x14ac:dyDescent="0.25">
      <c r="B853" s="4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 spans="2:57" x14ac:dyDescent="0.25">
      <c r="B854" s="4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 spans="2:57" x14ac:dyDescent="0.25">
      <c r="B855" s="4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 spans="2:57" x14ac:dyDescent="0.25">
      <c r="B856" s="4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 spans="2:57" x14ac:dyDescent="0.25">
      <c r="B857" s="4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 spans="2:57" x14ac:dyDescent="0.25">
      <c r="B858" s="4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 spans="2:57" x14ac:dyDescent="0.25">
      <c r="B859" s="4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 spans="2:57" x14ac:dyDescent="0.25">
      <c r="B860" s="4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 spans="2:57" x14ac:dyDescent="0.25">
      <c r="B861" s="4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 spans="2:57" x14ac:dyDescent="0.25">
      <c r="B862" s="4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 spans="2:57" x14ac:dyDescent="0.25">
      <c r="B863" s="4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 spans="2:57" x14ac:dyDescent="0.25">
      <c r="B864" s="4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 spans="2:57" x14ac:dyDescent="0.25">
      <c r="B865" s="4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 spans="2:57" x14ac:dyDescent="0.25">
      <c r="B866" s="4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 spans="2:57" x14ac:dyDescent="0.25">
      <c r="B867" s="4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 spans="2:57" x14ac:dyDescent="0.25">
      <c r="B868" s="4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 spans="2:57" x14ac:dyDescent="0.25">
      <c r="B869" s="4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 spans="2:57" x14ac:dyDescent="0.25">
      <c r="B870" s="4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 spans="2:57" x14ac:dyDescent="0.25">
      <c r="B871" s="4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 spans="2:57" x14ac:dyDescent="0.25">
      <c r="B872" s="4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 spans="2:57" x14ac:dyDescent="0.25">
      <c r="B873" s="4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 spans="2:57" x14ac:dyDescent="0.25">
      <c r="B874" s="4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 spans="2:57" x14ac:dyDescent="0.25">
      <c r="B875" s="4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 spans="2:57" x14ac:dyDescent="0.25">
      <c r="B876" s="4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 spans="2:57" x14ac:dyDescent="0.25">
      <c r="B877" s="4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 spans="2:57" x14ac:dyDescent="0.25">
      <c r="B878" s="4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 spans="2:57" x14ac:dyDescent="0.25">
      <c r="B879" s="4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 spans="2:57" x14ac:dyDescent="0.25">
      <c r="B880" s="4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 spans="2:57" x14ac:dyDescent="0.25">
      <c r="B881" s="4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 spans="2:57" x14ac:dyDescent="0.25">
      <c r="B882" s="4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 spans="2:57" x14ac:dyDescent="0.25">
      <c r="B883" s="4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 spans="2:57" x14ac:dyDescent="0.25">
      <c r="B884" s="4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 spans="2:57" x14ac:dyDescent="0.25">
      <c r="B885" s="4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spans="2:57" x14ac:dyDescent="0.25">
      <c r="B886" s="4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 spans="2:57" x14ac:dyDescent="0.25">
      <c r="B887" s="4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 spans="2:57" x14ac:dyDescent="0.25">
      <c r="B888" s="4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 spans="2:57" x14ac:dyDescent="0.25">
      <c r="B889" s="4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 spans="2:57" x14ac:dyDescent="0.25">
      <c r="B890" s="4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 spans="2:57" x14ac:dyDescent="0.25">
      <c r="B891" s="4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 spans="2:57" x14ac:dyDescent="0.25">
      <c r="B892" s="4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 spans="2:57" x14ac:dyDescent="0.25">
      <c r="B893" s="4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 spans="2:57" x14ac:dyDescent="0.25">
      <c r="B894" s="4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 spans="2:57" x14ac:dyDescent="0.25">
      <c r="B895" s="4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 spans="2:57" x14ac:dyDescent="0.25">
      <c r="B896" s="4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 spans="2:57" x14ac:dyDescent="0.25">
      <c r="B897" s="4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 spans="2:57" x14ac:dyDescent="0.25">
      <c r="B898" s="4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 spans="2:57" x14ac:dyDescent="0.25">
      <c r="B899" s="4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 spans="2:57" x14ac:dyDescent="0.25">
      <c r="B900" s="4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 spans="2:57" x14ac:dyDescent="0.25">
      <c r="B901" s="4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 spans="2:57" x14ac:dyDescent="0.25">
      <c r="B902" s="4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 spans="2:57" x14ac:dyDescent="0.25">
      <c r="B903" s="4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 spans="2:57" x14ac:dyDescent="0.25">
      <c r="B904" s="4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 spans="2:57" x14ac:dyDescent="0.25">
      <c r="B905" s="4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 spans="2:57" x14ac:dyDescent="0.25">
      <c r="B906" s="4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 spans="2:57" x14ac:dyDescent="0.25">
      <c r="B907" s="4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 spans="2:57" x14ac:dyDescent="0.25">
      <c r="B908" s="4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 spans="2:57" x14ac:dyDescent="0.25">
      <c r="B909" s="4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 spans="2:57" x14ac:dyDescent="0.25">
      <c r="B910" s="4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 spans="2:57" x14ac:dyDescent="0.25">
      <c r="B911" s="4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 spans="2:57" x14ac:dyDescent="0.25">
      <c r="B912" s="4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 spans="2:57" x14ac:dyDescent="0.25">
      <c r="B913" s="4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 spans="2:57" x14ac:dyDescent="0.25">
      <c r="B914" s="4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 spans="2:57" x14ac:dyDescent="0.25">
      <c r="B915" s="4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 spans="2:57" x14ac:dyDescent="0.25">
      <c r="B916" s="4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 spans="2:57" x14ac:dyDescent="0.25">
      <c r="B917" s="4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 spans="2:57" x14ac:dyDescent="0.25">
      <c r="B918" s="4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 spans="2:57" x14ac:dyDescent="0.25">
      <c r="B919" s="4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 spans="2:57" x14ac:dyDescent="0.25">
      <c r="B920" s="4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 spans="2:57" x14ac:dyDescent="0.25">
      <c r="B921" s="4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 spans="2:57" x14ac:dyDescent="0.25">
      <c r="B922" s="4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 spans="2:57" x14ac:dyDescent="0.25">
      <c r="B923" s="4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 spans="2:57" x14ac:dyDescent="0.25">
      <c r="B924" s="4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 spans="2:57" x14ac:dyDescent="0.25">
      <c r="B925" s="4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 spans="2:57" x14ac:dyDescent="0.25">
      <c r="B926" s="4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 spans="2:57" x14ac:dyDescent="0.25">
      <c r="B927" s="4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 spans="2:57" x14ac:dyDescent="0.25">
      <c r="B928" s="4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 spans="2:57" x14ac:dyDescent="0.25">
      <c r="B929" s="4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 spans="2:57" x14ac:dyDescent="0.25">
      <c r="B930" s="4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 spans="2:57" x14ac:dyDescent="0.25">
      <c r="B931" s="4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 spans="2:57" x14ac:dyDescent="0.25">
      <c r="B932" s="4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 spans="2:57" x14ac:dyDescent="0.25">
      <c r="B933" s="4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 spans="2:57" x14ac:dyDescent="0.25">
      <c r="B934" s="4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 spans="2:57" x14ac:dyDescent="0.25">
      <c r="B935" s="4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 spans="2:57" x14ac:dyDescent="0.25">
      <c r="B936" s="4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 spans="2:57" x14ac:dyDescent="0.25">
      <c r="B937" s="4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 spans="2:57" x14ac:dyDescent="0.25">
      <c r="B938" s="4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 spans="2:57" x14ac:dyDescent="0.25">
      <c r="B939" s="4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 spans="2:57" x14ac:dyDescent="0.25">
      <c r="B940" s="4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 spans="2:57" x14ac:dyDescent="0.25">
      <c r="B941" s="4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 spans="2:57" x14ac:dyDescent="0.25">
      <c r="B942" s="4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 spans="2:57" x14ac:dyDescent="0.25">
      <c r="B943" s="4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 spans="2:57" x14ac:dyDescent="0.25">
      <c r="B944" s="4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 spans="2:57" x14ac:dyDescent="0.25">
      <c r="B945" s="4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 spans="2:57" x14ac:dyDescent="0.25">
      <c r="B946" s="4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 spans="2:57" x14ac:dyDescent="0.25">
      <c r="B947" s="4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 spans="2:57" x14ac:dyDescent="0.25">
      <c r="B948" s="4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 spans="2:57" x14ac:dyDescent="0.25">
      <c r="B949" s="4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 spans="2:57" x14ac:dyDescent="0.25">
      <c r="B950" s="4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 spans="2:57" x14ac:dyDescent="0.25">
      <c r="B951" s="4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 spans="2:57" x14ac:dyDescent="0.25">
      <c r="B952" s="4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 spans="2:57" x14ac:dyDescent="0.25">
      <c r="B953" s="4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 spans="2:57" x14ac:dyDescent="0.25">
      <c r="B954" s="4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 spans="2:57" x14ac:dyDescent="0.25">
      <c r="B955" s="4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 spans="2:57" x14ac:dyDescent="0.25">
      <c r="B956" s="4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 spans="2:57" x14ac:dyDescent="0.25">
      <c r="B957" s="4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 spans="2:57" x14ac:dyDescent="0.25">
      <c r="B958" s="4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 spans="2:57" x14ac:dyDescent="0.25">
      <c r="B959" s="4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 spans="2:57" x14ac:dyDescent="0.25">
      <c r="B960" s="4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 spans="2:57" x14ac:dyDescent="0.25">
      <c r="B961" s="4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 spans="2:57" x14ac:dyDescent="0.25">
      <c r="B962" s="4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 spans="2:57" x14ac:dyDescent="0.25">
      <c r="B963" s="4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 spans="2:57" x14ac:dyDescent="0.25">
      <c r="B964" s="4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 spans="2:57" x14ac:dyDescent="0.25">
      <c r="B965" s="4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 spans="2:57" x14ac:dyDescent="0.25">
      <c r="B966" s="4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 spans="2:57" x14ac:dyDescent="0.25">
      <c r="B967" s="4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 spans="2:57" x14ac:dyDescent="0.25">
      <c r="B968" s="4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 spans="2:57" x14ac:dyDescent="0.25">
      <c r="B969" s="4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 spans="2:57" x14ac:dyDescent="0.25">
      <c r="B970" s="4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 spans="2:57" x14ac:dyDescent="0.25">
      <c r="B971" s="4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 spans="2:57" x14ac:dyDescent="0.25">
      <c r="B972" s="4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 spans="2:57" x14ac:dyDescent="0.25">
      <c r="B973" s="4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 spans="2:57" x14ac:dyDescent="0.25">
      <c r="B974" s="4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 spans="2:57" x14ac:dyDescent="0.25">
      <c r="B975" s="4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 spans="2:57" x14ac:dyDescent="0.25">
      <c r="B976" s="4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 spans="2:57" x14ac:dyDescent="0.25">
      <c r="B977" s="4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 spans="2:57" x14ac:dyDescent="0.25">
      <c r="B978" s="4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 spans="2:57" x14ac:dyDescent="0.25">
      <c r="B979" s="4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 spans="2:57" x14ac:dyDescent="0.25">
      <c r="B980" s="4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 spans="2:57" x14ac:dyDescent="0.25">
      <c r="B981" s="4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 spans="2:57" x14ac:dyDescent="0.25">
      <c r="B982" s="4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 spans="2:57" x14ac:dyDescent="0.25">
      <c r="B983" s="4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 spans="2:57" x14ac:dyDescent="0.25">
      <c r="B984" s="4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 spans="2:57" x14ac:dyDescent="0.25">
      <c r="B985" s="4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 spans="2:57" x14ac:dyDescent="0.25">
      <c r="B986" s="4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 spans="2:57" x14ac:dyDescent="0.25">
      <c r="B987" s="4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 spans="2:57" x14ac:dyDescent="0.25">
      <c r="B988" s="4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 spans="2:57" x14ac:dyDescent="0.25">
      <c r="B989" s="4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 spans="2:57" x14ac:dyDescent="0.25">
      <c r="B990" s="4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 spans="2:57" x14ac:dyDescent="0.25">
      <c r="B991" s="4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 spans="2:57" x14ac:dyDescent="0.25">
      <c r="B992" s="4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 spans="2:57" x14ac:dyDescent="0.25">
      <c r="B993" s="4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 spans="2:57" x14ac:dyDescent="0.25">
      <c r="B994" s="4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 spans="2:57" x14ac:dyDescent="0.25">
      <c r="B995" s="4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 spans="2:57" x14ac:dyDescent="0.25">
      <c r="B996" s="4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 spans="2:57" x14ac:dyDescent="0.25">
      <c r="B997" s="4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 spans="2:57" x14ac:dyDescent="0.25">
      <c r="B998" s="4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 spans="2:57" x14ac:dyDescent="0.25">
      <c r="B999" s="49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 spans="2:57" x14ac:dyDescent="0.25">
      <c r="B1000" s="49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  <row r="1001" spans="2:57" x14ac:dyDescent="0.25">
      <c r="B1001" s="49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</row>
    <row r="1002" spans="2:57" x14ac:dyDescent="0.25">
      <c r="B1002" s="49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</row>
    <row r="1003" spans="2:57" x14ac:dyDescent="0.25">
      <c r="B1003" s="49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</row>
    <row r="1004" spans="2:57" x14ac:dyDescent="0.25">
      <c r="B1004" s="49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</row>
    <row r="1005" spans="2:57" x14ac:dyDescent="0.25">
      <c r="B1005" s="49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</row>
    <row r="1006" spans="2:57" x14ac:dyDescent="0.25">
      <c r="B1006" s="49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</row>
    <row r="1007" spans="2:57" x14ac:dyDescent="0.25">
      <c r="B1007" s="49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</row>
    <row r="1008" spans="2:57" x14ac:dyDescent="0.25">
      <c r="B1008" s="49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</row>
    <row r="1009" spans="2:57" x14ac:dyDescent="0.25">
      <c r="B1009" s="49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</row>
    <row r="1010" spans="2:57" x14ac:dyDescent="0.25">
      <c r="B1010" s="49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</row>
    <row r="1011" spans="2:57" x14ac:dyDescent="0.25">
      <c r="B1011" s="49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</row>
    <row r="1012" spans="2:57" x14ac:dyDescent="0.25">
      <c r="B1012" s="49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</row>
    <row r="1013" spans="2:57" x14ac:dyDescent="0.25">
      <c r="B1013" s="49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</row>
    <row r="1014" spans="2:57" x14ac:dyDescent="0.25">
      <c r="B1014" s="49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</row>
    <row r="1015" spans="2:57" x14ac:dyDescent="0.25">
      <c r="B1015" s="49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</row>
    <row r="1016" spans="2:57" x14ac:dyDescent="0.25">
      <c r="B1016" s="49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</row>
    <row r="1017" spans="2:57" x14ac:dyDescent="0.25">
      <c r="B1017" s="49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</row>
    <row r="1018" spans="2:57" x14ac:dyDescent="0.25">
      <c r="B1018" s="49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</row>
    <row r="1019" spans="2:57" x14ac:dyDescent="0.25">
      <c r="B1019" s="49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</row>
    <row r="1020" spans="2:57" x14ac:dyDescent="0.25">
      <c r="B1020" s="49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</row>
    <row r="1021" spans="2:57" x14ac:dyDescent="0.25">
      <c r="B1021" s="49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</row>
    <row r="1022" spans="2:57" x14ac:dyDescent="0.25">
      <c r="B1022" s="49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</row>
    <row r="1023" spans="2:57" x14ac:dyDescent="0.25">
      <c r="B1023" s="49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</row>
    <row r="1024" spans="2:57" x14ac:dyDescent="0.25">
      <c r="B1024" s="49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</row>
    <row r="1025" spans="2:57" x14ac:dyDescent="0.25">
      <c r="B1025" s="49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</row>
    <row r="1026" spans="2:57" x14ac:dyDescent="0.25">
      <c r="B1026" s="49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</row>
    <row r="1027" spans="2:57" x14ac:dyDescent="0.25">
      <c r="B1027" s="49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</row>
    <row r="1028" spans="2:57" x14ac:dyDescent="0.25">
      <c r="B1028" s="49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</row>
    <row r="1029" spans="2:57" x14ac:dyDescent="0.25">
      <c r="B1029" s="49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</row>
    <row r="1030" spans="2:57" x14ac:dyDescent="0.25">
      <c r="B1030" s="49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</row>
    <row r="1031" spans="2:57" x14ac:dyDescent="0.25">
      <c r="B1031" s="49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</row>
    <row r="1032" spans="2:57" x14ac:dyDescent="0.25">
      <c r="B1032" s="49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</row>
    <row r="1033" spans="2:57" x14ac:dyDescent="0.25">
      <c r="B1033" s="49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</row>
    <row r="1034" spans="2:57" x14ac:dyDescent="0.25">
      <c r="B1034" s="49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</row>
    <row r="1035" spans="2:57" x14ac:dyDescent="0.25">
      <c r="B1035" s="49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</row>
    <row r="1036" spans="2:57" x14ac:dyDescent="0.25">
      <c r="B1036" s="49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</row>
    <row r="1037" spans="2:57" x14ac:dyDescent="0.25">
      <c r="B1037" s="49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</row>
    <row r="1038" spans="2:57" x14ac:dyDescent="0.25">
      <c r="B1038" s="49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</row>
    <row r="1039" spans="2:57" x14ac:dyDescent="0.25">
      <c r="B1039" s="49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</row>
    <row r="1040" spans="2:57" x14ac:dyDescent="0.25">
      <c r="B1040" s="49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</row>
    <row r="1041" spans="2:57" x14ac:dyDescent="0.25">
      <c r="B1041" s="49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</row>
    <row r="1042" spans="2:57" x14ac:dyDescent="0.25">
      <c r="B1042" s="49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</row>
    <row r="1043" spans="2:57" x14ac:dyDescent="0.25">
      <c r="B1043" s="49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</row>
    <row r="1044" spans="2:57" x14ac:dyDescent="0.25">
      <c r="B1044" s="49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</row>
    <row r="1045" spans="2:57" x14ac:dyDescent="0.25">
      <c r="B1045" s="49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</row>
    <row r="1046" spans="2:57" x14ac:dyDescent="0.25">
      <c r="B1046" s="49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</row>
    <row r="1047" spans="2:57" x14ac:dyDescent="0.25">
      <c r="B1047" s="49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</row>
    <row r="1048" spans="2:57" x14ac:dyDescent="0.25">
      <c r="B1048" s="49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</row>
    <row r="1049" spans="2:57" x14ac:dyDescent="0.25">
      <c r="B1049" s="49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</row>
    <row r="1050" spans="2:57" x14ac:dyDescent="0.25">
      <c r="B1050" s="49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</row>
    <row r="1051" spans="2:57" x14ac:dyDescent="0.25">
      <c r="B1051" s="49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</row>
    <row r="1052" spans="2:57" x14ac:dyDescent="0.25">
      <c r="B1052" s="49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</row>
    <row r="1053" spans="2:57" x14ac:dyDescent="0.25">
      <c r="B1053" s="49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</row>
    <row r="1054" spans="2:57" x14ac:dyDescent="0.25">
      <c r="B1054" s="49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</row>
    <row r="1055" spans="2:57" x14ac:dyDescent="0.25">
      <c r="B1055" s="49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</row>
    <row r="1056" spans="2:57" x14ac:dyDescent="0.25">
      <c r="B1056" s="49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</row>
    <row r="1057" spans="2:57" x14ac:dyDescent="0.25">
      <c r="B1057" s="49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</row>
    <row r="1058" spans="2:57" x14ac:dyDescent="0.25">
      <c r="B1058" s="49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</row>
    <row r="1059" spans="2:57" x14ac:dyDescent="0.25">
      <c r="B1059" s="49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</row>
    <row r="1060" spans="2:57" x14ac:dyDescent="0.25">
      <c r="B1060" s="49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</row>
    <row r="1061" spans="2:57" x14ac:dyDescent="0.25">
      <c r="B1061" s="49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</row>
    <row r="1062" spans="2:57" x14ac:dyDescent="0.25">
      <c r="B1062" s="49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</row>
    <row r="1063" spans="2:57" x14ac:dyDescent="0.25">
      <c r="B1063" s="49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</row>
    <row r="1064" spans="2:57" x14ac:dyDescent="0.25">
      <c r="B1064" s="49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</row>
    <row r="1065" spans="2:57" x14ac:dyDescent="0.25">
      <c r="B1065" s="49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</row>
    <row r="1066" spans="2:57" x14ac:dyDescent="0.25">
      <c r="B1066" s="49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</row>
    <row r="1067" spans="2:57" x14ac:dyDescent="0.25">
      <c r="B1067" s="49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</row>
    <row r="1068" spans="2:57" x14ac:dyDescent="0.25">
      <c r="B1068" s="49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</row>
    <row r="1069" spans="2:57" x14ac:dyDescent="0.25">
      <c r="B1069" s="49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</row>
    <row r="1070" spans="2:57" x14ac:dyDescent="0.25">
      <c r="B1070" s="49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</row>
    <row r="1071" spans="2:57" x14ac:dyDescent="0.25">
      <c r="B1071" s="49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</row>
    <row r="1072" spans="2:57" x14ac:dyDescent="0.25">
      <c r="B1072" s="49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</row>
    <row r="1073" spans="2:57" x14ac:dyDescent="0.25">
      <c r="B1073" s="49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</row>
    <row r="1074" spans="2:57" x14ac:dyDescent="0.25">
      <c r="B1074" s="49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</row>
    <row r="1075" spans="2:57" x14ac:dyDescent="0.25">
      <c r="B1075" s="49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</row>
    <row r="1076" spans="2:57" x14ac:dyDescent="0.25">
      <c r="B1076" s="49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</row>
    <row r="1077" spans="2:57" x14ac:dyDescent="0.25">
      <c r="B1077" s="49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</row>
    <row r="1078" spans="2:57" x14ac:dyDescent="0.25">
      <c r="B1078" s="49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</row>
    <row r="1079" spans="2:57" x14ac:dyDescent="0.25">
      <c r="B1079" s="49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</row>
    <row r="1080" spans="2:57" x14ac:dyDescent="0.25">
      <c r="B1080" s="49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</row>
    <row r="1081" spans="2:57" x14ac:dyDescent="0.25">
      <c r="B1081" s="49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</row>
    <row r="1082" spans="2:57" x14ac:dyDescent="0.25">
      <c r="B1082" s="49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</row>
    <row r="1083" spans="2:57" x14ac:dyDescent="0.25">
      <c r="B1083" s="49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</row>
    <row r="1084" spans="2:57" x14ac:dyDescent="0.25">
      <c r="B1084" s="49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</row>
    <row r="1085" spans="2:57" x14ac:dyDescent="0.25">
      <c r="B1085" s="49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</row>
    <row r="1086" spans="2:57" x14ac:dyDescent="0.25">
      <c r="B1086" s="49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</row>
    <row r="1087" spans="2:57" x14ac:dyDescent="0.25">
      <c r="B1087" s="49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</row>
    <row r="1088" spans="2:57" x14ac:dyDescent="0.25">
      <c r="B1088" s="49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</row>
    <row r="1089" spans="2:57" x14ac:dyDescent="0.25">
      <c r="B1089" s="49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</row>
    <row r="1090" spans="2:57" x14ac:dyDescent="0.25">
      <c r="B1090" s="49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</row>
    <row r="1091" spans="2:57" x14ac:dyDescent="0.25">
      <c r="B1091" s="49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</row>
    <row r="1092" spans="2:57" x14ac:dyDescent="0.25">
      <c r="B1092" s="49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</row>
    <row r="1093" spans="2:57" x14ac:dyDescent="0.25">
      <c r="B1093" s="49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</row>
    <row r="1094" spans="2:57" x14ac:dyDescent="0.25">
      <c r="B1094" s="49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</row>
    <row r="1095" spans="2:57" x14ac:dyDescent="0.25">
      <c r="B1095" s="49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</row>
    <row r="1096" spans="2:57" x14ac:dyDescent="0.25">
      <c r="B1096" s="49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</row>
    <row r="1097" spans="2:57" x14ac:dyDescent="0.25">
      <c r="B1097" s="49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</row>
    <row r="1098" spans="2:57" x14ac:dyDescent="0.25">
      <c r="B1098" s="49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</row>
    <row r="1099" spans="2:57" x14ac:dyDescent="0.25">
      <c r="B1099" s="49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</row>
    <row r="1100" spans="2:57" x14ac:dyDescent="0.25">
      <c r="B1100" s="49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</row>
    <row r="1101" spans="2:57" x14ac:dyDescent="0.25">
      <c r="B1101" s="49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</row>
    <row r="1102" spans="2:57" x14ac:dyDescent="0.25">
      <c r="B1102" s="49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</row>
    <row r="1103" spans="2:57" x14ac:dyDescent="0.25">
      <c r="B1103" s="49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</row>
    <row r="1104" spans="2:57" x14ac:dyDescent="0.25">
      <c r="B1104" s="49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</row>
    <row r="1105" spans="2:57" x14ac:dyDescent="0.25">
      <c r="B1105" s="49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</row>
    <row r="1106" spans="2:57" x14ac:dyDescent="0.25">
      <c r="B1106" s="49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</row>
    <row r="1107" spans="2:57" x14ac:dyDescent="0.25">
      <c r="B1107" s="49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</row>
    <row r="1108" spans="2:57" x14ac:dyDescent="0.25">
      <c r="B1108" s="49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</row>
    <row r="1109" spans="2:57" x14ac:dyDescent="0.25">
      <c r="B1109" s="49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</row>
    <row r="1110" spans="2:57" x14ac:dyDescent="0.25">
      <c r="B1110" s="49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</row>
    <row r="1111" spans="2:57" x14ac:dyDescent="0.25">
      <c r="B1111" s="49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</row>
    <row r="1112" spans="2:57" x14ac:dyDescent="0.25">
      <c r="B1112" s="49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</row>
    <row r="1113" spans="2:57" x14ac:dyDescent="0.25">
      <c r="B1113" s="49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</row>
    <row r="1114" spans="2:57" x14ac:dyDescent="0.25">
      <c r="B1114" s="49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</row>
    <row r="1115" spans="2:57" x14ac:dyDescent="0.25">
      <c r="B1115" s="49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</row>
    <row r="1116" spans="2:57" x14ac:dyDescent="0.25">
      <c r="B1116" s="49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</row>
    <row r="1117" spans="2:57" x14ac:dyDescent="0.25">
      <c r="B1117" s="49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</row>
    <row r="1118" spans="2:57" x14ac:dyDescent="0.25">
      <c r="B1118" s="49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</row>
    <row r="1119" spans="2:57" x14ac:dyDescent="0.25">
      <c r="B1119" s="49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</row>
    <row r="1120" spans="2:57" x14ac:dyDescent="0.25">
      <c r="B1120" s="49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</row>
    <row r="1121" spans="2:57" x14ac:dyDescent="0.25">
      <c r="B1121" s="49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</row>
    <row r="1122" spans="2:57" x14ac:dyDescent="0.25">
      <c r="B1122" s="49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</row>
    <row r="1123" spans="2:57" x14ac:dyDescent="0.25">
      <c r="B1123" s="49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</row>
    <row r="1124" spans="2:57" x14ac:dyDescent="0.25">
      <c r="B1124" s="49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</row>
    <row r="1125" spans="2:57" x14ac:dyDescent="0.25">
      <c r="B1125" s="49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</row>
    <row r="1126" spans="2:57" x14ac:dyDescent="0.25">
      <c r="B1126" s="49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</row>
    <row r="1127" spans="2:57" x14ac:dyDescent="0.25">
      <c r="B1127" s="49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</row>
    <row r="1128" spans="2:57" x14ac:dyDescent="0.25">
      <c r="B1128" s="49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</row>
    <row r="1129" spans="2:57" x14ac:dyDescent="0.25">
      <c r="B1129" s="49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</row>
    <row r="1130" spans="2:57" x14ac:dyDescent="0.25">
      <c r="B1130" s="49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</row>
    <row r="1131" spans="2:57" x14ac:dyDescent="0.25">
      <c r="B1131" s="49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</row>
    <row r="1132" spans="2:57" x14ac:dyDescent="0.25">
      <c r="B1132" s="49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</row>
    <row r="1133" spans="2:57" x14ac:dyDescent="0.25">
      <c r="B1133" s="49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</row>
    <row r="1134" spans="2:57" x14ac:dyDescent="0.25">
      <c r="B1134" s="49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</row>
    <row r="1135" spans="2:57" x14ac:dyDescent="0.25">
      <c r="B1135" s="49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</row>
    <row r="1136" spans="2:57" x14ac:dyDescent="0.25">
      <c r="B1136" s="49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</row>
    <row r="1137" spans="2:57" x14ac:dyDescent="0.25">
      <c r="B1137" s="49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</row>
    <row r="1138" spans="2:57" x14ac:dyDescent="0.25">
      <c r="B1138" s="49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</row>
    <row r="1139" spans="2:57" x14ac:dyDescent="0.25">
      <c r="B1139" s="49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</row>
    <row r="1140" spans="2:57" x14ac:dyDescent="0.25">
      <c r="B1140" s="49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</row>
    <row r="1141" spans="2:57" x14ac:dyDescent="0.25">
      <c r="B1141" s="49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</row>
    <row r="1142" spans="2:57" x14ac:dyDescent="0.25">
      <c r="B1142" s="49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</row>
    <row r="1143" spans="2:57" x14ac:dyDescent="0.25">
      <c r="B1143" s="49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</row>
    <row r="1144" spans="2:57" x14ac:dyDescent="0.25">
      <c r="B1144" s="49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</row>
    <row r="1145" spans="2:57" x14ac:dyDescent="0.25">
      <c r="B1145" s="49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</row>
    <row r="1146" spans="2:57" x14ac:dyDescent="0.25">
      <c r="B1146" s="49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</row>
    <row r="1147" spans="2:57" x14ac:dyDescent="0.25">
      <c r="B1147" s="49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</row>
    <row r="1148" spans="2:57" x14ac:dyDescent="0.25">
      <c r="B1148" s="49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</row>
    <row r="1149" spans="2:57" x14ac:dyDescent="0.25">
      <c r="B1149" s="49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</row>
    <row r="1150" spans="2:57" x14ac:dyDescent="0.25">
      <c r="B1150" s="49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</row>
    <row r="1151" spans="2:57" x14ac:dyDescent="0.25">
      <c r="B1151" s="49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</row>
    <row r="1152" spans="2:57" x14ac:dyDescent="0.25">
      <c r="B1152" s="49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</row>
    <row r="1153" spans="2:57" x14ac:dyDescent="0.25">
      <c r="B1153" s="49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</row>
    <row r="1154" spans="2:57" x14ac:dyDescent="0.25">
      <c r="B1154" s="49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</row>
    <row r="1155" spans="2:57" x14ac:dyDescent="0.25">
      <c r="B1155" s="49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</row>
    <row r="1156" spans="2:57" x14ac:dyDescent="0.25">
      <c r="B1156" s="49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</row>
    <row r="1157" spans="2:57" x14ac:dyDescent="0.25">
      <c r="B1157" s="49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</row>
    <row r="1158" spans="2:57" x14ac:dyDescent="0.25">
      <c r="B1158" s="49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</row>
    <row r="1159" spans="2:57" x14ac:dyDescent="0.25">
      <c r="B1159" s="49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</row>
    <row r="1160" spans="2:57" x14ac:dyDescent="0.25">
      <c r="B1160" s="49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</row>
    <row r="1161" spans="2:57" x14ac:dyDescent="0.25">
      <c r="B1161" s="49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</row>
    <row r="1162" spans="2:57" x14ac:dyDescent="0.25">
      <c r="B1162" s="49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</row>
    <row r="1163" spans="2:57" x14ac:dyDescent="0.25">
      <c r="B1163" s="49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</row>
    <row r="1164" spans="2:57" x14ac:dyDescent="0.25">
      <c r="B1164" s="49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</row>
    <row r="1165" spans="2:57" x14ac:dyDescent="0.25">
      <c r="B1165" s="49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</row>
    <row r="1166" spans="2:57" x14ac:dyDescent="0.25">
      <c r="B1166" s="49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</row>
    <row r="1167" spans="2:57" x14ac:dyDescent="0.25">
      <c r="B1167" s="49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</row>
    <row r="1168" spans="2:57" x14ac:dyDescent="0.25">
      <c r="B1168" s="49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</row>
    <row r="1169" spans="2:57" x14ac:dyDescent="0.25">
      <c r="B1169" s="49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</row>
    <row r="1170" spans="2:57" x14ac:dyDescent="0.25">
      <c r="B1170" s="49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</row>
    <row r="1171" spans="2:57" x14ac:dyDescent="0.25">
      <c r="B1171" s="49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</row>
    <row r="1172" spans="2:57" x14ac:dyDescent="0.25">
      <c r="B1172" s="49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</row>
    <row r="1173" spans="2:57" x14ac:dyDescent="0.25">
      <c r="B1173" s="49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</row>
    <row r="1174" spans="2:57" x14ac:dyDescent="0.25">
      <c r="B1174" s="49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</row>
    <row r="1175" spans="2:57" x14ac:dyDescent="0.25">
      <c r="B1175" s="49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</row>
    <row r="1176" spans="2:57" x14ac:dyDescent="0.25">
      <c r="B1176" s="49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</row>
    <row r="1177" spans="2:57" x14ac:dyDescent="0.25">
      <c r="B1177" s="49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</row>
    <row r="1178" spans="2:57" x14ac:dyDescent="0.25">
      <c r="B1178" s="49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</row>
    <row r="1179" spans="2:57" x14ac:dyDescent="0.25">
      <c r="B1179" s="49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</row>
    <row r="1180" spans="2:57" x14ac:dyDescent="0.25">
      <c r="B1180" s="49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</row>
    <row r="1181" spans="2:57" x14ac:dyDescent="0.25">
      <c r="B1181" s="49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</row>
    <row r="1182" spans="2:57" x14ac:dyDescent="0.25">
      <c r="B1182" s="49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</row>
    <row r="1183" spans="2:57" x14ac:dyDescent="0.25">
      <c r="B1183" s="49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</row>
    <row r="1184" spans="2:57" x14ac:dyDescent="0.25">
      <c r="B1184" s="49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</row>
    <row r="1185" spans="2:57" x14ac:dyDescent="0.25">
      <c r="B1185" s="49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</row>
    <row r="1186" spans="2:57" x14ac:dyDescent="0.25">
      <c r="B1186" s="49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</row>
    <row r="1187" spans="2:57" x14ac:dyDescent="0.25">
      <c r="B1187" s="49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</row>
    <row r="1188" spans="2:57" x14ac:dyDescent="0.25">
      <c r="B1188" s="49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</row>
    <row r="1189" spans="2:57" x14ac:dyDescent="0.25">
      <c r="B1189" s="49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</row>
    <row r="1190" spans="2:57" x14ac:dyDescent="0.25">
      <c r="B1190" s="49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</row>
    <row r="1191" spans="2:57" x14ac:dyDescent="0.25">
      <c r="B1191" s="49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</row>
    <row r="1192" spans="2:57" x14ac:dyDescent="0.25">
      <c r="B1192" s="49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</row>
    <row r="1193" spans="2:57" x14ac:dyDescent="0.25">
      <c r="B1193" s="49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</row>
    <row r="1194" spans="2:57" x14ac:dyDescent="0.25">
      <c r="B1194" s="49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</row>
    <row r="1195" spans="2:57" x14ac:dyDescent="0.25">
      <c r="B1195" s="49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</row>
    <row r="1196" spans="2:57" x14ac:dyDescent="0.25">
      <c r="B1196" s="49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</row>
    <row r="1197" spans="2:57" x14ac:dyDescent="0.25">
      <c r="B1197" s="49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</row>
    <row r="1198" spans="2:57" x14ac:dyDescent="0.25">
      <c r="B1198" s="49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</row>
    <row r="1199" spans="2:57" x14ac:dyDescent="0.25">
      <c r="B1199" s="49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</row>
    <row r="1200" spans="2:57" x14ac:dyDescent="0.25">
      <c r="B1200" s="49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</row>
    <row r="1201" spans="2:57" x14ac:dyDescent="0.25">
      <c r="B1201" s="49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</row>
    <row r="1202" spans="2:57" x14ac:dyDescent="0.25">
      <c r="B1202" s="49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</row>
    <row r="1203" spans="2:57" x14ac:dyDescent="0.25">
      <c r="B1203" s="49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</row>
    <row r="1204" spans="2:57" x14ac:dyDescent="0.25">
      <c r="B1204" s="49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</row>
    <row r="1205" spans="2:57" x14ac:dyDescent="0.25">
      <c r="B1205" s="49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</row>
    <row r="1206" spans="2:57" x14ac:dyDescent="0.25">
      <c r="B1206" s="49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</row>
    <row r="1207" spans="2:57" x14ac:dyDescent="0.25">
      <c r="B1207" s="49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</row>
    <row r="1208" spans="2:57" x14ac:dyDescent="0.25">
      <c r="B1208" s="49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</row>
    <row r="1209" spans="2:57" x14ac:dyDescent="0.25">
      <c r="B1209" s="49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</row>
    <row r="1210" spans="2:57" x14ac:dyDescent="0.25">
      <c r="B1210" s="49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</row>
    <row r="1211" spans="2:57" x14ac:dyDescent="0.25">
      <c r="B1211" s="49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</row>
    <row r="1212" spans="2:57" x14ac:dyDescent="0.25">
      <c r="B1212" s="49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</row>
    <row r="1213" spans="2:57" x14ac:dyDescent="0.25">
      <c r="B1213" s="49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</row>
    <row r="1214" spans="2:57" x14ac:dyDescent="0.25">
      <c r="B1214" s="49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</row>
    <row r="1215" spans="2:57" x14ac:dyDescent="0.25">
      <c r="B1215" s="49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</row>
    <row r="1216" spans="2:57" x14ac:dyDescent="0.25">
      <c r="B1216" s="49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</row>
    <row r="1217" spans="2:57" x14ac:dyDescent="0.25">
      <c r="B1217" s="49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</row>
    <row r="1218" spans="2:57" x14ac:dyDescent="0.25">
      <c r="B1218" s="49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</row>
    <row r="1219" spans="2:57" x14ac:dyDescent="0.25">
      <c r="B1219" s="49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</row>
    <row r="1220" spans="2:57" x14ac:dyDescent="0.25">
      <c r="B1220" s="49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</row>
    <row r="1221" spans="2:57" x14ac:dyDescent="0.25">
      <c r="B1221" s="49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</row>
    <row r="1222" spans="2:57" x14ac:dyDescent="0.25">
      <c r="B1222" s="49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</row>
    <row r="1223" spans="2:57" x14ac:dyDescent="0.25">
      <c r="B1223" s="49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</row>
    <row r="1224" spans="2:57" x14ac:dyDescent="0.25">
      <c r="B1224" s="49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</row>
    <row r="1225" spans="2:57" x14ac:dyDescent="0.25">
      <c r="B1225" s="49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</row>
    <row r="1226" spans="2:57" x14ac:dyDescent="0.25">
      <c r="B1226" s="49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</row>
    <row r="1227" spans="2:57" x14ac:dyDescent="0.25">
      <c r="B1227" s="49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</row>
    <row r="1228" spans="2:57" x14ac:dyDescent="0.25">
      <c r="B1228" s="49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</row>
    <row r="1229" spans="2:57" x14ac:dyDescent="0.25">
      <c r="B1229" s="49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</row>
    <row r="1230" spans="2:57" x14ac:dyDescent="0.25">
      <c r="B1230" s="49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</row>
    <row r="1231" spans="2:57" x14ac:dyDescent="0.25">
      <c r="B1231" s="49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</row>
    <row r="1232" spans="2:57" x14ac:dyDescent="0.25">
      <c r="B1232" s="49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</row>
    <row r="1233" spans="2:57" x14ac:dyDescent="0.25">
      <c r="B1233" s="49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</row>
    <row r="1234" spans="2:57" x14ac:dyDescent="0.25">
      <c r="B1234" s="49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</row>
    <row r="1235" spans="2:57" x14ac:dyDescent="0.25">
      <c r="B1235" s="49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</row>
    <row r="1236" spans="2:57" x14ac:dyDescent="0.25">
      <c r="B1236" s="49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</row>
    <row r="1237" spans="2:57" x14ac:dyDescent="0.25">
      <c r="B1237" s="49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</row>
    <row r="1238" spans="2:57" x14ac:dyDescent="0.25">
      <c r="B1238" s="49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</row>
    <row r="1239" spans="2:57" x14ac:dyDescent="0.25">
      <c r="B1239" s="49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</row>
    <row r="1240" spans="2:57" x14ac:dyDescent="0.25">
      <c r="B1240" s="49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</row>
    <row r="1241" spans="2:57" x14ac:dyDescent="0.25">
      <c r="B1241" s="49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</row>
    <row r="1242" spans="2:57" x14ac:dyDescent="0.25">
      <c r="B1242" s="49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</row>
    <row r="1243" spans="2:57" x14ac:dyDescent="0.25">
      <c r="B1243" s="49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</row>
    <row r="1244" spans="2:57" x14ac:dyDescent="0.25">
      <c r="B1244" s="49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</row>
    <row r="1245" spans="2:57" x14ac:dyDescent="0.25">
      <c r="B1245" s="49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</row>
    <row r="1246" spans="2:57" x14ac:dyDescent="0.25">
      <c r="B1246" s="49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</row>
    <row r="1247" spans="2:57" x14ac:dyDescent="0.25">
      <c r="B1247" s="49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</row>
    <row r="1248" spans="2:57" x14ac:dyDescent="0.25">
      <c r="B1248" s="49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</row>
    <row r="1249" spans="2:57" x14ac:dyDescent="0.25">
      <c r="B1249" s="49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</row>
    <row r="1250" spans="2:57" x14ac:dyDescent="0.25">
      <c r="B1250" s="49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</row>
    <row r="1251" spans="2:57" x14ac:dyDescent="0.25">
      <c r="B1251" s="49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</row>
    <row r="1252" spans="2:57" x14ac:dyDescent="0.25">
      <c r="B1252" s="49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</row>
    <row r="1253" spans="2:57" x14ac:dyDescent="0.25">
      <c r="B1253" s="49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</row>
    <row r="1254" spans="2:57" x14ac:dyDescent="0.25">
      <c r="B1254" s="49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</row>
    <row r="1255" spans="2:57" x14ac:dyDescent="0.25">
      <c r="B1255" s="49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</row>
    <row r="1256" spans="2:57" x14ac:dyDescent="0.25">
      <c r="B1256" s="49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</row>
    <row r="1257" spans="2:57" x14ac:dyDescent="0.25">
      <c r="B1257" s="49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</row>
    <row r="1258" spans="2:57" x14ac:dyDescent="0.25">
      <c r="B1258" s="49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</row>
    <row r="1259" spans="2:57" x14ac:dyDescent="0.25">
      <c r="B1259" s="49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</row>
    <row r="1260" spans="2:57" x14ac:dyDescent="0.25">
      <c r="B1260" s="49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</row>
    <row r="1261" spans="2:57" x14ac:dyDescent="0.25">
      <c r="B1261" s="49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</row>
    <row r="1262" spans="2:57" x14ac:dyDescent="0.25">
      <c r="B1262" s="49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</row>
    <row r="1263" spans="2:57" x14ac:dyDescent="0.25">
      <c r="B1263" s="49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</row>
    <row r="1264" spans="2:57" x14ac:dyDescent="0.25">
      <c r="B1264" s="49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</row>
    <row r="1265" spans="2:57" x14ac:dyDescent="0.25">
      <c r="B1265" s="49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</row>
    <row r="1266" spans="2:57" x14ac:dyDescent="0.25">
      <c r="B1266" s="49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</row>
    <row r="1267" spans="2:57" x14ac:dyDescent="0.25">
      <c r="B1267" s="49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</row>
    <row r="1268" spans="2:57" x14ac:dyDescent="0.25">
      <c r="B1268" s="49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</row>
    <row r="1269" spans="2:57" x14ac:dyDescent="0.25">
      <c r="B1269" s="49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</row>
    <row r="1270" spans="2:57" x14ac:dyDescent="0.25">
      <c r="B1270" s="49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</row>
    <row r="1271" spans="2:57" x14ac:dyDescent="0.25">
      <c r="B1271" s="49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</row>
    <row r="1272" spans="2:57" x14ac:dyDescent="0.25">
      <c r="B1272" s="49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</row>
    <row r="1273" spans="2:57" x14ac:dyDescent="0.25">
      <c r="B1273" s="49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</row>
    <row r="1274" spans="2:57" x14ac:dyDescent="0.25">
      <c r="B1274" s="49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</row>
    <row r="1275" spans="2:57" x14ac:dyDescent="0.25">
      <c r="B1275" s="49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</row>
    <row r="1276" spans="2:57" x14ac:dyDescent="0.25">
      <c r="B1276" s="49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</row>
    <row r="1277" spans="2:57" x14ac:dyDescent="0.25">
      <c r="B1277" s="49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</row>
    <row r="1278" spans="2:57" x14ac:dyDescent="0.25">
      <c r="B1278" s="49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</row>
    <row r="1279" spans="2:57" x14ac:dyDescent="0.25">
      <c r="B1279" s="49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</row>
    <row r="1280" spans="2:57" x14ac:dyDescent="0.25">
      <c r="B1280" s="49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</row>
    <row r="1281" spans="2:57" x14ac:dyDescent="0.25">
      <c r="B1281" s="49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</row>
    <row r="1282" spans="2:57" x14ac:dyDescent="0.25">
      <c r="B1282" s="49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</row>
    <row r="1283" spans="2:57" x14ac:dyDescent="0.25">
      <c r="B1283" s="49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</row>
    <row r="1284" spans="2:57" x14ac:dyDescent="0.25">
      <c r="B1284" s="49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</row>
    <row r="1285" spans="2:57" x14ac:dyDescent="0.25">
      <c r="B1285" s="49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</row>
    <row r="1286" spans="2:57" x14ac:dyDescent="0.25">
      <c r="B1286" s="49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</row>
    <row r="1287" spans="2:57" x14ac:dyDescent="0.25">
      <c r="B1287" s="49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</row>
    <row r="1288" spans="2:57" x14ac:dyDescent="0.25">
      <c r="B1288" s="49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</row>
    <row r="1289" spans="2:57" x14ac:dyDescent="0.25">
      <c r="B1289" s="49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</row>
    <row r="1290" spans="2:57" x14ac:dyDescent="0.25">
      <c r="B1290" s="49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</row>
    <row r="1291" spans="2:57" x14ac:dyDescent="0.25">
      <c r="B1291" s="49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</row>
    <row r="1292" spans="2:57" x14ac:dyDescent="0.25">
      <c r="B1292" s="49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</row>
    <row r="1293" spans="2:57" x14ac:dyDescent="0.25">
      <c r="B1293" s="49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</row>
    <row r="1294" spans="2:57" x14ac:dyDescent="0.25">
      <c r="B1294" s="49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</row>
    <row r="1295" spans="2:57" x14ac:dyDescent="0.25">
      <c r="B1295" s="49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</row>
    <row r="1296" spans="2:57" x14ac:dyDescent="0.25">
      <c r="B1296" s="49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</row>
    <row r="1297" spans="2:57" x14ac:dyDescent="0.25">
      <c r="B1297" s="49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</row>
    <row r="1298" spans="2:57" x14ac:dyDescent="0.25">
      <c r="B1298" s="49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</row>
    <row r="1299" spans="2:57" x14ac:dyDescent="0.25">
      <c r="B1299" s="49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</row>
    <row r="1300" spans="2:57" x14ac:dyDescent="0.25">
      <c r="B1300" s="49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</row>
    <row r="1301" spans="2:57" x14ac:dyDescent="0.25">
      <c r="B1301" s="49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</row>
    <row r="1302" spans="2:57" x14ac:dyDescent="0.25">
      <c r="B1302" s="49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</row>
    <row r="1303" spans="2:57" x14ac:dyDescent="0.25">
      <c r="B1303" s="49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</row>
    <row r="1304" spans="2:57" x14ac:dyDescent="0.25">
      <c r="B1304" s="49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</row>
    <row r="1305" spans="2:57" x14ac:dyDescent="0.25">
      <c r="B1305" s="49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</row>
    <row r="1306" spans="2:57" x14ac:dyDescent="0.25">
      <c r="B1306" s="49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</row>
    <row r="1307" spans="2:57" x14ac:dyDescent="0.25">
      <c r="B1307" s="49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</row>
    <row r="1308" spans="2:57" x14ac:dyDescent="0.25">
      <c r="B1308" s="49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</row>
    <row r="1309" spans="2:57" x14ac:dyDescent="0.25">
      <c r="B1309" s="49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</row>
    <row r="1310" spans="2:57" x14ac:dyDescent="0.25">
      <c r="B1310" s="49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</row>
    <row r="1311" spans="2:57" x14ac:dyDescent="0.25">
      <c r="B1311" s="49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</row>
    <row r="1312" spans="2:57" x14ac:dyDescent="0.25">
      <c r="B1312" s="49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</row>
    <row r="1313" spans="2:57" x14ac:dyDescent="0.25">
      <c r="B1313" s="49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</row>
    <row r="1314" spans="2:57" x14ac:dyDescent="0.25">
      <c r="B1314" s="49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</row>
    <row r="1315" spans="2:57" x14ac:dyDescent="0.25">
      <c r="B1315" s="49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</row>
    <row r="1316" spans="2:57" x14ac:dyDescent="0.25">
      <c r="B1316" s="49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</row>
    <row r="1317" spans="2:57" x14ac:dyDescent="0.25">
      <c r="B1317" s="49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</row>
    <row r="1318" spans="2:57" x14ac:dyDescent="0.25">
      <c r="B1318" s="49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</row>
    <row r="1319" spans="2:57" x14ac:dyDescent="0.25">
      <c r="B1319" s="49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</row>
    <row r="1320" spans="2:57" x14ac:dyDescent="0.25">
      <c r="B1320" s="49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</row>
    <row r="1321" spans="2:57" x14ac:dyDescent="0.25">
      <c r="B1321" s="49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</row>
    <row r="1322" spans="2:57" x14ac:dyDescent="0.25">
      <c r="B1322" s="49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</row>
    <row r="1323" spans="2:57" x14ac:dyDescent="0.25">
      <c r="B1323" s="49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</row>
    <row r="1324" spans="2:57" x14ac:dyDescent="0.25">
      <c r="B1324" s="49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</row>
    <row r="1325" spans="2:57" x14ac:dyDescent="0.25">
      <c r="B1325" s="49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</row>
    <row r="1326" spans="2:57" x14ac:dyDescent="0.25">
      <c r="B1326" s="49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</row>
    <row r="1327" spans="2:57" x14ac:dyDescent="0.25">
      <c r="B1327" s="49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</row>
    <row r="1328" spans="2:57" x14ac:dyDescent="0.25">
      <c r="B1328" s="49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</row>
    <row r="1329" spans="2:57" x14ac:dyDescent="0.25">
      <c r="B1329" s="49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</row>
    <row r="1330" spans="2:57" x14ac:dyDescent="0.25">
      <c r="B1330" s="49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</row>
    <row r="1331" spans="2:57" x14ac:dyDescent="0.25">
      <c r="B1331" s="49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</row>
    <row r="1332" spans="2:57" x14ac:dyDescent="0.25">
      <c r="B1332" s="49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</row>
    <row r="1333" spans="2:57" x14ac:dyDescent="0.25">
      <c r="B1333" s="49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</row>
    <row r="1334" spans="2:57" x14ac:dyDescent="0.25">
      <c r="B1334" s="49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</row>
    <row r="1335" spans="2:57" x14ac:dyDescent="0.25">
      <c r="B1335" s="49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</row>
    <row r="1336" spans="2:57" x14ac:dyDescent="0.25">
      <c r="B1336" s="49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</row>
    <row r="1337" spans="2:57" x14ac:dyDescent="0.25">
      <c r="B1337" s="49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</row>
    <row r="1338" spans="2:57" x14ac:dyDescent="0.25">
      <c r="B1338" s="49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</row>
    <row r="1339" spans="2:57" x14ac:dyDescent="0.25">
      <c r="B1339" s="49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</row>
    <row r="1340" spans="2:57" x14ac:dyDescent="0.25">
      <c r="B1340" s="49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</row>
    <row r="1341" spans="2:57" x14ac:dyDescent="0.25">
      <c r="B1341" s="49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</row>
    <row r="1342" spans="2:57" x14ac:dyDescent="0.25">
      <c r="B1342" s="49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</row>
    <row r="1343" spans="2:57" x14ac:dyDescent="0.25">
      <c r="B1343" s="49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</row>
    <row r="1344" spans="2:57" x14ac:dyDescent="0.25">
      <c r="B1344" s="49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</row>
    <row r="1345" spans="2:57" x14ac:dyDescent="0.25">
      <c r="B1345" s="49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</row>
    <row r="1346" spans="2:57" x14ac:dyDescent="0.25">
      <c r="B1346" s="49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</row>
    <row r="1347" spans="2:57" x14ac:dyDescent="0.25">
      <c r="B1347" s="49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</row>
    <row r="1348" spans="2:57" x14ac:dyDescent="0.25">
      <c r="B1348" s="49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</row>
    <row r="1349" spans="2:57" x14ac:dyDescent="0.25">
      <c r="B1349" s="49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</row>
    <row r="1350" spans="2:57" x14ac:dyDescent="0.25">
      <c r="B1350" s="49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</row>
    <row r="1351" spans="2:57" x14ac:dyDescent="0.25">
      <c r="B1351" s="49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</row>
    <row r="1352" spans="2:57" x14ac:dyDescent="0.25">
      <c r="B1352" s="49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</row>
    <row r="1353" spans="2:57" x14ac:dyDescent="0.25">
      <c r="B1353" s="49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</row>
    <row r="1354" spans="2:57" x14ac:dyDescent="0.25">
      <c r="B1354" s="49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</row>
    <row r="1355" spans="2:57" x14ac:dyDescent="0.25">
      <c r="B1355" s="49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</row>
    <row r="1356" spans="2:57" x14ac:dyDescent="0.25">
      <c r="B1356" s="49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</row>
    <row r="1357" spans="2:57" x14ac:dyDescent="0.25">
      <c r="B1357" s="49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</row>
    <row r="1358" spans="2:57" x14ac:dyDescent="0.25">
      <c r="B1358" s="49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</row>
    <row r="1359" spans="2:57" x14ac:dyDescent="0.25">
      <c r="B1359" s="49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</row>
    <row r="1360" spans="2:57" x14ac:dyDescent="0.25">
      <c r="B1360" s="49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</row>
    <row r="1361" spans="2:57" x14ac:dyDescent="0.25">
      <c r="B1361" s="49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</row>
    <row r="1362" spans="2:57" x14ac:dyDescent="0.25">
      <c r="B1362" s="49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</row>
    <row r="1363" spans="2:57" x14ac:dyDescent="0.25">
      <c r="B1363" s="49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</row>
    <row r="1364" spans="2:57" x14ac:dyDescent="0.25">
      <c r="B1364" s="49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</row>
    <row r="1365" spans="2:57" x14ac:dyDescent="0.25">
      <c r="B1365" s="49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</row>
    <row r="1366" spans="2:57" x14ac:dyDescent="0.25">
      <c r="B1366" s="49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</row>
    <row r="1367" spans="2:57" x14ac:dyDescent="0.25">
      <c r="B1367" s="49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</row>
    <row r="1368" spans="2:57" x14ac:dyDescent="0.25">
      <c r="B1368" s="49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</row>
    <row r="1369" spans="2:57" x14ac:dyDescent="0.25">
      <c r="B1369" s="49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</row>
    <row r="1370" spans="2:57" x14ac:dyDescent="0.25">
      <c r="B1370" s="49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</row>
    <row r="1371" spans="2:57" x14ac:dyDescent="0.25">
      <c r="B1371" s="49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</row>
    <row r="1372" spans="2:57" x14ac:dyDescent="0.25">
      <c r="B1372" s="49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</row>
    <row r="1373" spans="2:57" x14ac:dyDescent="0.25">
      <c r="B1373" s="49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</row>
    <row r="1374" spans="2:57" x14ac:dyDescent="0.25">
      <c r="B1374" s="49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</row>
    <row r="1375" spans="2:57" x14ac:dyDescent="0.25">
      <c r="B1375" s="49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</row>
    <row r="1376" spans="2:57" x14ac:dyDescent="0.25">
      <c r="B1376" s="49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</row>
    <row r="1377" spans="2:57" x14ac:dyDescent="0.25">
      <c r="B1377" s="49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</row>
    <row r="1378" spans="2:57" x14ac:dyDescent="0.25">
      <c r="B1378" s="49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</row>
    <row r="1379" spans="2:57" x14ac:dyDescent="0.25">
      <c r="B1379" s="49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</row>
    <row r="1380" spans="2:57" x14ac:dyDescent="0.25">
      <c r="B1380" s="49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</row>
    <row r="1381" spans="2:57" x14ac:dyDescent="0.25">
      <c r="B1381" s="49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</row>
    <row r="1382" spans="2:57" x14ac:dyDescent="0.25">
      <c r="B1382" s="49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</row>
    <row r="1383" spans="2:57" x14ac:dyDescent="0.25">
      <c r="B1383" s="49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</row>
    <row r="1384" spans="2:57" x14ac:dyDescent="0.25">
      <c r="B1384" s="49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</row>
    <row r="1385" spans="2:57" x14ac:dyDescent="0.25">
      <c r="B1385" s="49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</row>
    <row r="1386" spans="2:57" x14ac:dyDescent="0.25">
      <c r="B1386" s="49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</row>
    <row r="1387" spans="2:57" x14ac:dyDescent="0.25">
      <c r="B1387" s="49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</row>
    <row r="1388" spans="2:57" x14ac:dyDescent="0.25">
      <c r="B1388" s="49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</row>
    <row r="1389" spans="2:57" x14ac:dyDescent="0.25">
      <c r="B1389" s="49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</row>
    <row r="1390" spans="2:57" x14ac:dyDescent="0.25">
      <c r="B1390" s="49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</row>
    <row r="1391" spans="2:57" x14ac:dyDescent="0.25">
      <c r="B1391" s="49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</row>
    <row r="1392" spans="2:57" x14ac:dyDescent="0.25">
      <c r="B1392" s="49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</row>
    <row r="1393" spans="2:57" x14ac:dyDescent="0.25">
      <c r="B1393" s="49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</row>
    <row r="1394" spans="2:57" x14ac:dyDescent="0.25">
      <c r="B1394" s="49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</row>
    <row r="1395" spans="2:57" x14ac:dyDescent="0.25">
      <c r="B1395" s="49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</row>
    <row r="1396" spans="2:57" x14ac:dyDescent="0.25">
      <c r="B1396" s="49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</row>
    <row r="1397" spans="2:57" x14ac:dyDescent="0.25">
      <c r="B1397" s="49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</row>
    <row r="1398" spans="2:57" x14ac:dyDescent="0.25">
      <c r="B1398" s="49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</row>
    <row r="1399" spans="2:57" x14ac:dyDescent="0.25">
      <c r="B1399" s="49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</row>
    <row r="1400" spans="2:57" x14ac:dyDescent="0.25">
      <c r="B1400" s="49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</row>
    <row r="1401" spans="2:57" x14ac:dyDescent="0.25">
      <c r="B1401" s="49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</row>
    <row r="1402" spans="2:57" x14ac:dyDescent="0.25">
      <c r="B1402" s="49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</row>
    <row r="1403" spans="2:57" x14ac:dyDescent="0.25">
      <c r="B1403" s="49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</row>
    <row r="1404" spans="2:57" x14ac:dyDescent="0.25">
      <c r="B1404" s="49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</row>
    <row r="1405" spans="2:57" x14ac:dyDescent="0.25">
      <c r="B1405" s="49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</row>
    <row r="1406" spans="2:57" x14ac:dyDescent="0.25">
      <c r="B1406" s="49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</row>
    <row r="1407" spans="2:57" x14ac:dyDescent="0.25">
      <c r="B1407" s="49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</row>
    <row r="1408" spans="2:57" x14ac:dyDescent="0.25">
      <c r="B1408" s="49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</row>
    <row r="1409" spans="2:57" x14ac:dyDescent="0.25">
      <c r="B1409" s="49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</row>
    <row r="1410" spans="2:57" x14ac:dyDescent="0.25">
      <c r="B1410" s="49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</row>
    <row r="1411" spans="2:57" x14ac:dyDescent="0.25">
      <c r="B1411" s="49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</row>
    <row r="1412" spans="2:57" x14ac:dyDescent="0.25">
      <c r="B1412" s="49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</row>
    <row r="1413" spans="2:57" x14ac:dyDescent="0.25">
      <c r="B1413" s="49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</row>
    <row r="1414" spans="2:57" x14ac:dyDescent="0.25">
      <c r="B1414" s="49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</row>
    <row r="1415" spans="2:57" x14ac:dyDescent="0.25">
      <c r="B1415" s="49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</row>
    <row r="1416" spans="2:57" x14ac:dyDescent="0.25">
      <c r="B1416" s="49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</row>
    <row r="1417" spans="2:57" x14ac:dyDescent="0.25">
      <c r="B1417" s="49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</row>
    <row r="1418" spans="2:57" x14ac:dyDescent="0.25">
      <c r="B1418" s="49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</row>
    <row r="1419" spans="2:57" x14ac:dyDescent="0.25">
      <c r="B1419" s="49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</row>
    <row r="1420" spans="2:57" x14ac:dyDescent="0.25">
      <c r="B1420" s="49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</row>
    <row r="1421" spans="2:57" x14ac:dyDescent="0.25">
      <c r="B1421" s="49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</row>
    <row r="1422" spans="2:57" x14ac:dyDescent="0.25">
      <c r="B1422" s="49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</row>
    <row r="1423" spans="2:57" x14ac:dyDescent="0.25">
      <c r="B1423" s="49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</row>
    <row r="1424" spans="2:57" x14ac:dyDescent="0.25">
      <c r="B1424" s="49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</row>
    <row r="1425" spans="2:57" x14ac:dyDescent="0.25">
      <c r="B1425" s="49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</row>
    <row r="1426" spans="2:57" x14ac:dyDescent="0.25">
      <c r="B1426" s="49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</row>
    <row r="1427" spans="2:57" x14ac:dyDescent="0.25">
      <c r="B1427" s="49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</row>
    <row r="1428" spans="2:57" x14ac:dyDescent="0.25">
      <c r="B1428" s="49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</row>
    <row r="1429" spans="2:57" x14ac:dyDescent="0.25">
      <c r="B1429" s="49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</row>
    <row r="1430" spans="2:57" x14ac:dyDescent="0.25">
      <c r="B1430" s="49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</row>
    <row r="1431" spans="2:57" x14ac:dyDescent="0.25">
      <c r="B1431" s="49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</row>
    <row r="1432" spans="2:57" x14ac:dyDescent="0.25">
      <c r="B1432" s="49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</row>
    <row r="1433" spans="2:57" x14ac:dyDescent="0.25">
      <c r="B1433" s="49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</row>
    <row r="1434" spans="2:57" x14ac:dyDescent="0.25">
      <c r="B1434" s="49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</row>
    <row r="1435" spans="2:57" x14ac:dyDescent="0.25">
      <c r="B1435" s="49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</row>
    <row r="1436" spans="2:57" x14ac:dyDescent="0.25">
      <c r="B1436" s="49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</row>
    <row r="1437" spans="2:57" x14ac:dyDescent="0.25">
      <c r="B1437" s="49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</row>
    <row r="1438" spans="2:57" x14ac:dyDescent="0.25">
      <c r="B1438" s="49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</row>
    <row r="1439" spans="2:57" x14ac:dyDescent="0.25">
      <c r="B1439" s="49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</row>
    <row r="1440" spans="2:57" x14ac:dyDescent="0.25">
      <c r="B1440" s="49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</row>
    <row r="1441" spans="2:57" x14ac:dyDescent="0.25">
      <c r="B1441" s="49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</row>
    <row r="1442" spans="2:57" x14ac:dyDescent="0.25">
      <c r="B1442" s="49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</row>
    <row r="1443" spans="2:57" x14ac:dyDescent="0.25">
      <c r="B1443" s="49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</row>
    <row r="1444" spans="2:57" x14ac:dyDescent="0.25">
      <c r="B1444" s="49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</row>
    <row r="1445" spans="2:57" x14ac:dyDescent="0.25">
      <c r="B1445" s="49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</row>
    <row r="1446" spans="2:57" x14ac:dyDescent="0.25">
      <c r="B1446" s="49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</row>
    <row r="1447" spans="2:57" x14ac:dyDescent="0.25">
      <c r="B1447" s="49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</row>
    <row r="1448" spans="2:57" x14ac:dyDescent="0.25">
      <c r="B1448" s="49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</row>
    <row r="1449" spans="2:57" x14ac:dyDescent="0.25">
      <c r="B1449" s="49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</row>
    <row r="1450" spans="2:57" x14ac:dyDescent="0.25">
      <c r="B1450" s="49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</row>
    <row r="1451" spans="2:57" x14ac:dyDescent="0.25">
      <c r="B1451" s="49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</row>
    <row r="1452" spans="2:57" x14ac:dyDescent="0.25">
      <c r="B1452" s="49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</row>
    <row r="1453" spans="2:57" x14ac:dyDescent="0.25">
      <c r="B1453" s="49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</row>
    <row r="1454" spans="2:57" x14ac:dyDescent="0.25">
      <c r="B1454" s="49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</row>
    <row r="1455" spans="2:57" x14ac:dyDescent="0.25">
      <c r="B1455" s="49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</row>
    <row r="1456" spans="2:57" x14ac:dyDescent="0.25">
      <c r="B1456" s="49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</row>
    <row r="1457" spans="2:57" x14ac:dyDescent="0.25">
      <c r="B1457" s="49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</row>
    <row r="1458" spans="2:57" x14ac:dyDescent="0.25">
      <c r="B1458" s="49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</row>
    <row r="1459" spans="2:57" x14ac:dyDescent="0.25">
      <c r="B1459" s="49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</row>
    <row r="1460" spans="2:57" x14ac:dyDescent="0.25">
      <c r="B1460" s="49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</row>
    <row r="1461" spans="2:57" x14ac:dyDescent="0.25">
      <c r="B1461" s="49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</row>
    <row r="1462" spans="2:57" x14ac:dyDescent="0.25">
      <c r="B1462" s="49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</row>
    <row r="1463" spans="2:57" x14ac:dyDescent="0.25">
      <c r="B1463" s="49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</row>
    <row r="1464" spans="2:57" x14ac:dyDescent="0.25">
      <c r="B1464" s="49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</row>
    <row r="1465" spans="2:57" x14ac:dyDescent="0.25">
      <c r="B1465" s="49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</row>
    <row r="1466" spans="2:57" x14ac:dyDescent="0.25">
      <c r="B1466" s="49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</row>
    <row r="1467" spans="2:57" x14ac:dyDescent="0.25">
      <c r="B1467" s="49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</row>
    <row r="1468" spans="2:57" x14ac:dyDescent="0.25">
      <c r="B1468" s="49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</row>
    <row r="1469" spans="2:57" x14ac:dyDescent="0.25">
      <c r="B1469" s="49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</row>
    <row r="1470" spans="2:57" x14ac:dyDescent="0.25">
      <c r="B1470" s="49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</row>
    <row r="1471" spans="2:57" x14ac:dyDescent="0.25">
      <c r="B1471" s="49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</row>
    <row r="1472" spans="2:57" x14ac:dyDescent="0.25">
      <c r="B1472" s="49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</row>
    <row r="1473" spans="2:57" x14ac:dyDescent="0.25">
      <c r="B1473" s="49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</row>
    <row r="1474" spans="2:57" x14ac:dyDescent="0.25">
      <c r="B1474" s="49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</row>
    <row r="1475" spans="2:57" x14ac:dyDescent="0.25">
      <c r="B1475" s="49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</row>
    <row r="1476" spans="2:57" x14ac:dyDescent="0.25">
      <c r="B1476" s="49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</row>
    <row r="1477" spans="2:57" x14ac:dyDescent="0.25">
      <c r="B1477" s="49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</row>
    <row r="1478" spans="2:57" x14ac:dyDescent="0.25">
      <c r="B1478" s="49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</row>
    <row r="1479" spans="2:57" x14ac:dyDescent="0.25">
      <c r="B1479" s="49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</row>
    <row r="1480" spans="2:57" x14ac:dyDescent="0.25">
      <c r="B1480" s="49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</row>
    <row r="1481" spans="2:57" x14ac:dyDescent="0.25">
      <c r="B1481" s="49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</row>
    <row r="1482" spans="2:57" x14ac:dyDescent="0.25">
      <c r="B1482" s="49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</row>
    <row r="1483" spans="2:57" x14ac:dyDescent="0.25">
      <c r="B1483" s="49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</row>
    <row r="1484" spans="2:57" x14ac:dyDescent="0.25">
      <c r="B1484" s="49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</row>
    <row r="1485" spans="2:57" x14ac:dyDescent="0.25">
      <c r="B1485" s="49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</row>
    <row r="1486" spans="2:57" x14ac:dyDescent="0.25">
      <c r="B1486" s="49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</row>
    <row r="1487" spans="2:57" x14ac:dyDescent="0.25">
      <c r="B1487" s="49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</row>
    <row r="1488" spans="2:57" x14ac:dyDescent="0.25">
      <c r="B1488" s="49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</row>
    <row r="1489" spans="2:57" x14ac:dyDescent="0.25">
      <c r="B1489" s="49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</row>
    <row r="1490" spans="2:57" x14ac:dyDescent="0.25">
      <c r="B1490" s="49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</row>
    <row r="1491" spans="2:57" x14ac:dyDescent="0.25">
      <c r="B1491" s="49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</row>
    <row r="1492" spans="2:57" x14ac:dyDescent="0.25">
      <c r="B1492" s="49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</row>
    <row r="1493" spans="2:57" x14ac:dyDescent="0.25">
      <c r="B1493" s="49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</row>
    <row r="1494" spans="2:57" x14ac:dyDescent="0.25">
      <c r="B1494" s="49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</row>
    <row r="1495" spans="2:57" x14ac:dyDescent="0.25">
      <c r="B1495" s="49"/>
      <c r="C1495" s="62"/>
      <c r="D1495" s="49"/>
      <c r="E1495" s="49"/>
      <c r="F1495" s="49"/>
      <c r="G1495" s="49"/>
      <c r="H1495" s="49"/>
    </row>
    <row r="1496" spans="2:57" x14ac:dyDescent="0.25">
      <c r="B1496" s="49"/>
      <c r="C1496" s="62"/>
      <c r="D1496" s="49"/>
      <c r="E1496" s="49"/>
      <c r="F1496" s="49"/>
      <c r="G1496" s="49"/>
      <c r="H1496" s="49"/>
    </row>
    <row r="1497" spans="2:57" x14ac:dyDescent="0.25">
      <c r="B1497" s="49"/>
      <c r="C1497" s="62"/>
      <c r="D1497" s="49"/>
      <c r="E1497" s="49"/>
      <c r="F1497" s="49"/>
      <c r="G1497" s="49"/>
      <c r="H1497" s="49"/>
    </row>
    <row r="1498" spans="2:57" x14ac:dyDescent="0.25">
      <c r="B1498" s="49"/>
      <c r="C1498" s="62"/>
      <c r="D1498" s="49"/>
      <c r="E1498" s="49"/>
      <c r="F1498" s="49"/>
      <c r="G1498" s="49"/>
      <c r="H1498" s="49"/>
    </row>
    <row r="1499" spans="2:57" x14ac:dyDescent="0.25">
      <c r="B1499" s="49"/>
      <c r="C1499" s="62"/>
      <c r="D1499" s="49"/>
      <c r="E1499" s="49"/>
      <c r="F1499" s="49"/>
      <c r="G1499" s="49"/>
      <c r="H1499" s="49"/>
    </row>
    <row r="1500" spans="2:57" x14ac:dyDescent="0.25">
      <c r="B1500" s="49"/>
      <c r="C1500" s="62"/>
      <c r="D1500" s="49"/>
      <c r="E1500" s="49"/>
      <c r="F1500" s="49"/>
      <c r="G1500" s="49"/>
      <c r="H1500" s="49"/>
    </row>
    <row r="1501" spans="2:57" x14ac:dyDescent="0.25">
      <c r="B1501" s="49"/>
      <c r="C1501" s="62"/>
      <c r="D1501" s="49"/>
      <c r="E1501" s="49"/>
      <c r="F1501" s="49"/>
      <c r="G1501" s="49"/>
      <c r="H1501" s="49"/>
    </row>
    <row r="1502" spans="2:57" x14ac:dyDescent="0.25">
      <c r="B1502" s="49"/>
      <c r="C1502" s="62"/>
      <c r="D1502" s="49"/>
      <c r="E1502" s="49"/>
      <c r="F1502" s="49"/>
      <c r="G1502" s="49"/>
      <c r="H1502" s="49"/>
    </row>
    <row r="1503" spans="2:57" x14ac:dyDescent="0.25">
      <c r="B1503" s="49"/>
      <c r="C1503" s="62"/>
      <c r="D1503" s="49"/>
      <c r="E1503" s="49"/>
      <c r="F1503" s="49"/>
      <c r="G1503" s="49"/>
      <c r="H1503" s="49"/>
    </row>
    <row r="1504" spans="2:57" x14ac:dyDescent="0.25">
      <c r="B1504" s="49"/>
      <c r="C1504" s="62"/>
      <c r="D1504" s="49"/>
      <c r="E1504" s="49"/>
      <c r="F1504" s="49"/>
      <c r="G1504" s="49"/>
      <c r="H1504" s="49"/>
    </row>
    <row r="1505" spans="2:8" x14ac:dyDescent="0.25">
      <c r="B1505" s="49"/>
      <c r="C1505" s="62"/>
      <c r="D1505" s="49"/>
      <c r="E1505" s="49"/>
      <c r="F1505" s="49"/>
      <c r="G1505" s="49"/>
      <c r="H1505" s="49"/>
    </row>
    <row r="1506" spans="2:8" x14ac:dyDescent="0.25">
      <c r="B1506" s="49"/>
      <c r="C1506" s="62"/>
      <c r="D1506" s="49"/>
      <c r="E1506" s="49"/>
      <c r="F1506" s="49"/>
      <c r="G1506" s="49"/>
      <c r="H1506" s="49"/>
    </row>
    <row r="1507" spans="2:8" x14ac:dyDescent="0.25">
      <c r="B1507" s="49"/>
      <c r="C1507" s="62"/>
      <c r="D1507" s="49"/>
      <c r="E1507" s="49"/>
      <c r="F1507" s="49"/>
      <c r="G1507" s="49"/>
      <c r="H1507" s="49"/>
    </row>
    <row r="1508" spans="2:8" x14ac:dyDescent="0.25">
      <c r="B1508" s="49"/>
      <c r="C1508" s="62"/>
      <c r="D1508" s="49"/>
      <c r="E1508" s="49"/>
      <c r="F1508" s="49"/>
      <c r="G1508" s="49"/>
      <c r="H1508" s="49"/>
    </row>
    <row r="1509" spans="2:8" x14ac:dyDescent="0.25">
      <c r="B1509" s="49"/>
      <c r="C1509" s="62"/>
      <c r="D1509" s="49"/>
      <c r="E1509" s="49"/>
      <c r="F1509" s="49"/>
      <c r="G1509" s="49"/>
      <c r="H1509" s="49"/>
    </row>
    <row r="1510" spans="2:8" x14ac:dyDescent="0.25">
      <c r="B1510" s="49"/>
      <c r="C1510" s="62"/>
      <c r="D1510" s="49"/>
      <c r="E1510" s="49"/>
      <c r="F1510" s="49"/>
      <c r="G1510" s="49"/>
      <c r="H1510" s="49"/>
    </row>
    <row r="1511" spans="2:8" x14ac:dyDescent="0.25">
      <c r="B1511" s="49"/>
      <c r="C1511" s="62"/>
      <c r="D1511" s="49"/>
      <c r="E1511" s="49"/>
      <c r="F1511" s="49"/>
      <c r="G1511" s="49"/>
      <c r="H1511" s="49"/>
    </row>
    <row r="1512" spans="2:8" x14ac:dyDescent="0.25">
      <c r="B1512" s="49"/>
      <c r="C1512" s="62"/>
      <c r="D1512" s="49"/>
      <c r="E1512" s="49"/>
      <c r="F1512" s="49"/>
      <c r="G1512" s="49"/>
      <c r="H1512" s="49"/>
    </row>
    <row r="1513" spans="2:8" x14ac:dyDescent="0.25">
      <c r="B1513" s="49"/>
      <c r="C1513" s="62"/>
      <c r="D1513" s="49"/>
      <c r="E1513" s="49"/>
      <c r="F1513" s="49"/>
      <c r="G1513" s="49"/>
      <c r="H1513" s="49"/>
    </row>
    <row r="1514" spans="2:8" x14ac:dyDescent="0.25">
      <c r="B1514" s="49"/>
      <c r="C1514" s="62"/>
      <c r="D1514" s="49"/>
      <c r="E1514" s="49"/>
      <c r="F1514" s="49"/>
      <c r="G1514" s="49"/>
      <c r="H1514" s="49"/>
    </row>
    <row r="1515" spans="2:8" x14ac:dyDescent="0.25">
      <c r="B1515" s="49"/>
      <c r="C1515" s="62"/>
      <c r="D1515" s="49"/>
      <c r="E1515" s="49"/>
      <c r="F1515" s="49"/>
      <c r="G1515" s="49"/>
      <c r="H1515" s="49"/>
    </row>
    <row r="1516" spans="2:8" x14ac:dyDescent="0.25">
      <c r="B1516" s="49"/>
      <c r="C1516" s="62"/>
      <c r="D1516" s="49"/>
      <c r="E1516" s="49"/>
      <c r="F1516" s="49"/>
      <c r="G1516" s="49"/>
      <c r="H1516" s="49"/>
    </row>
    <row r="1517" spans="2:8" x14ac:dyDescent="0.25">
      <c r="B1517" s="49"/>
      <c r="C1517" s="62"/>
      <c r="D1517" s="49"/>
      <c r="E1517" s="49"/>
      <c r="F1517" s="49"/>
      <c r="G1517" s="49"/>
      <c r="H1517" s="49"/>
    </row>
    <row r="1518" spans="2:8" x14ac:dyDescent="0.25">
      <c r="B1518" s="49"/>
      <c r="C1518" s="62"/>
      <c r="D1518" s="49"/>
      <c r="E1518" s="49"/>
      <c r="F1518" s="49"/>
      <c r="G1518" s="49"/>
      <c r="H1518" s="49"/>
    </row>
    <row r="1519" spans="2:8" x14ac:dyDescent="0.25">
      <c r="B1519" s="49"/>
      <c r="C1519" s="62"/>
      <c r="D1519" s="49"/>
      <c r="E1519" s="49"/>
      <c r="F1519" s="49"/>
      <c r="G1519" s="49"/>
      <c r="H1519" s="49"/>
    </row>
    <row r="1520" spans="2:8" x14ac:dyDescent="0.25">
      <c r="B1520" s="49"/>
      <c r="C1520" s="62"/>
      <c r="D1520" s="49"/>
      <c r="E1520" s="49"/>
      <c r="F1520" s="49"/>
      <c r="G1520" s="49"/>
      <c r="H1520" s="49"/>
    </row>
    <row r="1521" spans="2:8" x14ac:dyDescent="0.25">
      <c r="B1521" s="49"/>
      <c r="C1521" s="62"/>
      <c r="D1521" s="49"/>
      <c r="E1521" s="49"/>
      <c r="F1521" s="49"/>
      <c r="G1521" s="49"/>
      <c r="H1521" s="49"/>
    </row>
    <row r="1522" spans="2:8" x14ac:dyDescent="0.25">
      <c r="B1522" s="49"/>
      <c r="C1522" s="62"/>
      <c r="D1522" s="49"/>
      <c r="E1522" s="49"/>
      <c r="F1522" s="49"/>
      <c r="G1522" s="49"/>
      <c r="H1522" s="49"/>
    </row>
    <row r="1523" spans="2:8" x14ac:dyDescent="0.25">
      <c r="B1523" s="49"/>
      <c r="C1523" s="62"/>
      <c r="D1523" s="49"/>
      <c r="E1523" s="49"/>
      <c r="F1523" s="49"/>
      <c r="G1523" s="49"/>
      <c r="H1523" s="49"/>
    </row>
    <row r="1524" spans="2:8" x14ac:dyDescent="0.25">
      <c r="B1524" s="49"/>
      <c r="C1524" s="62"/>
      <c r="D1524" s="49"/>
      <c r="E1524" s="49"/>
      <c r="F1524" s="49"/>
      <c r="G1524" s="49"/>
      <c r="H1524" s="49"/>
    </row>
    <row r="1525" spans="2:8" x14ac:dyDescent="0.25">
      <c r="B1525" s="49"/>
      <c r="C1525" s="62"/>
      <c r="D1525" s="49"/>
      <c r="E1525" s="49"/>
      <c r="F1525" s="49"/>
      <c r="G1525" s="49"/>
      <c r="H1525" s="49"/>
    </row>
    <row r="1526" spans="2:8" x14ac:dyDescent="0.25">
      <c r="B1526" s="49"/>
      <c r="C1526" s="62"/>
      <c r="D1526" s="49"/>
      <c r="E1526" s="49"/>
      <c r="F1526" s="49"/>
      <c r="G1526" s="49"/>
      <c r="H1526" s="49"/>
    </row>
    <row r="1527" spans="2:8" x14ac:dyDescent="0.25">
      <c r="B1527" s="49"/>
      <c r="C1527" s="62"/>
      <c r="D1527" s="49"/>
      <c r="E1527" s="49"/>
      <c r="F1527" s="49"/>
      <c r="G1527" s="49"/>
      <c r="H1527" s="49"/>
    </row>
    <row r="1528" spans="2:8" x14ac:dyDescent="0.25">
      <c r="B1528" s="49"/>
      <c r="C1528" s="62"/>
      <c r="D1528" s="49"/>
      <c r="E1528" s="49"/>
      <c r="F1528" s="49"/>
      <c r="G1528" s="49"/>
      <c r="H1528" s="49"/>
    </row>
    <row r="1529" spans="2:8" x14ac:dyDescent="0.25">
      <c r="B1529" s="49"/>
      <c r="C1529" s="62"/>
      <c r="D1529" s="49"/>
      <c r="E1529" s="49"/>
      <c r="F1529" s="49"/>
      <c r="G1529" s="49"/>
      <c r="H1529" s="49"/>
    </row>
    <row r="1530" spans="2:8" x14ac:dyDescent="0.25">
      <c r="B1530" s="49"/>
      <c r="C1530" s="62"/>
      <c r="D1530" s="49"/>
      <c r="E1530" s="49"/>
      <c r="F1530" s="49"/>
      <c r="G1530" s="49"/>
      <c r="H1530" s="49"/>
    </row>
    <row r="1531" spans="2:8" x14ac:dyDescent="0.25">
      <c r="B1531" s="49"/>
      <c r="C1531" s="62"/>
      <c r="D1531" s="49"/>
      <c r="E1531" s="49"/>
      <c r="F1531" s="49"/>
      <c r="G1531" s="49"/>
      <c r="H1531" s="49"/>
    </row>
    <row r="1532" spans="2:8" x14ac:dyDescent="0.25">
      <c r="B1532" s="49"/>
      <c r="C1532" s="62"/>
      <c r="D1532" s="49"/>
      <c r="E1532" s="49"/>
      <c r="F1532" s="49"/>
      <c r="G1532" s="49"/>
      <c r="H1532" s="49"/>
    </row>
    <row r="1533" spans="2:8" x14ac:dyDescent="0.25">
      <c r="B1533" s="49"/>
      <c r="C1533" s="62"/>
      <c r="D1533" s="49"/>
      <c r="E1533" s="49"/>
      <c r="F1533" s="49"/>
      <c r="G1533" s="49"/>
      <c r="H1533" s="49"/>
    </row>
    <row r="1534" spans="2:8" x14ac:dyDescent="0.25">
      <c r="B1534" s="49"/>
      <c r="C1534" s="62"/>
      <c r="D1534" s="49"/>
      <c r="E1534" s="49"/>
      <c r="F1534" s="49"/>
      <c r="G1534" s="49"/>
      <c r="H1534" s="49"/>
    </row>
    <row r="1535" spans="2:8" x14ac:dyDescent="0.25">
      <c r="B1535" s="49"/>
      <c r="C1535" s="62"/>
      <c r="D1535" s="49"/>
      <c r="E1535" s="49"/>
      <c r="F1535" s="49"/>
      <c r="G1535" s="49"/>
      <c r="H1535" s="49"/>
    </row>
    <row r="1536" spans="2:8" x14ac:dyDescent="0.25">
      <c r="B1536" s="49"/>
      <c r="C1536" s="62"/>
      <c r="D1536" s="49"/>
      <c r="E1536" s="49"/>
      <c r="F1536" s="49"/>
      <c r="G1536" s="49"/>
      <c r="H1536" s="49"/>
    </row>
    <row r="1537" spans="2:8" x14ac:dyDescent="0.25">
      <c r="B1537" s="49"/>
      <c r="C1537" s="62"/>
      <c r="D1537" s="49"/>
      <c r="E1537" s="49"/>
      <c r="F1537" s="49"/>
      <c r="G1537" s="49"/>
      <c r="H1537" s="49"/>
    </row>
    <row r="1538" spans="2:8" x14ac:dyDescent="0.25">
      <c r="B1538" s="49"/>
      <c r="C1538" s="62"/>
      <c r="D1538" s="49"/>
      <c r="E1538" s="49"/>
      <c r="F1538" s="49"/>
      <c r="G1538" s="49"/>
      <c r="H1538" s="49"/>
    </row>
    <row r="1539" spans="2:8" x14ac:dyDescent="0.25">
      <c r="B1539" s="49"/>
      <c r="C1539" s="62"/>
      <c r="D1539" s="49"/>
      <c r="E1539" s="49"/>
      <c r="F1539" s="49"/>
      <c r="G1539" s="49"/>
      <c r="H1539" s="49"/>
    </row>
    <row r="1540" spans="2:8" x14ac:dyDescent="0.25">
      <c r="B1540" s="49"/>
      <c r="C1540" s="62"/>
      <c r="D1540" s="49"/>
      <c r="E1540" s="49"/>
      <c r="F1540" s="49"/>
      <c r="G1540" s="49"/>
      <c r="H1540" s="49"/>
    </row>
    <row r="1541" spans="2:8" x14ac:dyDescent="0.25">
      <c r="B1541" s="49"/>
      <c r="C1541" s="62"/>
      <c r="D1541" s="49"/>
      <c r="E1541" s="49"/>
      <c r="F1541" s="49"/>
      <c r="G1541" s="49"/>
      <c r="H1541" s="49"/>
    </row>
    <row r="1542" spans="2:8" x14ac:dyDescent="0.25">
      <c r="B1542" s="49"/>
      <c r="C1542" s="62"/>
      <c r="D1542" s="49"/>
      <c r="E1542" s="49"/>
      <c r="F1542" s="49"/>
      <c r="G1542" s="49"/>
      <c r="H1542" s="49"/>
    </row>
    <row r="1543" spans="2:8" x14ac:dyDescent="0.25">
      <c r="B1543" s="49"/>
      <c r="C1543" s="62"/>
      <c r="D1543" s="49"/>
      <c r="E1543" s="49"/>
      <c r="F1543" s="49"/>
      <c r="G1543" s="49"/>
      <c r="H1543" s="49"/>
    </row>
    <row r="1544" spans="2:8" x14ac:dyDescent="0.25">
      <c r="B1544" s="49"/>
      <c r="C1544" s="62"/>
      <c r="D1544" s="49"/>
      <c r="E1544" s="49"/>
      <c r="F1544" s="49"/>
      <c r="G1544" s="49"/>
      <c r="H1544" s="49"/>
    </row>
    <row r="1545" spans="2:8" x14ac:dyDescent="0.25">
      <c r="B1545" s="49"/>
      <c r="C1545" s="62"/>
      <c r="D1545" s="49"/>
      <c r="E1545" s="49"/>
      <c r="F1545" s="49"/>
      <c r="G1545" s="49"/>
      <c r="H1545" s="49"/>
    </row>
    <row r="1546" spans="2:8" x14ac:dyDescent="0.25">
      <c r="B1546" s="49"/>
      <c r="C1546" s="62"/>
      <c r="D1546" s="49"/>
      <c r="E1546" s="49"/>
      <c r="F1546" s="49"/>
      <c r="G1546" s="49"/>
      <c r="H1546" s="49"/>
    </row>
    <row r="1547" spans="2:8" x14ac:dyDescent="0.25">
      <c r="B1547" s="49"/>
      <c r="C1547" s="62"/>
      <c r="D1547" s="49"/>
      <c r="E1547" s="49"/>
      <c r="F1547" s="49"/>
      <c r="G1547" s="49"/>
      <c r="H1547" s="49"/>
    </row>
    <row r="1548" spans="2:8" x14ac:dyDescent="0.25">
      <c r="B1548" s="49"/>
      <c r="C1548" s="62"/>
      <c r="D1548" s="49"/>
      <c r="E1548" s="49"/>
      <c r="F1548" s="49"/>
      <c r="G1548" s="49"/>
      <c r="H1548" s="49"/>
    </row>
    <row r="1549" spans="2:8" x14ac:dyDescent="0.25">
      <c r="B1549" s="49"/>
      <c r="C1549" s="62"/>
      <c r="D1549" s="49"/>
      <c r="E1549" s="49"/>
      <c r="F1549" s="49"/>
      <c r="G1549" s="49"/>
      <c r="H1549" s="49"/>
    </row>
    <row r="1550" spans="2:8" x14ac:dyDescent="0.25">
      <c r="B1550" s="49"/>
      <c r="C1550" s="62"/>
      <c r="D1550" s="49"/>
      <c r="E1550" s="49"/>
      <c r="F1550" s="49"/>
      <c r="G1550" s="49"/>
      <c r="H1550" s="49"/>
    </row>
    <row r="1551" spans="2:8" x14ac:dyDescent="0.25">
      <c r="B1551" s="49"/>
      <c r="C1551" s="62"/>
      <c r="D1551" s="49"/>
      <c r="E1551" s="49"/>
      <c r="F1551" s="49"/>
      <c r="G1551" s="49"/>
      <c r="H1551" s="49"/>
    </row>
    <row r="1552" spans="2:8" x14ac:dyDescent="0.25">
      <c r="B1552" s="49"/>
      <c r="C1552" s="62"/>
      <c r="D1552" s="49"/>
      <c r="E1552" s="49"/>
      <c r="F1552" s="49"/>
      <c r="G1552" s="49"/>
      <c r="H1552" s="49"/>
    </row>
    <row r="1553" spans="2:8" x14ac:dyDescent="0.25">
      <c r="B1553" s="49"/>
      <c r="C1553" s="62"/>
      <c r="D1553" s="49"/>
      <c r="E1553" s="49"/>
      <c r="F1553" s="49"/>
      <c r="G1553" s="49"/>
      <c r="H1553" s="49"/>
    </row>
    <row r="1554" spans="2:8" x14ac:dyDescent="0.25">
      <c r="B1554" s="49"/>
      <c r="C1554" s="62"/>
      <c r="D1554" s="49"/>
      <c r="E1554" s="49"/>
      <c r="F1554" s="49"/>
      <c r="G1554" s="49"/>
      <c r="H1554" s="49"/>
    </row>
    <row r="1555" spans="2:8" x14ac:dyDescent="0.25">
      <c r="B1555" s="49"/>
      <c r="C1555" s="62"/>
      <c r="D1555" s="49"/>
      <c r="E1555" s="49"/>
      <c r="F1555" s="49"/>
      <c r="G1555" s="49"/>
      <c r="H1555" s="49"/>
    </row>
    <row r="1556" spans="2:8" x14ac:dyDescent="0.25">
      <c r="B1556" s="49"/>
      <c r="C1556" s="62"/>
      <c r="D1556" s="49"/>
      <c r="E1556" s="49"/>
      <c r="F1556" s="49"/>
      <c r="G1556" s="49"/>
      <c r="H1556" s="49"/>
    </row>
    <row r="1557" spans="2:8" x14ac:dyDescent="0.25">
      <c r="B1557" s="49"/>
      <c r="C1557" s="62"/>
      <c r="D1557" s="49"/>
      <c r="E1557" s="49"/>
      <c r="F1557" s="49"/>
      <c r="G1557" s="49"/>
      <c r="H1557" s="49"/>
    </row>
    <row r="1558" spans="2:8" x14ac:dyDescent="0.25">
      <c r="B1558" s="49"/>
      <c r="C1558" s="62"/>
      <c r="D1558" s="49"/>
      <c r="E1558" s="49"/>
      <c r="F1558" s="49"/>
      <c r="G1558" s="49"/>
      <c r="H1558" s="49"/>
    </row>
    <row r="1559" spans="2:8" x14ac:dyDescent="0.25">
      <c r="B1559" s="49"/>
      <c r="C1559" s="62"/>
      <c r="D1559" s="49"/>
      <c r="E1559" s="49"/>
      <c r="F1559" s="49"/>
      <c r="G1559" s="49"/>
      <c r="H1559" s="49"/>
    </row>
    <row r="1560" spans="2:8" x14ac:dyDescent="0.25">
      <c r="B1560" s="49"/>
      <c r="C1560" s="62"/>
      <c r="D1560" s="49"/>
      <c r="E1560" s="49"/>
      <c r="F1560" s="49"/>
      <c r="G1560" s="49"/>
      <c r="H1560" s="49"/>
    </row>
    <row r="1561" spans="2:8" x14ac:dyDescent="0.25">
      <c r="B1561" s="49"/>
      <c r="C1561" s="62"/>
      <c r="D1561" s="49"/>
      <c r="E1561" s="49"/>
      <c r="F1561" s="49"/>
      <c r="G1561" s="49"/>
      <c r="H1561" s="49"/>
    </row>
    <row r="1562" spans="2:8" x14ac:dyDescent="0.25">
      <c r="B1562" s="49"/>
      <c r="C1562" s="62"/>
      <c r="D1562" s="49"/>
      <c r="E1562" s="49"/>
      <c r="F1562" s="49"/>
      <c r="G1562" s="49"/>
      <c r="H1562" s="49"/>
    </row>
    <row r="1563" spans="2:8" x14ac:dyDescent="0.25">
      <c r="B1563" s="49"/>
      <c r="C1563" s="62"/>
      <c r="D1563" s="49"/>
      <c r="E1563" s="49"/>
      <c r="F1563" s="49"/>
      <c r="G1563" s="49"/>
      <c r="H1563" s="49"/>
    </row>
    <row r="1564" spans="2:8" x14ac:dyDescent="0.25">
      <c r="B1564" s="49"/>
      <c r="C1564" s="62"/>
      <c r="D1564" s="49"/>
      <c r="E1564" s="49"/>
      <c r="F1564" s="49"/>
      <c r="G1564" s="49"/>
      <c r="H1564" s="49"/>
    </row>
    <row r="1565" spans="2:8" x14ac:dyDescent="0.25">
      <c r="B1565" s="49"/>
      <c r="C1565" s="62"/>
      <c r="D1565" s="49"/>
      <c r="E1565" s="49"/>
      <c r="F1565" s="49"/>
      <c r="G1565" s="49"/>
      <c r="H1565" s="49"/>
    </row>
    <row r="1566" spans="2:8" x14ac:dyDescent="0.25">
      <c r="B1566" s="49"/>
      <c r="C1566" s="62"/>
      <c r="D1566" s="49"/>
      <c r="E1566" s="49"/>
      <c r="F1566" s="49"/>
      <c r="G1566" s="49"/>
      <c r="H1566" s="49"/>
    </row>
    <row r="1567" spans="2:8" x14ac:dyDescent="0.25">
      <c r="B1567" s="49"/>
      <c r="C1567" s="62"/>
      <c r="D1567" s="49"/>
      <c r="E1567" s="49"/>
      <c r="F1567" s="49"/>
      <c r="G1567" s="49"/>
      <c r="H1567" s="49"/>
    </row>
    <row r="1568" spans="2:8" x14ac:dyDescent="0.25">
      <c r="B1568" s="49"/>
      <c r="C1568" s="62"/>
      <c r="D1568" s="49"/>
      <c r="E1568" s="49"/>
      <c r="F1568" s="49"/>
      <c r="G1568" s="49"/>
      <c r="H1568" s="49"/>
    </row>
    <row r="1569" spans="2:8" x14ac:dyDescent="0.25">
      <c r="B1569" s="49"/>
      <c r="C1569" s="62"/>
      <c r="D1569" s="49"/>
      <c r="E1569" s="49"/>
      <c r="F1569" s="49"/>
      <c r="G1569" s="49"/>
      <c r="H1569" s="49"/>
    </row>
    <row r="1570" spans="2:8" x14ac:dyDescent="0.25">
      <c r="B1570" s="49"/>
      <c r="C1570" s="62"/>
      <c r="D1570" s="49"/>
      <c r="E1570" s="49"/>
      <c r="F1570" s="49"/>
      <c r="G1570" s="49"/>
      <c r="H1570" s="49"/>
    </row>
    <row r="1571" spans="2:8" x14ac:dyDescent="0.25">
      <c r="B1571" s="49"/>
      <c r="C1571" s="62"/>
      <c r="D1571" s="49"/>
      <c r="E1571" s="49"/>
      <c r="F1571" s="49"/>
      <c r="G1571" s="49"/>
      <c r="H1571" s="49"/>
    </row>
    <row r="1572" spans="2:8" x14ac:dyDescent="0.25">
      <c r="B1572" s="49"/>
      <c r="C1572" s="62"/>
      <c r="D1572" s="49"/>
      <c r="E1572" s="49"/>
      <c r="F1572" s="49"/>
      <c r="G1572" s="49"/>
      <c r="H1572" s="49"/>
    </row>
    <row r="1573" spans="2:8" x14ac:dyDescent="0.25">
      <c r="B1573" s="49"/>
      <c r="C1573" s="62"/>
      <c r="D1573" s="49"/>
      <c r="E1573" s="49"/>
      <c r="F1573" s="49"/>
      <c r="G1573" s="49"/>
      <c r="H1573" s="49"/>
    </row>
    <row r="1574" spans="2:8" x14ac:dyDescent="0.25">
      <c r="B1574" s="49"/>
      <c r="C1574" s="62"/>
      <c r="D1574" s="49"/>
      <c r="E1574" s="49"/>
      <c r="F1574" s="49"/>
      <c r="G1574" s="49"/>
      <c r="H1574" s="49"/>
    </row>
    <row r="1575" spans="2:8" x14ac:dyDescent="0.25">
      <c r="B1575" s="49"/>
      <c r="C1575" s="62"/>
      <c r="D1575" s="49"/>
      <c r="E1575" s="49"/>
      <c r="F1575" s="49"/>
      <c r="G1575" s="49"/>
      <c r="H1575" s="49"/>
    </row>
    <row r="1576" spans="2:8" x14ac:dyDescent="0.25">
      <c r="B1576" s="49"/>
      <c r="C1576" s="62"/>
      <c r="D1576" s="49"/>
      <c r="E1576" s="49"/>
      <c r="F1576" s="49"/>
      <c r="G1576" s="49"/>
      <c r="H1576" s="49"/>
    </row>
    <row r="1577" spans="2:8" x14ac:dyDescent="0.25">
      <c r="B1577" s="49"/>
      <c r="C1577" s="62"/>
      <c r="D1577" s="49"/>
      <c r="E1577" s="49"/>
      <c r="F1577" s="49"/>
      <c r="G1577" s="49"/>
      <c r="H1577" s="49"/>
    </row>
    <row r="1578" spans="2:8" x14ac:dyDescent="0.25">
      <c r="B1578" s="49"/>
      <c r="C1578" s="62"/>
      <c r="D1578" s="49"/>
      <c r="E1578" s="49"/>
      <c r="F1578" s="49"/>
      <c r="G1578" s="49"/>
      <c r="H1578" s="49"/>
    </row>
    <row r="1579" spans="2:8" x14ac:dyDescent="0.25">
      <c r="B1579" s="49"/>
      <c r="C1579" s="62"/>
      <c r="D1579" s="49"/>
      <c r="E1579" s="49"/>
      <c r="F1579" s="49"/>
      <c r="G1579" s="49"/>
      <c r="H1579" s="49"/>
    </row>
    <row r="1580" spans="2:8" x14ac:dyDescent="0.25">
      <c r="B1580" s="49"/>
      <c r="C1580" s="62"/>
      <c r="D1580" s="49"/>
      <c r="E1580" s="49"/>
      <c r="F1580" s="49"/>
      <c r="G1580" s="49"/>
      <c r="H1580" s="49"/>
    </row>
    <row r="1581" spans="2:8" x14ac:dyDescent="0.25">
      <c r="B1581" s="49"/>
      <c r="C1581" s="62"/>
      <c r="D1581" s="49"/>
      <c r="E1581" s="49"/>
      <c r="F1581" s="49"/>
      <c r="G1581" s="49"/>
      <c r="H1581" s="49"/>
    </row>
    <row r="1582" spans="2:8" x14ac:dyDescent="0.25">
      <c r="B1582" s="49"/>
      <c r="C1582" s="62"/>
      <c r="D1582" s="49"/>
      <c r="E1582" s="49"/>
      <c r="F1582" s="49"/>
      <c r="G1582" s="49"/>
      <c r="H1582" s="49"/>
    </row>
    <row r="1583" spans="2:8" x14ac:dyDescent="0.25">
      <c r="B1583" s="49"/>
      <c r="C1583" s="62"/>
      <c r="D1583" s="49"/>
      <c r="E1583" s="49"/>
      <c r="F1583" s="49"/>
      <c r="G1583" s="49"/>
      <c r="H1583" s="49"/>
    </row>
    <row r="1584" spans="2:8" x14ac:dyDescent="0.25">
      <c r="B1584" s="49"/>
      <c r="C1584" s="62"/>
      <c r="D1584" s="49"/>
      <c r="E1584" s="49"/>
      <c r="F1584" s="49"/>
      <c r="G1584" s="49"/>
      <c r="H1584" s="49"/>
    </row>
    <row r="1585" spans="2:8" x14ac:dyDescent="0.25">
      <c r="B1585" s="49"/>
      <c r="C1585" s="62"/>
      <c r="D1585" s="49"/>
      <c r="E1585" s="49"/>
      <c r="F1585" s="49"/>
      <c r="G1585" s="49"/>
      <c r="H1585" s="49"/>
    </row>
    <row r="1586" spans="2:8" x14ac:dyDescent="0.25">
      <c r="B1586" s="49"/>
      <c r="C1586" s="62"/>
      <c r="D1586" s="49"/>
      <c r="E1586" s="49"/>
      <c r="F1586" s="49"/>
      <c r="G1586" s="49"/>
      <c r="H1586" s="49"/>
    </row>
    <row r="1587" spans="2:8" x14ac:dyDescent="0.25">
      <c r="B1587" s="49"/>
      <c r="C1587" s="62"/>
      <c r="D1587" s="49"/>
      <c r="E1587" s="49"/>
      <c r="F1587" s="49"/>
      <c r="G1587" s="49"/>
      <c r="H1587" s="49"/>
    </row>
    <row r="1588" spans="2:8" x14ac:dyDescent="0.25">
      <c r="B1588" s="49"/>
      <c r="C1588" s="62"/>
      <c r="D1588" s="49"/>
      <c r="E1588" s="49"/>
      <c r="F1588" s="49"/>
      <c r="G1588" s="49"/>
      <c r="H1588" s="49"/>
    </row>
    <row r="1589" spans="2:8" x14ac:dyDescent="0.25">
      <c r="B1589" s="49"/>
      <c r="C1589" s="62"/>
      <c r="D1589" s="49"/>
      <c r="E1589" s="49"/>
      <c r="F1589" s="49"/>
      <c r="G1589" s="49"/>
      <c r="H1589" s="49"/>
    </row>
    <row r="1590" spans="2:8" x14ac:dyDescent="0.25">
      <c r="B1590" s="49"/>
      <c r="C1590" s="62"/>
      <c r="D1590" s="49"/>
      <c r="E1590" s="49"/>
      <c r="F1590" s="49"/>
      <c r="G1590" s="49"/>
      <c r="H1590" s="49"/>
    </row>
    <row r="1591" spans="2:8" x14ac:dyDescent="0.25">
      <c r="B1591" s="49"/>
      <c r="C1591" s="62"/>
      <c r="D1591" s="49"/>
      <c r="E1591" s="49"/>
      <c r="F1591" s="49"/>
      <c r="G1591" s="49"/>
      <c r="H1591" s="49"/>
    </row>
    <row r="1592" spans="2:8" x14ac:dyDescent="0.25">
      <c r="B1592" s="49"/>
      <c r="C1592" s="62"/>
      <c r="D1592" s="49"/>
      <c r="E1592" s="49"/>
      <c r="F1592" s="49"/>
      <c r="G1592" s="49"/>
      <c r="H1592" s="49"/>
    </row>
    <row r="1593" spans="2:8" x14ac:dyDescent="0.25">
      <c r="B1593" s="49"/>
      <c r="C1593" s="62"/>
      <c r="D1593" s="49"/>
      <c r="E1593" s="49"/>
      <c r="F1593" s="49"/>
      <c r="G1593" s="49"/>
      <c r="H1593" s="49"/>
    </row>
    <row r="1594" spans="2:8" x14ac:dyDescent="0.25">
      <c r="B1594" s="49"/>
      <c r="C1594" s="62"/>
      <c r="D1594" s="49"/>
      <c r="E1594" s="49"/>
      <c r="F1594" s="49"/>
      <c r="G1594" s="49"/>
      <c r="H1594" s="49"/>
    </row>
    <row r="1595" spans="2:8" x14ac:dyDescent="0.25">
      <c r="B1595" s="49"/>
      <c r="C1595" s="62"/>
      <c r="D1595" s="49"/>
      <c r="E1595" s="49"/>
      <c r="F1595" s="49"/>
      <c r="G1595" s="49"/>
      <c r="H1595" s="49"/>
    </row>
    <row r="1596" spans="2:8" x14ac:dyDescent="0.25">
      <c r="B1596" s="49"/>
      <c r="C1596" s="62"/>
      <c r="D1596" s="49"/>
      <c r="E1596" s="49"/>
      <c r="F1596" s="49"/>
      <c r="G1596" s="49"/>
      <c r="H1596" s="49"/>
    </row>
    <row r="1597" spans="2:8" x14ac:dyDescent="0.25">
      <c r="B1597" s="49"/>
      <c r="C1597" s="62"/>
      <c r="D1597" s="49"/>
      <c r="E1597" s="49"/>
      <c r="F1597" s="49"/>
      <c r="G1597" s="49"/>
      <c r="H1597" s="49"/>
    </row>
    <row r="1598" spans="2:8" x14ac:dyDescent="0.25">
      <c r="B1598" s="49"/>
      <c r="C1598" s="62"/>
      <c r="D1598" s="49"/>
      <c r="E1598" s="49"/>
      <c r="F1598" s="49"/>
      <c r="G1598" s="49"/>
      <c r="H1598" s="49"/>
    </row>
    <row r="1599" spans="2:8" x14ac:dyDescent="0.25">
      <c r="B1599" s="49"/>
      <c r="C1599" s="62"/>
      <c r="D1599" s="49"/>
      <c r="E1599" s="49"/>
      <c r="F1599" s="49"/>
      <c r="G1599" s="49"/>
      <c r="H1599" s="49"/>
    </row>
    <row r="1600" spans="2:8" x14ac:dyDescent="0.25">
      <c r="B1600" s="49"/>
      <c r="C1600" s="62"/>
      <c r="D1600" s="49"/>
      <c r="E1600" s="49"/>
      <c r="F1600" s="49"/>
      <c r="G1600" s="49"/>
      <c r="H1600" s="49"/>
    </row>
    <row r="1601" spans="2:8" x14ac:dyDescent="0.25">
      <c r="B1601" s="49"/>
      <c r="C1601" s="62"/>
      <c r="D1601" s="49"/>
      <c r="E1601" s="49"/>
      <c r="F1601" s="49"/>
      <c r="G1601" s="49"/>
      <c r="H1601" s="49"/>
    </row>
    <row r="1602" spans="2:8" x14ac:dyDescent="0.25">
      <c r="B1602" s="49"/>
      <c r="C1602" s="62"/>
      <c r="D1602" s="49"/>
      <c r="E1602" s="49"/>
      <c r="F1602" s="49"/>
      <c r="G1602" s="49"/>
      <c r="H1602" s="49"/>
    </row>
    <row r="1603" spans="2:8" x14ac:dyDescent="0.25">
      <c r="B1603" s="49"/>
      <c r="C1603" s="62"/>
      <c r="D1603" s="49"/>
      <c r="E1603" s="49"/>
      <c r="F1603" s="49"/>
      <c r="G1603" s="49"/>
      <c r="H1603" s="49"/>
    </row>
    <row r="1604" spans="2:8" x14ac:dyDescent="0.25">
      <c r="B1604" s="49"/>
      <c r="C1604" s="62"/>
      <c r="D1604" s="49"/>
      <c r="E1604" s="49"/>
      <c r="F1604" s="49"/>
      <c r="G1604" s="49"/>
      <c r="H1604" s="49"/>
    </row>
    <row r="1605" spans="2:8" x14ac:dyDescent="0.25">
      <c r="B1605" s="49"/>
      <c r="C1605" s="62"/>
      <c r="D1605" s="49"/>
      <c r="E1605" s="49"/>
      <c r="F1605" s="49"/>
      <c r="G1605" s="49"/>
      <c r="H1605" s="49"/>
    </row>
    <row r="1606" spans="2:8" x14ac:dyDescent="0.25">
      <c r="B1606" s="49"/>
      <c r="C1606" s="62"/>
      <c r="D1606" s="49"/>
      <c r="E1606" s="49"/>
      <c r="F1606" s="49"/>
      <c r="G1606" s="49"/>
      <c r="H1606" s="49"/>
    </row>
    <row r="1607" spans="2:8" x14ac:dyDescent="0.25">
      <c r="B1607" s="49"/>
      <c r="C1607" s="62"/>
      <c r="D1607" s="49"/>
      <c r="E1607" s="49"/>
      <c r="F1607" s="49"/>
      <c r="G1607" s="49"/>
      <c r="H1607" s="49"/>
    </row>
    <row r="1608" spans="2:8" x14ac:dyDescent="0.25">
      <c r="B1608" s="49"/>
      <c r="C1608" s="62"/>
      <c r="D1608" s="49"/>
      <c r="E1608" s="49"/>
      <c r="F1608" s="49"/>
      <c r="G1608" s="49"/>
      <c r="H1608" s="49"/>
    </row>
    <row r="1609" spans="2:8" x14ac:dyDescent="0.25">
      <c r="B1609" s="49"/>
      <c r="C1609" s="62"/>
      <c r="D1609" s="49"/>
      <c r="E1609" s="49"/>
      <c r="F1609" s="49"/>
      <c r="G1609" s="49"/>
      <c r="H1609" s="49"/>
    </row>
    <row r="1610" spans="2:8" x14ac:dyDescent="0.25">
      <c r="B1610" s="49"/>
      <c r="C1610" s="62"/>
      <c r="D1610" s="49"/>
      <c r="E1610" s="49"/>
      <c r="F1610" s="49"/>
      <c r="G1610" s="49"/>
      <c r="H1610" s="49"/>
    </row>
    <row r="1611" spans="2:8" x14ac:dyDescent="0.25">
      <c r="B1611" s="49"/>
      <c r="C1611" s="62"/>
      <c r="D1611" s="49"/>
      <c r="E1611" s="49"/>
      <c r="F1611" s="49"/>
      <c r="G1611" s="49"/>
      <c r="H1611" s="49"/>
    </row>
    <row r="1612" spans="2:8" x14ac:dyDescent="0.25">
      <c r="B1612" s="49"/>
      <c r="C1612" s="62"/>
      <c r="D1612" s="49"/>
      <c r="E1612" s="49"/>
      <c r="F1612" s="49"/>
      <c r="G1612" s="49"/>
      <c r="H1612" s="49"/>
    </row>
    <row r="1613" spans="2:8" x14ac:dyDescent="0.25">
      <c r="B1613" s="49"/>
      <c r="C1613" s="62"/>
      <c r="D1613" s="49"/>
      <c r="E1613" s="49"/>
      <c r="F1613" s="49"/>
      <c r="G1613" s="49"/>
      <c r="H1613" s="49"/>
    </row>
    <row r="1614" spans="2:8" x14ac:dyDescent="0.25">
      <c r="B1614" s="49"/>
      <c r="C1614" s="62"/>
      <c r="D1614" s="49"/>
      <c r="E1614" s="49"/>
      <c r="F1614" s="49"/>
      <c r="G1614" s="49"/>
      <c r="H1614" s="49"/>
    </row>
    <row r="1615" spans="2:8" x14ac:dyDescent="0.25">
      <c r="B1615" s="49"/>
      <c r="C1615" s="62"/>
      <c r="D1615" s="49"/>
      <c r="E1615" s="49"/>
      <c r="F1615" s="49"/>
      <c r="G1615" s="49"/>
      <c r="H1615" s="49"/>
    </row>
    <row r="1616" spans="2:8" x14ac:dyDescent="0.25">
      <c r="B1616" s="49"/>
      <c r="C1616" s="62"/>
      <c r="D1616" s="49"/>
      <c r="E1616" s="49"/>
      <c r="F1616" s="49"/>
      <c r="G1616" s="49"/>
      <c r="H1616" s="49"/>
    </row>
    <row r="1617" spans="2:8" x14ac:dyDescent="0.25">
      <c r="B1617" s="49"/>
      <c r="C1617" s="62"/>
      <c r="D1617" s="49"/>
      <c r="E1617" s="49"/>
      <c r="F1617" s="49"/>
      <c r="G1617" s="49"/>
      <c r="H1617" s="49"/>
    </row>
    <row r="1618" spans="2:8" x14ac:dyDescent="0.25">
      <c r="B1618" s="49"/>
      <c r="C1618" s="62"/>
      <c r="D1618" s="49"/>
      <c r="E1618" s="49"/>
      <c r="F1618" s="49"/>
      <c r="G1618" s="49"/>
      <c r="H1618" s="49"/>
    </row>
    <row r="1619" spans="2:8" x14ac:dyDescent="0.25">
      <c r="B1619" s="49"/>
      <c r="C1619" s="62"/>
      <c r="D1619" s="49"/>
      <c r="E1619" s="49"/>
      <c r="F1619" s="49"/>
      <c r="G1619" s="49"/>
      <c r="H1619" s="49"/>
    </row>
    <row r="1620" spans="2:8" x14ac:dyDescent="0.25">
      <c r="B1620" s="49"/>
      <c r="C1620" s="62"/>
      <c r="D1620" s="49"/>
      <c r="E1620" s="49"/>
      <c r="F1620" s="49"/>
      <c r="G1620" s="49"/>
      <c r="H1620" s="49"/>
    </row>
    <row r="1621" spans="2:8" x14ac:dyDescent="0.25">
      <c r="B1621" s="49"/>
      <c r="C1621" s="62"/>
      <c r="D1621" s="49"/>
      <c r="E1621" s="49"/>
      <c r="F1621" s="49"/>
      <c r="G1621" s="49"/>
      <c r="H1621" s="49"/>
    </row>
    <row r="1622" spans="2:8" x14ac:dyDescent="0.25">
      <c r="B1622" s="49"/>
      <c r="C1622" s="62"/>
      <c r="D1622" s="49"/>
      <c r="E1622" s="49"/>
      <c r="F1622" s="49"/>
      <c r="G1622" s="49"/>
      <c r="H1622" s="49"/>
    </row>
    <row r="1623" spans="2:8" x14ac:dyDescent="0.25">
      <c r="B1623" s="49"/>
      <c r="C1623" s="62"/>
      <c r="D1623" s="49"/>
      <c r="E1623" s="49"/>
      <c r="F1623" s="49"/>
      <c r="G1623" s="49"/>
      <c r="H1623" s="49"/>
    </row>
    <row r="1624" spans="2:8" x14ac:dyDescent="0.25">
      <c r="B1624" s="49"/>
      <c r="C1624" s="62"/>
      <c r="D1624" s="49"/>
      <c r="E1624" s="49"/>
      <c r="F1624" s="49"/>
      <c r="G1624" s="49"/>
      <c r="H1624" s="49"/>
    </row>
    <row r="1625" spans="2:8" x14ac:dyDescent="0.25">
      <c r="B1625" s="49"/>
      <c r="C1625" s="62"/>
      <c r="D1625" s="49"/>
      <c r="E1625" s="49"/>
      <c r="F1625" s="49"/>
      <c r="G1625" s="49"/>
      <c r="H1625" s="49"/>
    </row>
    <row r="1626" spans="2:8" x14ac:dyDescent="0.25">
      <c r="B1626" s="49"/>
      <c r="C1626" s="62"/>
      <c r="D1626" s="49"/>
      <c r="E1626" s="49"/>
      <c r="F1626" s="49"/>
      <c r="G1626" s="49"/>
      <c r="H1626" s="49"/>
    </row>
    <row r="1627" spans="2:8" x14ac:dyDescent="0.25">
      <c r="B1627" s="49"/>
      <c r="C1627" s="62"/>
      <c r="D1627" s="49"/>
      <c r="E1627" s="49"/>
      <c r="F1627" s="49"/>
      <c r="G1627" s="49"/>
      <c r="H1627" s="49"/>
    </row>
    <row r="1628" spans="2:8" x14ac:dyDescent="0.25">
      <c r="B1628" s="49"/>
      <c r="C1628" s="62"/>
      <c r="D1628" s="49"/>
      <c r="E1628" s="49"/>
      <c r="F1628" s="49"/>
      <c r="G1628" s="49"/>
      <c r="H1628" s="49"/>
    </row>
    <row r="1629" spans="2:8" x14ac:dyDescent="0.25">
      <c r="B1629" s="49"/>
      <c r="C1629" s="62"/>
      <c r="D1629" s="49"/>
      <c r="E1629" s="49"/>
      <c r="F1629" s="49"/>
      <c r="G1629" s="49"/>
      <c r="H1629" s="49"/>
    </row>
    <row r="1630" spans="2:8" x14ac:dyDescent="0.25">
      <c r="B1630" s="49"/>
      <c r="C1630" s="62"/>
      <c r="D1630" s="49"/>
      <c r="E1630" s="49"/>
      <c r="F1630" s="49"/>
      <c r="G1630" s="49"/>
      <c r="H1630" s="49"/>
    </row>
    <row r="1631" spans="2:8" x14ac:dyDescent="0.25">
      <c r="B1631" s="49"/>
      <c r="C1631" s="62"/>
      <c r="D1631" s="49"/>
      <c r="E1631" s="49"/>
      <c r="F1631" s="49"/>
      <c r="G1631" s="49"/>
      <c r="H1631" s="49"/>
    </row>
    <row r="1632" spans="2:8" x14ac:dyDescent="0.25">
      <c r="B1632" s="49"/>
      <c r="C1632" s="62"/>
      <c r="D1632" s="49"/>
      <c r="E1632" s="49"/>
      <c r="F1632" s="49"/>
      <c r="G1632" s="49"/>
      <c r="H1632" s="49"/>
    </row>
    <row r="1633" spans="2:8" x14ac:dyDescent="0.25">
      <c r="B1633" s="49"/>
      <c r="C1633" s="62"/>
      <c r="D1633" s="49"/>
      <c r="E1633" s="49"/>
      <c r="F1633" s="49"/>
      <c r="G1633" s="49"/>
      <c r="H1633" s="49"/>
    </row>
    <row r="1634" spans="2:8" x14ac:dyDescent="0.25">
      <c r="B1634" s="49"/>
      <c r="C1634" s="62"/>
      <c r="D1634" s="49"/>
      <c r="E1634" s="49"/>
      <c r="F1634" s="49"/>
      <c r="G1634" s="49"/>
      <c r="H1634" s="49"/>
    </row>
    <row r="1635" spans="2:8" x14ac:dyDescent="0.25">
      <c r="B1635" s="49"/>
      <c r="C1635" s="62"/>
      <c r="D1635" s="49"/>
      <c r="E1635" s="49"/>
      <c r="F1635" s="49"/>
      <c r="G1635" s="49"/>
      <c r="H1635" s="49"/>
    </row>
    <row r="1636" spans="2:8" x14ac:dyDescent="0.25">
      <c r="B1636" s="49"/>
      <c r="C1636" s="62"/>
      <c r="D1636" s="49"/>
      <c r="E1636" s="49"/>
      <c r="F1636" s="49"/>
      <c r="G1636" s="49"/>
      <c r="H1636" s="49"/>
    </row>
    <row r="1637" spans="2:8" x14ac:dyDescent="0.25">
      <c r="B1637" s="49"/>
      <c r="C1637" s="62"/>
      <c r="D1637" s="49"/>
      <c r="E1637" s="49"/>
      <c r="F1637" s="49"/>
      <c r="G1637" s="49"/>
      <c r="H1637" s="49"/>
    </row>
    <row r="1638" spans="2:8" x14ac:dyDescent="0.25">
      <c r="B1638" s="49"/>
      <c r="C1638" s="62"/>
      <c r="D1638" s="49"/>
      <c r="E1638" s="49"/>
      <c r="F1638" s="49"/>
      <c r="G1638" s="49"/>
      <c r="H1638" s="49"/>
    </row>
    <row r="1639" spans="2:8" x14ac:dyDescent="0.25">
      <c r="B1639" s="49"/>
      <c r="C1639" s="62"/>
      <c r="D1639" s="49"/>
      <c r="E1639" s="49"/>
      <c r="F1639" s="49"/>
      <c r="G1639" s="49"/>
      <c r="H1639" s="49"/>
    </row>
    <row r="1640" spans="2:8" x14ac:dyDescent="0.25">
      <c r="B1640" s="49"/>
      <c r="C1640" s="62"/>
      <c r="D1640" s="49"/>
      <c r="E1640" s="49"/>
      <c r="F1640" s="49"/>
      <c r="G1640" s="49"/>
      <c r="H1640" s="49"/>
    </row>
    <row r="1641" spans="2:8" x14ac:dyDescent="0.25">
      <c r="B1641" s="49"/>
      <c r="C1641" s="62"/>
      <c r="D1641" s="49"/>
      <c r="E1641" s="49"/>
      <c r="F1641" s="49"/>
      <c r="G1641" s="49"/>
      <c r="H1641" s="49"/>
    </row>
    <row r="1642" spans="2:8" x14ac:dyDescent="0.25">
      <c r="B1642" s="49"/>
      <c r="C1642" s="62"/>
      <c r="D1642" s="49"/>
      <c r="E1642" s="49"/>
      <c r="F1642" s="49"/>
      <c r="G1642" s="49"/>
      <c r="H1642" s="49"/>
    </row>
    <row r="1643" spans="2:8" x14ac:dyDescent="0.25">
      <c r="B1643" s="49"/>
      <c r="C1643" s="62"/>
      <c r="D1643" s="49"/>
      <c r="E1643" s="49"/>
      <c r="F1643" s="49"/>
      <c r="G1643" s="49"/>
      <c r="H1643" s="49"/>
    </row>
    <row r="1644" spans="2:8" x14ac:dyDescent="0.25">
      <c r="B1644" s="49"/>
      <c r="C1644" s="62"/>
      <c r="D1644" s="49"/>
      <c r="E1644" s="49"/>
      <c r="F1644" s="49"/>
      <c r="G1644" s="49"/>
      <c r="H1644" s="49"/>
    </row>
    <row r="1645" spans="2:8" x14ac:dyDescent="0.25">
      <c r="B1645" s="49"/>
      <c r="C1645" s="62"/>
      <c r="D1645" s="49"/>
      <c r="E1645" s="49"/>
      <c r="F1645" s="49"/>
      <c r="G1645" s="49"/>
      <c r="H1645" s="49"/>
    </row>
    <row r="1646" spans="2:8" x14ac:dyDescent="0.25">
      <c r="B1646" s="49"/>
      <c r="C1646" s="62"/>
      <c r="D1646" s="49"/>
      <c r="E1646" s="49"/>
      <c r="F1646" s="49"/>
      <c r="G1646" s="49"/>
      <c r="H1646" s="49"/>
    </row>
    <row r="1647" spans="2:8" x14ac:dyDescent="0.25">
      <c r="B1647" s="49"/>
      <c r="C1647" s="62"/>
      <c r="D1647" s="49"/>
      <c r="E1647" s="49"/>
      <c r="F1647" s="49"/>
      <c r="G1647" s="49"/>
      <c r="H1647" s="49"/>
    </row>
    <row r="1648" spans="2:8" x14ac:dyDescent="0.25">
      <c r="B1648" s="49"/>
      <c r="C1648" s="62"/>
      <c r="D1648" s="49"/>
      <c r="E1648" s="49"/>
      <c r="F1648" s="49"/>
      <c r="G1648" s="49"/>
      <c r="H1648" s="49"/>
    </row>
    <row r="1649" spans="2:8" x14ac:dyDescent="0.25">
      <c r="B1649" s="49"/>
      <c r="C1649" s="62"/>
      <c r="D1649" s="49"/>
      <c r="E1649" s="49"/>
      <c r="F1649" s="49"/>
      <c r="G1649" s="49"/>
      <c r="H1649" s="49"/>
    </row>
    <row r="1650" spans="2:8" x14ac:dyDescent="0.25">
      <c r="B1650" s="49"/>
      <c r="C1650" s="62"/>
      <c r="D1650" s="49"/>
      <c r="E1650" s="49"/>
      <c r="F1650" s="49"/>
      <c r="G1650" s="49"/>
      <c r="H1650" s="49"/>
    </row>
    <row r="1651" spans="2:8" x14ac:dyDescent="0.25">
      <c r="B1651" s="49"/>
      <c r="C1651" s="62"/>
      <c r="D1651" s="49"/>
      <c r="E1651" s="49"/>
      <c r="F1651" s="49"/>
      <c r="G1651" s="49"/>
      <c r="H1651" s="49"/>
    </row>
    <row r="1652" spans="2:8" x14ac:dyDescent="0.25">
      <c r="B1652" s="49"/>
      <c r="C1652" s="62"/>
      <c r="D1652" s="49"/>
      <c r="E1652" s="49"/>
      <c r="F1652" s="49"/>
      <c r="G1652" s="49"/>
      <c r="H1652" s="49"/>
    </row>
    <row r="1653" spans="2:8" x14ac:dyDescent="0.25">
      <c r="B1653" s="49"/>
      <c r="C1653" s="62"/>
      <c r="D1653" s="49"/>
      <c r="E1653" s="49"/>
      <c r="F1653" s="49"/>
      <c r="G1653" s="49"/>
      <c r="H1653" s="49"/>
    </row>
    <row r="1654" spans="2:8" x14ac:dyDescent="0.25">
      <c r="B1654" s="49"/>
      <c r="C1654" s="62"/>
      <c r="D1654" s="49"/>
      <c r="E1654" s="49"/>
      <c r="F1654" s="49"/>
      <c r="G1654" s="49"/>
      <c r="H1654" s="49"/>
    </row>
    <row r="1655" spans="2:8" x14ac:dyDescent="0.25">
      <c r="B1655" s="49"/>
      <c r="C1655" s="62"/>
      <c r="D1655" s="49"/>
      <c r="E1655" s="49"/>
      <c r="F1655" s="49"/>
      <c r="G1655" s="49"/>
      <c r="H1655" s="49"/>
    </row>
    <row r="1656" spans="2:8" x14ac:dyDescent="0.25">
      <c r="B1656" s="49"/>
      <c r="C1656" s="62"/>
      <c r="D1656" s="49"/>
      <c r="E1656" s="49"/>
      <c r="F1656" s="49"/>
      <c r="G1656" s="49"/>
      <c r="H1656" s="49"/>
    </row>
    <row r="1657" spans="2:8" x14ac:dyDescent="0.25">
      <c r="B1657" s="49"/>
      <c r="C1657" s="62"/>
      <c r="D1657" s="49"/>
      <c r="E1657" s="49"/>
      <c r="F1657" s="49"/>
      <c r="G1657" s="49"/>
      <c r="H1657" s="49"/>
    </row>
    <row r="1658" spans="2:8" x14ac:dyDescent="0.25">
      <c r="B1658" s="49"/>
      <c r="C1658" s="62"/>
      <c r="D1658" s="49"/>
      <c r="E1658" s="49"/>
      <c r="F1658" s="49"/>
      <c r="G1658" s="49"/>
      <c r="H1658" s="49"/>
    </row>
    <row r="1659" spans="2:8" x14ac:dyDescent="0.25">
      <c r="B1659" s="49"/>
      <c r="C1659" s="62"/>
      <c r="D1659" s="49"/>
      <c r="E1659" s="49"/>
      <c r="F1659" s="49"/>
      <c r="G1659" s="49"/>
      <c r="H1659" s="49"/>
    </row>
    <row r="1660" spans="2:8" x14ac:dyDescent="0.25">
      <c r="B1660" s="49"/>
      <c r="C1660" s="62"/>
      <c r="D1660" s="49"/>
      <c r="E1660" s="49"/>
      <c r="F1660" s="49"/>
      <c r="G1660" s="49"/>
      <c r="H1660" s="49"/>
    </row>
    <row r="1661" spans="2:8" x14ac:dyDescent="0.25">
      <c r="B1661" s="49"/>
      <c r="C1661" s="62"/>
      <c r="D1661" s="49"/>
      <c r="E1661" s="49"/>
      <c r="F1661" s="49"/>
      <c r="G1661" s="49"/>
      <c r="H1661" s="49"/>
    </row>
    <row r="1662" spans="2:8" x14ac:dyDescent="0.25">
      <c r="B1662" s="49"/>
      <c r="C1662" s="62"/>
      <c r="D1662" s="49"/>
      <c r="E1662" s="49"/>
      <c r="F1662" s="49"/>
      <c r="G1662" s="49"/>
      <c r="H1662" s="49"/>
    </row>
    <row r="1663" spans="2:8" x14ac:dyDescent="0.25">
      <c r="B1663" s="49"/>
      <c r="C1663" s="62"/>
      <c r="D1663" s="49"/>
      <c r="E1663" s="49"/>
      <c r="F1663" s="49"/>
      <c r="G1663" s="49"/>
      <c r="H1663" s="49"/>
    </row>
    <row r="1664" spans="2:8" x14ac:dyDescent="0.25">
      <c r="B1664" s="49"/>
      <c r="C1664" s="62"/>
      <c r="D1664" s="49"/>
      <c r="E1664" s="49"/>
      <c r="F1664" s="49"/>
      <c r="G1664" s="49"/>
      <c r="H1664" s="49"/>
    </row>
    <row r="1665" spans="2:8" x14ac:dyDescent="0.25">
      <c r="B1665" s="49"/>
      <c r="C1665" s="62"/>
      <c r="D1665" s="49"/>
      <c r="E1665" s="49"/>
      <c r="F1665" s="49"/>
      <c r="G1665" s="49"/>
      <c r="H1665" s="49"/>
    </row>
    <row r="1666" spans="2:8" x14ac:dyDescent="0.25">
      <c r="B1666" s="49"/>
      <c r="C1666" s="62"/>
      <c r="D1666" s="49"/>
      <c r="E1666" s="49"/>
      <c r="F1666" s="49"/>
      <c r="G1666" s="49"/>
      <c r="H1666" s="49"/>
    </row>
    <row r="1667" spans="2:8" x14ac:dyDescent="0.25">
      <c r="B1667" s="49"/>
      <c r="C1667" s="62"/>
      <c r="D1667" s="49"/>
      <c r="E1667" s="49"/>
      <c r="F1667" s="49"/>
      <c r="G1667" s="49"/>
      <c r="H1667" s="49"/>
    </row>
    <row r="1668" spans="2:8" x14ac:dyDescent="0.25">
      <c r="B1668" s="49"/>
      <c r="C1668" s="62"/>
      <c r="D1668" s="49"/>
      <c r="E1668" s="49"/>
      <c r="F1668" s="49"/>
      <c r="G1668" s="49"/>
      <c r="H1668" s="49"/>
    </row>
    <row r="1669" spans="2:8" x14ac:dyDescent="0.25">
      <c r="B1669" s="49"/>
      <c r="C1669" s="62"/>
      <c r="D1669" s="49"/>
      <c r="E1669" s="49"/>
      <c r="F1669" s="49"/>
      <c r="G1669" s="49"/>
      <c r="H1669" s="49"/>
    </row>
    <row r="1670" spans="2:8" x14ac:dyDescent="0.25">
      <c r="B1670" s="49"/>
      <c r="C1670" s="62"/>
      <c r="D1670" s="49"/>
      <c r="E1670" s="49"/>
      <c r="F1670" s="49"/>
      <c r="G1670" s="49"/>
      <c r="H1670" s="49"/>
    </row>
    <row r="1671" spans="2:8" x14ac:dyDescent="0.25">
      <c r="B1671" s="49"/>
      <c r="C1671" s="62"/>
      <c r="D1671" s="49"/>
      <c r="E1671" s="49"/>
      <c r="F1671" s="49"/>
      <c r="G1671" s="49"/>
      <c r="H1671" s="49"/>
    </row>
    <row r="1672" spans="2:8" x14ac:dyDescent="0.25">
      <c r="B1672" s="49"/>
      <c r="C1672" s="62"/>
      <c r="D1672" s="49"/>
      <c r="E1672" s="49"/>
      <c r="F1672" s="49"/>
      <c r="G1672" s="49"/>
      <c r="H1672" s="49"/>
    </row>
    <row r="1673" spans="2:8" x14ac:dyDescent="0.25">
      <c r="B1673" s="49"/>
      <c r="C1673" s="62"/>
      <c r="D1673" s="49"/>
      <c r="E1673" s="49"/>
      <c r="F1673" s="49"/>
      <c r="G1673" s="49"/>
      <c r="H1673" s="49"/>
    </row>
    <row r="1674" spans="2:8" x14ac:dyDescent="0.25">
      <c r="B1674" s="49"/>
      <c r="C1674" s="62"/>
      <c r="D1674" s="49"/>
      <c r="E1674" s="49"/>
      <c r="F1674" s="49"/>
      <c r="G1674" s="49"/>
      <c r="H1674" s="49"/>
    </row>
    <row r="1675" spans="2:8" x14ac:dyDescent="0.25">
      <c r="B1675" s="49"/>
      <c r="C1675" s="62"/>
      <c r="D1675" s="49"/>
      <c r="E1675" s="49"/>
      <c r="F1675" s="49"/>
      <c r="G1675" s="49"/>
      <c r="H1675" s="49"/>
    </row>
    <row r="1676" spans="2:8" x14ac:dyDescent="0.25">
      <c r="B1676" s="49"/>
      <c r="C1676" s="62"/>
      <c r="D1676" s="49"/>
      <c r="E1676" s="49"/>
      <c r="F1676" s="49"/>
      <c r="G1676" s="49"/>
      <c r="H1676" s="49"/>
    </row>
    <row r="1677" spans="2:8" x14ac:dyDescent="0.25">
      <c r="B1677" s="49"/>
      <c r="C1677" s="62"/>
      <c r="D1677" s="49"/>
      <c r="E1677" s="49"/>
      <c r="F1677" s="49"/>
      <c r="G1677" s="49"/>
      <c r="H1677" s="49"/>
    </row>
    <row r="1678" spans="2:8" x14ac:dyDescent="0.25">
      <c r="B1678" s="49"/>
      <c r="C1678" s="62"/>
      <c r="D1678" s="49"/>
      <c r="E1678" s="49"/>
      <c r="F1678" s="49"/>
      <c r="G1678" s="49"/>
      <c r="H1678" s="49"/>
    </row>
    <row r="1679" spans="2:8" x14ac:dyDescent="0.25">
      <c r="B1679" s="49"/>
      <c r="C1679" s="62"/>
      <c r="D1679" s="49"/>
      <c r="E1679" s="49"/>
      <c r="F1679" s="49"/>
      <c r="G1679" s="49"/>
      <c r="H1679" s="49"/>
    </row>
    <row r="1680" spans="2:8" x14ac:dyDescent="0.25">
      <c r="B1680" s="49"/>
      <c r="C1680" s="62"/>
      <c r="D1680" s="49"/>
      <c r="E1680" s="49"/>
      <c r="F1680" s="49"/>
      <c r="G1680" s="49"/>
      <c r="H1680" s="49"/>
    </row>
    <row r="1681" spans="2:8" x14ac:dyDescent="0.25">
      <c r="B1681" s="49"/>
      <c r="C1681" s="62"/>
      <c r="D1681" s="49"/>
      <c r="E1681" s="49"/>
      <c r="F1681" s="49"/>
      <c r="G1681" s="49"/>
      <c r="H1681" s="49"/>
    </row>
    <row r="1682" spans="2:8" x14ac:dyDescent="0.25">
      <c r="B1682" s="49"/>
      <c r="C1682" s="62"/>
      <c r="D1682" s="49"/>
      <c r="E1682" s="49"/>
      <c r="F1682" s="49"/>
      <c r="G1682" s="49"/>
      <c r="H1682" s="49"/>
    </row>
    <row r="1683" spans="2:8" x14ac:dyDescent="0.25">
      <c r="B1683" s="49"/>
      <c r="C1683" s="62"/>
      <c r="D1683" s="49"/>
      <c r="E1683" s="49"/>
      <c r="F1683" s="49"/>
      <c r="G1683" s="49"/>
      <c r="H1683" s="49"/>
    </row>
    <row r="1684" spans="2:8" x14ac:dyDescent="0.25">
      <c r="B1684" s="49"/>
      <c r="C1684" s="62"/>
      <c r="D1684" s="49"/>
      <c r="E1684" s="49"/>
      <c r="F1684" s="49"/>
      <c r="G1684" s="49"/>
      <c r="H1684" s="49"/>
    </row>
    <row r="1685" spans="2:8" x14ac:dyDescent="0.25">
      <c r="B1685" s="49"/>
      <c r="C1685" s="62"/>
      <c r="D1685" s="49"/>
      <c r="E1685" s="49"/>
      <c r="F1685" s="49"/>
      <c r="G1685" s="49"/>
      <c r="H1685" s="49"/>
    </row>
    <row r="1686" spans="2:8" x14ac:dyDescent="0.25">
      <c r="B1686" s="49"/>
      <c r="C1686" s="62"/>
      <c r="D1686" s="49"/>
      <c r="E1686" s="49"/>
      <c r="F1686" s="49"/>
      <c r="G1686" s="49"/>
      <c r="H1686" s="49"/>
    </row>
    <row r="1687" spans="2:8" x14ac:dyDescent="0.25">
      <c r="B1687" s="49"/>
      <c r="C1687" s="62"/>
      <c r="D1687" s="49"/>
      <c r="E1687" s="49"/>
      <c r="F1687" s="49"/>
      <c r="G1687" s="49"/>
      <c r="H1687" s="49"/>
    </row>
    <row r="1688" spans="2:8" x14ac:dyDescent="0.25">
      <c r="B1688" s="49"/>
      <c r="C1688" s="62"/>
      <c r="D1688" s="49"/>
      <c r="E1688" s="49"/>
      <c r="F1688" s="49"/>
      <c r="G1688" s="49"/>
      <c r="H1688" s="49"/>
    </row>
    <row r="1689" spans="2:8" x14ac:dyDescent="0.25">
      <c r="B1689" s="49"/>
      <c r="C1689" s="62"/>
      <c r="D1689" s="49"/>
      <c r="E1689" s="49"/>
      <c r="F1689" s="49"/>
      <c r="G1689" s="49"/>
      <c r="H1689" s="49"/>
    </row>
    <row r="1690" spans="2:8" x14ac:dyDescent="0.25">
      <c r="B1690" s="49"/>
      <c r="C1690" s="62"/>
      <c r="D1690" s="49"/>
      <c r="E1690" s="49"/>
      <c r="F1690" s="49"/>
      <c r="G1690" s="49"/>
      <c r="H1690" s="49"/>
    </row>
    <row r="1691" spans="2:8" x14ac:dyDescent="0.25">
      <c r="B1691" s="49"/>
      <c r="C1691" s="62"/>
      <c r="D1691" s="49"/>
      <c r="E1691" s="49"/>
      <c r="F1691" s="49"/>
      <c r="G1691" s="49"/>
      <c r="H1691" s="49"/>
    </row>
    <row r="1692" spans="2:8" x14ac:dyDescent="0.25">
      <c r="B1692" s="49"/>
      <c r="C1692" s="62"/>
      <c r="D1692" s="49"/>
      <c r="E1692" s="49"/>
      <c r="F1692" s="49"/>
      <c r="G1692" s="49"/>
      <c r="H1692" s="49"/>
    </row>
    <row r="1693" spans="2:8" x14ac:dyDescent="0.25">
      <c r="B1693" s="49"/>
      <c r="C1693" s="62"/>
      <c r="D1693" s="49"/>
      <c r="E1693" s="49"/>
      <c r="F1693" s="49"/>
      <c r="G1693" s="49"/>
      <c r="H1693" s="49"/>
    </row>
    <row r="1694" spans="2:8" x14ac:dyDescent="0.25">
      <c r="B1694" s="49"/>
      <c r="C1694" s="62"/>
      <c r="D1694" s="49"/>
      <c r="E1694" s="49"/>
      <c r="F1694" s="49"/>
      <c r="G1694" s="49"/>
      <c r="H1694" s="49"/>
    </row>
    <row r="1695" spans="2:8" x14ac:dyDescent="0.25">
      <c r="B1695" s="49"/>
      <c r="C1695" s="62"/>
      <c r="D1695" s="49"/>
      <c r="E1695" s="49"/>
      <c r="F1695" s="49"/>
      <c r="G1695" s="49"/>
      <c r="H1695" s="49"/>
    </row>
    <row r="1696" spans="2:8" x14ac:dyDescent="0.25">
      <c r="B1696" s="49"/>
      <c r="C1696" s="62"/>
      <c r="D1696" s="49"/>
      <c r="E1696" s="49"/>
      <c r="F1696" s="49"/>
      <c r="G1696" s="49"/>
      <c r="H1696" s="49"/>
    </row>
    <row r="1697" spans="2:8" x14ac:dyDescent="0.25">
      <c r="B1697" s="49"/>
      <c r="C1697" s="62"/>
      <c r="D1697" s="49"/>
      <c r="E1697" s="49"/>
      <c r="F1697" s="49"/>
      <c r="G1697" s="49"/>
      <c r="H1697" s="49"/>
    </row>
    <row r="1698" spans="2:8" x14ac:dyDescent="0.25">
      <c r="B1698" s="49"/>
      <c r="C1698" s="62"/>
      <c r="D1698" s="49"/>
      <c r="E1698" s="49"/>
      <c r="F1698" s="49"/>
      <c r="G1698" s="49"/>
      <c r="H1698" s="49"/>
    </row>
    <row r="1699" spans="2:8" x14ac:dyDescent="0.25">
      <c r="B1699" s="49"/>
      <c r="C1699" s="62"/>
      <c r="D1699" s="49"/>
      <c r="E1699" s="49"/>
      <c r="F1699" s="49"/>
      <c r="G1699" s="49"/>
      <c r="H1699" s="49"/>
    </row>
    <row r="1700" spans="2:8" x14ac:dyDescent="0.25">
      <c r="B1700" s="49"/>
      <c r="C1700" s="62"/>
      <c r="D1700" s="49"/>
      <c r="E1700" s="49"/>
      <c r="F1700" s="49"/>
      <c r="G1700" s="49"/>
      <c r="H1700" s="49"/>
    </row>
    <row r="1701" spans="2:8" x14ac:dyDescent="0.25">
      <c r="B1701" s="49"/>
      <c r="C1701" s="62"/>
      <c r="D1701" s="49"/>
      <c r="E1701" s="49"/>
      <c r="F1701" s="49"/>
      <c r="G1701" s="49"/>
      <c r="H1701" s="49"/>
    </row>
    <row r="1702" spans="2:8" x14ac:dyDescent="0.25">
      <c r="B1702" s="49"/>
      <c r="C1702" s="62"/>
      <c r="D1702" s="49"/>
      <c r="E1702" s="49"/>
      <c r="F1702" s="49"/>
      <c r="G1702" s="49"/>
      <c r="H1702" s="49"/>
    </row>
    <row r="1703" spans="2:8" x14ac:dyDescent="0.25">
      <c r="B1703" s="49"/>
      <c r="C1703" s="62"/>
      <c r="D1703" s="49"/>
      <c r="E1703" s="49"/>
      <c r="F1703" s="49"/>
      <c r="G1703" s="49"/>
      <c r="H1703" s="49"/>
    </row>
    <row r="1704" spans="2:8" x14ac:dyDescent="0.25">
      <c r="B1704" s="49"/>
      <c r="C1704" s="62"/>
      <c r="D1704" s="49"/>
      <c r="E1704" s="49"/>
      <c r="F1704" s="49"/>
      <c r="G1704" s="49"/>
      <c r="H1704" s="49"/>
    </row>
    <row r="1705" spans="2:8" x14ac:dyDescent="0.25">
      <c r="B1705" s="49"/>
      <c r="C1705" s="62"/>
      <c r="D1705" s="49"/>
      <c r="E1705" s="49"/>
      <c r="F1705" s="49"/>
      <c r="G1705" s="49"/>
      <c r="H1705" s="49"/>
    </row>
    <row r="1706" spans="2:8" x14ac:dyDescent="0.25">
      <c r="B1706" s="49"/>
      <c r="C1706" s="62"/>
      <c r="D1706" s="49"/>
      <c r="E1706" s="49"/>
      <c r="F1706" s="49"/>
      <c r="G1706" s="49"/>
      <c r="H1706" s="49"/>
    </row>
    <row r="1707" spans="2:8" x14ac:dyDescent="0.25">
      <c r="B1707" s="49"/>
      <c r="C1707" s="62"/>
      <c r="D1707" s="49"/>
      <c r="E1707" s="49"/>
      <c r="F1707" s="49"/>
      <c r="G1707" s="49"/>
      <c r="H1707" s="49"/>
    </row>
    <row r="1708" spans="2:8" x14ac:dyDescent="0.25">
      <c r="B1708" s="49"/>
      <c r="C1708" s="62"/>
      <c r="D1708" s="49"/>
      <c r="E1708" s="49"/>
      <c r="F1708" s="49"/>
      <c r="G1708" s="49"/>
      <c r="H1708" s="49"/>
    </row>
    <row r="1709" spans="2:8" x14ac:dyDescent="0.25">
      <c r="B1709" s="49"/>
      <c r="C1709" s="62"/>
      <c r="D1709" s="49"/>
      <c r="E1709" s="49"/>
      <c r="F1709" s="49"/>
      <c r="G1709" s="49"/>
      <c r="H1709" s="49"/>
    </row>
    <row r="1710" spans="2:8" x14ac:dyDescent="0.25">
      <c r="B1710" s="49"/>
      <c r="C1710" s="62"/>
      <c r="D1710" s="49"/>
      <c r="E1710" s="49"/>
      <c r="F1710" s="49"/>
      <c r="G1710" s="49"/>
      <c r="H1710" s="49"/>
    </row>
    <row r="1711" spans="2:8" x14ac:dyDescent="0.25">
      <c r="B1711" s="49"/>
      <c r="C1711" s="62"/>
      <c r="D1711" s="49"/>
      <c r="E1711" s="49"/>
      <c r="F1711" s="49"/>
      <c r="G1711" s="49"/>
      <c r="H1711" s="49"/>
    </row>
    <row r="1712" spans="2:8" x14ac:dyDescent="0.25">
      <c r="B1712" s="49"/>
      <c r="C1712" s="62"/>
      <c r="D1712" s="49"/>
      <c r="E1712" s="49"/>
      <c r="F1712" s="49"/>
      <c r="G1712" s="49"/>
      <c r="H1712" s="49"/>
    </row>
    <row r="1713" spans="2:8" x14ac:dyDescent="0.25">
      <c r="B1713" s="49"/>
      <c r="C1713" s="62"/>
      <c r="D1713" s="49"/>
      <c r="E1713" s="49"/>
      <c r="F1713" s="49"/>
      <c r="G1713" s="49"/>
      <c r="H1713" s="49"/>
    </row>
    <row r="1714" spans="2:8" x14ac:dyDescent="0.25">
      <c r="B1714" s="49"/>
      <c r="C1714" s="62"/>
      <c r="D1714" s="49"/>
      <c r="E1714" s="49"/>
      <c r="F1714" s="49"/>
      <c r="G1714" s="49"/>
      <c r="H1714" s="49"/>
    </row>
    <row r="1715" spans="2:8" x14ac:dyDescent="0.25">
      <c r="B1715" s="49"/>
      <c r="C1715" s="62"/>
      <c r="D1715" s="49"/>
      <c r="E1715" s="49"/>
      <c r="F1715" s="49"/>
      <c r="G1715" s="49"/>
      <c r="H1715" s="49"/>
    </row>
    <row r="1716" spans="2:8" x14ac:dyDescent="0.25">
      <c r="B1716" s="49"/>
      <c r="C1716" s="62"/>
      <c r="D1716" s="49"/>
      <c r="E1716" s="49"/>
      <c r="F1716" s="49"/>
      <c r="G1716" s="49"/>
      <c r="H1716" s="49"/>
    </row>
    <row r="1717" spans="2:8" x14ac:dyDescent="0.25">
      <c r="B1717" s="49"/>
      <c r="C1717" s="62"/>
      <c r="D1717" s="49"/>
      <c r="E1717" s="49"/>
      <c r="F1717" s="49"/>
      <c r="G1717" s="49"/>
      <c r="H1717" s="49"/>
    </row>
    <row r="1718" spans="2:8" x14ac:dyDescent="0.25">
      <c r="B1718" s="49"/>
      <c r="C1718" s="62"/>
      <c r="D1718" s="49"/>
      <c r="E1718" s="49"/>
      <c r="F1718" s="49"/>
      <c r="G1718" s="49"/>
      <c r="H1718" s="49"/>
    </row>
    <row r="1719" spans="2:8" x14ac:dyDescent="0.25">
      <c r="B1719" s="49"/>
      <c r="C1719" s="62"/>
      <c r="D1719" s="49"/>
      <c r="E1719" s="49"/>
      <c r="F1719" s="49"/>
      <c r="G1719" s="49"/>
      <c r="H1719" s="49"/>
    </row>
    <row r="1720" spans="2:8" x14ac:dyDescent="0.25">
      <c r="B1720" s="49"/>
      <c r="C1720" s="62"/>
      <c r="D1720" s="49"/>
      <c r="E1720" s="49"/>
      <c r="F1720" s="49"/>
      <c r="G1720" s="49"/>
      <c r="H1720" s="49"/>
    </row>
    <row r="1721" spans="2:8" x14ac:dyDescent="0.25">
      <c r="B1721" s="49"/>
      <c r="C1721" s="62"/>
      <c r="D1721" s="49"/>
      <c r="E1721" s="49"/>
      <c r="F1721" s="49"/>
      <c r="G1721" s="49"/>
      <c r="H1721" s="49"/>
    </row>
    <row r="1722" spans="2:8" x14ac:dyDescent="0.25">
      <c r="B1722" s="49"/>
      <c r="C1722" s="62"/>
      <c r="D1722" s="49"/>
      <c r="E1722" s="49"/>
      <c r="F1722" s="49"/>
      <c r="G1722" s="49"/>
      <c r="H1722" s="49"/>
    </row>
    <row r="1723" spans="2:8" x14ac:dyDescent="0.25">
      <c r="B1723" s="49"/>
      <c r="C1723" s="62"/>
      <c r="D1723" s="49"/>
      <c r="E1723" s="49"/>
      <c r="F1723" s="49"/>
      <c r="G1723" s="49"/>
      <c r="H1723" s="49"/>
    </row>
    <row r="1724" spans="2:8" x14ac:dyDescent="0.25">
      <c r="B1724" s="49"/>
      <c r="C1724" s="62"/>
      <c r="D1724" s="49"/>
      <c r="E1724" s="49"/>
      <c r="F1724" s="49"/>
      <c r="G1724" s="49"/>
      <c r="H1724" s="49"/>
    </row>
    <row r="1725" spans="2:8" x14ac:dyDescent="0.25">
      <c r="B1725" s="49"/>
      <c r="C1725" s="62"/>
      <c r="D1725" s="49"/>
      <c r="E1725" s="49"/>
      <c r="F1725" s="49"/>
      <c r="G1725" s="49"/>
      <c r="H1725" s="49"/>
    </row>
    <row r="1726" spans="2:8" x14ac:dyDescent="0.25">
      <c r="B1726" s="49"/>
      <c r="C1726" s="62"/>
      <c r="D1726" s="49"/>
      <c r="E1726" s="49"/>
      <c r="F1726" s="49"/>
      <c r="G1726" s="49"/>
      <c r="H1726" s="49"/>
    </row>
    <row r="1727" spans="2:8" x14ac:dyDescent="0.25">
      <c r="B1727" s="49"/>
      <c r="C1727" s="62"/>
      <c r="D1727" s="49"/>
      <c r="E1727" s="49"/>
      <c r="F1727" s="49"/>
      <c r="G1727" s="49"/>
      <c r="H1727" s="49"/>
    </row>
    <row r="1728" spans="2:8" x14ac:dyDescent="0.25">
      <c r="B1728" s="49"/>
      <c r="C1728" s="62"/>
      <c r="D1728" s="49"/>
      <c r="E1728" s="49"/>
      <c r="F1728" s="49"/>
      <c r="G1728" s="49"/>
      <c r="H1728" s="49"/>
    </row>
    <row r="1729" spans="2:8" x14ac:dyDescent="0.25">
      <c r="B1729" s="49"/>
      <c r="C1729" s="62"/>
      <c r="D1729" s="49"/>
      <c r="E1729" s="49"/>
      <c r="F1729" s="49"/>
      <c r="G1729" s="49"/>
      <c r="H1729" s="49"/>
    </row>
    <row r="1730" spans="2:8" x14ac:dyDescent="0.25">
      <c r="B1730" s="49"/>
      <c r="C1730" s="62"/>
      <c r="D1730" s="49"/>
      <c r="E1730" s="49"/>
      <c r="F1730" s="49"/>
      <c r="G1730" s="49"/>
      <c r="H1730" s="49"/>
    </row>
    <row r="1731" spans="2:8" x14ac:dyDescent="0.25">
      <c r="B1731" s="49"/>
      <c r="C1731" s="62"/>
      <c r="D1731" s="49"/>
      <c r="E1731" s="49"/>
      <c r="F1731" s="49"/>
      <c r="G1731" s="49"/>
      <c r="H1731" s="49"/>
    </row>
    <row r="1732" spans="2:8" x14ac:dyDescent="0.25">
      <c r="B1732" s="49"/>
      <c r="C1732" s="62"/>
      <c r="D1732" s="49"/>
      <c r="E1732" s="49"/>
      <c r="F1732" s="49"/>
      <c r="G1732" s="49"/>
      <c r="H1732" s="49"/>
    </row>
    <row r="1733" spans="2:8" x14ac:dyDescent="0.25">
      <c r="B1733" s="49"/>
      <c r="C1733" s="62"/>
      <c r="D1733" s="49"/>
      <c r="E1733" s="49"/>
      <c r="F1733" s="49"/>
      <c r="G1733" s="49"/>
      <c r="H1733" s="49"/>
    </row>
    <row r="1734" spans="2:8" x14ac:dyDescent="0.25">
      <c r="B1734" s="49"/>
      <c r="C1734" s="62"/>
      <c r="D1734" s="49"/>
      <c r="E1734" s="49"/>
      <c r="F1734" s="49"/>
      <c r="G1734" s="49"/>
      <c r="H1734" s="49"/>
    </row>
    <row r="1735" spans="2:8" x14ac:dyDescent="0.25">
      <c r="B1735" s="49"/>
      <c r="C1735" s="62"/>
      <c r="D1735" s="49"/>
      <c r="E1735" s="49"/>
      <c r="F1735" s="49"/>
      <c r="G1735" s="49"/>
      <c r="H1735" s="49"/>
    </row>
    <row r="1736" spans="2:8" x14ac:dyDescent="0.25">
      <c r="B1736" s="49"/>
      <c r="C1736" s="62"/>
      <c r="D1736" s="49"/>
      <c r="E1736" s="49"/>
      <c r="F1736" s="49"/>
      <c r="G1736" s="49"/>
      <c r="H1736" s="49"/>
    </row>
    <row r="1737" spans="2:8" x14ac:dyDescent="0.25">
      <c r="B1737" s="49"/>
      <c r="C1737" s="62"/>
      <c r="D1737" s="49"/>
      <c r="E1737" s="49"/>
      <c r="F1737" s="49"/>
      <c r="G1737" s="49"/>
      <c r="H1737" s="49"/>
    </row>
    <row r="1738" spans="2:8" x14ac:dyDescent="0.25">
      <c r="B1738" s="49"/>
      <c r="C1738" s="62"/>
      <c r="D1738" s="49"/>
      <c r="E1738" s="49"/>
      <c r="F1738" s="49"/>
      <c r="G1738" s="49"/>
      <c r="H1738" s="49"/>
    </row>
    <row r="1739" spans="2:8" x14ac:dyDescent="0.25">
      <c r="B1739" s="49"/>
      <c r="C1739" s="62"/>
      <c r="D1739" s="49"/>
      <c r="E1739" s="49"/>
      <c r="F1739" s="49"/>
      <c r="G1739" s="49"/>
      <c r="H1739" s="49"/>
    </row>
    <row r="1740" spans="2:8" x14ac:dyDescent="0.25">
      <c r="B1740" s="49"/>
      <c r="C1740" s="62"/>
      <c r="D1740" s="49"/>
      <c r="E1740" s="49"/>
      <c r="F1740" s="49"/>
      <c r="G1740" s="49"/>
      <c r="H1740" s="49"/>
    </row>
    <row r="1741" spans="2:8" x14ac:dyDescent="0.25">
      <c r="B1741" s="49"/>
      <c r="C1741" s="62"/>
      <c r="D1741" s="49"/>
      <c r="E1741" s="49"/>
      <c r="F1741" s="49"/>
      <c r="G1741" s="49"/>
      <c r="H1741" s="49"/>
    </row>
    <row r="1742" spans="2:8" x14ac:dyDescent="0.25">
      <c r="B1742" s="49"/>
      <c r="C1742" s="62"/>
      <c r="D1742" s="49"/>
      <c r="E1742" s="49"/>
      <c r="F1742" s="49"/>
      <c r="G1742" s="49"/>
      <c r="H1742" s="49"/>
    </row>
    <row r="1743" spans="2:8" x14ac:dyDescent="0.25">
      <c r="B1743" s="49"/>
      <c r="C1743" s="62"/>
      <c r="D1743" s="49"/>
      <c r="E1743" s="49"/>
      <c r="F1743" s="49"/>
      <c r="G1743" s="49"/>
      <c r="H1743" s="49"/>
    </row>
    <row r="1744" spans="2:8" x14ac:dyDescent="0.25">
      <c r="B1744" s="49"/>
      <c r="C1744" s="62"/>
      <c r="D1744" s="49"/>
      <c r="E1744" s="49"/>
      <c r="F1744" s="49"/>
      <c r="G1744" s="49"/>
      <c r="H1744" s="49"/>
    </row>
    <row r="1745" spans="2:8" x14ac:dyDescent="0.25">
      <c r="B1745" s="49"/>
      <c r="C1745" s="62"/>
      <c r="D1745" s="49"/>
      <c r="E1745" s="49"/>
      <c r="F1745" s="49"/>
      <c r="G1745" s="49"/>
      <c r="H1745" s="49"/>
    </row>
    <row r="1746" spans="2:8" x14ac:dyDescent="0.25">
      <c r="B1746" s="49"/>
      <c r="C1746" s="62"/>
      <c r="D1746" s="49"/>
      <c r="E1746" s="49"/>
      <c r="F1746" s="49"/>
      <c r="G1746" s="49"/>
      <c r="H1746" s="49"/>
    </row>
    <row r="1747" spans="2:8" x14ac:dyDescent="0.25">
      <c r="B1747" s="49"/>
      <c r="C1747" s="62"/>
      <c r="D1747" s="49"/>
      <c r="E1747" s="49"/>
      <c r="F1747" s="49"/>
      <c r="G1747" s="49"/>
      <c r="H1747" s="49"/>
    </row>
    <row r="1748" spans="2:8" x14ac:dyDescent="0.25">
      <c r="B1748" s="49"/>
      <c r="C1748" s="62"/>
      <c r="D1748" s="49"/>
      <c r="E1748" s="49"/>
      <c r="F1748" s="49"/>
      <c r="G1748" s="49"/>
      <c r="H1748" s="49"/>
    </row>
    <row r="1749" spans="2:8" x14ac:dyDescent="0.25">
      <c r="B1749" s="49"/>
      <c r="C1749" s="62"/>
      <c r="D1749" s="49"/>
      <c r="E1749" s="49"/>
      <c r="F1749" s="49"/>
      <c r="G1749" s="49"/>
      <c r="H1749" s="49"/>
    </row>
    <row r="1750" spans="2:8" x14ac:dyDescent="0.25">
      <c r="B1750" s="49"/>
      <c r="C1750" s="62"/>
      <c r="D1750" s="49"/>
      <c r="E1750" s="49"/>
      <c r="F1750" s="49"/>
      <c r="G1750" s="49"/>
      <c r="H1750" s="49"/>
    </row>
    <row r="1751" spans="2:8" x14ac:dyDescent="0.25">
      <c r="B1751" s="49"/>
      <c r="C1751" s="62"/>
      <c r="D1751" s="49"/>
      <c r="E1751" s="49"/>
      <c r="F1751" s="49"/>
      <c r="G1751" s="49"/>
      <c r="H1751" s="49"/>
    </row>
    <row r="1752" spans="2:8" x14ac:dyDescent="0.25">
      <c r="B1752" s="49"/>
      <c r="C1752" s="62"/>
      <c r="D1752" s="49"/>
      <c r="E1752" s="49"/>
      <c r="F1752" s="49"/>
      <c r="G1752" s="49"/>
      <c r="H1752" s="49"/>
    </row>
    <row r="1753" spans="2:8" x14ac:dyDescent="0.25">
      <c r="B1753" s="49"/>
      <c r="C1753" s="62"/>
      <c r="D1753" s="49"/>
      <c r="E1753" s="49"/>
      <c r="F1753" s="49"/>
      <c r="G1753" s="49"/>
      <c r="H1753" s="49"/>
    </row>
    <row r="1754" spans="2:8" x14ac:dyDescent="0.25">
      <c r="B1754" s="49"/>
      <c r="C1754" s="62"/>
      <c r="D1754" s="49"/>
      <c r="E1754" s="49"/>
      <c r="F1754" s="49"/>
      <c r="G1754" s="49"/>
      <c r="H1754" s="49"/>
    </row>
    <row r="1755" spans="2:8" x14ac:dyDescent="0.25">
      <c r="B1755" s="49"/>
      <c r="C1755" s="62"/>
      <c r="D1755" s="49"/>
      <c r="E1755" s="49"/>
      <c r="F1755" s="49"/>
      <c r="G1755" s="49"/>
      <c r="H1755" s="49"/>
    </row>
    <row r="1756" spans="2:8" x14ac:dyDescent="0.25">
      <c r="B1756" s="49"/>
      <c r="C1756" s="62"/>
      <c r="D1756" s="49"/>
      <c r="E1756" s="49"/>
      <c r="F1756" s="49"/>
      <c r="G1756" s="49"/>
      <c r="H1756" s="49"/>
    </row>
    <row r="1757" spans="2:8" x14ac:dyDescent="0.25">
      <c r="B1757" s="49"/>
      <c r="C1757" s="62"/>
      <c r="D1757" s="49"/>
      <c r="E1757" s="49"/>
      <c r="F1757" s="49"/>
      <c r="G1757" s="49"/>
      <c r="H1757" s="49"/>
    </row>
    <row r="1758" spans="2:8" x14ac:dyDescent="0.25">
      <c r="B1758" s="49"/>
      <c r="C1758" s="62"/>
      <c r="D1758" s="49"/>
      <c r="E1758" s="49"/>
      <c r="F1758" s="49"/>
      <c r="G1758" s="49"/>
      <c r="H1758" s="49"/>
    </row>
    <row r="1759" spans="2:8" x14ac:dyDescent="0.25">
      <c r="B1759" s="49"/>
      <c r="C1759" s="62"/>
      <c r="D1759" s="49"/>
      <c r="E1759" s="49"/>
      <c r="F1759" s="49"/>
      <c r="G1759" s="49"/>
      <c r="H1759" s="49"/>
    </row>
    <row r="1760" spans="2:8" x14ac:dyDescent="0.25">
      <c r="B1760" s="49"/>
      <c r="C1760" s="62"/>
      <c r="D1760" s="49"/>
      <c r="E1760" s="49"/>
      <c r="F1760" s="49"/>
      <c r="G1760" s="49"/>
      <c r="H1760" s="49"/>
    </row>
    <row r="1761" spans="2:8" x14ac:dyDescent="0.25">
      <c r="B1761" s="49"/>
      <c r="C1761" s="62"/>
      <c r="D1761" s="49"/>
      <c r="E1761" s="49"/>
      <c r="F1761" s="49"/>
      <c r="G1761" s="49"/>
      <c r="H1761" s="49"/>
    </row>
    <row r="1762" spans="2:8" x14ac:dyDescent="0.25">
      <c r="B1762" s="49"/>
      <c r="C1762" s="62"/>
      <c r="D1762" s="49"/>
      <c r="E1762" s="49"/>
      <c r="F1762" s="49"/>
      <c r="G1762" s="49"/>
      <c r="H1762" s="49"/>
    </row>
    <row r="1763" spans="2:8" x14ac:dyDescent="0.25">
      <c r="B1763" s="49"/>
      <c r="C1763" s="62"/>
      <c r="D1763" s="49"/>
      <c r="E1763" s="49"/>
      <c r="F1763" s="49"/>
      <c r="G1763" s="49"/>
      <c r="H1763" s="49"/>
    </row>
    <row r="1764" spans="2:8" x14ac:dyDescent="0.25">
      <c r="B1764" s="49"/>
      <c r="C1764" s="62"/>
      <c r="D1764" s="49"/>
      <c r="E1764" s="49"/>
      <c r="F1764" s="49"/>
      <c r="G1764" s="49"/>
      <c r="H1764" s="49"/>
    </row>
    <row r="1765" spans="2:8" x14ac:dyDescent="0.25">
      <c r="B1765" s="49"/>
      <c r="C1765" s="62"/>
      <c r="D1765" s="49"/>
      <c r="E1765" s="49"/>
      <c r="F1765" s="49"/>
      <c r="G1765" s="49"/>
      <c r="H1765" s="49"/>
    </row>
    <row r="1766" spans="2:8" x14ac:dyDescent="0.25">
      <c r="B1766" s="49"/>
      <c r="C1766" s="62"/>
      <c r="D1766" s="49"/>
      <c r="E1766" s="49"/>
      <c r="F1766" s="49"/>
      <c r="G1766" s="49"/>
      <c r="H1766" s="49"/>
    </row>
    <row r="1767" spans="2:8" x14ac:dyDescent="0.25">
      <c r="B1767" s="49"/>
      <c r="C1767" s="62"/>
      <c r="D1767" s="49"/>
      <c r="E1767" s="49"/>
      <c r="F1767" s="49"/>
      <c r="G1767" s="49"/>
      <c r="H1767" s="49"/>
    </row>
    <row r="1768" spans="2:8" x14ac:dyDescent="0.25">
      <c r="B1768" s="49"/>
      <c r="C1768" s="62"/>
      <c r="D1768" s="49"/>
      <c r="E1768" s="49"/>
      <c r="F1768" s="49"/>
      <c r="G1768" s="49"/>
      <c r="H1768" s="49"/>
    </row>
    <row r="1769" spans="2:8" x14ac:dyDescent="0.25">
      <c r="B1769" s="49"/>
      <c r="C1769" s="62"/>
      <c r="D1769" s="49"/>
      <c r="E1769" s="49"/>
      <c r="F1769" s="49"/>
      <c r="G1769" s="49"/>
      <c r="H1769" s="49"/>
    </row>
    <row r="1770" spans="2:8" x14ac:dyDescent="0.25">
      <c r="B1770" s="49"/>
      <c r="C1770" s="62"/>
      <c r="D1770" s="49"/>
      <c r="E1770" s="49"/>
      <c r="F1770" s="49"/>
      <c r="G1770" s="49"/>
      <c r="H1770" s="49"/>
    </row>
    <row r="1771" spans="2:8" x14ac:dyDescent="0.25">
      <c r="B1771" s="49"/>
      <c r="C1771" s="62"/>
      <c r="D1771" s="49"/>
      <c r="E1771" s="49"/>
      <c r="F1771" s="49"/>
      <c r="G1771" s="49"/>
      <c r="H1771" s="49"/>
    </row>
    <row r="1772" spans="2:8" x14ac:dyDescent="0.25">
      <c r="B1772" s="49"/>
      <c r="C1772" s="62"/>
      <c r="D1772" s="49"/>
      <c r="E1772" s="49"/>
      <c r="F1772" s="49"/>
      <c r="G1772" s="49"/>
      <c r="H1772" s="49"/>
    </row>
    <row r="1773" spans="2:8" x14ac:dyDescent="0.25">
      <c r="B1773" s="49"/>
      <c r="C1773" s="62"/>
      <c r="D1773" s="49"/>
      <c r="E1773" s="49"/>
      <c r="F1773" s="49"/>
      <c r="G1773" s="49"/>
      <c r="H1773" s="49"/>
    </row>
    <row r="1774" spans="2:8" x14ac:dyDescent="0.25">
      <c r="B1774" s="49"/>
      <c r="C1774" s="62"/>
      <c r="D1774" s="49"/>
      <c r="E1774" s="49"/>
      <c r="F1774" s="49"/>
      <c r="G1774" s="49"/>
      <c r="H1774" s="49"/>
    </row>
    <row r="1775" spans="2:8" x14ac:dyDescent="0.25">
      <c r="B1775" s="49"/>
      <c r="C1775" s="62"/>
      <c r="D1775" s="49"/>
      <c r="E1775" s="49"/>
      <c r="F1775" s="49"/>
      <c r="G1775" s="49"/>
      <c r="H1775" s="49"/>
    </row>
    <row r="1776" spans="2:8" x14ac:dyDescent="0.25">
      <c r="B1776" s="49"/>
      <c r="C1776" s="62"/>
      <c r="D1776" s="49"/>
      <c r="E1776" s="49"/>
      <c r="F1776" s="49"/>
      <c r="G1776" s="49"/>
      <c r="H1776" s="49"/>
    </row>
    <row r="1777" spans="2:8" x14ac:dyDescent="0.25">
      <c r="B1777" s="49"/>
      <c r="C1777" s="62"/>
      <c r="D1777" s="49"/>
      <c r="E1777" s="49"/>
      <c r="F1777" s="49"/>
      <c r="G1777" s="49"/>
      <c r="H1777" s="49"/>
    </row>
    <row r="1778" spans="2:8" x14ac:dyDescent="0.25">
      <c r="B1778" s="49"/>
      <c r="C1778" s="62"/>
      <c r="D1778" s="49"/>
      <c r="E1778" s="49"/>
      <c r="F1778" s="49"/>
      <c r="G1778" s="49"/>
      <c r="H1778" s="49"/>
    </row>
    <row r="1779" spans="2:8" x14ac:dyDescent="0.25">
      <c r="B1779" s="49"/>
      <c r="C1779" s="62"/>
      <c r="D1779" s="49"/>
      <c r="E1779" s="49"/>
      <c r="F1779" s="49"/>
      <c r="G1779" s="49"/>
      <c r="H1779" s="49"/>
    </row>
    <row r="1780" spans="2:8" x14ac:dyDescent="0.25">
      <c r="B1780" s="49"/>
      <c r="C1780" s="62"/>
      <c r="D1780" s="49"/>
      <c r="E1780" s="49"/>
      <c r="F1780" s="49"/>
      <c r="G1780" s="49"/>
      <c r="H1780" s="49"/>
    </row>
    <row r="1781" spans="2:8" x14ac:dyDescent="0.25">
      <c r="B1781" s="49"/>
      <c r="C1781" s="62"/>
      <c r="D1781" s="49"/>
      <c r="E1781" s="49"/>
      <c r="F1781" s="49"/>
      <c r="G1781" s="49"/>
      <c r="H1781" s="49"/>
    </row>
    <row r="1782" spans="2:8" x14ac:dyDescent="0.25">
      <c r="B1782" s="49"/>
      <c r="C1782" s="62"/>
      <c r="D1782" s="49"/>
      <c r="E1782" s="49"/>
      <c r="F1782" s="49"/>
      <c r="G1782" s="49"/>
      <c r="H1782" s="49"/>
    </row>
    <row r="1783" spans="2:8" x14ac:dyDescent="0.25">
      <c r="B1783" s="49"/>
      <c r="C1783" s="62"/>
      <c r="D1783" s="49"/>
      <c r="E1783" s="49"/>
      <c r="F1783" s="49"/>
      <c r="G1783" s="49"/>
      <c r="H1783" s="49"/>
    </row>
    <row r="1784" spans="2:8" x14ac:dyDescent="0.25">
      <c r="B1784" s="49"/>
      <c r="C1784" s="62"/>
      <c r="D1784" s="49"/>
      <c r="E1784" s="49"/>
      <c r="F1784" s="49"/>
      <c r="G1784" s="49"/>
      <c r="H1784" s="49"/>
    </row>
    <row r="1785" spans="2:8" x14ac:dyDescent="0.25">
      <c r="B1785" s="49"/>
      <c r="C1785" s="62"/>
      <c r="D1785" s="49"/>
      <c r="E1785" s="49"/>
      <c r="F1785" s="49"/>
      <c r="G1785" s="49"/>
      <c r="H1785" s="49"/>
    </row>
    <row r="1786" spans="2:8" x14ac:dyDescent="0.25">
      <c r="B1786" s="49"/>
      <c r="C1786" s="62"/>
      <c r="D1786" s="49"/>
      <c r="E1786" s="49"/>
      <c r="F1786" s="49"/>
      <c r="G1786" s="49"/>
      <c r="H1786" s="49"/>
    </row>
    <row r="1787" spans="2:8" x14ac:dyDescent="0.25">
      <c r="B1787" s="49"/>
      <c r="C1787" s="62"/>
      <c r="D1787" s="49"/>
      <c r="E1787" s="49"/>
      <c r="F1787" s="49"/>
      <c r="G1787" s="49"/>
      <c r="H1787" s="49"/>
    </row>
    <row r="1788" spans="2:8" x14ac:dyDescent="0.25">
      <c r="B1788" s="49"/>
      <c r="C1788" s="62"/>
      <c r="D1788" s="49"/>
      <c r="E1788" s="49"/>
      <c r="F1788" s="49"/>
      <c r="G1788" s="49"/>
      <c r="H1788" s="49"/>
    </row>
    <row r="1789" spans="2:8" x14ac:dyDescent="0.25">
      <c r="B1789" s="49"/>
      <c r="C1789" s="62"/>
      <c r="D1789" s="49"/>
      <c r="E1789" s="49"/>
      <c r="F1789" s="49"/>
      <c r="G1789" s="49"/>
      <c r="H1789" s="49"/>
    </row>
    <row r="1790" spans="2:8" x14ac:dyDescent="0.25">
      <c r="B1790" s="49"/>
      <c r="C1790" s="62"/>
      <c r="D1790" s="49"/>
      <c r="E1790" s="49"/>
      <c r="F1790" s="49"/>
      <c r="G1790" s="49"/>
      <c r="H1790" s="49"/>
    </row>
    <row r="1791" spans="2:8" x14ac:dyDescent="0.25">
      <c r="B1791" s="49"/>
      <c r="C1791" s="62"/>
      <c r="D1791" s="49"/>
      <c r="E1791" s="49"/>
      <c r="F1791" s="49"/>
      <c r="G1791" s="49"/>
      <c r="H1791" s="49"/>
    </row>
    <row r="1792" spans="2:8" x14ac:dyDescent="0.25">
      <c r="B1792" s="49"/>
      <c r="C1792" s="62"/>
      <c r="D1792" s="49"/>
      <c r="E1792" s="49"/>
      <c r="F1792" s="49"/>
      <c r="G1792" s="49"/>
      <c r="H1792" s="49"/>
    </row>
    <row r="1793" spans="2:8" x14ac:dyDescent="0.25">
      <c r="B1793" s="49"/>
      <c r="C1793" s="62"/>
      <c r="D1793" s="49"/>
      <c r="E1793" s="49"/>
      <c r="F1793" s="49"/>
      <c r="G1793" s="49"/>
      <c r="H1793" s="49"/>
    </row>
    <row r="1794" spans="2:8" x14ac:dyDescent="0.25">
      <c r="B1794" s="49"/>
      <c r="C1794" s="62"/>
      <c r="D1794" s="49"/>
      <c r="E1794" s="49"/>
      <c r="F1794" s="49"/>
      <c r="G1794" s="49"/>
      <c r="H1794" s="49"/>
    </row>
    <row r="1795" spans="2:8" x14ac:dyDescent="0.25">
      <c r="B1795" s="49"/>
      <c r="C1795" s="62"/>
      <c r="D1795" s="49"/>
      <c r="E1795" s="49"/>
      <c r="F1795" s="49"/>
      <c r="G1795" s="49"/>
      <c r="H1795" s="49"/>
    </row>
    <row r="1796" spans="2:8" x14ac:dyDescent="0.25">
      <c r="B1796" s="49"/>
      <c r="C1796" s="62"/>
      <c r="D1796" s="49"/>
      <c r="E1796" s="49"/>
      <c r="F1796" s="49"/>
      <c r="G1796" s="49"/>
      <c r="H1796" s="49"/>
    </row>
    <row r="1797" spans="2:8" x14ac:dyDescent="0.25">
      <c r="B1797" s="49"/>
      <c r="C1797" s="62"/>
      <c r="D1797" s="49"/>
      <c r="E1797" s="49"/>
      <c r="F1797" s="49"/>
      <c r="G1797" s="49"/>
      <c r="H1797" s="49"/>
    </row>
    <row r="1798" spans="2:8" x14ac:dyDescent="0.25">
      <c r="B1798" s="49"/>
      <c r="C1798" s="62"/>
      <c r="D1798" s="49"/>
      <c r="E1798" s="49"/>
      <c r="F1798" s="49"/>
      <c r="G1798" s="49"/>
      <c r="H1798" s="49"/>
    </row>
    <row r="1799" spans="2:8" x14ac:dyDescent="0.25">
      <c r="B1799" s="49"/>
      <c r="C1799" s="62"/>
      <c r="D1799" s="49"/>
      <c r="E1799" s="49"/>
      <c r="F1799" s="49"/>
      <c r="G1799" s="49"/>
      <c r="H1799" s="49"/>
    </row>
    <row r="1800" spans="2:8" x14ac:dyDescent="0.25">
      <c r="B1800" s="49"/>
      <c r="C1800" s="62"/>
      <c r="D1800" s="49"/>
      <c r="E1800" s="49"/>
      <c r="F1800" s="49"/>
      <c r="G1800" s="49"/>
      <c r="H1800" s="49"/>
    </row>
    <row r="1801" spans="2:8" x14ac:dyDescent="0.25">
      <c r="B1801" s="49"/>
      <c r="C1801" s="62"/>
      <c r="D1801" s="49"/>
      <c r="E1801" s="49"/>
      <c r="F1801" s="49"/>
      <c r="G1801" s="49"/>
      <c r="H1801" s="49"/>
    </row>
    <row r="1802" spans="2:8" x14ac:dyDescent="0.25">
      <c r="B1802" s="49"/>
      <c r="C1802" s="62"/>
      <c r="D1802" s="49"/>
      <c r="E1802" s="49"/>
      <c r="F1802" s="49"/>
      <c r="G1802" s="49"/>
      <c r="H1802" s="49"/>
    </row>
    <row r="1803" spans="2:8" x14ac:dyDescent="0.25">
      <c r="B1803" s="49"/>
      <c r="C1803" s="62"/>
      <c r="D1803" s="49"/>
      <c r="E1803" s="49"/>
      <c r="F1803" s="49"/>
      <c r="G1803" s="49"/>
      <c r="H1803" s="49"/>
    </row>
    <row r="1804" spans="2:8" x14ac:dyDescent="0.25">
      <c r="B1804" s="49"/>
      <c r="C1804" s="62"/>
      <c r="D1804" s="49"/>
      <c r="E1804" s="49"/>
      <c r="F1804" s="49"/>
      <c r="G1804" s="49"/>
      <c r="H1804" s="49"/>
    </row>
    <row r="1805" spans="2:8" x14ac:dyDescent="0.25">
      <c r="B1805" s="49"/>
      <c r="C1805" s="62"/>
      <c r="D1805" s="49"/>
      <c r="E1805" s="49"/>
      <c r="F1805" s="49"/>
      <c r="G1805" s="49"/>
      <c r="H1805" s="49"/>
    </row>
    <row r="1806" spans="2:8" x14ac:dyDescent="0.25">
      <c r="B1806" s="49"/>
      <c r="C1806" s="62"/>
      <c r="D1806" s="49"/>
      <c r="E1806" s="49"/>
      <c r="F1806" s="49"/>
      <c r="G1806" s="49"/>
      <c r="H1806" s="49"/>
    </row>
    <row r="1807" spans="2:8" x14ac:dyDescent="0.25">
      <c r="B1807" s="49"/>
      <c r="C1807" s="62"/>
      <c r="D1807" s="49"/>
      <c r="E1807" s="49"/>
      <c r="F1807" s="49"/>
      <c r="G1807" s="49"/>
      <c r="H1807" s="49"/>
    </row>
    <row r="1808" spans="2:8" x14ac:dyDescent="0.25">
      <c r="B1808" s="49"/>
      <c r="C1808" s="62"/>
      <c r="D1808" s="49"/>
      <c r="E1808" s="49"/>
      <c r="F1808" s="49"/>
      <c r="G1808" s="49"/>
      <c r="H1808" s="49"/>
    </row>
    <row r="1809" spans="2:8" x14ac:dyDescent="0.25">
      <c r="B1809" s="49"/>
      <c r="C1809" s="62"/>
      <c r="D1809" s="49"/>
      <c r="E1809" s="49"/>
      <c r="F1809" s="49"/>
      <c r="G1809" s="49"/>
      <c r="H1809" s="49"/>
    </row>
    <row r="1810" spans="2:8" x14ac:dyDescent="0.25">
      <c r="B1810" s="49"/>
      <c r="C1810" s="62"/>
      <c r="D1810" s="49"/>
      <c r="E1810" s="49"/>
      <c r="F1810" s="49"/>
      <c r="G1810" s="49"/>
      <c r="H1810" s="49"/>
    </row>
    <row r="1811" spans="2:8" x14ac:dyDescent="0.25">
      <c r="B1811" s="49"/>
      <c r="C1811" s="62"/>
      <c r="D1811" s="49"/>
      <c r="E1811" s="49"/>
      <c r="F1811" s="49"/>
      <c r="G1811" s="49"/>
      <c r="H1811" s="49"/>
    </row>
    <row r="1812" spans="2:8" x14ac:dyDescent="0.25">
      <c r="B1812" s="49"/>
      <c r="C1812" s="62"/>
      <c r="D1812" s="49"/>
      <c r="E1812" s="49"/>
      <c r="F1812" s="49"/>
      <c r="G1812" s="49"/>
      <c r="H1812" s="49"/>
    </row>
    <row r="1813" spans="2:8" x14ac:dyDescent="0.25">
      <c r="B1813" s="49"/>
      <c r="C1813" s="62"/>
      <c r="D1813" s="49"/>
      <c r="E1813" s="49"/>
      <c r="F1813" s="49"/>
      <c r="G1813" s="49"/>
      <c r="H1813" s="49"/>
    </row>
    <row r="1814" spans="2:8" x14ac:dyDescent="0.25">
      <c r="B1814" s="49"/>
      <c r="C1814" s="62"/>
      <c r="D1814" s="49"/>
      <c r="E1814" s="49"/>
      <c r="F1814" s="49"/>
      <c r="G1814" s="49"/>
      <c r="H1814" s="49"/>
    </row>
    <row r="1815" spans="2:8" x14ac:dyDescent="0.25">
      <c r="B1815" s="49"/>
      <c r="C1815" s="62"/>
      <c r="D1815" s="49"/>
      <c r="E1815" s="49"/>
      <c r="F1815" s="49"/>
      <c r="G1815" s="49"/>
      <c r="H1815" s="49"/>
    </row>
    <row r="1816" spans="2:8" x14ac:dyDescent="0.25">
      <c r="B1816" s="49"/>
      <c r="C1816" s="62"/>
      <c r="D1816" s="49"/>
      <c r="E1816" s="49"/>
      <c r="F1816" s="49"/>
      <c r="G1816" s="49"/>
      <c r="H1816" s="49"/>
    </row>
    <row r="1817" spans="2:8" x14ac:dyDescent="0.25">
      <c r="B1817" s="49"/>
      <c r="C1817" s="62"/>
      <c r="D1817" s="49"/>
      <c r="E1817" s="49"/>
      <c r="F1817" s="49"/>
      <c r="G1817" s="49"/>
      <c r="H1817" s="49"/>
    </row>
    <row r="1818" spans="2:8" x14ac:dyDescent="0.25">
      <c r="B1818" s="49"/>
      <c r="C1818" s="62"/>
      <c r="D1818" s="49"/>
      <c r="E1818" s="49"/>
      <c r="F1818" s="49"/>
      <c r="G1818" s="49"/>
      <c r="H1818" s="49"/>
    </row>
    <row r="1819" spans="2:8" x14ac:dyDescent="0.25">
      <c r="B1819" s="49"/>
      <c r="C1819" s="62"/>
      <c r="D1819" s="49"/>
      <c r="E1819" s="49"/>
      <c r="F1819" s="49"/>
      <c r="G1819" s="49"/>
      <c r="H1819" s="49"/>
    </row>
    <row r="1820" spans="2:8" x14ac:dyDescent="0.25">
      <c r="B1820" s="49"/>
      <c r="C1820" s="62"/>
      <c r="D1820" s="49"/>
      <c r="E1820" s="49"/>
      <c r="F1820" s="49"/>
      <c r="G1820" s="49"/>
      <c r="H1820" s="49"/>
    </row>
    <row r="1821" spans="2:8" x14ac:dyDescent="0.25">
      <c r="B1821" s="49"/>
      <c r="C1821" s="62"/>
      <c r="D1821" s="49"/>
      <c r="E1821" s="49"/>
      <c r="F1821" s="49"/>
      <c r="G1821" s="49"/>
      <c r="H1821" s="49"/>
    </row>
    <row r="1822" spans="2:8" x14ac:dyDescent="0.25">
      <c r="B1822" s="49"/>
      <c r="C1822" s="62"/>
      <c r="D1822" s="49"/>
      <c r="E1822" s="49"/>
      <c r="F1822" s="49"/>
      <c r="G1822" s="49"/>
      <c r="H1822" s="49"/>
    </row>
    <row r="1823" spans="2:8" x14ac:dyDescent="0.25">
      <c r="B1823" s="49"/>
      <c r="C1823" s="62"/>
      <c r="D1823" s="49"/>
      <c r="E1823" s="49"/>
      <c r="F1823" s="49"/>
      <c r="G1823" s="49"/>
      <c r="H1823" s="49"/>
    </row>
    <row r="1824" spans="2:8" x14ac:dyDescent="0.25">
      <c r="B1824" s="49"/>
      <c r="C1824" s="62"/>
      <c r="D1824" s="49"/>
      <c r="E1824" s="49"/>
      <c r="F1824" s="49"/>
      <c r="G1824" s="49"/>
      <c r="H1824" s="49"/>
    </row>
    <row r="1825" spans="2:8" x14ac:dyDescent="0.25">
      <c r="B1825" s="49"/>
      <c r="C1825" s="62"/>
      <c r="D1825" s="49"/>
      <c r="E1825" s="49"/>
      <c r="F1825" s="49"/>
      <c r="G1825" s="49"/>
      <c r="H1825" s="49"/>
    </row>
    <row r="1826" spans="2:8" x14ac:dyDescent="0.25">
      <c r="B1826" s="49"/>
      <c r="C1826" s="62"/>
      <c r="D1826" s="49"/>
      <c r="E1826" s="49"/>
      <c r="F1826" s="49"/>
      <c r="G1826" s="49"/>
      <c r="H1826" s="49"/>
    </row>
    <row r="1827" spans="2:8" x14ac:dyDescent="0.25">
      <c r="B1827" s="49"/>
      <c r="C1827" s="62"/>
      <c r="D1827" s="49"/>
      <c r="E1827" s="49"/>
      <c r="F1827" s="49"/>
      <c r="G1827" s="49"/>
      <c r="H1827" s="49"/>
    </row>
    <row r="1828" spans="2:8" x14ac:dyDescent="0.25">
      <c r="B1828" s="49"/>
      <c r="C1828" s="62"/>
      <c r="D1828" s="49"/>
      <c r="E1828" s="49"/>
      <c r="F1828" s="49"/>
      <c r="G1828" s="49"/>
      <c r="H1828" s="49"/>
    </row>
    <row r="1829" spans="2:8" x14ac:dyDescent="0.25">
      <c r="B1829" s="49"/>
      <c r="C1829" s="62"/>
      <c r="D1829" s="49"/>
      <c r="E1829" s="49"/>
      <c r="F1829" s="49"/>
      <c r="G1829" s="49"/>
      <c r="H1829" s="49"/>
    </row>
    <row r="1830" spans="2:8" x14ac:dyDescent="0.25">
      <c r="B1830" s="49"/>
      <c r="C1830" s="62"/>
      <c r="D1830" s="49"/>
      <c r="E1830" s="49"/>
      <c r="F1830" s="49"/>
      <c r="G1830" s="49"/>
      <c r="H1830" s="49"/>
    </row>
    <row r="1831" spans="2:8" x14ac:dyDescent="0.25">
      <c r="B1831" s="49"/>
      <c r="C1831" s="62"/>
      <c r="D1831" s="49"/>
      <c r="E1831" s="49"/>
      <c r="F1831" s="49"/>
      <c r="G1831" s="49"/>
      <c r="H1831" s="49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9C63-E13F-439A-9BAB-BEAE833FED9E}">
  <dimension ref="A1:F72"/>
  <sheetViews>
    <sheetView topLeftCell="A31" zoomScaleNormal="100" workbookViewId="0">
      <selection activeCell="D31" sqref="D31"/>
    </sheetView>
  </sheetViews>
  <sheetFormatPr defaultColWidth="8.125" defaultRowHeight="15" x14ac:dyDescent="0.25"/>
  <cols>
    <col min="1" max="1" width="39.875" style="79" bestFit="1" customWidth="1"/>
    <col min="2" max="2" width="22.875" style="79" customWidth="1"/>
    <col min="3" max="3" width="18.875" style="79" customWidth="1"/>
    <col min="4" max="4" width="82.125" style="79" customWidth="1"/>
    <col min="5" max="5" width="19.625" style="79" customWidth="1"/>
    <col min="6" max="6" width="20.875" style="79" bestFit="1" customWidth="1"/>
    <col min="7" max="7" width="48.875" style="79" bestFit="1" customWidth="1"/>
    <col min="8" max="8" width="20.875" style="79" bestFit="1" customWidth="1"/>
    <col min="9" max="9" width="10.625" style="79" bestFit="1" customWidth="1"/>
    <col min="10" max="10" width="8.125" style="79"/>
    <col min="11" max="11" width="20.875" style="79" bestFit="1" customWidth="1"/>
    <col min="12" max="16384" width="8.125" style="79"/>
  </cols>
  <sheetData>
    <row r="1" spans="1:6" ht="16.5" thickBot="1" x14ac:dyDescent="0.3">
      <c r="A1" s="78" t="s">
        <v>74</v>
      </c>
      <c r="B1" s="78" t="s">
        <v>75</v>
      </c>
      <c r="C1" s="78" t="s">
        <v>76</v>
      </c>
      <c r="D1" s="78" t="s">
        <v>77</v>
      </c>
    </row>
    <row r="2" spans="1:6" x14ac:dyDescent="0.25">
      <c r="A2" s="77" t="s">
        <v>78</v>
      </c>
      <c r="B2" s="77"/>
      <c r="C2" s="77">
        <f>'Pay Table'!B2*'Pay Table'!G2</f>
        <v>100</v>
      </c>
      <c r="D2" s="77"/>
      <c r="E2" s="80" t="str">
        <f>'Pay Table'!B6</f>
        <v>WILD</v>
      </c>
      <c r="F2" s="81">
        <f>VLOOKUP(E2,'Pay Table'!$M$3:$N$18,2,FALSE)</f>
        <v>92</v>
      </c>
    </row>
    <row r="3" spans="1:6" x14ac:dyDescent="0.25">
      <c r="A3" s="77" t="s">
        <v>79</v>
      </c>
      <c r="B3" s="77"/>
      <c r="C3" s="77">
        <v>3</v>
      </c>
      <c r="E3" s="65" t="str">
        <f>'Pay Table'!B7</f>
        <v>M1</v>
      </c>
      <c r="F3" s="66">
        <f>VLOOKUP(E3,'Pay Table'!$M$3:$N$18,2,FALSE)</f>
        <v>0</v>
      </c>
    </row>
    <row r="4" spans="1:6" x14ac:dyDescent="0.25">
      <c r="A4" s="77" t="s">
        <v>80</v>
      </c>
      <c r="B4" s="77"/>
      <c r="C4" s="77">
        <v>5</v>
      </c>
      <c r="E4" s="65" t="str">
        <f>'Pay Table'!B8</f>
        <v>M2</v>
      </c>
      <c r="F4" s="66">
        <f>VLOOKUP(E4,'Pay Table'!$M$3:$N$18,2,FALSE)</f>
        <v>1</v>
      </c>
    </row>
    <row r="5" spans="1:6" x14ac:dyDescent="0.25">
      <c r="E5" s="65" t="str">
        <f>'Pay Table'!B9</f>
        <v>M3</v>
      </c>
      <c r="F5" s="66">
        <f>VLOOKUP(E5,'Pay Table'!$M$3:$N$18,2,FALSE)</f>
        <v>2</v>
      </c>
    </row>
    <row r="6" spans="1:6" x14ac:dyDescent="0.25">
      <c r="A6" s="77" t="s">
        <v>81</v>
      </c>
      <c r="B6" s="77"/>
      <c r="C6" s="82"/>
      <c r="D6" s="82" t="str">
        <f>_xlfn.TEXTJOIN(",",TRUE,F3:F11)</f>
        <v>0,1,2,3,4,5,6,7,8</v>
      </c>
      <c r="E6" s="65" t="str">
        <f>'Pay Table'!B10</f>
        <v>M4</v>
      </c>
      <c r="F6" s="66">
        <f>VLOOKUP(E6,'Pay Table'!$M$3:$N$18,2,FALSE)</f>
        <v>3</v>
      </c>
    </row>
    <row r="7" spans="1:6" x14ac:dyDescent="0.25">
      <c r="A7" s="77" t="s">
        <v>82</v>
      </c>
      <c r="B7" s="77"/>
      <c r="C7" s="77"/>
      <c r="D7" s="77">
        <f>F2</f>
        <v>92</v>
      </c>
      <c r="E7" s="65" t="str">
        <f>'Pay Table'!B11</f>
        <v>M5</v>
      </c>
      <c r="F7" s="66">
        <f>VLOOKUP(E7,'Pay Table'!$M$3:$N$18,2,FALSE)</f>
        <v>4</v>
      </c>
    </row>
    <row r="8" spans="1:6" x14ac:dyDescent="0.25">
      <c r="A8" s="77" t="s">
        <v>83</v>
      </c>
      <c r="B8" s="77"/>
      <c r="C8" s="82"/>
      <c r="D8" s="77">
        <f>F13</f>
        <v>94</v>
      </c>
      <c r="E8" s="65" t="str">
        <f>'Pay Table'!B12</f>
        <v>A</v>
      </c>
      <c r="F8" s="66">
        <f>VLOOKUP(E8,'Pay Table'!$M$3:$N$18,2,FALSE)</f>
        <v>5</v>
      </c>
    </row>
    <row r="9" spans="1:6" x14ac:dyDescent="0.25">
      <c r="A9" s="79" t="s">
        <v>274</v>
      </c>
      <c r="D9" s="77">
        <f>F14</f>
        <v>95</v>
      </c>
      <c r="E9" s="65" t="str">
        <f>'Pay Table'!B13</f>
        <v>K</v>
      </c>
      <c r="F9" s="66">
        <f>VLOOKUP(E9,'Pay Table'!$M$3:$N$18,2,FALSE)</f>
        <v>6</v>
      </c>
    </row>
    <row r="10" spans="1:6" x14ac:dyDescent="0.25">
      <c r="A10" s="79" t="s">
        <v>87</v>
      </c>
      <c r="D10" s="77">
        <f>F12</f>
        <v>90</v>
      </c>
      <c r="E10" s="65" t="str">
        <f>'Pay Table'!B14</f>
        <v>Q</v>
      </c>
      <c r="F10" s="66">
        <f>VLOOKUP(E10,'Pay Table'!$M$3:$N$18,2,FALSE)</f>
        <v>7</v>
      </c>
    </row>
    <row r="11" spans="1:6" x14ac:dyDescent="0.25">
      <c r="A11" s="77" t="s">
        <v>84</v>
      </c>
      <c r="D11" s="79" t="str">
        <f>_xlfn.TEXTJOIN(",",TRUE,'#&lt;prize&gt;'!E2:E5)</f>
        <v>111204,111203,111202,111201</v>
      </c>
      <c r="E11" s="65" t="str">
        <f>'Pay Table'!B15</f>
        <v>J</v>
      </c>
      <c r="F11" s="66">
        <f>VLOOKUP(E11,'Pay Table'!$M$3:$N$18,2,FALSE)</f>
        <v>8</v>
      </c>
    </row>
    <row r="12" spans="1:6" x14ac:dyDescent="0.25">
      <c r="E12" s="65" t="str">
        <f>'Pay Table'!B16</f>
        <v>SCATTER</v>
      </c>
      <c r="F12" s="66">
        <f>VLOOKUP(E12,'Pay Table'!$M$3:$N$18,2,FALSE)</f>
        <v>90</v>
      </c>
    </row>
    <row r="13" spans="1:6" x14ac:dyDescent="0.25">
      <c r="A13" s="77" t="s">
        <v>85</v>
      </c>
      <c r="B13" s="77" t="s">
        <v>248</v>
      </c>
      <c r="C13" s="77"/>
      <c r="D13" s="83"/>
      <c r="E13" s="65" t="str">
        <f>'Pay Table'!B17</f>
        <v>LINK</v>
      </c>
      <c r="F13" s="66">
        <f>VLOOKUP(E13,'Pay Table'!$M$3:$N$18,2,FALSE)</f>
        <v>94</v>
      </c>
    </row>
    <row r="14" spans="1:6" ht="15.75" thickBot="1" x14ac:dyDescent="0.3">
      <c r="A14" s="77" t="s">
        <v>86</v>
      </c>
      <c r="B14" s="77"/>
      <c r="C14" s="79">
        <v>0</v>
      </c>
      <c r="E14" s="29" t="s">
        <v>312</v>
      </c>
      <c r="F14" s="28">
        <v>95</v>
      </c>
    </row>
    <row r="15" spans="1:6" x14ac:dyDescent="0.25">
      <c r="E15" s="1"/>
      <c r="F15" s="1"/>
    </row>
    <row r="16" spans="1:6" x14ac:dyDescent="0.25">
      <c r="A16" s="84" t="s">
        <v>318</v>
      </c>
      <c r="D16" s="82" t="str">
        <f>"[1,"&amp;1*10000&amp;"]"</f>
        <v>[1,10000]</v>
      </c>
      <c r="E16" s="1"/>
      <c r="F16" s="1"/>
    </row>
    <row r="17" spans="1:6" x14ac:dyDescent="0.25">
      <c r="A17" s="84"/>
      <c r="D17" s="82"/>
      <c r="E17" s="1"/>
      <c r="F17" s="1"/>
    </row>
    <row r="18" spans="1:6" x14ac:dyDescent="0.25">
      <c r="A18" s="84" t="s">
        <v>346</v>
      </c>
      <c r="D18" s="82" t="str">
        <f>"[1,"&amp;1*10000&amp;"]"</f>
        <v>[1,10000]</v>
      </c>
      <c r="E18" s="1"/>
      <c r="F18" s="1"/>
    </row>
    <row r="19" spans="1:6" x14ac:dyDescent="0.25">
      <c r="A19" s="84"/>
      <c r="D19" s="82"/>
      <c r="E19" s="1"/>
      <c r="F19" s="1"/>
    </row>
    <row r="20" spans="1:6" x14ac:dyDescent="0.25">
      <c r="A20" s="43" t="s">
        <v>257</v>
      </c>
      <c r="B20" s="219"/>
      <c r="C20" s="79">
        <f>'Pay Table'!U3</f>
        <v>3</v>
      </c>
      <c r="E20" s="1"/>
      <c r="F20" s="1"/>
    </row>
    <row r="21" spans="1:6" x14ac:dyDescent="0.25">
      <c r="A21" s="79" t="s">
        <v>258</v>
      </c>
      <c r="C21" s="43">
        <v>3</v>
      </c>
    </row>
    <row r="22" spans="1:6" x14ac:dyDescent="0.25">
      <c r="D22" s="54"/>
    </row>
    <row r="23" spans="1:6" x14ac:dyDescent="0.25">
      <c r="A23" s="79" t="s">
        <v>338</v>
      </c>
      <c r="D23" s="54" t="str">
        <f t="array" ref="D23">_xlfn.TEXTJOIN(",",TRUE,"["&amp;'Base Game '!AC93:AG93&amp;",["&amp;'Base Game '!AC94:AG94*10000&amp;","&amp;10000&amp;"]]")</f>
        <v>[1,[500,10000]],[2,[800,10000]],[3,[3500,10000]],[4,[5000,10000]],[5,[6500,10000]]</v>
      </c>
    </row>
    <row r="24" spans="1:6" x14ac:dyDescent="0.25">
      <c r="A24" s="79" t="s">
        <v>362</v>
      </c>
      <c r="D24" s="54" t="str">
        <f t="array" ref="D24">_xlfn.TEXTJOIN(",",TRUE,"["&amp;'Base Game '!AC93:AG93&amp;",["&amp;'Base Game '!AC95:AG95*10000&amp;","&amp;10000&amp;"]]")</f>
        <v>[1,[2000,10000]],[2,[6000,10000]],[3,[8000,10000]],[4,[8500,10000]],[5,[9000,10000]]</v>
      </c>
    </row>
    <row r="25" spans="1:6" x14ac:dyDescent="0.25">
      <c r="A25" s="79" t="s">
        <v>339</v>
      </c>
      <c r="B25" s="43"/>
      <c r="C25" s="54"/>
      <c r="D25" s="79" t="str">
        <f t="array" ref="D25">_xlfn.TEXTJOIN(",",TRUE,"["&amp;'Base Game '!AC93:AG93&amp;",["&amp;'Base Game '!AC96:AG96*10000&amp;","&amp;10000&amp;"]]")</f>
        <v>[1,[2000,10000]],[2,[6000,10000]],[3,[7000,10000]],[4,[8500,10000]],[5,[9000,10000]]</v>
      </c>
    </row>
    <row r="26" spans="1:6" x14ac:dyDescent="0.25">
      <c r="A26" s="79" t="s">
        <v>340</v>
      </c>
      <c r="B26" s="43"/>
      <c r="D26" s="43" t="str">
        <f t="array" ref="D26">_xlfn.TEXTJOIN(",",TRUE,"["&amp;'Base Game '!AC93:AG93&amp;",["&amp;'Base Game '!AC97:AG97*10000&amp;","&amp;10000&amp;"]]")</f>
        <v>[1,[1000,10000]],[2,[2200,10000]],[3,[4500,10000]],[4,[7500,10000]],[5,[8500,10000]]</v>
      </c>
    </row>
    <row r="27" spans="1:6" x14ac:dyDescent="0.25">
      <c r="A27" s="79" t="s">
        <v>341</v>
      </c>
      <c r="B27" s="43"/>
      <c r="D27" s="54" t="str">
        <f t="array" ref="D27">_xlfn.TEXTJOIN(",",TRUE,"["&amp;'Base Game '!AC93:AG93&amp;",["&amp;'Base Game '!AC98:AG98*10000&amp;","&amp;10000&amp;"]]")</f>
        <v>[1,[1000,10000]],[2,[2200,10000]],[3,[4500,10000]],[4,[7500,10000]],[5,[8500,10000]]</v>
      </c>
    </row>
    <row r="28" spans="1:6" x14ac:dyDescent="0.25">
      <c r="A28" s="79" t="s">
        <v>342</v>
      </c>
      <c r="B28" s="43"/>
      <c r="D28" s="54" t="str">
        <f t="array" ref="D28">_xlfn.TEXTJOIN(",",TRUE,"["&amp;'Base Game '!AC93:AG93&amp;",["&amp;'Base Game '!AC99:AG99*10000&amp;","&amp;10000&amp;"]]")</f>
        <v>[1,[1000,10000]],[2,[2200,10000]],[3,[4500,10000]],[4,[7500,10000]],[5,[8500,10000]]</v>
      </c>
    </row>
    <row r="31" spans="1:6" x14ac:dyDescent="0.25">
      <c r="A31" s="79" t="s">
        <v>260</v>
      </c>
      <c r="D31" s="79" t="str">
        <f t="array" ref="D31">_xlfn.TEXTJOIN(",",TRUE,"["&amp;'Base Game '!O130:R130&amp;","&amp;'Base Game '!O131:R131&amp;"]")</f>
        <v>[3,30],[4,100],[5,50],[6,12]</v>
      </c>
    </row>
    <row r="32" spans="1:6" x14ac:dyDescent="0.25">
      <c r="A32" s="43" t="s">
        <v>343</v>
      </c>
      <c r="D32" s="43" t="str">
        <f t="array" ref="D32">_xlfn.TEXTJOIN(",",TRUE,'Base Game '!U130*100&amp;","&amp;100)</f>
        <v>50,100</v>
      </c>
    </row>
    <row r="33" spans="1:4" x14ac:dyDescent="0.25">
      <c r="A33" s="79" t="s">
        <v>281</v>
      </c>
      <c r="D33" s="79" t="str">
        <f t="array" ref="D33">_xlfn.TEXTJOIN(",",TRUE,"["&amp;'Base Game '!O144:T144&amp;",["&amp;'Base Game '!O148:T148*10000&amp;","&amp;10000&amp;"]]")</f>
        <v>[0,[0,10000]],[1,[5,10000]],[2,[55,10000]],[3,[190,10000]],[4,[300,10000]],[5,[700,10000]]</v>
      </c>
    </row>
    <row r="34" spans="1:4" x14ac:dyDescent="0.25">
      <c r="A34" s="43" t="s">
        <v>311</v>
      </c>
      <c r="B34" s="43"/>
      <c r="D34" s="54" t="str">
        <f t="array" ref="D34">_xlfn.TEXTJOIN(",",TRUE,Respin!P74*10000&amp;","&amp;10000)</f>
        <v>2000,10000</v>
      </c>
    </row>
    <row r="35" spans="1:4" x14ac:dyDescent="0.25">
      <c r="A35" s="43" t="s">
        <v>272</v>
      </c>
      <c r="D35" s="43" t="str">
        <f t="array" ref="D35">_xlfn.TEXTJOIN(",",TRUE,"["&amp;Respin!A38:A50&amp;","&amp;Respin!C22:C34&amp;"]")</f>
        <v>[1,0],[2,2],[3,46],[4,185],[5,7],[6,20],[7,100],[8,250],[9,800],[10,1200],[11,1650],[12,1900],[13,1880]</v>
      </c>
    </row>
    <row r="36" spans="1:4" x14ac:dyDescent="0.25">
      <c r="A36" s="43" t="s">
        <v>273</v>
      </c>
      <c r="D36" s="43" t="str">
        <f t="array" ref="D36">_xlfn.TEXTJOIN(",",TRUE,"["&amp;Respin!A38:A56&amp;","&amp;Respin!C38:C56&amp;"]")</f>
        <v>[1,0],[2,1],[3,8],[4,25],[5,2],[6,3],[7,80],[8,100],[9,250],[10,300],[11,100],[12,0],[13,0],[1000,2],[800,5],[700,15],[500,150],[300,350],[200,700]</v>
      </c>
    </row>
    <row r="37" spans="1:4" x14ac:dyDescent="0.25">
      <c r="A37" s="43"/>
      <c r="D37" s="43"/>
    </row>
    <row r="38" spans="1:4" x14ac:dyDescent="0.25">
      <c r="A38" s="79" t="s">
        <v>271</v>
      </c>
      <c r="D38" s="79" t="str">
        <f t="array" ref="D38">_xlfn.TEXTJOIN(",",TRUE,"["&amp;Respin!A38:A56&amp;","&amp;Respin!C61:C79&amp;"]")</f>
        <v>[1,0],[2,1],[3,20],[4,55],[5,2],[6,8],[7,40],[8,135],[9,250],[10,330],[11,350],[12,750],[13,900],[1000,0],[800,0],[700,0],[500,0],[300,0],[200,0]</v>
      </c>
    </row>
    <row r="39" spans="1:4" x14ac:dyDescent="0.25">
      <c r="A39" s="43" t="s">
        <v>275</v>
      </c>
      <c r="D39" s="43" t="str">
        <f t="array" ref="D39">_xlfn.TEXTJOIN(",",TRUE,"["&amp;Respin!I93:I107&amp;",["&amp;Respin!J93:J107*10000&amp;","&amp;10000&amp;"]]")</f>
        <v>[14,[4000,10000]],[13,[5500,10000]],[12,[5500,10000]],[11,[5500,10000]],[10,[5000,10000]],[9,[4500,10000]],[8,[4000,10000]],[7,[4000,10000]],[6,[4000,10000]],[5,[3000,10000]],[4,[2000,10000]],[3,[1500,10000]],[2,[800,10000]],[1,[500,10000]],[0,[0,10000]]</v>
      </c>
    </row>
    <row r="40" spans="1:4" x14ac:dyDescent="0.25">
      <c r="A40" s="43" t="s">
        <v>276</v>
      </c>
      <c r="D40" s="43" t="str">
        <f t="array" ref="D40">_xlfn.TEXTJOIN(",",TRUE,"["&amp;Respin!L84:L88&amp;","&amp;Respin!M84:M88&amp;"]")</f>
        <v>[5,3],[4,10],[3,15],[2,4],[1,0]</v>
      </c>
    </row>
    <row r="41" spans="1:4" x14ac:dyDescent="0.25">
      <c r="A41" s="79" t="s">
        <v>277</v>
      </c>
      <c r="D41" s="79" t="str">
        <f t="array" ref="D41">_xlfn.TEXTJOIN(",",TRUE,"["&amp;Respin!X93:X110&amp;","&amp;Respin!Z93:Z110&amp;"]")</f>
        <v>[2,0],[3,0],[4,0],[5,0],[6,0],[7,0],[8,0],[9,0],[10,0],[11,0],[12,0],[13,0],[1000,15],[800,50],[700,150],[500,300],[300,350],[200,300]</v>
      </c>
    </row>
    <row r="43" spans="1:4" x14ac:dyDescent="0.25">
      <c r="A43" s="86" t="s">
        <v>385</v>
      </c>
      <c r="D43" s="86" t="str">
        <f t="array" ref="D43">_xlfn.TEXTJOIN(",",TRUE,"["&amp;Respin!P78:P82&amp;",["&amp;Respin!Q78:Q82*100&amp;","&amp;100&amp;"]]")</f>
        <v>[1,[13.5,100]],[2,[14,100]],[3,[11,100]],[4,[10,100]],[5,[10,100]]</v>
      </c>
    </row>
    <row r="44" spans="1:4" x14ac:dyDescent="0.25">
      <c r="A44" s="86"/>
      <c r="D44" s="86"/>
    </row>
    <row r="45" spans="1:4" x14ac:dyDescent="0.25">
      <c r="A45" s="43" t="s">
        <v>332</v>
      </c>
      <c r="D45" s="85" t="str">
        <f t="array" ref="D45">_xlfn.TEXTJOIN(",",TRUE,"["&amp;Respin!A39:A56&amp;","&amp;Respin!M93:M110&amp;"]")</f>
        <v>[2,0],[3,0],[4,100],[5,3],[6,10],[7,50],[8,100],[9,500],[10,800],[11,1000],[12,500],[13,100],[1000,30],[800,80],[700,150],[500,250],[300,1000],[200,2000]</v>
      </c>
    </row>
    <row r="46" spans="1:4" x14ac:dyDescent="0.25">
      <c r="A46" s="43" t="s">
        <v>333</v>
      </c>
      <c r="D46" s="86" t="str">
        <f t="array" ref="D46">_xlfn.TEXTJOIN(",",TRUE,"["&amp;Respin!A39:A56&amp;","&amp;Respin!Q93:Q110&amp;"]")</f>
        <v>[2,0],[3,0],[4,10],[5,1],[6,5],[7,10],[8,50],[9,80],[10,100],[11,150],[12,0],[13,0],[1000,10],[800,30],[700,45],[500,80],[300,150],[200,250]</v>
      </c>
    </row>
    <row r="47" spans="1:4" x14ac:dyDescent="0.25">
      <c r="A47" s="43" t="s">
        <v>334</v>
      </c>
      <c r="D47" s="86" t="str">
        <f t="array" ref="D47">_xlfn.TEXTJOIN(",",TRUE,"["&amp;Respin!A39:A56&amp;","&amp;Respin!U93:U110&amp;"]")</f>
        <v>[2,1],[3,10],[4,150],[5,2],[6,10],[7,250],[8,400],[9,80],[10,30],[11,0],[12,0],[13,0],[1000,28],[800,80],[700,250],[500,350],[300,500],[200,650]</v>
      </c>
    </row>
    <row r="48" spans="1:4" x14ac:dyDescent="0.25">
      <c r="A48" s="43" t="s">
        <v>335</v>
      </c>
      <c r="D48" s="86" t="str">
        <f t="array" ref="D48">_xlfn.TEXTJOIN(",",TRUE,"["&amp;Respin!A39:A56&amp;","&amp;Respin!M115:M132&amp;"]")</f>
        <v>[2,2],[3,35],[4,200],[5,5],[6,25],[7,100],[8,150],[9,400],[10,550],[11,650],[12,450],[13,150],[1000,38],[800,300],[700,450],[500,1300],[300,1800],[200,2000]</v>
      </c>
    </row>
    <row r="49" spans="1:4" x14ac:dyDescent="0.25">
      <c r="A49" s="43" t="s">
        <v>336</v>
      </c>
      <c r="D49" s="79" t="str">
        <f t="array" ref="D49">_xlfn.TEXTJOIN(",",TRUE,"["&amp;Respin!A39:A56&amp;","&amp;Respin!Q115:Q132&amp;"]")</f>
        <v>[2,2],[3,35],[4,150],[5,25],[6,80],[7,450],[8,1000],[9,2500],[10,3500],[11,1500],[12,500],[13,0],[1000,0],[800,0],[700,0],[500,0],[300,0],[200,0]</v>
      </c>
    </row>
    <row r="51" spans="1:4" x14ac:dyDescent="0.25">
      <c r="A51" s="79" t="s">
        <v>329</v>
      </c>
      <c r="D51" s="79" t="str">
        <f t="array" ref="D51">_xlfn.TEXTJOIN(",",TRUE,"["&amp;Respin!B4:B19&amp;",["&amp;Respin!C4:C19*1000&amp;","&amp;1000&amp;"]]")</f>
        <v>[0,[100,1000]],[1,[100,1000]],[2,[100,1000]],[3,[100,1000]],[4,[100,1000]],[5,[100,1000]],[6,[150,1000]],[7,[130,1000]],[8,[70,1000]],[9,[70,1000]],[10,[65,1000]],[11,[60,1000]],[12,[50,1000]],[13,[10,1000]],[14,[1,1000]],[15,[0,1000]]</v>
      </c>
    </row>
    <row r="52" spans="1:4" x14ac:dyDescent="0.25">
      <c r="A52" s="79" t="s">
        <v>330</v>
      </c>
      <c r="D52" s="79" t="str">
        <f t="array" ref="D52">_xlfn.TEXTJOIN(",",TRUE,"["&amp;Respin!B4:B19&amp;",["&amp;Respin!F4:F19*1000&amp;","&amp;1000&amp;"]]")</f>
        <v>[0,[100,1000]],[1,[100,1000]],[2,[100,1000]],[3,[100,1000]],[4,[100,1000]],[5,[100,1000]],[6,[150,1000]],[7,[130,1000]],[8,[70,1000]],[9,[70,1000]],[10,[65,1000]],[11,[60,1000]],[12,[50,1000]],[13,[10,1000]],[14,[1,1000]],[15,[0,1000]]</v>
      </c>
    </row>
    <row r="53" spans="1:4" x14ac:dyDescent="0.25">
      <c r="A53" s="79" t="s">
        <v>331</v>
      </c>
      <c r="D53" s="79" t="str">
        <f t="array" ref="D53">_xlfn.TEXTJOIN(",",TRUE,"["&amp;Respin!B4:B19&amp;",["&amp;Respin!I4:I19*1000&amp;","&amp;1000&amp;"]]")</f>
        <v>[0,[110,1000]],[1,[110,1000]],[2,[110,1000]],[3,[110,1000]],[4,[110,1000]],[5,[110,1000]],[6,[180,1000]],[7,[150,1000]],[8,[70,1000]],[9,[70,1000]],[10,[65,1000]],[11,[60,1000]],[12,[55,1000]],[13,[20,1000]],[14,[1,1000]],[15,[0,1000]]</v>
      </c>
    </row>
    <row r="55" spans="1:4" x14ac:dyDescent="0.25">
      <c r="A55" s="220" t="s">
        <v>304</v>
      </c>
      <c r="D55" s="235" t="s">
        <v>306</v>
      </c>
    </row>
    <row r="56" spans="1:4" x14ac:dyDescent="0.25">
      <c r="A56" s="220" t="s">
        <v>305</v>
      </c>
      <c r="D56" s="235" t="s">
        <v>348</v>
      </c>
    </row>
    <row r="57" spans="1:4" x14ac:dyDescent="0.25">
      <c r="A57" s="43" t="s">
        <v>307</v>
      </c>
      <c r="D57" s="86" t="s">
        <v>308</v>
      </c>
    </row>
    <row r="59" spans="1:4" x14ac:dyDescent="0.25">
      <c r="A59" s="79" t="s">
        <v>320</v>
      </c>
      <c r="D59" s="79" t="s">
        <v>403</v>
      </c>
    </row>
    <row r="60" spans="1:4" x14ac:dyDescent="0.25">
      <c r="A60" s="79" t="s">
        <v>321</v>
      </c>
      <c r="D60" s="79" t="s">
        <v>325</v>
      </c>
    </row>
    <row r="61" spans="1:4" x14ac:dyDescent="0.25">
      <c r="A61" s="79" t="s">
        <v>322</v>
      </c>
      <c r="D61" s="79" t="s">
        <v>326</v>
      </c>
    </row>
    <row r="62" spans="1:4" x14ac:dyDescent="0.25">
      <c r="A62" s="79" t="s">
        <v>323</v>
      </c>
      <c r="D62" s="79" t="s">
        <v>327</v>
      </c>
    </row>
    <row r="63" spans="1:4" x14ac:dyDescent="0.25">
      <c r="A63" s="79" t="s">
        <v>324</v>
      </c>
      <c r="D63" s="79" t="s">
        <v>328</v>
      </c>
    </row>
    <row r="65" spans="1:4" x14ac:dyDescent="0.25">
      <c r="A65" s="79" t="s">
        <v>337</v>
      </c>
      <c r="D65" s="79" t="str">
        <f t="array" ref="D65">_xlfn.TEXTJOIN(",",TRUE,"["&amp;Respin!A39:A56&amp;","&amp;Respin!G39:G56&amp;"]")</f>
        <v>[2,4],[3,4],[4,4],[5,3],[6,3],[7,3],[8,3],[9,2],[10,2],[11,2],[12,1],[13,1],[1000,5],[800,5],[700,5],[500,5],[300,5],[200,5]</v>
      </c>
    </row>
    <row r="66" spans="1:4" x14ac:dyDescent="0.25">
      <c r="A66" s="1" t="s">
        <v>347</v>
      </c>
      <c r="C66" s="82"/>
      <c r="D66" s="79" t="str">
        <f t="array" ref="D66">_xlfn.TEXTJOIN(",",TRUE,"["&amp;'Pay Table'!D5:G5&amp;","&amp;'Pay Table'!D19:G19&amp;"]")</f>
        <v>[3,1],[4,2],[5,3],[6,5]</v>
      </c>
    </row>
    <row r="67" spans="1:4" x14ac:dyDescent="0.25">
      <c r="C67" s="82"/>
      <c r="D67" s="87"/>
    </row>
    <row r="68" spans="1:4" x14ac:dyDescent="0.25">
      <c r="A68" s="79" t="s">
        <v>405</v>
      </c>
      <c r="D68" s="79" t="s">
        <v>407</v>
      </c>
    </row>
    <row r="69" spans="1:4" x14ac:dyDescent="0.25">
      <c r="A69" s="79" t="s">
        <v>404</v>
      </c>
      <c r="D69" s="79" t="s">
        <v>406</v>
      </c>
    </row>
    <row r="70" spans="1:4" x14ac:dyDescent="0.25">
      <c r="A70" s="43"/>
      <c r="D70" s="88"/>
    </row>
    <row r="71" spans="1:4" x14ac:dyDescent="0.25">
      <c r="A71" s="79" t="s">
        <v>415</v>
      </c>
      <c r="D71" s="79" t="str">
        <f>_xlfn.TEXTJOIN(",",TRUE,Respin!J89*10000&amp;","&amp;10000)</f>
        <v>0,10000</v>
      </c>
    </row>
    <row r="72" spans="1:4" x14ac:dyDescent="0.25">
      <c r="A72" s="79" t="s">
        <v>417</v>
      </c>
      <c r="C72" s="79">
        <v>13</v>
      </c>
    </row>
  </sheetData>
  <phoneticPr fontId="7" type="noConversion"/>
  <conditionalFormatting sqref="A1:B1">
    <cfRule type="duplicateValues" dxfId="42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4789-0D43-435B-8CB0-627D5A93E0FD}">
  <dimension ref="A1:AL69"/>
  <sheetViews>
    <sheetView topLeftCell="A13" zoomScale="115" zoomScaleNormal="115" workbookViewId="0">
      <selection activeCell="I19" sqref="I19"/>
    </sheetView>
  </sheetViews>
  <sheetFormatPr defaultRowHeight="15" x14ac:dyDescent="0.25"/>
  <cols>
    <col min="1" max="1" width="37.125" style="43" bestFit="1" customWidth="1"/>
    <col min="2" max="2" width="12.5" style="43" customWidth="1"/>
    <col min="3" max="3" width="11.875" style="43" customWidth="1"/>
    <col min="4" max="4" width="10.125" style="85" customWidth="1"/>
    <col min="5" max="5" width="13.125" style="43" customWidth="1"/>
    <col min="6" max="7" width="9" style="43"/>
    <col min="8" max="8" width="12.5" style="43" bestFit="1" customWidth="1"/>
    <col min="9" max="9" width="12.75" style="43" bestFit="1" customWidth="1"/>
    <col min="10" max="10" width="11.375" style="43" bestFit="1" customWidth="1"/>
    <col min="11" max="12" width="9" style="43"/>
    <col min="13" max="13" width="11.625" style="43" bestFit="1" customWidth="1"/>
    <col min="14" max="14" width="9" style="43"/>
    <col min="15" max="15" width="12.75" style="43" bestFit="1" customWidth="1"/>
    <col min="16" max="16" width="11.625" style="43" bestFit="1" customWidth="1"/>
    <col min="17" max="16384" width="9" style="43"/>
  </cols>
  <sheetData>
    <row r="1" spans="1:38" x14ac:dyDescent="0.25">
      <c r="M1" s="112" t="s">
        <v>170</v>
      </c>
      <c r="N1" s="43" t="s">
        <v>247</v>
      </c>
    </row>
    <row r="2" spans="1:38" x14ac:dyDescent="0.25">
      <c r="A2" s="43" t="s">
        <v>110</v>
      </c>
      <c r="B2" s="85">
        <f>B3+B4+B5</f>
        <v>0.90168195204869739</v>
      </c>
      <c r="N2" s="43" t="s">
        <v>241</v>
      </c>
    </row>
    <row r="3" spans="1:38" x14ac:dyDescent="0.25">
      <c r="A3" s="43" t="s">
        <v>150</v>
      </c>
      <c r="B3" s="85">
        <f>'Base Game '!O161</f>
        <v>0.31446141703140634</v>
      </c>
      <c r="C3" s="85"/>
      <c r="G3" s="1"/>
      <c r="H3" s="1"/>
      <c r="I3" s="1"/>
      <c r="J3" s="1"/>
      <c r="N3" s="43" t="s">
        <v>240</v>
      </c>
    </row>
    <row r="4" spans="1:38" x14ac:dyDescent="0.25">
      <c r="A4" s="43" t="s">
        <v>111</v>
      </c>
      <c r="B4" s="85">
        <f>'Free Game'!O105+'Free Game'!O110</f>
        <v>0.20544369636947532</v>
      </c>
      <c r="C4" s="1"/>
      <c r="D4" s="23"/>
      <c r="G4" s="1"/>
      <c r="H4" s="1"/>
      <c r="I4" s="1"/>
      <c r="J4" s="1"/>
      <c r="N4" s="43" t="s">
        <v>246</v>
      </c>
    </row>
    <row r="5" spans="1:38" x14ac:dyDescent="0.25">
      <c r="A5" s="43" t="s">
        <v>382</v>
      </c>
      <c r="B5" s="85">
        <f>Respin!C85</f>
        <v>0.38177683864781575</v>
      </c>
      <c r="C5" s="99"/>
      <c r="G5" s="1"/>
      <c r="H5" s="1"/>
      <c r="I5" s="1"/>
      <c r="J5" s="1"/>
      <c r="N5" s="43" t="s">
        <v>372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43" t="s">
        <v>112</v>
      </c>
      <c r="B6" s="99">
        <f>'Base Game '!O164</f>
        <v>158.34336735288286</v>
      </c>
      <c r="C6" s="99"/>
      <c r="E6" s="100"/>
      <c r="G6" s="1"/>
      <c r="H6" s="1"/>
      <c r="I6" s="1"/>
      <c r="J6" s="1"/>
      <c r="K6" s="1"/>
      <c r="L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43" t="s">
        <v>383</v>
      </c>
      <c r="B7" s="99">
        <f>'Base Game '!O167</f>
        <v>109.31264771577877</v>
      </c>
      <c r="C7" s="85"/>
      <c r="E7" s="1"/>
      <c r="F7" s="1"/>
      <c r="G7" s="1"/>
      <c r="H7" s="1"/>
      <c r="I7" s="1"/>
      <c r="J7" s="1"/>
      <c r="K7" s="1"/>
      <c r="L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43" t="s">
        <v>384</v>
      </c>
      <c r="B8" s="99">
        <f>1/(1/B6+1/B7)</f>
        <v>64.668573688267685</v>
      </c>
      <c r="C8" s="102"/>
      <c r="E8" s="1"/>
      <c r="F8" s="1"/>
      <c r="G8" s="1"/>
      <c r="H8" s="1"/>
      <c r="I8" s="1"/>
      <c r="J8" s="1"/>
      <c r="K8" s="1"/>
      <c r="L8" s="1"/>
      <c r="M8" s="112" t="s">
        <v>422</v>
      </c>
      <c r="N8" s="112" t="s">
        <v>376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43" t="s">
        <v>253</v>
      </c>
      <c r="B9" s="99">
        <f>Respin!C83</f>
        <v>10.8198532485941</v>
      </c>
      <c r="E9" s="1"/>
      <c r="F9" s="1"/>
      <c r="G9" s="1"/>
      <c r="H9" s="1"/>
      <c r="I9" s="1"/>
      <c r="J9" s="1"/>
      <c r="K9" s="1"/>
      <c r="L9" s="1"/>
      <c r="N9" s="43" t="s">
        <v>380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43" t="s">
        <v>303</v>
      </c>
      <c r="B10" s="99">
        <f>'Free Game'!O107</f>
        <v>8.4583333333333339</v>
      </c>
      <c r="E10" s="1"/>
      <c r="F10" s="1"/>
      <c r="G10" s="1"/>
      <c r="H10" s="1"/>
      <c r="I10" s="1"/>
      <c r="J10" s="1"/>
      <c r="K10" s="1"/>
      <c r="L10" s="1"/>
    </row>
    <row r="11" spans="1:38" x14ac:dyDescent="0.25">
      <c r="A11" s="43" t="s">
        <v>313</v>
      </c>
      <c r="B11" s="99">
        <f>Respin!C84</f>
        <v>41.733037069152395</v>
      </c>
      <c r="F11" s="101"/>
      <c r="H11" s="1"/>
      <c r="I11" s="1"/>
      <c r="J11" s="1"/>
      <c r="K11" s="1"/>
      <c r="L11" s="1"/>
      <c r="M11" s="43" t="s">
        <v>167</v>
      </c>
      <c r="N11" s="43" t="s">
        <v>378</v>
      </c>
    </row>
    <row r="12" spans="1:38" x14ac:dyDescent="0.25">
      <c r="A12" s="43" t="s">
        <v>314</v>
      </c>
      <c r="B12" s="99">
        <f>'Free Game'!O113</f>
        <v>42.438925081433226</v>
      </c>
      <c r="H12" s="1"/>
      <c r="I12" s="1"/>
      <c r="J12" s="1"/>
      <c r="K12" s="1"/>
      <c r="L12" s="1"/>
      <c r="N12" s="43" t="s">
        <v>381</v>
      </c>
    </row>
    <row r="13" spans="1:38" ht="15.75" thickBot="1" x14ac:dyDescent="0.3">
      <c r="H13" s="1"/>
      <c r="I13" s="1"/>
      <c r="J13" s="1"/>
      <c r="K13" s="1"/>
      <c r="L13" s="1"/>
      <c r="N13" s="43" t="s">
        <v>423</v>
      </c>
    </row>
    <row r="14" spans="1:38" ht="16.5" thickTop="1" thickBot="1" x14ac:dyDescent="0.3">
      <c r="A14" s="188"/>
      <c r="B14" s="189" t="s">
        <v>160</v>
      </c>
      <c r="C14" s="189" t="s">
        <v>161</v>
      </c>
      <c r="D14" s="272" t="s">
        <v>162</v>
      </c>
      <c r="E14" s="190" t="s">
        <v>149</v>
      </c>
      <c r="H14" s="1"/>
      <c r="I14" s="1"/>
      <c r="J14" s="1"/>
      <c r="K14" s="1"/>
      <c r="L14" s="1"/>
    </row>
    <row r="15" spans="1:38" ht="15.75" thickTop="1" x14ac:dyDescent="0.25">
      <c r="A15" s="188" t="s">
        <v>163</v>
      </c>
      <c r="B15" s="191">
        <v>0.34054699999999999</v>
      </c>
      <c r="C15" s="192">
        <f t="shared" ref="C15:C20" si="0">1/B15</f>
        <v>2.936452237136137</v>
      </c>
      <c r="D15" s="193">
        <f>E15/B15</f>
        <v>0.9234009315348729</v>
      </c>
      <c r="E15" s="194">
        <f>'Base Game '!O161</f>
        <v>0.31446141703140634</v>
      </c>
      <c r="H15" s="1"/>
      <c r="I15" s="1"/>
      <c r="J15" s="1"/>
      <c r="K15" s="1"/>
      <c r="L15" s="1"/>
      <c r="M15" s="1" t="s">
        <v>399</v>
      </c>
      <c r="N15" s="1" t="s">
        <v>424</v>
      </c>
      <c r="O15" s="1"/>
      <c r="P15" s="1"/>
      <c r="Q15" s="1"/>
      <c r="R15" s="1"/>
    </row>
    <row r="16" spans="1:38" x14ac:dyDescent="0.25">
      <c r="A16" s="234" t="s">
        <v>299</v>
      </c>
      <c r="B16" s="196">
        <f>'Base Game '!O163</f>
        <v>6.3153892500682225E-3</v>
      </c>
      <c r="C16" s="232">
        <f t="shared" si="0"/>
        <v>158.34336735288286</v>
      </c>
      <c r="D16" s="233">
        <f>'Free Game'!O108</f>
        <v>23.503155060082648</v>
      </c>
      <c r="E16" s="197">
        <f>'Free Game'!O105</f>
        <v>0.15543157280913253</v>
      </c>
      <c r="F16" s="85"/>
      <c r="H16" s="1"/>
      <c r="I16" s="1"/>
      <c r="J16" s="1"/>
      <c r="K16" s="1"/>
      <c r="L16" s="1"/>
      <c r="N16" s="43" t="s">
        <v>425</v>
      </c>
    </row>
    <row r="17" spans="1:18" x14ac:dyDescent="0.25">
      <c r="A17" s="195" t="s">
        <v>297</v>
      </c>
      <c r="B17" s="196">
        <f>'Base Game '!O166</f>
        <v>9.1480722578422616E-3</v>
      </c>
      <c r="C17" s="232">
        <f t="shared" si="0"/>
        <v>109.31264771577877</v>
      </c>
      <c r="D17" s="233">
        <f>Respin!C84</f>
        <v>41.733037069152395</v>
      </c>
      <c r="E17" s="197">
        <f>B5</f>
        <v>0.38177683864781575</v>
      </c>
      <c r="H17" s="1"/>
      <c r="I17" s="1"/>
      <c r="J17" s="1"/>
      <c r="K17" s="1"/>
      <c r="L17" s="1"/>
    </row>
    <row r="18" spans="1:18" x14ac:dyDescent="0.25">
      <c r="A18" s="195" t="s">
        <v>301</v>
      </c>
      <c r="B18" s="196">
        <f>'Free Game'!O111</f>
        <v>2.2061040933857703E-2</v>
      </c>
      <c r="C18" s="232">
        <f t="shared" si="0"/>
        <v>45.328776778854156</v>
      </c>
      <c r="D18" s="233">
        <f>'Free Game'!O113</f>
        <v>42.438925081433226</v>
      </c>
      <c r="E18" s="197">
        <f>'Base Game '!O163*'Free Game'!O113*'Free Game'!O111*'Free Game'!O107</f>
        <v>5.0012123560342778E-2</v>
      </c>
      <c r="F18" s="85"/>
      <c r="H18" s="1"/>
      <c r="I18" s="1"/>
      <c r="J18" s="1"/>
      <c r="K18" s="1"/>
      <c r="L18" s="1"/>
      <c r="M18" s="1" t="s">
        <v>400</v>
      </c>
      <c r="N18" s="112" t="s">
        <v>426</v>
      </c>
      <c r="O18" s="1"/>
      <c r="P18" s="1"/>
      <c r="Q18" s="1"/>
      <c r="R18" s="1"/>
    </row>
    <row r="19" spans="1:18" x14ac:dyDescent="0.25">
      <c r="A19" s="195" t="s">
        <v>298</v>
      </c>
      <c r="B19" s="196">
        <f>'Base Game '!O166+'Base Game '!O163*'Free Game'!O107*'Free Game'!O111</f>
        <v>1.032652160509547E-2</v>
      </c>
      <c r="C19" s="232">
        <f t="shared" si="0"/>
        <v>96.838029129437416</v>
      </c>
      <c r="D19" s="233">
        <f>Respin!C84+'Base Game '!O163*'Free Game'!O107*'Free Game'!O111*'Free Game'!O113</f>
        <v>41.783049192712738</v>
      </c>
      <c r="E19" s="197">
        <f>D19*B19</f>
        <v>0.43147356021531491</v>
      </c>
      <c r="H19" s="1"/>
      <c r="I19" s="1"/>
      <c r="J19" s="1"/>
      <c r="K19" s="1"/>
      <c r="L19" s="1"/>
      <c r="M19" s="1"/>
      <c r="N19" s="1" t="s">
        <v>375</v>
      </c>
      <c r="O19" s="1"/>
      <c r="P19" s="1"/>
      <c r="Q19" s="1"/>
      <c r="R19" s="1"/>
    </row>
    <row r="20" spans="1:18" ht="15.75" thickBot="1" x14ac:dyDescent="0.3">
      <c r="A20" s="198" t="s">
        <v>300</v>
      </c>
      <c r="B20" s="199">
        <f>'Base Game '!O163</f>
        <v>6.3153892500682225E-3</v>
      </c>
      <c r="C20" s="200">
        <f t="shared" si="0"/>
        <v>158.34336735288286</v>
      </c>
      <c r="D20" s="201">
        <f>E20/B20</f>
        <v>32.530646684565951</v>
      </c>
      <c r="E20" s="202">
        <f>E16+E18</f>
        <v>0.20544369636947529</v>
      </c>
      <c r="H20" s="1"/>
      <c r="I20" s="1"/>
      <c r="J20" s="1"/>
      <c r="K20" s="1"/>
      <c r="L20" s="1"/>
    </row>
    <row r="21" spans="1:18" ht="16.5" thickTop="1" thickBot="1" x14ac:dyDescent="0.3">
      <c r="A21" s="111"/>
      <c r="B21" s="203"/>
      <c r="C21" s="111"/>
      <c r="D21" s="203"/>
      <c r="E21" s="111"/>
      <c r="H21" s="1"/>
      <c r="I21" s="1"/>
      <c r="J21" s="1"/>
      <c r="K21" s="1"/>
      <c r="L21" s="1"/>
      <c r="M21" s="43" t="s">
        <v>373</v>
      </c>
      <c r="N21" s="43" t="s">
        <v>427</v>
      </c>
    </row>
    <row r="22" spans="1:18" ht="16.5" thickTop="1" thickBot="1" x14ac:dyDescent="0.3">
      <c r="A22" s="204" t="s">
        <v>171</v>
      </c>
      <c r="B22" s="205" t="s">
        <v>160</v>
      </c>
      <c r="C22" s="205" t="s">
        <v>161</v>
      </c>
      <c r="D22" s="273" t="s">
        <v>162</v>
      </c>
      <c r="E22" s="206" t="s">
        <v>149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thickTop="1" x14ac:dyDescent="0.25">
      <c r="A23" s="207" t="s">
        <v>163</v>
      </c>
      <c r="B23" s="208">
        <f>竞品数据统计!H2</f>
        <v>0.34974093264248707</v>
      </c>
      <c r="C23" s="228">
        <f>1/B23</f>
        <v>2.8592592592592592</v>
      </c>
      <c r="D23" s="209">
        <f>E23/B23</f>
        <v>0.94701978011911447</v>
      </c>
      <c r="E23" s="210">
        <f>竞品数据统计!I2</f>
        <v>0.33121158112974214</v>
      </c>
      <c r="F23" s="309" t="s">
        <v>428</v>
      </c>
      <c r="I23" s="1"/>
      <c r="J23" s="1"/>
      <c r="K23" s="1"/>
      <c r="L23" s="1"/>
      <c r="M23" s="1" t="s">
        <v>379</v>
      </c>
      <c r="N23" s="37" t="s">
        <v>429</v>
      </c>
      <c r="O23" s="1"/>
      <c r="P23" s="1"/>
      <c r="Q23" s="1"/>
      <c r="R23" s="1"/>
    </row>
    <row r="24" spans="1:18" x14ac:dyDescent="0.25">
      <c r="A24" s="211" t="s">
        <v>238</v>
      </c>
      <c r="B24" s="212">
        <f>竞品数据统计!K2</f>
        <v>7.7720207253886009E-3</v>
      </c>
      <c r="C24" s="229">
        <f>1/B24</f>
        <v>128.66666666666666</v>
      </c>
      <c r="D24" s="213">
        <f>竞品数据统计!K4</f>
        <v>43.410256410256409</v>
      </c>
      <c r="E24" s="214">
        <f>竞品数据统计!K6</f>
        <v>0.33738541251494619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 thickBot="1" x14ac:dyDescent="0.3">
      <c r="A25" s="215" t="s">
        <v>239</v>
      </c>
      <c r="B25" s="216">
        <f>竞品数据统计!S2</f>
        <v>9.0673575129533671E-3</v>
      </c>
      <c r="C25" s="230">
        <f>1/B25</f>
        <v>110.28571428571429</v>
      </c>
      <c r="D25" s="217">
        <f>竞品数据统计!S4</f>
        <v>25.562857142857144</v>
      </c>
      <c r="E25" s="218">
        <f>竞品数据统计!S7</f>
        <v>0.23178756476683937</v>
      </c>
      <c r="I25" s="1"/>
      <c r="J25" s="1"/>
      <c r="K25" s="1"/>
      <c r="L25" s="1"/>
      <c r="M25" s="1" t="s">
        <v>416</v>
      </c>
      <c r="N25" s="1" t="s">
        <v>430</v>
      </c>
      <c r="O25" s="1"/>
      <c r="P25" s="1"/>
      <c r="Q25" s="1"/>
      <c r="R25" s="1"/>
    </row>
    <row r="26" spans="1:18" ht="15.75" thickTop="1" x14ac:dyDescent="0.25">
      <c r="B26" s="85"/>
      <c r="E26" s="85"/>
      <c r="I26" s="1"/>
      <c r="J26" s="1"/>
      <c r="K26" s="1"/>
      <c r="L26" s="1"/>
      <c r="M26" s="1"/>
      <c r="N26" s="1" t="s">
        <v>431</v>
      </c>
      <c r="O26" s="1"/>
      <c r="P26" s="1"/>
      <c r="Q26" s="1"/>
      <c r="R26" s="1"/>
    </row>
    <row r="27" spans="1:18" x14ac:dyDescent="0.25">
      <c r="F27" s="85"/>
      <c r="I27" s="1"/>
      <c r="J27" s="1"/>
      <c r="K27" s="1"/>
      <c r="L27" s="1"/>
      <c r="M27" s="1"/>
      <c r="N27" s="1" t="s">
        <v>432</v>
      </c>
      <c r="O27" s="1"/>
      <c r="P27" s="1"/>
      <c r="Q27" s="1"/>
      <c r="R27" s="1"/>
    </row>
    <row r="28" spans="1:18" x14ac:dyDescent="0.25">
      <c r="D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J29" s="1"/>
      <c r="K29" s="1"/>
      <c r="M29" s="43" t="s">
        <v>421</v>
      </c>
      <c r="N29" s="43" t="s">
        <v>433</v>
      </c>
    </row>
    <row r="30" spans="1:18" x14ac:dyDescent="0.25">
      <c r="A30" s="1"/>
      <c r="B30" s="1"/>
      <c r="C30" s="1"/>
      <c r="D30" s="23"/>
      <c r="E30" s="1"/>
      <c r="F30" s="1"/>
      <c r="N30" s="43" t="s">
        <v>434</v>
      </c>
    </row>
    <row r="31" spans="1:18" x14ac:dyDescent="0.25">
      <c r="A31" s="1"/>
      <c r="B31" s="1"/>
      <c r="C31" s="1"/>
      <c r="D31" s="23"/>
      <c r="E31" s="1"/>
      <c r="F31" s="1"/>
    </row>
    <row r="32" spans="1:18" ht="15.75" thickBot="1" x14ac:dyDescent="0.3">
      <c r="A32" s="1" t="s">
        <v>106</v>
      </c>
      <c r="B32" s="1" t="s">
        <v>107</v>
      </c>
      <c r="C32" s="1" t="s">
        <v>108</v>
      </c>
      <c r="D32" s="110" t="s">
        <v>109</v>
      </c>
      <c r="E32" s="1"/>
      <c r="M32" s="43" t="s">
        <v>435</v>
      </c>
      <c r="N32" s="43" t="s">
        <v>436</v>
      </c>
    </row>
    <row r="33" spans="1:14" x14ac:dyDescent="0.25">
      <c r="A33" s="32">
        <v>1112</v>
      </c>
      <c r="B33" s="33" t="s">
        <v>89</v>
      </c>
      <c r="C33" s="33" t="s">
        <v>90</v>
      </c>
      <c r="D33" s="274">
        <v>1.5E-5</v>
      </c>
      <c r="E33" s="1"/>
      <c r="F33" s="1"/>
      <c r="G33" s="1"/>
      <c r="H33" s="1"/>
      <c r="I33" s="1"/>
      <c r="N33" s="43" t="s">
        <v>437</v>
      </c>
    </row>
    <row r="34" spans="1:14" x14ac:dyDescent="0.25">
      <c r="A34" s="26">
        <v>1112</v>
      </c>
      <c r="B34" s="311" t="s">
        <v>89</v>
      </c>
      <c r="C34" s="311" t="s">
        <v>91</v>
      </c>
      <c r="D34" s="275">
        <v>1.56E-4</v>
      </c>
      <c r="E34" s="1"/>
      <c r="F34" s="1"/>
      <c r="G34" s="1"/>
      <c r="H34" s="1"/>
      <c r="I34" s="1"/>
    </row>
    <row r="35" spans="1:14" x14ac:dyDescent="0.25">
      <c r="A35" s="26">
        <v>1112</v>
      </c>
      <c r="B35" s="311" t="s">
        <v>89</v>
      </c>
      <c r="C35" s="311" t="s">
        <v>92</v>
      </c>
      <c r="D35" s="275">
        <v>3.86E-4</v>
      </c>
      <c r="E35" s="1"/>
      <c r="F35" s="1"/>
      <c r="G35" s="1"/>
      <c r="H35" s="1"/>
      <c r="I35" s="1"/>
      <c r="M35" s="43" t="s">
        <v>439</v>
      </c>
      <c r="N35" s="43" t="s">
        <v>441</v>
      </c>
    </row>
    <row r="36" spans="1:14" x14ac:dyDescent="0.25">
      <c r="A36" s="26">
        <v>1112</v>
      </c>
      <c r="B36" s="311" t="s">
        <v>89</v>
      </c>
      <c r="C36" s="311" t="s">
        <v>93</v>
      </c>
      <c r="D36" s="275">
        <v>7.2400000000000003E-4</v>
      </c>
      <c r="E36" s="1"/>
      <c r="F36" s="1"/>
      <c r="G36" s="1"/>
      <c r="H36" s="1"/>
      <c r="I36" s="1"/>
    </row>
    <row r="37" spans="1:14" x14ac:dyDescent="0.25">
      <c r="A37" s="26">
        <v>1112</v>
      </c>
      <c r="B37" s="311" t="s">
        <v>89</v>
      </c>
      <c r="C37" s="311" t="s">
        <v>94</v>
      </c>
      <c r="D37" s="275">
        <v>2.7290000000000001E-3</v>
      </c>
      <c r="E37" s="23"/>
      <c r="F37" s="1"/>
      <c r="G37" s="1"/>
      <c r="H37" s="1"/>
      <c r="I37" s="1"/>
      <c r="M37" s="43" t="s">
        <v>440</v>
      </c>
      <c r="N37" s="112" t="s">
        <v>442</v>
      </c>
    </row>
    <row r="38" spans="1:14" x14ac:dyDescent="0.25">
      <c r="A38" s="26">
        <v>1112</v>
      </c>
      <c r="B38" s="311" t="s">
        <v>89</v>
      </c>
      <c r="C38" s="311" t="s">
        <v>95</v>
      </c>
      <c r="D38" s="275">
        <v>1.4369999999999999E-3</v>
      </c>
      <c r="E38" s="23"/>
      <c r="F38" s="1"/>
      <c r="G38" s="1"/>
      <c r="H38" s="1"/>
      <c r="I38" s="1"/>
    </row>
    <row r="39" spans="1:14" x14ac:dyDescent="0.25">
      <c r="A39" s="26">
        <v>1112</v>
      </c>
      <c r="B39" s="311" t="s">
        <v>89</v>
      </c>
      <c r="C39" s="311" t="s">
        <v>96</v>
      </c>
      <c r="D39" s="275">
        <v>4.7530000000000003E-3</v>
      </c>
      <c r="E39" s="1"/>
      <c r="F39" s="1"/>
      <c r="G39" s="1"/>
      <c r="H39" s="1"/>
      <c r="I39" s="1"/>
    </row>
    <row r="40" spans="1:14" x14ac:dyDescent="0.25">
      <c r="A40" s="26">
        <v>1112</v>
      </c>
      <c r="B40" s="311" t="s">
        <v>89</v>
      </c>
      <c r="C40" s="311" t="s">
        <v>97</v>
      </c>
      <c r="D40" s="275">
        <v>3.0869999999999999E-3</v>
      </c>
      <c r="E40" s="1"/>
      <c r="F40" s="1"/>
      <c r="G40" s="1"/>
      <c r="H40" s="1"/>
      <c r="I40" s="1"/>
    </row>
    <row r="41" spans="1:14" x14ac:dyDescent="0.25">
      <c r="A41" s="26">
        <v>1112</v>
      </c>
      <c r="B41" s="311" t="s">
        <v>89</v>
      </c>
      <c r="C41" s="311" t="s">
        <v>98</v>
      </c>
      <c r="D41" s="275">
        <v>2.0333E-2</v>
      </c>
      <c r="E41" s="1"/>
      <c r="F41" s="1"/>
      <c r="G41" s="1"/>
      <c r="H41" s="1"/>
      <c r="I41" s="1"/>
    </row>
    <row r="42" spans="1:14" x14ac:dyDescent="0.25">
      <c r="A42" s="26">
        <v>1112</v>
      </c>
      <c r="B42" s="311" t="s">
        <v>89</v>
      </c>
      <c r="C42" s="311" t="s">
        <v>99</v>
      </c>
      <c r="D42" s="275">
        <v>3.2659000000000001E-2</v>
      </c>
      <c r="E42" s="1"/>
      <c r="F42" s="1"/>
      <c r="G42" s="1"/>
      <c r="H42" s="1"/>
      <c r="I42" s="1"/>
    </row>
    <row r="43" spans="1:14" x14ac:dyDescent="0.25">
      <c r="A43" s="26">
        <v>1112</v>
      </c>
      <c r="B43" s="311" t="s">
        <v>89</v>
      </c>
      <c r="C43" s="311" t="s">
        <v>100</v>
      </c>
      <c r="D43" s="275">
        <v>6.3164999999999999E-2</v>
      </c>
      <c r="E43" s="1"/>
      <c r="F43" s="1"/>
      <c r="G43" s="1"/>
      <c r="H43" s="1"/>
      <c r="I43" s="1"/>
    </row>
    <row r="44" spans="1:14" x14ac:dyDescent="0.25">
      <c r="A44" s="26">
        <v>1112</v>
      </c>
      <c r="B44" s="311" t="s">
        <v>89</v>
      </c>
      <c r="C44" s="311" t="s">
        <v>101</v>
      </c>
      <c r="D44" s="275">
        <v>0.10517799999999999</v>
      </c>
      <c r="E44" s="1"/>
      <c r="F44" s="1"/>
      <c r="G44" s="1"/>
      <c r="H44" s="1"/>
      <c r="I44" s="1"/>
    </row>
    <row r="45" spans="1:14" x14ac:dyDescent="0.25">
      <c r="A45" s="26">
        <v>1112</v>
      </c>
      <c r="B45" s="311" t="s">
        <v>89</v>
      </c>
      <c r="C45" s="311" t="s">
        <v>365</v>
      </c>
      <c r="D45" s="275">
        <v>3.8469999999999997E-2</v>
      </c>
      <c r="E45" s="1"/>
      <c r="F45" s="1"/>
      <c r="G45" s="1"/>
      <c r="H45" s="1"/>
      <c r="I45" s="1"/>
    </row>
    <row r="46" spans="1:14" x14ac:dyDescent="0.25">
      <c r="A46" s="26">
        <v>1112</v>
      </c>
      <c r="B46" s="311" t="s">
        <v>89</v>
      </c>
      <c r="C46" s="311" t="s">
        <v>366</v>
      </c>
      <c r="D46" s="275">
        <v>7.2677000000000005E-2</v>
      </c>
      <c r="E46" s="1"/>
      <c r="F46" s="1"/>
      <c r="G46" s="1"/>
      <c r="H46" s="1"/>
      <c r="I46" s="1"/>
    </row>
    <row r="47" spans="1:14" ht="15.75" thickBot="1" x14ac:dyDescent="0.3">
      <c r="A47" s="29">
        <v>1112</v>
      </c>
      <c r="B47" s="34" t="s">
        <v>89</v>
      </c>
      <c r="C47" s="34" t="s">
        <v>102</v>
      </c>
      <c r="D47" s="276">
        <v>0.65423100000000001</v>
      </c>
      <c r="F47" s="1"/>
      <c r="G47" s="1"/>
      <c r="H47" s="1"/>
      <c r="I47" s="1"/>
    </row>
    <row r="48" spans="1:14" x14ac:dyDescent="0.25">
      <c r="A48" s="32">
        <v>1112</v>
      </c>
      <c r="B48" s="33" t="s">
        <v>155</v>
      </c>
      <c r="C48" s="33" t="s">
        <v>104</v>
      </c>
      <c r="D48" s="274">
        <v>1.5792798483891344E-4</v>
      </c>
      <c r="F48" s="1"/>
      <c r="G48" s="1"/>
      <c r="H48" s="1"/>
      <c r="I48" s="1"/>
    </row>
    <row r="49" spans="1:9" x14ac:dyDescent="0.25">
      <c r="A49" s="26">
        <v>1112</v>
      </c>
      <c r="B49" s="311" t="s">
        <v>155</v>
      </c>
      <c r="C49" s="311" t="s">
        <v>105</v>
      </c>
      <c r="D49" s="275">
        <v>4.421983575489577E-3</v>
      </c>
      <c r="F49" s="1"/>
      <c r="G49" s="1"/>
      <c r="H49" s="1"/>
      <c r="I49" s="1"/>
    </row>
    <row r="50" spans="1:9" x14ac:dyDescent="0.25">
      <c r="A50" s="26">
        <v>1112</v>
      </c>
      <c r="B50" s="311" t="s">
        <v>155</v>
      </c>
      <c r="C50" s="311" t="s">
        <v>90</v>
      </c>
      <c r="D50" s="275">
        <v>4.2166771951989895E-2</v>
      </c>
      <c r="F50" s="1"/>
      <c r="G50" s="1"/>
      <c r="H50" s="1"/>
      <c r="I50" s="1"/>
    </row>
    <row r="51" spans="1:9" x14ac:dyDescent="0.25">
      <c r="A51" s="26">
        <v>1112</v>
      </c>
      <c r="B51" s="311" t="s">
        <v>155</v>
      </c>
      <c r="C51" s="311" t="s">
        <v>91</v>
      </c>
      <c r="D51" s="275">
        <v>0.14971572962728996</v>
      </c>
      <c r="F51" s="1"/>
      <c r="G51" s="1"/>
      <c r="H51" s="1"/>
      <c r="I51" s="1"/>
    </row>
    <row r="52" spans="1:9" x14ac:dyDescent="0.25">
      <c r="A52" s="26">
        <v>1112</v>
      </c>
      <c r="B52" s="311" t="s">
        <v>155</v>
      </c>
      <c r="C52" s="311" t="s">
        <v>92</v>
      </c>
      <c r="D52" s="275">
        <v>0.1866708780795957</v>
      </c>
      <c r="F52" s="1"/>
      <c r="G52" s="1"/>
      <c r="H52" s="1"/>
      <c r="I52" s="1"/>
    </row>
    <row r="53" spans="1:9" x14ac:dyDescent="0.25">
      <c r="A53" s="26">
        <v>1112</v>
      </c>
      <c r="B53" s="311" t="s">
        <v>155</v>
      </c>
      <c r="C53" s="311" t="s">
        <v>93</v>
      </c>
      <c r="D53" s="275">
        <v>0.15240050536955149</v>
      </c>
      <c r="F53" s="1"/>
      <c r="G53" s="1"/>
      <c r="H53" s="1"/>
      <c r="I53" s="1"/>
    </row>
    <row r="54" spans="1:9" x14ac:dyDescent="0.25">
      <c r="A54" s="26">
        <v>1112</v>
      </c>
      <c r="B54" s="311" t="s">
        <v>155</v>
      </c>
      <c r="C54" s="311" t="s">
        <v>94</v>
      </c>
      <c r="D54" s="275">
        <v>0.25063171193935563</v>
      </c>
      <c r="F54" s="1"/>
      <c r="G54" s="1"/>
      <c r="H54" s="1"/>
      <c r="I54" s="1"/>
    </row>
    <row r="55" spans="1:9" x14ac:dyDescent="0.25">
      <c r="A55" s="26">
        <v>1112</v>
      </c>
      <c r="B55" s="311" t="s">
        <v>155</v>
      </c>
      <c r="C55" s="311" t="s">
        <v>95</v>
      </c>
      <c r="D55" s="275">
        <v>6.4750473783954515E-2</v>
      </c>
      <c r="F55" s="1"/>
      <c r="G55" s="1"/>
      <c r="H55" s="1"/>
      <c r="I55" s="1"/>
    </row>
    <row r="56" spans="1:9" x14ac:dyDescent="0.25">
      <c r="A56" s="26">
        <v>1112</v>
      </c>
      <c r="B56" s="311" t="s">
        <v>155</v>
      </c>
      <c r="C56" s="311" t="s">
        <v>96</v>
      </c>
      <c r="D56" s="275">
        <v>9.6020214782059382E-2</v>
      </c>
      <c r="F56" s="1"/>
      <c r="G56" s="1"/>
      <c r="H56" s="1"/>
      <c r="I56" s="1"/>
    </row>
    <row r="57" spans="1:9" x14ac:dyDescent="0.25">
      <c r="A57" s="26">
        <v>1112</v>
      </c>
      <c r="B57" s="311" t="s">
        <v>155</v>
      </c>
      <c r="C57" s="311" t="s">
        <v>97</v>
      </c>
      <c r="D57" s="275">
        <v>2.9374605180037903E-2</v>
      </c>
      <c r="F57" s="1"/>
      <c r="G57" s="1"/>
      <c r="H57" s="1"/>
      <c r="I57" s="1"/>
    </row>
    <row r="58" spans="1:9" ht="15.75" thickBot="1" x14ac:dyDescent="0.3">
      <c r="A58" s="29">
        <v>1112</v>
      </c>
      <c r="B58" s="34" t="s">
        <v>155</v>
      </c>
      <c r="C58" s="34" t="s">
        <v>98</v>
      </c>
      <c r="D58" s="276">
        <v>2.3689197725837018E-2</v>
      </c>
      <c r="F58" s="1"/>
      <c r="G58" s="1"/>
      <c r="H58" s="1"/>
      <c r="I58" s="1"/>
    </row>
    <row r="59" spans="1:9" x14ac:dyDescent="0.25">
      <c r="A59" s="32">
        <v>1112</v>
      </c>
      <c r="B59" s="33" t="s">
        <v>103</v>
      </c>
      <c r="C59" s="33" t="s">
        <v>104</v>
      </c>
      <c r="D59" s="274">
        <v>1.9201228878648233E-4</v>
      </c>
      <c r="F59" s="1"/>
      <c r="G59" s="1"/>
      <c r="H59" s="1"/>
      <c r="I59" s="1"/>
    </row>
    <row r="60" spans="1:9" x14ac:dyDescent="0.25">
      <c r="A60" s="26">
        <v>1112</v>
      </c>
      <c r="B60" s="311" t="s">
        <v>103</v>
      </c>
      <c r="C60" s="311" t="s">
        <v>105</v>
      </c>
      <c r="D60" s="275">
        <v>5.8563748079877116E-3</v>
      </c>
      <c r="F60" s="1"/>
      <c r="G60" s="1"/>
      <c r="H60" s="1"/>
      <c r="I60" s="1"/>
    </row>
    <row r="61" spans="1:9" x14ac:dyDescent="0.25">
      <c r="A61" s="26">
        <v>1112</v>
      </c>
      <c r="B61" s="311" t="s">
        <v>103</v>
      </c>
      <c r="C61" s="311" t="s">
        <v>90</v>
      </c>
      <c r="D61" s="275">
        <v>4.1666666666666664E-2</v>
      </c>
      <c r="F61" s="1"/>
      <c r="G61" s="1"/>
      <c r="H61" s="1"/>
      <c r="I61" s="1"/>
    </row>
    <row r="62" spans="1:9" x14ac:dyDescent="0.25">
      <c r="A62" s="26">
        <v>1112</v>
      </c>
      <c r="B62" s="311" t="s">
        <v>103</v>
      </c>
      <c r="C62" s="311" t="s">
        <v>91</v>
      </c>
      <c r="D62" s="275">
        <v>0.21802995391705068</v>
      </c>
      <c r="F62" s="1"/>
      <c r="G62" s="1"/>
      <c r="H62" s="1"/>
      <c r="I62" s="1"/>
    </row>
    <row r="63" spans="1:9" x14ac:dyDescent="0.25">
      <c r="A63" s="269">
        <v>1112</v>
      </c>
      <c r="B63" s="312" t="s">
        <v>103</v>
      </c>
      <c r="C63" s="312" t="s">
        <v>92</v>
      </c>
      <c r="D63" s="277">
        <v>0.30491551459293392</v>
      </c>
      <c r="F63" s="1"/>
      <c r="G63" s="1"/>
      <c r="H63" s="1"/>
      <c r="I63" s="1"/>
    </row>
    <row r="64" spans="1:9" x14ac:dyDescent="0.25">
      <c r="A64" s="269">
        <v>1112</v>
      </c>
      <c r="B64" s="312" t="s">
        <v>103</v>
      </c>
      <c r="C64" s="312" t="s">
        <v>93</v>
      </c>
      <c r="D64" s="277">
        <v>0.22743855606758834</v>
      </c>
      <c r="F64" s="1"/>
      <c r="G64" s="1"/>
      <c r="H64" s="1"/>
      <c r="I64" s="1"/>
    </row>
    <row r="65" spans="1:9" ht="15.75" thickBot="1" x14ac:dyDescent="0.3">
      <c r="A65" s="270">
        <v>1112</v>
      </c>
      <c r="B65" s="271" t="s">
        <v>103</v>
      </c>
      <c r="C65" s="271" t="s">
        <v>94</v>
      </c>
      <c r="D65" s="278">
        <v>0.20190092165898618</v>
      </c>
      <c r="F65" s="1"/>
      <c r="G65" s="1"/>
      <c r="H65" s="1"/>
      <c r="I65" s="1"/>
    </row>
    <row r="66" spans="1:9" x14ac:dyDescent="0.25">
      <c r="A66"/>
      <c r="B66"/>
      <c r="C66"/>
      <c r="D66"/>
      <c r="E66"/>
      <c r="F66" s="1"/>
      <c r="G66" s="1"/>
      <c r="H66" s="1"/>
      <c r="I66" s="1"/>
    </row>
    <row r="67" spans="1:9" x14ac:dyDescent="0.25">
      <c r="A67" s="1"/>
      <c r="B67" s="1"/>
      <c r="C67" s="1"/>
      <c r="D67" s="1"/>
      <c r="F67" s="1"/>
      <c r="G67" s="1"/>
      <c r="H67" s="1"/>
      <c r="I67" s="1"/>
    </row>
    <row r="68" spans="1:9" x14ac:dyDescent="0.25">
      <c r="A68" s="1"/>
      <c r="B68" s="1"/>
      <c r="C68" s="1"/>
      <c r="D68" s="1"/>
    </row>
    <row r="69" spans="1:9" x14ac:dyDescent="0.25">
      <c r="A69" s="1"/>
      <c r="B69" s="1"/>
      <c r="C69" s="1"/>
      <c r="D69" s="1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7CE4-9866-46D3-8821-ACF1B91207A1}">
  <dimension ref="A1:EJ240"/>
  <sheetViews>
    <sheetView zoomScale="70" zoomScaleNormal="70" workbookViewId="0">
      <selection activeCell="CA26" sqref="CA26"/>
    </sheetView>
  </sheetViews>
  <sheetFormatPr defaultColWidth="9" defaultRowHeight="15" x14ac:dyDescent="0.25"/>
  <cols>
    <col min="1" max="3" width="2.625" style="43" customWidth="1"/>
    <col min="4" max="62" width="4.125" style="43" customWidth="1"/>
    <col min="63" max="65" width="2.625" style="43" customWidth="1"/>
    <col min="66" max="66" width="3.5" style="10" bestFit="1" customWidth="1"/>
    <col min="67" max="67" width="2.625" style="1" customWidth="1"/>
    <col min="68" max="68" width="2.625" style="43" customWidth="1"/>
    <col min="69" max="71" width="2.625" style="1" customWidth="1"/>
    <col min="72" max="72" width="3" style="1" customWidth="1"/>
    <col min="73" max="95" width="2.625" style="1" customWidth="1"/>
    <col min="96" max="188" width="2.625" style="43" customWidth="1"/>
    <col min="189" max="16384" width="9" style="43"/>
  </cols>
  <sheetData>
    <row r="1" spans="1:137" ht="20.10000000000000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137" ht="20.100000000000001" customHeight="1" thickBot="1" x14ac:dyDescent="0.3">
      <c r="A2" s="1" t="s">
        <v>386</v>
      </c>
      <c r="B2" s="1"/>
      <c r="C2" s="1"/>
      <c r="D2" s="43">
        <v>1</v>
      </c>
      <c r="I2" s="1"/>
      <c r="J2" s="43">
        <v>2</v>
      </c>
      <c r="O2" s="1"/>
      <c r="P2" s="43">
        <v>3</v>
      </c>
      <c r="U2" s="1"/>
      <c r="V2" s="43">
        <v>4</v>
      </c>
      <c r="AA2" s="1"/>
      <c r="AB2" s="43">
        <v>5</v>
      </c>
      <c r="AG2" s="1"/>
      <c r="AH2" s="43">
        <v>6</v>
      </c>
      <c r="AM2" s="1"/>
      <c r="AN2" s="43">
        <v>7</v>
      </c>
      <c r="AS2" s="1"/>
      <c r="AT2" s="43">
        <v>8</v>
      </c>
      <c r="AY2" s="1"/>
      <c r="AZ2" s="43">
        <v>9</v>
      </c>
      <c r="BE2" s="1"/>
      <c r="BF2" s="43">
        <v>10</v>
      </c>
      <c r="BK2" s="1"/>
      <c r="BL2" s="1"/>
      <c r="BM2" s="1"/>
      <c r="BN2" s="10" t="s">
        <v>48</v>
      </c>
    </row>
    <row r="3" spans="1:137" ht="20.100000000000001" customHeight="1" thickTop="1" x14ac:dyDescent="0.25">
      <c r="A3" s="1"/>
      <c r="B3" s="1"/>
      <c r="C3" s="1">
        <v>4</v>
      </c>
      <c r="D3" s="7"/>
      <c r="E3" s="6"/>
      <c r="F3" s="6"/>
      <c r="G3" s="6"/>
      <c r="H3" s="20"/>
      <c r="I3" s="1"/>
      <c r="J3" s="7"/>
      <c r="K3" s="6"/>
      <c r="L3" s="6"/>
      <c r="M3" s="6"/>
      <c r="N3" s="20"/>
      <c r="O3" s="1"/>
      <c r="P3" s="7"/>
      <c r="Q3" s="6"/>
      <c r="R3" s="6"/>
      <c r="S3" s="6"/>
      <c r="T3" s="20"/>
      <c r="U3" s="1"/>
      <c r="V3" s="7"/>
      <c r="W3" s="6"/>
      <c r="X3" s="6"/>
      <c r="Y3" s="6"/>
      <c r="Z3" s="20"/>
      <c r="AA3" s="1"/>
      <c r="AB3" s="7"/>
      <c r="AC3" s="6"/>
      <c r="AD3" s="6"/>
      <c r="AE3" s="6"/>
      <c r="AF3" s="20"/>
      <c r="AG3" s="1"/>
      <c r="AH3" s="7"/>
      <c r="AI3" s="6"/>
      <c r="AJ3" s="6"/>
      <c r="AK3" s="6"/>
      <c r="AL3" s="20"/>
      <c r="AM3" s="1"/>
      <c r="AN3" s="7"/>
      <c r="AO3" s="6"/>
      <c r="AP3" s="6"/>
      <c r="AQ3" s="6"/>
      <c r="AR3" s="20"/>
      <c r="AS3" s="1"/>
      <c r="AT3" s="7"/>
      <c r="AU3" s="6"/>
      <c r="AV3" s="6"/>
      <c r="AW3" s="6"/>
      <c r="AX3" s="20"/>
      <c r="AY3" s="1"/>
      <c r="AZ3" s="7"/>
      <c r="BA3" s="6"/>
      <c r="BB3" s="6"/>
      <c r="BC3" s="6"/>
      <c r="BD3" s="20"/>
      <c r="BE3" s="1"/>
      <c r="BF3" s="7"/>
      <c r="BG3" s="6"/>
      <c r="BH3" s="6"/>
      <c r="BI3" s="6"/>
      <c r="BJ3" s="20"/>
      <c r="BK3" s="1"/>
      <c r="BL3" s="1"/>
      <c r="BM3" s="1"/>
      <c r="BN3" s="43">
        <v>1</v>
      </c>
      <c r="BO3" s="283" t="s">
        <v>388</v>
      </c>
      <c r="BP3" s="284">
        <f t="array" ref="BP3">IF(SUM(IF(D3:D6="x",$C$3:$C$6,0))=0,"},{",SUM(IF(D3:D6="x",$C$3:$C$6,0)))</f>
        <v>2</v>
      </c>
      <c r="BQ3" s="284">
        <f t="array" ref="BQ3">IF(SUM(IF(E3:E6="x",$C$3:$C$6,0))=0,"},{",SUM(IF(E3:E6="x",$C$3:$C$6,0)))</f>
        <v>2</v>
      </c>
      <c r="BR3" s="284">
        <f t="array" ref="BR3">IF(SUM(IF(F3:F6="x",$C$3:$C$6,0))=0,"},{",SUM(IF(F3:F6="x",$C$3:$C$6,0)))</f>
        <v>2</v>
      </c>
      <c r="BS3" s="284">
        <f t="array" ref="BS3">IF(SUM(IF(G3:G6="x",$C$3:$C$6,0))=0,"},{",SUM(IF(G3:G6="x",$C$3:$C$6,0)))</f>
        <v>2</v>
      </c>
      <c r="BT3" s="284">
        <f t="array" ref="BT3">IF(SUM(IF(H3:H6="x",$C$3:$C$6,0))=0,"},{",SUM(IF(H3:H6="x",$C$3:$C$6,0)))</f>
        <v>2</v>
      </c>
      <c r="BU3" s="284" t="str">
        <f t="array" ref="BU3">IF(SUM(IF(I3:I6="x",$C$3:$C$6,0))=0,"},{",SUM(IF(I3:I6="x",$C$3:$C$6,0)))</f>
        <v>},{</v>
      </c>
      <c r="BV3" s="284">
        <f t="array" ref="BV3">IF(SUM(IF(J3:J6="x",$C$3:$C$6,0))=0,"},{",SUM(IF(J3:J6="x",$C$3:$C$6,0)))</f>
        <v>3</v>
      </c>
      <c r="BW3" s="284">
        <f t="array" ref="BW3">IF(SUM(IF(K3:K6="x",$C$3:$C$6,0))=0,"},{",SUM(IF(K3:K6="x",$C$3:$C$6,0)))</f>
        <v>3</v>
      </c>
      <c r="BX3" s="284">
        <f t="array" ref="BX3">IF(SUM(IF(L3:L6="x",$C$3:$C$6,0))=0,"},{",SUM(IF(L3:L6="x",$C$3:$C$6,0)))</f>
        <v>3</v>
      </c>
      <c r="BY3" s="284">
        <f t="array" ref="BY3">IF(SUM(IF(M3:M6="x",$C$3:$C$6,0))=0,"},{",SUM(IF(M3:M6="x",$C$3:$C$6,0)))</f>
        <v>3</v>
      </c>
      <c r="BZ3" s="284">
        <f t="array" ref="BZ3">IF(SUM(IF(N3:N6="x",$C$3:$C$6,0))=0,"},{",SUM(IF(N3:N6="x",$C$3:$C$6,0)))</f>
        <v>3</v>
      </c>
      <c r="CA3" s="284" t="str">
        <f t="array" ref="CA3">IF(SUM(IF(O3:O6="x",$C$3:$C$6,0))=0,"},{",SUM(IF(O3:O6="x",$C$3:$C$6,0)))</f>
        <v>},{</v>
      </c>
      <c r="CB3" s="284">
        <f t="array" ref="CB3">IF(SUM(IF(P3:P6="x",$C$3:$C$6,0))=0,"},{",SUM(IF(P3:P6="x",$C$3:$C$6,0)))</f>
        <v>1</v>
      </c>
      <c r="CC3" s="284">
        <f t="array" ref="CC3">IF(SUM(IF(Q3:Q6="x",$C$3:$C$6,0))=0,"},{",SUM(IF(Q3:Q6="x",$C$3:$C$6,0)))</f>
        <v>1</v>
      </c>
      <c r="CD3" s="284">
        <f t="array" ref="CD3">IF(SUM(IF(R3:R6="x",$C$3:$C$6,0))=0,"},{",SUM(IF(R3:R6="x",$C$3:$C$6,0)))</f>
        <v>1</v>
      </c>
      <c r="CE3" s="284">
        <f t="array" ref="CE3">IF(SUM(IF(S3:S6="x",$C$3:$C$6,0))=0,"},{",SUM(IF(S3:S6="x",$C$3:$C$6,0)))</f>
        <v>1</v>
      </c>
      <c r="CF3" s="284">
        <f t="array" ref="CF3">IF(SUM(IF(T3:T6="x",$C$3:$C$6,0))=0,"},{",SUM(IF(T3:T6="x",$C$3:$C$6,0)))</f>
        <v>1</v>
      </c>
      <c r="CG3" s="284" t="str">
        <f t="array" ref="CG3">IF(SUM(IF(U3:U6="x",$C$3:$C$6,0))=0,"},{",SUM(IF(U3:U6="x",$C$3:$C$6,0)))</f>
        <v>},{</v>
      </c>
      <c r="CH3" s="284">
        <f t="array" ref="CH3">IF(SUM(IF(V3:V6="x",$C$3:$C$6,0))=0,"},{",SUM(IF(V3:V6="x",$C$3:$C$6,0)))</f>
        <v>3</v>
      </c>
      <c r="CI3" s="284">
        <f t="array" ref="CI3">IF(SUM(IF(W3:W6="x",$C$3:$C$6,0))=0,"},{",SUM(IF(W3:W6="x",$C$3:$C$6,0)))</f>
        <v>2</v>
      </c>
      <c r="CJ3" s="284">
        <f t="array" ref="CJ3">IF(SUM(IF(X3:X6="x",$C$3:$C$6,0))=0,"},{",SUM(IF(X3:X6="x",$C$3:$C$6,0)))</f>
        <v>1</v>
      </c>
      <c r="CK3" s="284">
        <f t="array" ref="CK3">IF(SUM(IF(Y3:Y6="x",$C$3:$C$6,0))=0,"},{",SUM(IF(Y3:Y6="x",$C$3:$C$6,0)))</f>
        <v>2</v>
      </c>
      <c r="CL3" s="284">
        <f t="array" ref="CL3">IF(SUM(IF(Z3:Z6="x",$C$3:$C$6,0))=0,"},{",SUM(IF(Z3:Z6="x",$C$3:$C$6,0)))</f>
        <v>3</v>
      </c>
      <c r="CM3" s="284" t="str">
        <f t="array" ref="CM3">IF(SUM(IF(AA3:AA6="x",$C$3:$C$6,0))=0,"},{",SUM(IF(AA3:AA6="x",$C$3:$C$6,0)))</f>
        <v>},{</v>
      </c>
      <c r="CN3" s="284">
        <f t="array" ref="CN3">IF(SUM(IF(AB3:AB6="x",$C$3:$C$6,0))=0,"},{",SUM(IF(AB3:AB6="x",$C$3:$C$6,0)))</f>
        <v>1</v>
      </c>
      <c r="CO3" s="284">
        <f t="array" ref="CO3">IF(SUM(IF(AC3:AC6="x",$C$3:$C$6,0))=0,"},{",SUM(IF(AC3:AC6="x",$C$3:$C$6,0)))</f>
        <v>2</v>
      </c>
      <c r="CP3" s="284">
        <f t="array" ref="CP3">IF(SUM(IF(AD3:AD6="x",$C$3:$C$6,0))=0,"},{",SUM(IF(AD3:AD6="x",$C$3:$C$6,0)))</f>
        <v>3</v>
      </c>
      <c r="CQ3" s="284">
        <f t="array" ref="CQ3">IF(SUM(IF(AE3:AE6="x",$C$3:$C$6,0))=0,"},{",SUM(IF(AE3:AE6="x",$C$3:$C$6,0)))</f>
        <v>2</v>
      </c>
      <c r="CR3" s="284">
        <f t="array" ref="CR3">IF(SUM(IF(AF3:AF6="x",$C$3:$C$6,0))=0,"},{",SUM(IF(AF3:AF6="x",$C$3:$C$6,0)))</f>
        <v>1</v>
      </c>
      <c r="CS3" s="284" t="str">
        <f t="array" ref="CS3">IF(SUM(IF(AG3:AG6="x",$C$3:$C$6,0))=0,"},{",SUM(IF(AG3:AG6="x",$C$3:$C$6,0)))</f>
        <v>},{</v>
      </c>
      <c r="CT3" s="284">
        <f t="array" ref="CT3">IF(SUM(IF(AH3:AH6="x",$C$3:$C$6,0))=0,"},{",SUM(IF(AH3:AH6="x",$C$3:$C$6,0)))</f>
        <v>3</v>
      </c>
      <c r="CU3" s="284">
        <f t="array" ref="CU3">IF(SUM(IF(AI3:AI6="x",$C$3:$C$6,0))=0,"},{",SUM(IF(AI3:AI6="x",$C$3:$C$6,0)))</f>
        <v>3</v>
      </c>
      <c r="CV3" s="284">
        <f t="array" ref="CV3">IF(SUM(IF(AJ3:AJ6="x",$C$3:$C$6,0))=0,"},{",SUM(IF(AJ3:AJ6="x",$C$3:$C$6,0)))</f>
        <v>2</v>
      </c>
      <c r="CW3" s="284">
        <f t="array" ref="CW3">IF(SUM(IF(AK3:AK6="x",$C$3:$C$6,0))=0,"},{",SUM(IF(AK3:AK6="x",$C$3:$C$6,0)))</f>
        <v>1</v>
      </c>
      <c r="CX3" s="284">
        <f t="array" ref="CX3">IF(SUM(IF(AL3:AL6="x",$C$3:$C$6,0))=0,"},{",SUM(IF(AL3:AL6="x",$C$3:$C$6,0)))</f>
        <v>1</v>
      </c>
      <c r="CY3" s="284" t="str">
        <f t="array" ref="CY3">IF(SUM(IF(AM3:AM6="x",$C$3:$C$6,0))=0,"},{",SUM(IF(AM3:AM6="x",$C$3:$C$6,0)))</f>
        <v>},{</v>
      </c>
      <c r="CZ3" s="284">
        <f t="array" ref="CZ3">IF(SUM(IF(AN3:AN6="x",$C$3:$C$6,0))=0,"},{",SUM(IF(AN3:AN6="x",$C$3:$C$6,0)))</f>
        <v>1</v>
      </c>
      <c r="DA3" s="284">
        <f t="array" ref="DA3">IF(SUM(IF(AO3:AO6="x",$C$3:$C$6,0))=0,"},{",SUM(IF(AO3:AO6="x",$C$3:$C$6,0)))</f>
        <v>1</v>
      </c>
      <c r="DB3" s="284">
        <f t="array" ref="DB3">IF(SUM(IF(AP3:AP6="x",$C$3:$C$6,0))=0,"},{",SUM(IF(AP3:AP6="x",$C$3:$C$6,0)))</f>
        <v>2</v>
      </c>
      <c r="DC3" s="284">
        <f t="array" ref="DC3">IF(SUM(IF(AQ3:AQ6="x",$C$3:$C$6,0))=0,"},{",SUM(IF(AQ3:AQ6="x",$C$3:$C$6,0)))</f>
        <v>3</v>
      </c>
      <c r="DD3" s="284">
        <f t="array" ref="DD3">IF(SUM(IF(AR3:AR6="x",$C$3:$C$6,0))=0,"},{",SUM(IF(AR3:AR6="x",$C$3:$C$6,0)))</f>
        <v>3</v>
      </c>
      <c r="DE3" s="284" t="str">
        <f t="array" ref="DE3">IF(SUM(IF(AS3:AS6="x",$C$3:$C$6,0))=0,"},{",SUM(IF(AS3:AS6="x",$C$3:$C$6,0)))</f>
        <v>},{</v>
      </c>
      <c r="DF3" s="284">
        <f t="array" ref="DF3">IF(SUM(IF(AT3:AT6="x",$C$3:$C$6,0))=0,"},{",SUM(IF(AT3:AT6="x",$C$3:$C$6,0)))</f>
        <v>2</v>
      </c>
      <c r="DG3" s="284">
        <f t="array" ref="DG3">IF(SUM(IF(AU3:AU6="x",$C$3:$C$6,0))=0,"},{",SUM(IF(AU3:AU6="x",$C$3:$C$6,0)))</f>
        <v>3</v>
      </c>
      <c r="DH3" s="284">
        <f t="array" ref="DH3">IF(SUM(IF(AV3:AV6="x",$C$3:$C$6,0))=0,"},{",SUM(IF(AV3:AV6="x",$C$3:$C$6,0)))</f>
        <v>2</v>
      </c>
      <c r="DI3" s="284">
        <f t="array" ref="DI3">IF(SUM(IF(AW3:AW6="x",$C$3:$C$6,0))=0,"},{",SUM(IF(AW3:AW6="x",$C$3:$C$6,0)))</f>
        <v>1</v>
      </c>
      <c r="DJ3" s="284">
        <f t="array" ref="DJ3">IF(SUM(IF(AX3:AX6="x",$C$3:$C$6,0))=0,"},{",SUM(IF(AX3:AX6="x",$C$3:$C$6,0)))</f>
        <v>2</v>
      </c>
      <c r="DK3" s="284" t="str">
        <f t="array" ref="DK3">IF(SUM(IF(AY3:AY6="x",$C$3:$C$6,0))=0,"},{",SUM(IF(AY3:AY6="x",$C$3:$C$6,0)))</f>
        <v>},{</v>
      </c>
      <c r="DL3" s="284">
        <f t="array" ref="DL3">IF(SUM(IF(AZ3:AZ6="x",$C$3:$C$6,0))=0,"},{",SUM(IF(AZ3:AZ6="x",$C$3:$C$6,0)))</f>
        <v>2</v>
      </c>
      <c r="DM3" s="284">
        <f t="array" ref="DM3">IF(SUM(IF(BA3:BA6="x",$C$3:$C$6,0))=0,"},{",SUM(IF(BA3:BA6="x",$C$3:$C$6,0)))</f>
        <v>1</v>
      </c>
      <c r="DN3" s="284">
        <f t="array" ref="DN3">IF(SUM(IF(BB3:BB6="x",$C$3:$C$6,0))=0,"},{",SUM(IF(BB3:BB6="x",$C$3:$C$6,0)))</f>
        <v>2</v>
      </c>
      <c r="DO3" s="284">
        <f t="array" ref="DO3">IF(SUM(IF(BC3:BC6="x",$C$3:$C$6,0))=0,"},{",SUM(IF(BC3:BC6="x",$C$3:$C$6,0)))</f>
        <v>3</v>
      </c>
      <c r="DP3" s="284">
        <f t="array" ref="DP3">IF(SUM(IF(BD3:BD6="x",$C$3:$C$6,0))=0,"},{",SUM(IF(BD3:BD6="x",$C$3:$C$6,0)))</f>
        <v>2</v>
      </c>
      <c r="DQ3" s="284" t="str">
        <f t="array" ref="DQ3">IF(SUM(IF(BE3:BE6="x",$C$3:$C$6,0))=0,"},{",SUM(IF(BE3:BE6="x",$C$3:$C$6,0)))</f>
        <v>},{</v>
      </c>
      <c r="DR3" s="284">
        <f t="array" ref="DR3">IF(SUM(IF(BF3:BF6="x",$C$3:$C$6,0))=0,"},{",SUM(IF(BF3:BF6="x",$C$3:$C$6,0)))</f>
        <v>3</v>
      </c>
      <c r="DS3" s="284">
        <f t="array" ref="DS3">IF(SUM(IF(BG3:BG6="x",$C$3:$C$6,0))=0,"},{",SUM(IF(BG3:BG6="x",$C$3:$C$6,0)))</f>
        <v>2</v>
      </c>
      <c r="DT3" s="284">
        <f t="array" ref="DT3">IF(SUM(IF(BH3:BH6="x",$C$3:$C$6,0))=0,"},{",SUM(IF(BH3:BH6="x",$C$3:$C$6,0)))</f>
        <v>2</v>
      </c>
      <c r="DU3" s="284">
        <f t="array" ref="DU3">IF(SUM(IF(BI3:BI6="x",$C$3:$C$6,0))=0,"},{",SUM(IF(BI3:BI6="x",$C$3:$C$6,0)))</f>
        <v>2</v>
      </c>
      <c r="DV3" s="284">
        <f t="array" ref="DV3">IF(SUM(IF(BJ3:BJ6="x",$C$3:$C$6,0))=0,"},{",SUM(IF(BJ3:BJ6="x",$C$3:$C$6,0)))</f>
        <v>1</v>
      </c>
      <c r="DW3" s="285" t="s">
        <v>88</v>
      </c>
      <c r="DX3" s="1"/>
      <c r="DY3" s="1"/>
      <c r="DZ3" s="1"/>
      <c r="EA3" s="1"/>
      <c r="EB3" s="1"/>
      <c r="EC3" s="1"/>
      <c r="ED3" s="1"/>
      <c r="EE3" s="1"/>
      <c r="EF3" s="1"/>
      <c r="EG3" s="1"/>
    </row>
    <row r="4" spans="1:137" ht="20.100000000000001" customHeight="1" x14ac:dyDescent="0.25">
      <c r="A4" s="1"/>
      <c r="B4" s="1"/>
      <c r="C4" s="1">
        <v>3</v>
      </c>
      <c r="D4" s="7"/>
      <c r="E4" s="6"/>
      <c r="F4" s="6"/>
      <c r="G4" s="6"/>
      <c r="H4" s="20"/>
      <c r="I4" s="1"/>
      <c r="J4" s="7" t="s">
        <v>387</v>
      </c>
      <c r="K4" s="6" t="s">
        <v>387</v>
      </c>
      <c r="L4" s="6" t="s">
        <v>387</v>
      </c>
      <c r="M4" s="6" t="s">
        <v>387</v>
      </c>
      <c r="N4" s="20" t="s">
        <v>387</v>
      </c>
      <c r="O4" s="1"/>
      <c r="P4" s="7"/>
      <c r="Q4" s="6"/>
      <c r="R4" s="6"/>
      <c r="S4" s="6"/>
      <c r="T4" s="20"/>
      <c r="U4" s="1"/>
      <c r="V4" s="7" t="s">
        <v>387</v>
      </c>
      <c r="W4" s="6"/>
      <c r="X4" s="6"/>
      <c r="Y4" s="6"/>
      <c r="Z4" s="20" t="s">
        <v>387</v>
      </c>
      <c r="AA4" s="1"/>
      <c r="AB4" s="7"/>
      <c r="AC4" s="6"/>
      <c r="AD4" s="6" t="s">
        <v>387</v>
      </c>
      <c r="AE4" s="6"/>
      <c r="AF4" s="20"/>
      <c r="AG4" s="1"/>
      <c r="AH4" s="7" t="s">
        <v>387</v>
      </c>
      <c r="AI4" s="6" t="s">
        <v>387</v>
      </c>
      <c r="AJ4" s="6"/>
      <c r="AK4" s="6"/>
      <c r="AL4" s="20"/>
      <c r="AM4" s="1"/>
      <c r="AN4" s="7"/>
      <c r="AO4" s="6"/>
      <c r="AP4" s="6"/>
      <c r="AQ4" s="6" t="s">
        <v>387</v>
      </c>
      <c r="AR4" s="20" t="s">
        <v>387</v>
      </c>
      <c r="AS4" s="1"/>
      <c r="AT4" s="7"/>
      <c r="AU4" s="6" t="s">
        <v>387</v>
      </c>
      <c r="AV4" s="6"/>
      <c r="AW4" s="6"/>
      <c r="AX4" s="20"/>
      <c r="AY4" s="1"/>
      <c r="AZ4" s="7"/>
      <c r="BA4" s="6"/>
      <c r="BB4" s="6"/>
      <c r="BC4" s="6" t="s">
        <v>387</v>
      </c>
      <c r="BD4" s="20"/>
      <c r="BE4" s="1"/>
      <c r="BF4" s="7" t="s">
        <v>387</v>
      </c>
      <c r="BG4" s="6"/>
      <c r="BH4" s="6"/>
      <c r="BI4" s="6"/>
      <c r="BJ4" s="20"/>
      <c r="BK4" s="1"/>
      <c r="BL4" s="1"/>
      <c r="BM4" s="1"/>
      <c r="BN4" s="43">
        <v>11</v>
      </c>
      <c r="BO4" s="286" t="s">
        <v>388</v>
      </c>
      <c r="BP4" s="287">
        <f t="array" ref="BP4">IF(SUM(IF(D9:D12="x",$C$9:$C$12,0))=0,"},{",SUM(IF(D9:D12="x",$C$9:$C$12,0)))</f>
        <v>1</v>
      </c>
      <c r="BQ4" s="287">
        <f t="array" ref="BQ4">IF(SUM(IF(E9:E12="x",$C$9:$C$12,0))=0,"},{",SUM(IF(E9:E12="x",$C$9:$C$12,0)))</f>
        <v>2</v>
      </c>
      <c r="BR4" s="287">
        <f t="array" ref="BR4">IF(SUM(IF(F9:F12="x",$C$9:$C$12,0))=0,"},{",SUM(IF(F9:F12="x",$C$9:$C$12,0)))</f>
        <v>2</v>
      </c>
      <c r="BS4" s="287">
        <f t="array" ref="BS4">IF(SUM(IF(G9:G12="x",$C$9:$C$12,0))=0,"},{",SUM(IF(G9:G12="x",$C$9:$C$12,0)))</f>
        <v>2</v>
      </c>
      <c r="BT4" s="287">
        <f t="array" ref="BT4">IF(SUM(IF(H9:H12="x",$C$9:$C$12,0))=0,"},{",SUM(IF(H9:H12="x",$C$9:$C$12,0)))</f>
        <v>3</v>
      </c>
      <c r="BU4" s="287" t="str">
        <f t="array" ref="BU4">IF(SUM(IF(I9:I12="x",$C$9:$C$12,0))=0,"},{",SUM(IF(I9:I12="x",$C$9:$C$12,0)))</f>
        <v>},{</v>
      </c>
      <c r="BV4" s="287">
        <f t="array" ref="BV4">IF(SUM(IF(J9:J12="x",$C$9:$C$12,0))=0,"},{",SUM(IF(J9:J12="x",$C$9:$C$12,0)))</f>
        <v>2</v>
      </c>
      <c r="BW4" s="287">
        <f t="array" ref="BW4">IF(SUM(IF(K9:K12="x",$C$9:$C$12,0))=0,"},{",SUM(IF(K9:K12="x",$C$9:$C$12,0)))</f>
        <v>3</v>
      </c>
      <c r="BX4" s="287">
        <f t="array" ref="BX4">IF(SUM(IF(L9:L12="x",$C$9:$C$12,0))=0,"},{",SUM(IF(L9:L12="x",$C$9:$C$12,0)))</f>
        <v>3</v>
      </c>
      <c r="BY4" s="287">
        <f t="array" ref="BY4">IF(SUM(IF(M9:M12="x",$C$9:$C$12,0))=0,"},{",SUM(IF(M9:M12="x",$C$9:$C$12,0)))</f>
        <v>2</v>
      </c>
      <c r="BZ4" s="287">
        <f t="array" ref="BZ4">IF(SUM(IF(N9:N12="x",$C$9:$C$12,0))=0,"},{",SUM(IF(N9:N12="x",$C$9:$C$12,0)))</f>
        <v>1</v>
      </c>
      <c r="CA4" s="287" t="str">
        <f t="array" ref="CA4">IF(SUM(IF(O9:O12="x",$C$9:$C$12,0))=0,"},{",SUM(IF(O9:O12="x",$C$9:$C$12,0)))</f>
        <v>},{</v>
      </c>
      <c r="CB4" s="287">
        <f t="array" ref="CB4">IF(SUM(IF(P9:P12="x",$C$9:$C$12,0))=0,"},{",SUM(IF(P9:P12="x",$C$9:$C$12,0)))</f>
        <v>2</v>
      </c>
      <c r="CC4" s="287">
        <f t="array" ref="CC4">IF(SUM(IF(Q9:Q12="x",$C$9:$C$12,0))=0,"},{",SUM(IF(Q9:Q12="x",$C$9:$C$12,0)))</f>
        <v>1</v>
      </c>
      <c r="CD4" s="287">
        <f t="array" ref="CD4">IF(SUM(IF(R9:R12="x",$C$9:$C$12,0))=0,"},{",SUM(IF(R9:R12="x",$C$9:$C$12,0)))</f>
        <v>1</v>
      </c>
      <c r="CE4" s="287">
        <f t="array" ref="CE4">IF(SUM(IF(S9:S12="x",$C$9:$C$12,0))=0,"},{",SUM(IF(S9:S12="x",$C$9:$C$12,0)))</f>
        <v>2</v>
      </c>
      <c r="CF4" s="287">
        <f t="array" ref="CF4">IF(SUM(IF(T9:T12="x",$C$9:$C$12,0))=0,"},{",SUM(IF(T9:T12="x",$C$9:$C$12,0)))</f>
        <v>3</v>
      </c>
      <c r="CG4" s="287" t="str">
        <f t="array" ref="CG4">IF(SUM(IF(U9:U12="x",$C$9:$C$12,0))=0,"},{",SUM(IF(U9:U12="x",$C$9:$C$12,0)))</f>
        <v>},{</v>
      </c>
      <c r="CH4" s="287">
        <f t="array" ref="CH4">IF(SUM(IF(V9:V12="x",$C$9:$C$12,0))=0,"},{",SUM(IF(V9:V12="x",$C$9:$C$12,0)))</f>
        <v>2</v>
      </c>
      <c r="CI4" s="287">
        <f t="array" ref="CI4">IF(SUM(IF(W9:W12="x",$C$9:$C$12,0))=0,"},{",SUM(IF(W9:W12="x",$C$9:$C$12,0)))</f>
        <v>2</v>
      </c>
      <c r="CJ4" s="287">
        <f t="array" ref="CJ4">IF(SUM(IF(X9:X12="x",$C$9:$C$12,0))=0,"},{",SUM(IF(X9:X12="x",$C$9:$C$12,0)))</f>
        <v>3</v>
      </c>
      <c r="CK4" s="287">
        <f t="array" ref="CK4">IF(SUM(IF(Y9:Y12="x",$C$9:$C$12,0))=0,"},{",SUM(IF(Y9:Y12="x",$C$9:$C$12,0)))</f>
        <v>2</v>
      </c>
      <c r="CL4" s="287">
        <f t="array" ref="CL4">IF(SUM(IF(Z9:Z12="x",$C$9:$C$12,0))=0,"},{",SUM(IF(Z9:Z12="x",$C$9:$C$12,0)))</f>
        <v>1</v>
      </c>
      <c r="CM4" s="287" t="str">
        <f t="array" ref="CM4">IF(SUM(IF(AA9:AA12="x",$C$9:$C$12,0))=0,"},{",SUM(IF(AA9:AA12="x",$C$9:$C$12,0)))</f>
        <v>},{</v>
      </c>
      <c r="CN4" s="287">
        <f t="array" ref="CN4">IF(SUM(IF(AB9:AB12="x",$C$9:$C$12,0))=0,"},{",SUM(IF(AB9:AB12="x",$C$9:$C$12,0)))</f>
        <v>2</v>
      </c>
      <c r="CO4" s="287">
        <f t="array" ref="CO4">IF(SUM(IF(AC9:AC12="x",$C$9:$C$12,0))=0,"},{",SUM(IF(AC9:AC12="x",$C$9:$C$12,0)))</f>
        <v>2</v>
      </c>
      <c r="CP4" s="287">
        <f t="array" ref="CP4">IF(SUM(IF(AD9:AD12="x",$C$9:$C$12,0))=0,"},{",SUM(IF(AD9:AD12="x",$C$9:$C$12,0)))</f>
        <v>1</v>
      </c>
      <c r="CQ4" s="287">
        <f t="array" ref="CQ4">IF(SUM(IF(AE9:AE12="x",$C$9:$C$12,0))=0,"},{",SUM(IF(AE9:AE12="x",$C$9:$C$12,0)))</f>
        <v>2</v>
      </c>
      <c r="CR4" s="287">
        <f t="array" ref="CR4">IF(SUM(IF(AF9:AF12="x",$C$9:$C$12,0))=0,"},{",SUM(IF(AF9:AF12="x",$C$9:$C$12,0)))</f>
        <v>3</v>
      </c>
      <c r="CS4" s="287" t="str">
        <f t="array" ref="CS4">IF(SUM(IF(AG9:AG12="x",$C$9:$C$12,0))=0,"},{",SUM(IF(AG9:AG12="x",$C$9:$C$12,0)))</f>
        <v>},{</v>
      </c>
      <c r="CT4" s="287">
        <f t="array" ref="CT4">IF(SUM(IF(AH9:AH12="x",$C$9:$C$12,0))=0,"},{",SUM(IF(AH9:AH12="x",$C$9:$C$12,0)))</f>
        <v>3</v>
      </c>
      <c r="CU4" s="287">
        <f t="array" ref="CU4">IF(SUM(IF(AI9:AI12="x",$C$9:$C$12,0))=0,"},{",SUM(IF(AI9:AI12="x",$C$9:$C$12,0)))</f>
        <v>3</v>
      </c>
      <c r="CV4" s="287">
        <f t="array" ref="CV4">IF(SUM(IF(AJ9:AJ12="x",$C$9:$C$12,0))=0,"},{",SUM(IF(AJ9:AJ12="x",$C$9:$C$12,0)))</f>
        <v>2</v>
      </c>
      <c r="CW4" s="287">
        <f t="array" ref="CW4">IF(SUM(IF(AK9:AK12="x",$C$9:$C$12,0))=0,"},{",SUM(IF(AK9:AK12="x",$C$9:$C$12,0)))</f>
        <v>1</v>
      </c>
      <c r="CX4" s="287">
        <f t="array" ref="CX4">IF(SUM(IF(AL9:AL12="x",$C$9:$C$12,0))=0,"},{",SUM(IF(AL9:AL12="x",$C$9:$C$12,0)))</f>
        <v>2</v>
      </c>
      <c r="CY4" s="287" t="str">
        <f t="array" ref="CY4">IF(SUM(IF(AM9:AM12="x",$C$9:$C$12,0))=0,"},{",SUM(IF(AM9:AM12="x",$C$9:$C$12,0)))</f>
        <v>},{</v>
      </c>
      <c r="CZ4" s="287">
        <f t="array" ref="CZ4">IF(SUM(IF(AN9:AN12="x",$C$9:$C$12,0))=0,"},{",SUM(IF(AN9:AN12="x",$C$9:$C$12,0)))</f>
        <v>1</v>
      </c>
      <c r="DA4" s="287">
        <f t="array" ref="DA4">IF(SUM(IF(AO9:AO12="x",$C$9:$C$12,0))=0,"},{",SUM(IF(AO9:AO12="x",$C$9:$C$12,0)))</f>
        <v>1</v>
      </c>
      <c r="DB4" s="287">
        <f t="array" ref="DB4">IF(SUM(IF(AP9:AP12="x",$C$9:$C$12,0))=0,"},{",SUM(IF(AP9:AP12="x",$C$9:$C$12,0)))</f>
        <v>2</v>
      </c>
      <c r="DC4" s="287">
        <f t="array" ref="DC4">IF(SUM(IF(AQ9:AQ12="x",$C$9:$C$12,0))=0,"},{",SUM(IF(AQ9:AQ12="x",$C$9:$C$12,0)))</f>
        <v>3</v>
      </c>
      <c r="DD4" s="287">
        <f t="array" ref="DD4">IF(SUM(IF(AR9:AR12="x",$C$9:$C$12,0))=0,"},{",SUM(IF(AR9:AR12="x",$C$9:$C$12,0)))</f>
        <v>2</v>
      </c>
      <c r="DE4" s="287" t="str">
        <f t="array" ref="DE4">IF(SUM(IF(AS9:AS12="x",$C$9:$C$12,0))=0,"},{",SUM(IF(AS9:AS12="x",$C$9:$C$12,0)))</f>
        <v>},{</v>
      </c>
      <c r="DF4" s="287">
        <f t="array" ref="DF4">IF(SUM(IF(AT9:AT12="x",$C$9:$C$12,0))=0,"},{",SUM(IF(AT9:AT12="x",$C$9:$C$12,0)))</f>
        <v>2</v>
      </c>
      <c r="DG4" s="287">
        <f t="array" ref="DG4">IF(SUM(IF(AU9:AU12="x",$C$9:$C$12,0))=0,"},{",SUM(IF(AU9:AU12="x",$C$9:$C$12,0)))</f>
        <v>3</v>
      </c>
      <c r="DH4" s="287">
        <f t="array" ref="DH4">IF(SUM(IF(AV9:AV12="x",$C$9:$C$12,0))=0,"},{",SUM(IF(AV9:AV12="x",$C$9:$C$12,0)))</f>
        <v>2</v>
      </c>
      <c r="DI4" s="287">
        <f t="array" ref="DI4">IF(SUM(IF(AW9:AW12="x",$C$9:$C$12,0))=0,"},{",SUM(IF(AW9:AW12="x",$C$9:$C$12,0)))</f>
        <v>1</v>
      </c>
      <c r="DJ4" s="287">
        <f t="array" ref="DJ4">IF(SUM(IF(AX9:AX12="x",$C$9:$C$12,0))=0,"},{",SUM(IF(AX9:AX12="x",$C$9:$C$12,0)))</f>
        <v>1</v>
      </c>
      <c r="DK4" s="287" t="str">
        <f t="array" ref="DK4">IF(SUM(IF(AY9:AY12="x",$C$9:$C$12,0))=0,"},{",SUM(IF(AY9:AY12="x",$C$9:$C$12,0)))</f>
        <v>},{</v>
      </c>
      <c r="DL4" s="287">
        <f t="array" ref="DL4">IF(SUM(IF(AZ9:AZ12="x",$C$9:$C$12,0))=0,"},{",SUM(IF(AZ9:AZ12="x",$C$9:$C$12,0)))</f>
        <v>2</v>
      </c>
      <c r="DM4" s="287">
        <f t="array" ref="DM4">IF(SUM(IF(BA9:BA12="x",$C$9:$C$12,0))=0,"},{",SUM(IF(BA9:BA12="x",$C$9:$C$12,0)))</f>
        <v>1</v>
      </c>
      <c r="DN4" s="287">
        <f t="array" ref="DN4">IF(SUM(IF(BB9:BB12="x",$C$9:$C$12,0))=0,"},{",SUM(IF(BB9:BB12="x",$C$9:$C$12,0)))</f>
        <v>2</v>
      </c>
      <c r="DO4" s="287">
        <f t="array" ref="DO4">IF(SUM(IF(BC9:BC12="x",$C$9:$C$12,0))=0,"},{",SUM(IF(BC9:BC12="x",$C$9:$C$12,0)))</f>
        <v>3</v>
      </c>
      <c r="DP4" s="287">
        <f t="array" ref="DP4">IF(SUM(IF(BD9:BD12="x",$C$9:$C$12,0))=0,"},{",SUM(IF(BD9:BD12="x",$C$9:$C$12,0)))</f>
        <v>3</v>
      </c>
      <c r="DQ4" s="287" t="str">
        <f t="array" ref="DQ4">IF(SUM(IF(BE9:BE12="x",$C$9:$C$12,0))=0,"},{",SUM(IF(BE9:BE12="x",$C$9:$C$12,0)))</f>
        <v>},{</v>
      </c>
      <c r="DR4" s="287">
        <f t="array" ref="DR4">IF(SUM(IF(BF9:BF12="x",$C$9:$C$12,0))=0,"},{",SUM(IF(BF9:BF12="x",$C$9:$C$12,0)))</f>
        <v>3</v>
      </c>
      <c r="DS4" s="287">
        <f t="array" ref="DS4">IF(SUM(IF(BG9:BG12="x",$C$9:$C$12,0))=0,"},{",SUM(IF(BG9:BG12="x",$C$9:$C$12,0)))</f>
        <v>3</v>
      </c>
      <c r="DT4" s="287">
        <f t="array" ref="DT4">IF(SUM(IF(BH9:BH12="x",$C$9:$C$12,0))=0,"},{",SUM(IF(BH9:BH12="x",$C$9:$C$12,0)))</f>
        <v>3</v>
      </c>
      <c r="DU4" s="287">
        <f t="array" ref="DU4">IF(SUM(IF(BI9:BI12="x",$C$9:$C$12,0))=0,"},{",SUM(IF(BI9:BI12="x",$C$9:$C$12,0)))</f>
        <v>2</v>
      </c>
      <c r="DV4" s="287">
        <f t="array" ref="DV4">IF(SUM(IF(BJ9:BJ12="x",$C$9:$C$12,0))=0,"},{",SUM(IF(BJ9:BJ12="x",$C$9:$C$12,0)))</f>
        <v>1</v>
      </c>
      <c r="DW4" s="288" t="s">
        <v>88</v>
      </c>
    </row>
    <row r="5" spans="1:137" ht="20.100000000000001" customHeight="1" x14ac:dyDescent="0.25">
      <c r="A5" s="1"/>
      <c r="C5" s="43">
        <v>2</v>
      </c>
      <c r="D5" s="6" t="s">
        <v>387</v>
      </c>
      <c r="E5" s="6" t="s">
        <v>387</v>
      </c>
      <c r="F5" s="6" t="s">
        <v>387</v>
      </c>
      <c r="G5" s="6" t="s">
        <v>387</v>
      </c>
      <c r="H5" s="6" t="s">
        <v>387</v>
      </c>
      <c r="J5" s="6"/>
      <c r="K5" s="6"/>
      <c r="L5" s="6"/>
      <c r="M5" s="6"/>
      <c r="N5" s="6"/>
      <c r="P5" s="6"/>
      <c r="Q5" s="6"/>
      <c r="R5" s="6"/>
      <c r="S5" s="6"/>
      <c r="T5" s="6"/>
      <c r="V5" s="6"/>
      <c r="W5" s="6" t="s">
        <v>387</v>
      </c>
      <c r="X5" s="6"/>
      <c r="Y5" s="6" t="s">
        <v>387</v>
      </c>
      <c r="Z5" s="6"/>
      <c r="AB5" s="6"/>
      <c r="AC5" s="6" t="s">
        <v>387</v>
      </c>
      <c r="AD5" s="6"/>
      <c r="AE5" s="6" t="s">
        <v>387</v>
      </c>
      <c r="AF5" s="6"/>
      <c r="AH5" s="6"/>
      <c r="AI5" s="6"/>
      <c r="AJ5" s="6" t="s">
        <v>387</v>
      </c>
      <c r="AK5" s="6"/>
      <c r="AL5" s="6"/>
      <c r="AN5" s="6"/>
      <c r="AO5" s="6"/>
      <c r="AP5" s="6" t="s">
        <v>387</v>
      </c>
      <c r="AQ5" s="6"/>
      <c r="AR5" s="6"/>
      <c r="AT5" s="6" t="s">
        <v>387</v>
      </c>
      <c r="AU5" s="6"/>
      <c r="AV5" s="6" t="s">
        <v>387</v>
      </c>
      <c r="AW5" s="6"/>
      <c r="AX5" s="6" t="s">
        <v>387</v>
      </c>
      <c r="AZ5" s="6" t="s">
        <v>387</v>
      </c>
      <c r="BA5" s="6"/>
      <c r="BB5" s="6" t="s">
        <v>387</v>
      </c>
      <c r="BC5" s="6"/>
      <c r="BD5" s="6" t="s">
        <v>387</v>
      </c>
      <c r="BF5" s="6"/>
      <c r="BG5" s="6" t="s">
        <v>387</v>
      </c>
      <c r="BH5" s="6" t="s">
        <v>387</v>
      </c>
      <c r="BI5" s="6" t="s">
        <v>387</v>
      </c>
      <c r="BJ5" s="6"/>
      <c r="BN5" s="43">
        <v>21</v>
      </c>
      <c r="BO5" s="286" t="s">
        <v>388</v>
      </c>
      <c r="BP5" s="287">
        <f t="shared" ref="BP5:DV5" si="0">IF((IF(D15="x",4,0)+IF(D16="x",3,0)+IF(D17="x",2,0)+IF(D18="x",1,0))=0,"},{",(IF(D15="x",4,0)+IF(D16="x",3,0)+IF(D17="x",2,0)+IF(D18="x",1,0)))</f>
        <v>1</v>
      </c>
      <c r="BQ5" s="287">
        <f t="shared" si="0"/>
        <v>1</v>
      </c>
      <c r="BR5" s="287">
        <f t="shared" si="0"/>
        <v>1</v>
      </c>
      <c r="BS5" s="287">
        <f t="shared" si="0"/>
        <v>2</v>
      </c>
      <c r="BT5" s="287">
        <f t="shared" si="0"/>
        <v>3</v>
      </c>
      <c r="BU5" s="287" t="str">
        <f t="shared" si="0"/>
        <v>},{</v>
      </c>
      <c r="BV5" s="287">
        <f t="shared" si="0"/>
        <v>3</v>
      </c>
      <c r="BW5" s="287">
        <f t="shared" si="0"/>
        <v>2</v>
      </c>
      <c r="BX5" s="287">
        <f t="shared" si="0"/>
        <v>1</v>
      </c>
      <c r="BY5" s="287">
        <f t="shared" si="0"/>
        <v>1</v>
      </c>
      <c r="BZ5" s="287">
        <f t="shared" si="0"/>
        <v>1</v>
      </c>
      <c r="CA5" s="287" t="str">
        <f t="shared" si="0"/>
        <v>},{</v>
      </c>
      <c r="CB5" s="287">
        <f t="shared" si="0"/>
        <v>1</v>
      </c>
      <c r="CC5" s="287">
        <f t="shared" si="0"/>
        <v>2</v>
      </c>
      <c r="CD5" s="287">
        <f t="shared" si="0"/>
        <v>3</v>
      </c>
      <c r="CE5" s="287">
        <f t="shared" si="0"/>
        <v>3</v>
      </c>
      <c r="CF5" s="287">
        <f t="shared" si="0"/>
        <v>3</v>
      </c>
      <c r="CG5" s="287" t="str">
        <f t="shared" si="0"/>
        <v>},{</v>
      </c>
      <c r="CH5" s="287">
        <f t="shared" si="0"/>
        <v>3</v>
      </c>
      <c r="CI5" s="287">
        <f t="shared" si="0"/>
        <v>2</v>
      </c>
      <c r="CJ5" s="287">
        <f t="shared" si="0"/>
        <v>3</v>
      </c>
      <c r="CK5" s="287">
        <f t="shared" si="0"/>
        <v>2</v>
      </c>
      <c r="CL5" s="287">
        <f t="shared" si="0"/>
        <v>3</v>
      </c>
      <c r="CM5" s="287" t="str">
        <f t="shared" si="0"/>
        <v>},{</v>
      </c>
      <c r="CN5" s="287">
        <f t="shared" si="0"/>
        <v>2</v>
      </c>
      <c r="CO5" s="287">
        <f t="shared" si="0"/>
        <v>3</v>
      </c>
      <c r="CP5" s="287">
        <f t="shared" si="0"/>
        <v>2</v>
      </c>
      <c r="CQ5" s="287">
        <f t="shared" si="0"/>
        <v>3</v>
      </c>
      <c r="CR5" s="287">
        <f t="shared" si="0"/>
        <v>2</v>
      </c>
      <c r="CS5" s="287" t="str">
        <f t="shared" si="0"/>
        <v>},{</v>
      </c>
      <c r="CT5" s="287">
        <f t="shared" si="0"/>
        <v>1</v>
      </c>
      <c r="CU5" s="287">
        <f t="shared" si="0"/>
        <v>2</v>
      </c>
      <c r="CV5" s="287">
        <f t="shared" si="0"/>
        <v>2</v>
      </c>
      <c r="CW5" s="287">
        <f t="shared" si="0"/>
        <v>2</v>
      </c>
      <c r="CX5" s="287">
        <f t="shared" si="0"/>
        <v>1</v>
      </c>
      <c r="CY5" s="287" t="str">
        <f t="shared" si="0"/>
        <v>},{</v>
      </c>
      <c r="CZ5" s="287">
        <f t="shared" si="0"/>
        <v>3</v>
      </c>
      <c r="DA5" s="287">
        <f t="shared" si="0"/>
        <v>2</v>
      </c>
      <c r="DB5" s="287">
        <f t="shared" si="0"/>
        <v>2</v>
      </c>
      <c r="DC5" s="287">
        <f t="shared" si="0"/>
        <v>2</v>
      </c>
      <c r="DD5" s="287">
        <f t="shared" si="0"/>
        <v>3</v>
      </c>
      <c r="DE5" s="287" t="str">
        <f t="shared" si="0"/>
        <v>},{</v>
      </c>
      <c r="DF5" s="287">
        <f t="shared" si="0"/>
        <v>2</v>
      </c>
      <c r="DG5" s="287">
        <f t="shared" si="0"/>
        <v>3</v>
      </c>
      <c r="DH5" s="287">
        <f t="shared" si="0"/>
        <v>3</v>
      </c>
      <c r="DI5" s="287">
        <f t="shared" si="0"/>
        <v>3</v>
      </c>
      <c r="DJ5" s="287">
        <f t="shared" si="0"/>
        <v>2</v>
      </c>
      <c r="DK5" s="287" t="str">
        <f t="shared" si="0"/>
        <v>},{</v>
      </c>
      <c r="DL5" s="287">
        <f t="shared" si="0"/>
        <v>2</v>
      </c>
      <c r="DM5" s="287">
        <f t="shared" si="0"/>
        <v>1</v>
      </c>
      <c r="DN5" s="287">
        <f t="shared" si="0"/>
        <v>1</v>
      </c>
      <c r="DO5" s="287">
        <f t="shared" si="0"/>
        <v>1</v>
      </c>
      <c r="DP5" s="287">
        <f t="shared" si="0"/>
        <v>2</v>
      </c>
      <c r="DQ5" s="287" t="str">
        <f t="shared" si="0"/>
        <v>},{</v>
      </c>
      <c r="DR5" s="287">
        <f t="shared" si="0"/>
        <v>3</v>
      </c>
      <c r="DS5" s="287">
        <f t="shared" si="0"/>
        <v>2</v>
      </c>
      <c r="DT5" s="287">
        <f t="shared" si="0"/>
        <v>3</v>
      </c>
      <c r="DU5" s="287">
        <f t="shared" si="0"/>
        <v>2</v>
      </c>
      <c r="DV5" s="287">
        <f t="shared" si="0"/>
        <v>1</v>
      </c>
      <c r="DW5" s="288" t="s">
        <v>88</v>
      </c>
    </row>
    <row r="6" spans="1:137" ht="20.100000000000001" customHeight="1" x14ac:dyDescent="0.25">
      <c r="A6" s="1"/>
      <c r="B6" s="1"/>
      <c r="C6" s="1">
        <v>1</v>
      </c>
      <c r="D6" s="6"/>
      <c r="E6" s="6"/>
      <c r="F6" s="6"/>
      <c r="G6" s="6"/>
      <c r="H6" s="6"/>
      <c r="J6" s="6"/>
      <c r="K6" s="6"/>
      <c r="L6" s="6"/>
      <c r="M6" s="6"/>
      <c r="N6" s="6"/>
      <c r="P6" s="6" t="s">
        <v>387</v>
      </c>
      <c r="Q6" s="6" t="s">
        <v>387</v>
      </c>
      <c r="R6" s="6" t="s">
        <v>387</v>
      </c>
      <c r="S6" s="6" t="s">
        <v>387</v>
      </c>
      <c r="T6" s="6" t="s">
        <v>387</v>
      </c>
      <c r="V6" s="6"/>
      <c r="W6" s="6"/>
      <c r="X6" s="6" t="s">
        <v>387</v>
      </c>
      <c r="Y6" s="6"/>
      <c r="Z6" s="6"/>
      <c r="AB6" s="6" t="s">
        <v>387</v>
      </c>
      <c r="AC6" s="6"/>
      <c r="AD6" s="6"/>
      <c r="AE6" s="6"/>
      <c r="AF6" s="6" t="s">
        <v>387</v>
      </c>
      <c r="AH6" s="6"/>
      <c r="AI6" s="6"/>
      <c r="AJ6" s="6"/>
      <c r="AK6" s="6" t="s">
        <v>387</v>
      </c>
      <c r="AL6" s="6" t="s">
        <v>387</v>
      </c>
      <c r="AN6" s="6" t="s">
        <v>387</v>
      </c>
      <c r="AO6" s="6" t="s">
        <v>387</v>
      </c>
      <c r="AP6" s="6"/>
      <c r="AQ6" s="6"/>
      <c r="AR6" s="6"/>
      <c r="AT6" s="6"/>
      <c r="AU6" s="6"/>
      <c r="AV6" s="6"/>
      <c r="AW6" s="6" t="s">
        <v>387</v>
      </c>
      <c r="AX6" s="6"/>
      <c r="AZ6" s="6"/>
      <c r="BA6" s="6" t="s">
        <v>387</v>
      </c>
      <c r="BB6" s="6"/>
      <c r="BC6" s="6"/>
      <c r="BD6" s="6"/>
      <c r="BF6" s="6"/>
      <c r="BG6" s="6"/>
      <c r="BH6" s="6"/>
      <c r="BI6" s="6"/>
      <c r="BJ6" s="6" t="s">
        <v>387</v>
      </c>
      <c r="BN6" s="43">
        <v>31</v>
      </c>
      <c r="BO6" s="286" t="s">
        <v>388</v>
      </c>
      <c r="BP6" s="287" t="str">
        <f t="shared" ref="BP6:DV6" si="1">IF((IF(D21="x",4,0)+IF(D22="x",3,0)+IF(D23="x",2,0)+IF(D24="x",1,0))=0,"},{",(IF(D21="x",4,0)+IF(D22="x",3,0)+IF(D23="x",2,0)+IF(D24="x",1,0)))</f>
        <v>},{</v>
      </c>
      <c r="BQ6" s="287" t="str">
        <f t="shared" si="1"/>
        <v>},{</v>
      </c>
      <c r="BR6" s="287" t="str">
        <f t="shared" si="1"/>
        <v>},{</v>
      </c>
      <c r="BS6" s="287" t="str">
        <f t="shared" si="1"/>
        <v>},{</v>
      </c>
      <c r="BT6" s="287" t="str">
        <f t="shared" si="1"/>
        <v>},{</v>
      </c>
      <c r="BU6" s="287" t="str">
        <f t="shared" si="1"/>
        <v>},{</v>
      </c>
      <c r="BV6" s="287" t="str">
        <f t="shared" si="1"/>
        <v>},{</v>
      </c>
      <c r="BW6" s="287" t="str">
        <f t="shared" si="1"/>
        <v>},{</v>
      </c>
      <c r="BX6" s="287" t="str">
        <f t="shared" si="1"/>
        <v>},{</v>
      </c>
      <c r="BY6" s="287" t="str">
        <f t="shared" si="1"/>
        <v>},{</v>
      </c>
      <c r="BZ6" s="287" t="str">
        <f t="shared" si="1"/>
        <v>},{</v>
      </c>
      <c r="CA6" s="287" t="str">
        <f t="shared" si="1"/>
        <v>},{</v>
      </c>
      <c r="CB6" s="287" t="str">
        <f t="shared" si="1"/>
        <v>},{</v>
      </c>
      <c r="CC6" s="287" t="str">
        <f t="shared" si="1"/>
        <v>},{</v>
      </c>
      <c r="CD6" s="287" t="str">
        <f t="shared" si="1"/>
        <v>},{</v>
      </c>
      <c r="CE6" s="287" t="str">
        <f t="shared" si="1"/>
        <v>},{</v>
      </c>
      <c r="CF6" s="287" t="str">
        <f t="shared" si="1"/>
        <v>},{</v>
      </c>
      <c r="CG6" s="287" t="str">
        <f t="shared" si="1"/>
        <v>},{</v>
      </c>
      <c r="CH6" s="287" t="str">
        <f t="shared" si="1"/>
        <v>},{</v>
      </c>
      <c r="CI6" s="287" t="str">
        <f t="shared" si="1"/>
        <v>},{</v>
      </c>
      <c r="CJ6" s="287" t="str">
        <f t="shared" si="1"/>
        <v>},{</v>
      </c>
      <c r="CK6" s="287" t="str">
        <f t="shared" si="1"/>
        <v>},{</v>
      </c>
      <c r="CL6" s="287" t="str">
        <f t="shared" si="1"/>
        <v>},{</v>
      </c>
      <c r="CM6" s="287" t="str">
        <f t="shared" si="1"/>
        <v>},{</v>
      </c>
      <c r="CN6" s="287" t="str">
        <f t="shared" si="1"/>
        <v>},{</v>
      </c>
      <c r="CO6" s="287" t="str">
        <f t="shared" si="1"/>
        <v>},{</v>
      </c>
      <c r="CP6" s="287" t="str">
        <f t="shared" si="1"/>
        <v>},{</v>
      </c>
      <c r="CQ6" s="287" t="str">
        <f t="shared" si="1"/>
        <v>},{</v>
      </c>
      <c r="CR6" s="287" t="str">
        <f t="shared" si="1"/>
        <v>},{</v>
      </c>
      <c r="CS6" s="287" t="str">
        <f t="shared" si="1"/>
        <v>},{</v>
      </c>
      <c r="CT6" s="287" t="str">
        <f t="shared" si="1"/>
        <v>},{</v>
      </c>
      <c r="CU6" s="287" t="str">
        <f t="shared" si="1"/>
        <v>},{</v>
      </c>
      <c r="CV6" s="287" t="str">
        <f t="shared" si="1"/>
        <v>},{</v>
      </c>
      <c r="CW6" s="287" t="str">
        <f t="shared" si="1"/>
        <v>},{</v>
      </c>
      <c r="CX6" s="287" t="str">
        <f t="shared" si="1"/>
        <v>},{</v>
      </c>
      <c r="CY6" s="287" t="str">
        <f t="shared" si="1"/>
        <v>},{</v>
      </c>
      <c r="CZ6" s="287" t="str">
        <f t="shared" si="1"/>
        <v>},{</v>
      </c>
      <c r="DA6" s="287" t="str">
        <f t="shared" si="1"/>
        <v>},{</v>
      </c>
      <c r="DB6" s="287" t="str">
        <f t="shared" si="1"/>
        <v>},{</v>
      </c>
      <c r="DC6" s="287" t="str">
        <f t="shared" si="1"/>
        <v>},{</v>
      </c>
      <c r="DD6" s="287" t="str">
        <f t="shared" si="1"/>
        <v>},{</v>
      </c>
      <c r="DE6" s="287" t="str">
        <f t="shared" si="1"/>
        <v>},{</v>
      </c>
      <c r="DF6" s="287" t="str">
        <f t="shared" si="1"/>
        <v>},{</v>
      </c>
      <c r="DG6" s="287" t="str">
        <f t="shared" si="1"/>
        <v>},{</v>
      </c>
      <c r="DH6" s="287" t="str">
        <f t="shared" si="1"/>
        <v>},{</v>
      </c>
      <c r="DI6" s="287" t="str">
        <f t="shared" si="1"/>
        <v>},{</v>
      </c>
      <c r="DJ6" s="287" t="str">
        <f t="shared" si="1"/>
        <v>},{</v>
      </c>
      <c r="DK6" s="287" t="str">
        <f t="shared" si="1"/>
        <v>},{</v>
      </c>
      <c r="DL6" s="287" t="str">
        <f t="shared" si="1"/>
        <v>},{</v>
      </c>
      <c r="DM6" s="287" t="str">
        <f t="shared" si="1"/>
        <v>},{</v>
      </c>
      <c r="DN6" s="287" t="str">
        <f t="shared" si="1"/>
        <v>},{</v>
      </c>
      <c r="DO6" s="287" t="str">
        <f t="shared" si="1"/>
        <v>},{</v>
      </c>
      <c r="DP6" s="287" t="str">
        <f t="shared" si="1"/>
        <v>},{</v>
      </c>
      <c r="DQ6" s="287" t="str">
        <f t="shared" si="1"/>
        <v>},{</v>
      </c>
      <c r="DR6" s="287" t="str">
        <f t="shared" si="1"/>
        <v>},{</v>
      </c>
      <c r="DS6" s="287" t="str">
        <f t="shared" si="1"/>
        <v>},{</v>
      </c>
      <c r="DT6" s="287" t="str">
        <f t="shared" si="1"/>
        <v>},{</v>
      </c>
      <c r="DU6" s="287" t="str">
        <f t="shared" si="1"/>
        <v>},{</v>
      </c>
      <c r="DV6" s="287" t="str">
        <f t="shared" si="1"/>
        <v>},{</v>
      </c>
      <c r="DW6" s="288" t="s">
        <v>88</v>
      </c>
    </row>
    <row r="7" spans="1:137" ht="20.100000000000001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N7" s="43">
        <v>41</v>
      </c>
      <c r="BO7" s="286" t="s">
        <v>388</v>
      </c>
      <c r="BP7" s="287" t="str">
        <f t="array" ref="BP7">IF(SUM(IF(D27:D34="x",$C$27:$C$34,0))=0,"},{",SUM(IF(D27:D34="x",$C$27:$C$34,0)))</f>
        <v>},{</v>
      </c>
      <c r="BQ7" s="287" t="str">
        <f t="array" ref="BQ7">IF(SUM(IF(E27:E34="x",$C$27:$C$34,0))=0,"},{",SUM(IF(E27:E34="x",$C$27:$C$34,0)))</f>
        <v>},{</v>
      </c>
      <c r="BR7" s="287" t="str">
        <f t="array" ref="BR7">IF(SUM(IF(F27:F34="x",$C$27:$C$34,0))=0,"},{",SUM(IF(F27:F34="x",$C$27:$C$34,0)))</f>
        <v>},{</v>
      </c>
      <c r="BS7" s="287" t="str">
        <f t="array" ref="BS7">IF(SUM(IF(G27:G34="x",$C$27:$C$34,0))=0,"},{",SUM(IF(G27:G34="x",$C$27:$C$34,0)))</f>
        <v>},{</v>
      </c>
      <c r="BT7" s="287" t="str">
        <f t="array" ref="BT7">IF(SUM(IF(H27:H34="x",$C$27:$C$34,0))=0,"},{",SUM(IF(H27:H34="x",$C$27:$C$34,0)))</f>
        <v>},{</v>
      </c>
      <c r="BU7" s="287" t="str">
        <f t="array" ref="BU7">IF(SUM(IF(I27:I34="x",$C$27:$C$34,0))=0,"},{",SUM(IF(I27:I34="x",$C$27:$C$34,0)))</f>
        <v>},{</v>
      </c>
      <c r="BV7" s="287" t="str">
        <f t="array" ref="BV7">IF(SUM(IF(J27:J34="x",$C$27:$C$34,0))=0,"},{",SUM(IF(J27:J34="x",$C$27:$C$34,0)))</f>
        <v>},{</v>
      </c>
      <c r="BW7" s="287" t="str">
        <f t="array" ref="BW7">IF(SUM(IF(K27:K34="x",$C$27:$C$34,0))=0,"},{",SUM(IF(K27:K34="x",$C$27:$C$34,0)))</f>
        <v>},{</v>
      </c>
      <c r="BX7" s="287" t="str">
        <f t="array" ref="BX7">IF(SUM(IF(L27:L34="x",$C$27:$C$34,0))=0,"},{",SUM(IF(L27:L34="x",$C$27:$C$34,0)))</f>
        <v>},{</v>
      </c>
      <c r="BY7" s="287" t="str">
        <f t="array" ref="BY7">IF(SUM(IF(M27:M34="x",$C$27:$C$34,0))=0,"},{",SUM(IF(M27:M34="x",$C$27:$C$34,0)))</f>
        <v>},{</v>
      </c>
      <c r="BZ7" s="287" t="str">
        <f t="array" ref="BZ7">IF(SUM(IF(N27:N34="x",$C$27:$C$34,0))=0,"},{",SUM(IF(N27:N34="x",$C$27:$C$34,0)))</f>
        <v>},{</v>
      </c>
      <c r="CA7" s="287" t="str">
        <f t="array" ref="CA7">IF(SUM(IF(O27:O34="x",$C$27:$C$34,0))=0,"},{",SUM(IF(O27:O34="x",$C$27:$C$34,0)))</f>
        <v>},{</v>
      </c>
      <c r="CB7" s="287" t="str">
        <f t="array" ref="CB7">IF(SUM(IF(P27:P34="x",$C$27:$C$34,0))=0,"},{",SUM(IF(P27:P34="x",$C$27:$C$34,0)))</f>
        <v>},{</v>
      </c>
      <c r="CC7" s="287" t="str">
        <f t="array" ref="CC7">IF(SUM(IF(Q27:Q34="x",$C$27:$C$34,0))=0,"},{",SUM(IF(Q27:Q34="x",$C$27:$C$34,0)))</f>
        <v>},{</v>
      </c>
      <c r="CD7" s="287" t="str">
        <f t="array" ref="CD7">IF(SUM(IF(R27:R34="x",$C$27:$C$34,0))=0,"},{",SUM(IF(R27:R34="x",$C$27:$C$34,0)))</f>
        <v>},{</v>
      </c>
      <c r="CE7" s="287" t="str">
        <f t="array" ref="CE7">IF(SUM(IF(S27:S34="x",$C$27:$C$34,0))=0,"},{",SUM(IF(S27:S34="x",$C$27:$C$34,0)))</f>
        <v>},{</v>
      </c>
      <c r="CF7" s="287" t="str">
        <f t="array" ref="CF7">IF(SUM(IF(T27:T34="x",$C$27:$C$34,0))=0,"},{",SUM(IF(T27:T34="x",$C$27:$C$34,0)))</f>
        <v>},{</v>
      </c>
      <c r="CG7" s="287" t="str">
        <f t="array" ref="CG7">IF(SUM(IF(U27:U34="x",$C$27:$C$34,0))=0,"},{",SUM(IF(U27:U34="x",$C$27:$C$34,0)))</f>
        <v>},{</v>
      </c>
      <c r="CH7" s="287" t="str">
        <f t="array" ref="CH7">IF(SUM(IF(V27:V34="x",$C$27:$C$34,0))=0,"},{",SUM(IF(V27:V34="x",$C$27:$C$34,0)))</f>
        <v>},{</v>
      </c>
      <c r="CI7" s="287" t="str">
        <f t="array" ref="CI7">IF(SUM(IF(W27:W34="x",$C$27:$C$34,0))=0,"},{",SUM(IF(W27:W34="x",$C$27:$C$34,0)))</f>
        <v>},{</v>
      </c>
      <c r="CJ7" s="287" t="str">
        <f t="array" ref="CJ7">IF(SUM(IF(X27:X34="x",$C$27:$C$34,0))=0,"},{",SUM(IF(X27:X34="x",$C$27:$C$34,0)))</f>
        <v>},{</v>
      </c>
      <c r="CK7" s="287" t="str">
        <f t="array" ref="CK7">IF(SUM(IF(Y27:Y34="x",$C$27:$C$34,0))=0,"},{",SUM(IF(Y27:Y34="x",$C$27:$C$34,0)))</f>
        <v>},{</v>
      </c>
      <c r="CL7" s="287" t="str">
        <f t="array" ref="CL7">IF(SUM(IF(Z27:Z34="x",$C$27:$C$34,0))=0,"},{",SUM(IF(Z27:Z34="x",$C$27:$C$34,0)))</f>
        <v>},{</v>
      </c>
      <c r="CM7" s="287" t="str">
        <f t="array" ref="CM7">IF(SUM(IF(AA27:AA34="x",$C$27:$C$34,0))=0,"},{",SUM(IF(AA27:AA34="x",$C$27:$C$34,0)))</f>
        <v>},{</v>
      </c>
      <c r="CN7" s="287" t="str">
        <f t="array" ref="CN7">IF(SUM(IF(AB27:AB34="x",$C$27:$C$34,0))=0,"},{",SUM(IF(AB27:AB34="x",$C$27:$C$34,0)))</f>
        <v>},{</v>
      </c>
      <c r="CO7" s="287" t="str">
        <f t="array" ref="CO7">IF(SUM(IF(AC27:AC34="x",$C$27:$C$34,0))=0,"},{",SUM(IF(AC27:AC34="x",$C$27:$C$34,0)))</f>
        <v>},{</v>
      </c>
      <c r="CP7" s="287" t="str">
        <f t="array" ref="CP7">IF(SUM(IF(AD27:AD34="x",$C$27:$C$34,0))=0,"},{",SUM(IF(AD27:AD34="x",$C$27:$C$34,0)))</f>
        <v>},{</v>
      </c>
      <c r="CQ7" s="287" t="str">
        <f t="array" ref="CQ7">IF(SUM(IF(AE27:AE34="x",$C$27:$C$34,0))=0,"},{",SUM(IF(AE27:AE34="x",$C$27:$C$34,0)))</f>
        <v>},{</v>
      </c>
      <c r="CR7" s="287" t="str">
        <f t="array" ref="CR7">IF(SUM(IF(AF27:AF34="x",$C$27:$C$34,0))=0,"},{",SUM(IF(AF27:AF34="x",$C$27:$C$34,0)))</f>
        <v>},{</v>
      </c>
      <c r="CS7" s="287" t="str">
        <f t="array" ref="CS7">IF(SUM(IF(AG27:AG34="x",$C$27:$C$34,0))=0,"},{",SUM(IF(AG27:AG34="x",$C$27:$C$34,0)))</f>
        <v>},{</v>
      </c>
      <c r="CT7" s="287" t="str">
        <f t="array" ref="CT7">IF(SUM(IF(AH27:AH34="x",$C$27:$C$34,0))=0,"},{",SUM(IF(AH27:AH34="x",$C$27:$C$34,0)))</f>
        <v>},{</v>
      </c>
      <c r="CU7" s="287" t="str">
        <f t="array" ref="CU7">IF(SUM(IF(AI27:AI34="x",$C$27:$C$34,0))=0,"},{",SUM(IF(AI27:AI34="x",$C$27:$C$34,0)))</f>
        <v>},{</v>
      </c>
      <c r="CV7" s="287" t="str">
        <f t="array" ref="CV7">IF(SUM(IF(AJ27:AJ34="x",$C$27:$C$34,0))=0,"},{",SUM(IF(AJ27:AJ34="x",$C$27:$C$34,0)))</f>
        <v>},{</v>
      </c>
      <c r="CW7" s="287" t="str">
        <f t="array" ref="CW7">IF(SUM(IF(AK27:AK34="x",$C$27:$C$34,0))=0,"},{",SUM(IF(AK27:AK34="x",$C$27:$C$34,0)))</f>
        <v>},{</v>
      </c>
      <c r="CX7" s="287" t="str">
        <f t="array" ref="CX7">IF(SUM(IF(AL27:AL34="x",$C$27:$C$34,0))=0,"},{",SUM(IF(AL27:AL34="x",$C$27:$C$34,0)))</f>
        <v>},{</v>
      </c>
      <c r="CY7" s="287" t="str">
        <f t="array" ref="CY7">IF(SUM(IF(AM27:AM34="x",$C$27:$C$34,0))=0,"},{",SUM(IF(AM27:AM34="x",$C$27:$C$34,0)))</f>
        <v>},{</v>
      </c>
      <c r="CZ7" s="287" t="str">
        <f t="array" ref="CZ7">IF(SUM(IF(AN27:AN34="x",$C$27:$C$34,0))=0,"},{",SUM(IF(AN27:AN34="x",$C$27:$C$34,0)))</f>
        <v>},{</v>
      </c>
      <c r="DA7" s="287" t="str">
        <f t="array" ref="DA7">IF(SUM(IF(AO27:AO34="x",$C$27:$C$34,0))=0,"},{",SUM(IF(AO27:AO34="x",$C$27:$C$34,0)))</f>
        <v>},{</v>
      </c>
      <c r="DB7" s="287" t="str">
        <f t="array" ref="DB7">IF(SUM(IF(AP27:AP34="x",$C$27:$C$34,0))=0,"},{",SUM(IF(AP27:AP34="x",$C$27:$C$34,0)))</f>
        <v>},{</v>
      </c>
      <c r="DC7" s="287" t="str">
        <f t="array" ref="DC7">IF(SUM(IF(AQ27:AQ34="x",$C$27:$C$34,0))=0,"},{",SUM(IF(AQ27:AQ34="x",$C$27:$C$34,0)))</f>
        <v>},{</v>
      </c>
      <c r="DD7" s="287" t="str">
        <f t="array" ref="DD7">IF(SUM(IF(AR27:AR34="x",$C$27:$C$34,0))=0,"},{",SUM(IF(AR27:AR34="x",$C$27:$C$34,0)))</f>
        <v>},{</v>
      </c>
      <c r="DE7" s="287" t="str">
        <f t="array" ref="DE7">IF(SUM(IF(AS27:AS34="x",$C$27:$C$34,0))=0,"},{",SUM(IF(AS27:AS34="x",$C$27:$C$34,0)))</f>
        <v>},{</v>
      </c>
      <c r="DF7" s="287" t="str">
        <f t="array" ref="DF7">IF(SUM(IF(AT27:AT34="x",$C$27:$C$34,0))=0,"},{",SUM(IF(AT27:AT34="x",$C$27:$C$34,0)))</f>
        <v>},{</v>
      </c>
      <c r="DG7" s="287" t="str">
        <f t="array" ref="DG7">IF(SUM(IF(AU27:AU34="x",$C$27:$C$34,0))=0,"},{",SUM(IF(AU27:AU34="x",$C$27:$C$34,0)))</f>
        <v>},{</v>
      </c>
      <c r="DH7" s="287" t="str">
        <f t="array" ref="DH7">IF(SUM(IF(AV27:AV34="x",$C$27:$C$34,0))=0,"},{",SUM(IF(AV27:AV34="x",$C$27:$C$34,0)))</f>
        <v>},{</v>
      </c>
      <c r="DI7" s="287" t="str">
        <f t="array" ref="DI7">IF(SUM(IF(AW27:AW34="x",$C$27:$C$34,0))=0,"},{",SUM(IF(AW27:AW34="x",$C$27:$C$34,0)))</f>
        <v>},{</v>
      </c>
      <c r="DJ7" s="287" t="str">
        <f t="array" ref="DJ7">IF(SUM(IF(AX27:AX34="x",$C$27:$C$34,0))=0,"},{",SUM(IF(AX27:AX34="x",$C$27:$C$34,0)))</f>
        <v>},{</v>
      </c>
      <c r="DK7" s="287" t="str">
        <f t="array" ref="DK7">IF(SUM(IF(AY27:AY34="x",$C$27:$C$34,0))=0,"},{",SUM(IF(AY27:AY34="x",$C$27:$C$34,0)))</f>
        <v>},{</v>
      </c>
      <c r="DL7" s="287" t="str">
        <f t="array" ref="DL7">IF(SUM(IF(AZ27:AZ34="x",$C$27:$C$34,0))=0,"},{",SUM(IF(AZ27:AZ34="x",$C$27:$C$34,0)))</f>
        <v>},{</v>
      </c>
      <c r="DM7" s="287" t="str">
        <f t="array" ref="DM7">IF(SUM(IF(BA27:BA34="x",$C$27:$C$34,0))=0,"},{",SUM(IF(BA27:BA34="x",$C$27:$C$34,0)))</f>
        <v>},{</v>
      </c>
      <c r="DN7" s="287" t="str">
        <f t="array" ref="DN7">IF(SUM(IF(BB27:BB34="x",$C$27:$C$34,0))=0,"},{",SUM(IF(BB27:BB34="x",$C$27:$C$34,0)))</f>
        <v>},{</v>
      </c>
      <c r="DO7" s="287" t="str">
        <f t="array" ref="DO7">IF(SUM(IF(BC27:BC34="x",$C$27:$C$34,0))=0,"},{",SUM(IF(BC27:BC34="x",$C$27:$C$34,0)))</f>
        <v>},{</v>
      </c>
      <c r="DP7" s="287" t="str">
        <f t="array" ref="DP7">IF(SUM(IF(BD27:BD34="x",$C$27:$C$34,0))=0,"},{",SUM(IF(BD27:BD34="x",$C$27:$C$34,0)))</f>
        <v>},{</v>
      </c>
      <c r="DQ7" s="287" t="str">
        <f t="array" ref="DQ7">IF(SUM(IF(BE27:BE34="x",$C$27:$C$34,0))=0,"},{",SUM(IF(BE27:BE34="x",$C$27:$C$34,0)))</f>
        <v>},{</v>
      </c>
      <c r="DR7" s="287" t="str">
        <f t="array" ref="DR7">IF(SUM(IF(BF27:BF34="x",$C$27:$C$34,0))=0,"},{",SUM(IF(BF27:BF34="x",$C$27:$C$34,0)))</f>
        <v>},{</v>
      </c>
      <c r="DS7" s="287" t="str">
        <f t="array" ref="DS7">IF(SUM(IF(BG27:BG34="x",$C$27:$C$34,0))=0,"},{",SUM(IF(BG27:BG34="x",$C$27:$C$34,0)))</f>
        <v>},{</v>
      </c>
      <c r="DT7" s="287" t="str">
        <f t="array" ref="DT7">IF(SUM(IF(BH27:BH34="x",$C$27:$C$34,0))=0,"},{",SUM(IF(BH27:BH34="x",$C$27:$C$34,0)))</f>
        <v>},{</v>
      </c>
      <c r="DU7" s="287" t="str">
        <f t="array" ref="DU7">IF(SUM(IF(BI27:BI34="x",$C$27:$C$34,0))=0,"},{",SUM(IF(BI27:BI34="x",$C$27:$C$34,0)))</f>
        <v>},{</v>
      </c>
      <c r="DV7" s="287" t="str">
        <f t="array" ref="DV7">IF(SUM(IF(BJ27:BJ34="x",$C$27:$C$34,0))=0,"},{",SUM(IF(BJ27:BJ34="x",$C$27:$C$34,0)))</f>
        <v>},{</v>
      </c>
      <c r="DW7" s="288" t="s">
        <v>88</v>
      </c>
    </row>
    <row r="8" spans="1:137" ht="20.100000000000001" customHeight="1" x14ac:dyDescent="0.25">
      <c r="A8" s="1"/>
      <c r="B8" s="1"/>
      <c r="C8" s="1"/>
      <c r="D8" s="1">
        <v>11</v>
      </c>
      <c r="E8" s="1"/>
      <c r="F8" s="1"/>
      <c r="G8" s="1"/>
      <c r="H8" s="1"/>
      <c r="J8" s="1">
        <v>12</v>
      </c>
      <c r="K8" s="1"/>
      <c r="L8" s="1"/>
      <c r="M8" s="1"/>
      <c r="N8" s="1"/>
      <c r="P8" s="1">
        <v>13</v>
      </c>
      <c r="Q8" s="1"/>
      <c r="R8" s="1"/>
      <c r="S8" s="1"/>
      <c r="T8" s="1"/>
      <c r="V8" s="1">
        <v>14</v>
      </c>
      <c r="W8" s="1"/>
      <c r="X8" s="1"/>
      <c r="Y8" s="1"/>
      <c r="Z8" s="1"/>
      <c r="AB8" s="1">
        <v>15</v>
      </c>
      <c r="AC8" s="1"/>
      <c r="AD8" s="1"/>
      <c r="AE8" s="1"/>
      <c r="AF8" s="1"/>
      <c r="AH8" s="1">
        <v>16</v>
      </c>
      <c r="AI8" s="1"/>
      <c r="AJ8" s="1"/>
      <c r="AK8" s="1"/>
      <c r="AL8" s="1"/>
      <c r="AN8" s="1">
        <v>17</v>
      </c>
      <c r="AO8" s="1"/>
      <c r="AP8" s="1"/>
      <c r="AQ8" s="1"/>
      <c r="AR8" s="1"/>
      <c r="AT8" s="1">
        <v>18</v>
      </c>
      <c r="AU8" s="1"/>
      <c r="AV8" s="1"/>
      <c r="AW8" s="1"/>
      <c r="AX8" s="1"/>
      <c r="AZ8" s="1">
        <v>19</v>
      </c>
      <c r="BA8" s="1"/>
      <c r="BB8" s="1"/>
      <c r="BC8" s="1"/>
      <c r="BD8" s="1"/>
      <c r="BF8" s="1">
        <v>20</v>
      </c>
      <c r="BG8" s="1"/>
      <c r="BH8" s="1"/>
      <c r="BI8" s="1"/>
      <c r="BJ8" s="1"/>
      <c r="BK8" s="1"/>
      <c r="BL8" s="1"/>
      <c r="BM8" s="1"/>
      <c r="BN8" s="43">
        <v>51</v>
      </c>
      <c r="BO8" s="286" t="s">
        <v>388</v>
      </c>
      <c r="BP8" s="287" t="str">
        <f t="array" ref="BP8">IF(SUM(IF(D37:D44="x",$C$37:$C$44,0))=0,"},{",SUM(IF(D37:D44="x",$C$37:$C$44,0)))</f>
        <v>},{</v>
      </c>
      <c r="BQ8" s="287" t="str">
        <f t="array" ref="BQ8">IF(SUM(IF(E37:E44="x",$C$37:$C$44,0))=0,"},{",SUM(IF(E37:E44="x",$C$37:$C$44,0)))</f>
        <v>},{</v>
      </c>
      <c r="BR8" s="287" t="str">
        <f t="array" ref="BR8">IF(SUM(IF(F37:F44="x",$C$37:$C$44,0))=0,"},{",SUM(IF(F37:F44="x",$C$37:$C$44,0)))</f>
        <v>},{</v>
      </c>
      <c r="BS8" s="287" t="str">
        <f t="array" ref="BS8">IF(SUM(IF(G37:G44="x",$C$37:$C$44,0))=0,"},{",SUM(IF(G37:G44="x",$C$37:$C$44,0)))</f>
        <v>},{</v>
      </c>
      <c r="BT8" s="287" t="str">
        <f t="array" ref="BT8">IF(SUM(IF(H37:H44="x",$C$37:$C$44,0))=0,"},{",SUM(IF(H37:H44="x",$C$37:$C$44,0)))</f>
        <v>},{</v>
      </c>
      <c r="BU8" s="287" t="str">
        <f t="array" ref="BU8">IF(SUM(IF(I37:I44="x",$C$37:$C$44,0))=0,"},{",SUM(IF(I37:I44="x",$C$37:$C$44,0)))</f>
        <v>},{</v>
      </c>
      <c r="BV8" s="287" t="str">
        <f t="array" ref="BV8">IF(SUM(IF(J37:J44="x",$C$37:$C$44,0))=0,"},{",SUM(IF(J37:J44="x",$C$37:$C$44,0)))</f>
        <v>},{</v>
      </c>
      <c r="BW8" s="287" t="str">
        <f t="array" ref="BW8">IF(SUM(IF(K37:K44="x",$C$37:$C$44,0))=0,"},{",SUM(IF(K37:K44="x",$C$37:$C$44,0)))</f>
        <v>},{</v>
      </c>
      <c r="BX8" s="287" t="str">
        <f t="array" ref="BX8">IF(SUM(IF(L37:L44="x",$C$37:$C$44,0))=0,"},{",SUM(IF(L37:L44="x",$C$37:$C$44,0)))</f>
        <v>},{</v>
      </c>
      <c r="BY8" s="287" t="str">
        <f t="array" ref="BY8">IF(SUM(IF(M37:M44="x",$C$37:$C$44,0))=0,"},{",SUM(IF(M37:M44="x",$C$37:$C$44,0)))</f>
        <v>},{</v>
      </c>
      <c r="BZ8" s="287" t="str">
        <f t="array" ref="BZ8">IF(SUM(IF(N37:N44="x",$C$37:$C$44,0))=0,"},{",SUM(IF(N37:N44="x",$C$37:$C$44,0)))</f>
        <v>},{</v>
      </c>
      <c r="CA8" s="287" t="str">
        <f t="array" ref="CA8">IF(SUM(IF(O37:O44="x",$C$37:$C$44,0))=0,"},{",SUM(IF(O37:O44="x",$C$37:$C$44,0)))</f>
        <v>},{</v>
      </c>
      <c r="CB8" s="287" t="str">
        <f t="array" ref="CB8">IF(SUM(IF(P37:P44="x",$C$37:$C$44,0))=0,"},{",SUM(IF(P37:P44="x",$C$37:$C$44,0)))</f>
        <v>},{</v>
      </c>
      <c r="CC8" s="287" t="str">
        <f t="array" ref="CC8">IF(SUM(IF(Q37:Q44="x",$C$37:$C$44,0))=0,"},{",SUM(IF(Q37:Q44="x",$C$37:$C$44,0)))</f>
        <v>},{</v>
      </c>
      <c r="CD8" s="287" t="str">
        <f t="array" ref="CD8">IF(SUM(IF(R37:R44="x",$C$37:$C$44,0))=0,"},{",SUM(IF(R37:R44="x",$C$37:$C$44,0)))</f>
        <v>},{</v>
      </c>
      <c r="CE8" s="287" t="str">
        <f t="array" ref="CE8">IF(SUM(IF(S37:S44="x",$C$37:$C$44,0))=0,"},{",SUM(IF(S37:S44="x",$C$37:$C$44,0)))</f>
        <v>},{</v>
      </c>
      <c r="CF8" s="287" t="str">
        <f t="array" ref="CF8">IF(SUM(IF(T37:T44="x",$C$37:$C$44,0))=0,"},{",SUM(IF(T37:T44="x",$C$37:$C$44,0)))</f>
        <v>},{</v>
      </c>
      <c r="CG8" s="287" t="str">
        <f t="array" ref="CG8">IF(SUM(IF(U37:U44="x",$C$37:$C$44,0))=0,"},{",SUM(IF(U37:U44="x",$C$37:$C$44,0)))</f>
        <v>},{</v>
      </c>
      <c r="CH8" s="287" t="str">
        <f t="array" ref="CH8">IF(SUM(IF(V37:V44="x",$C$37:$C$44,0))=0,"},{",SUM(IF(V37:V44="x",$C$37:$C$44,0)))</f>
        <v>},{</v>
      </c>
      <c r="CI8" s="287" t="str">
        <f t="array" ref="CI8">IF(SUM(IF(W37:W44="x",$C$37:$C$44,0))=0,"},{",SUM(IF(W37:W44="x",$C$37:$C$44,0)))</f>
        <v>},{</v>
      </c>
      <c r="CJ8" s="287" t="str">
        <f t="array" ref="CJ8">IF(SUM(IF(X37:X44="x",$C$37:$C$44,0))=0,"},{",SUM(IF(X37:X44="x",$C$37:$C$44,0)))</f>
        <v>},{</v>
      </c>
      <c r="CK8" s="287" t="str">
        <f t="array" ref="CK8">IF(SUM(IF(Y37:Y44="x",$C$37:$C$44,0))=0,"},{",SUM(IF(Y37:Y44="x",$C$37:$C$44,0)))</f>
        <v>},{</v>
      </c>
      <c r="CL8" s="287" t="str">
        <f t="array" ref="CL8">IF(SUM(IF(Z37:Z44="x",$C$37:$C$44,0))=0,"},{",SUM(IF(Z37:Z44="x",$C$37:$C$44,0)))</f>
        <v>},{</v>
      </c>
      <c r="CM8" s="287" t="str">
        <f t="array" ref="CM8">IF(SUM(IF(AA37:AA44="x",$C$37:$C$44,0))=0,"},{",SUM(IF(AA37:AA44="x",$C$37:$C$44,0)))</f>
        <v>},{</v>
      </c>
      <c r="CN8" s="287" t="str">
        <f t="array" ref="CN8">IF(SUM(IF(AB37:AB44="x",$C$37:$C$44,0))=0,"},{",SUM(IF(AB37:AB44="x",$C$37:$C$44,0)))</f>
        <v>},{</v>
      </c>
      <c r="CO8" s="287" t="str">
        <f t="array" ref="CO8">IF(SUM(IF(AC37:AC44="x",$C$37:$C$44,0))=0,"},{",SUM(IF(AC37:AC44="x",$C$37:$C$44,0)))</f>
        <v>},{</v>
      </c>
      <c r="CP8" s="287" t="str">
        <f t="array" ref="CP8">IF(SUM(IF(AD37:AD44="x",$C$37:$C$44,0))=0,"},{",SUM(IF(AD37:AD44="x",$C$37:$C$44,0)))</f>
        <v>},{</v>
      </c>
      <c r="CQ8" s="287" t="str">
        <f t="array" ref="CQ8">IF(SUM(IF(AE37:AE44="x",$C$37:$C$44,0))=0,"},{",SUM(IF(AE37:AE44="x",$C$37:$C$44,0)))</f>
        <v>},{</v>
      </c>
      <c r="CR8" s="287" t="str">
        <f t="array" ref="CR8">IF(SUM(IF(AF37:AF44="x",$C$37:$C$44,0))=0,"},{",SUM(IF(AF37:AF44="x",$C$37:$C$44,0)))</f>
        <v>},{</v>
      </c>
      <c r="CS8" s="287" t="str">
        <f t="array" ref="CS8">IF(SUM(IF(AG37:AG44="x",$C$37:$C$44,0))=0,"},{",SUM(IF(AG37:AG44="x",$C$37:$C$44,0)))</f>
        <v>},{</v>
      </c>
      <c r="CT8" s="287" t="str">
        <f t="array" ref="CT8">IF(SUM(IF(AH37:AH44="x",$C$37:$C$44,0))=0,"},{",SUM(IF(AH37:AH44="x",$C$37:$C$44,0)))</f>
        <v>},{</v>
      </c>
      <c r="CU8" s="287" t="str">
        <f t="array" ref="CU8">IF(SUM(IF(AI37:AI44="x",$C$37:$C$44,0))=0,"},{",SUM(IF(AI37:AI44="x",$C$37:$C$44,0)))</f>
        <v>},{</v>
      </c>
      <c r="CV8" s="287" t="str">
        <f t="array" ref="CV8">IF(SUM(IF(AJ37:AJ44="x",$C$37:$C$44,0))=0,"},{",SUM(IF(AJ37:AJ44="x",$C$37:$C$44,0)))</f>
        <v>},{</v>
      </c>
      <c r="CW8" s="287" t="str">
        <f t="array" ref="CW8">IF(SUM(IF(AK37:AK44="x",$C$37:$C$44,0))=0,"},{",SUM(IF(AK37:AK44="x",$C$37:$C$44,0)))</f>
        <v>},{</v>
      </c>
      <c r="CX8" s="287" t="str">
        <f t="array" ref="CX8">IF(SUM(IF(AL37:AL44="x",$C$37:$C$44,0))=0,"},{",SUM(IF(AL37:AL44="x",$C$37:$C$44,0)))</f>
        <v>},{</v>
      </c>
      <c r="CY8" s="287" t="str">
        <f t="array" ref="CY8">IF(SUM(IF(AM37:AM44="x",$C$37:$C$44,0))=0,"},{",SUM(IF(AM37:AM44="x",$C$37:$C$44,0)))</f>
        <v>},{</v>
      </c>
      <c r="CZ8" s="287" t="str">
        <f t="array" ref="CZ8">IF(SUM(IF(AN37:AN44="x",$C$37:$C$44,0))=0,"},{",SUM(IF(AN37:AN44="x",$C$37:$C$44,0)))</f>
        <v>},{</v>
      </c>
      <c r="DA8" s="287" t="str">
        <f t="array" ref="DA8">IF(SUM(IF(AO37:AO44="x",$C$37:$C$44,0))=0,"},{",SUM(IF(AO37:AO44="x",$C$37:$C$44,0)))</f>
        <v>},{</v>
      </c>
      <c r="DB8" s="287" t="str">
        <f t="array" ref="DB8">IF(SUM(IF(AP37:AP44="x",$C$37:$C$44,0))=0,"},{",SUM(IF(AP37:AP44="x",$C$37:$C$44,0)))</f>
        <v>},{</v>
      </c>
      <c r="DC8" s="287" t="str">
        <f t="array" ref="DC8">IF(SUM(IF(AQ37:AQ44="x",$C$37:$C$44,0))=0,"},{",SUM(IF(AQ37:AQ44="x",$C$37:$C$44,0)))</f>
        <v>},{</v>
      </c>
      <c r="DD8" s="287" t="str">
        <f t="array" ref="DD8">IF(SUM(IF(AR37:AR44="x",$C$37:$C$44,0))=0,"},{",SUM(IF(AR37:AR44="x",$C$37:$C$44,0)))</f>
        <v>},{</v>
      </c>
      <c r="DE8" s="287" t="str">
        <f t="array" ref="DE8">IF(SUM(IF(AS37:AS44="x",$C$37:$C$44,0))=0,"},{",SUM(IF(AS37:AS44="x",$C$37:$C$44,0)))</f>
        <v>},{</v>
      </c>
      <c r="DF8" s="287" t="str">
        <f t="array" ref="DF8">IF(SUM(IF(AT37:AT44="x",$C$37:$C$44,0))=0,"},{",SUM(IF(AT37:AT44="x",$C$37:$C$44,0)))</f>
        <v>},{</v>
      </c>
      <c r="DG8" s="287" t="str">
        <f t="array" ref="DG8">IF(SUM(IF(AU37:AU44="x",$C$37:$C$44,0))=0,"},{",SUM(IF(AU37:AU44="x",$C$37:$C$44,0)))</f>
        <v>},{</v>
      </c>
      <c r="DH8" s="287" t="str">
        <f t="array" ref="DH8">IF(SUM(IF(AV37:AV44="x",$C$37:$C$44,0))=0,"},{",SUM(IF(AV37:AV44="x",$C$37:$C$44,0)))</f>
        <v>},{</v>
      </c>
      <c r="DI8" s="287" t="str">
        <f t="array" ref="DI8">IF(SUM(IF(AW37:AW44="x",$C$37:$C$44,0))=0,"},{",SUM(IF(AW37:AW44="x",$C$37:$C$44,0)))</f>
        <v>},{</v>
      </c>
      <c r="DJ8" s="287" t="str">
        <f t="array" ref="DJ8">IF(SUM(IF(AX37:AX44="x",$C$37:$C$44,0))=0,"},{",SUM(IF(AX37:AX44="x",$C$37:$C$44,0)))</f>
        <v>},{</v>
      </c>
      <c r="DK8" s="287" t="str">
        <f t="array" ref="DK8">IF(SUM(IF(AY37:AY44="x",$C$37:$C$44,0))=0,"},{",SUM(IF(AY37:AY44="x",$C$37:$C$44,0)))</f>
        <v>},{</v>
      </c>
      <c r="DL8" s="287" t="str">
        <f t="array" ref="DL8">IF(SUM(IF(AZ37:AZ44="x",$C$37:$C$44,0))=0,"},{",SUM(IF(AZ37:AZ44="x",$C$37:$C$44,0)))</f>
        <v>},{</v>
      </c>
      <c r="DM8" s="287" t="str">
        <f t="array" ref="DM8">IF(SUM(IF(BA37:BA44="x",$C$37:$C$44,0))=0,"},{",SUM(IF(BA37:BA44="x",$C$37:$C$44,0)))</f>
        <v>},{</v>
      </c>
      <c r="DN8" s="287" t="str">
        <f t="array" ref="DN8">IF(SUM(IF(BB37:BB44="x",$C$37:$C$44,0))=0,"},{",SUM(IF(BB37:BB44="x",$C$37:$C$44,0)))</f>
        <v>},{</v>
      </c>
      <c r="DO8" s="287" t="str">
        <f t="array" ref="DO8">IF(SUM(IF(BC37:BC44="x",$C$37:$C$44,0))=0,"},{",SUM(IF(BC37:BC44="x",$C$37:$C$44,0)))</f>
        <v>},{</v>
      </c>
      <c r="DP8" s="287" t="str">
        <f t="array" ref="DP8">IF(SUM(IF(BD37:BD44="x",$C$37:$C$44,0))=0,"},{",SUM(IF(BD37:BD44="x",$C$37:$C$44,0)))</f>
        <v>},{</v>
      </c>
      <c r="DQ8" s="287" t="str">
        <f t="array" ref="DQ8">IF(SUM(IF(BE37:BE44="x",$C$37:$C$44,0))=0,"},{",SUM(IF(BE37:BE44="x",$C$37:$C$44,0)))</f>
        <v>},{</v>
      </c>
      <c r="DR8" s="287" t="str">
        <f t="array" ref="DR8">IF(SUM(IF(BF37:BF44="x",$C$37:$C$44,0))=0,"},{",SUM(IF(BF37:BF44="x",$C$37:$C$44,0)))</f>
        <v>},{</v>
      </c>
      <c r="DS8" s="287" t="str">
        <f t="array" ref="DS8">IF(SUM(IF(BG37:BG44="x",$C$37:$C$44,0))=0,"},{",SUM(IF(BG37:BG44="x",$C$37:$C$44,0)))</f>
        <v>},{</v>
      </c>
      <c r="DT8" s="287" t="str">
        <f t="array" ref="DT8">IF(SUM(IF(BH37:BH44="x",$C$37:$C$44,0))=0,"},{",SUM(IF(BH37:BH44="x",$C$37:$C$44,0)))</f>
        <v>},{</v>
      </c>
      <c r="DU8" s="287" t="str">
        <f t="array" ref="DU8">IF(SUM(IF(BI37:BI44="x",$C$37:$C$44,0))=0,"},{",SUM(IF(BI37:BI44="x",$C$37:$C$44,0)))</f>
        <v>},{</v>
      </c>
      <c r="DV8" s="287" t="str">
        <f t="array" ref="DV8">IF(SUM(IF(BJ37:BJ44="x",$C$37:$C$44,0))=0,"},{",SUM(IF(BJ37:BJ44="x",$C$37:$C$44,0)))</f>
        <v>},{</v>
      </c>
      <c r="DW8" s="288" t="s">
        <v>88</v>
      </c>
    </row>
    <row r="9" spans="1:137" ht="20.100000000000001" customHeight="1" x14ac:dyDescent="0.25">
      <c r="A9" s="1"/>
      <c r="B9" s="1"/>
      <c r="C9" s="1">
        <v>4</v>
      </c>
      <c r="D9" s="7"/>
      <c r="E9" s="6"/>
      <c r="F9" s="6"/>
      <c r="G9" s="6"/>
      <c r="H9" s="20"/>
      <c r="I9" s="1"/>
      <c r="J9" s="7"/>
      <c r="K9" s="6"/>
      <c r="L9" s="6"/>
      <c r="M9" s="6"/>
      <c r="N9" s="20"/>
      <c r="O9" s="1"/>
      <c r="P9" s="7"/>
      <c r="Q9" s="6"/>
      <c r="R9" s="6"/>
      <c r="S9" s="6"/>
      <c r="T9" s="20"/>
      <c r="U9" s="1"/>
      <c r="V9" s="7"/>
      <c r="W9" s="6"/>
      <c r="X9" s="6"/>
      <c r="Y9" s="6"/>
      <c r="Z9" s="20"/>
      <c r="AA9" s="1"/>
      <c r="AB9" s="7"/>
      <c r="AC9" s="6"/>
      <c r="AD9" s="6"/>
      <c r="AE9" s="6"/>
      <c r="AF9" s="20"/>
      <c r="AG9" s="1"/>
      <c r="AH9" s="7"/>
      <c r="AI9" s="6"/>
      <c r="AJ9" s="6"/>
      <c r="AK9" s="6"/>
      <c r="AL9" s="20"/>
      <c r="AM9" s="1"/>
      <c r="AN9" s="7"/>
      <c r="AO9" s="6"/>
      <c r="AP9" s="6"/>
      <c r="AQ9" s="6"/>
      <c r="AR9" s="20"/>
      <c r="AS9" s="1"/>
      <c r="AT9" s="7"/>
      <c r="AU9" s="6"/>
      <c r="AV9" s="6"/>
      <c r="AW9" s="6"/>
      <c r="AX9" s="20"/>
      <c r="AY9" s="1"/>
      <c r="AZ9" s="7"/>
      <c r="BA9" s="6"/>
      <c r="BB9" s="6"/>
      <c r="BC9" s="6"/>
      <c r="BD9" s="20"/>
      <c r="BE9" s="1"/>
      <c r="BF9" s="7"/>
      <c r="BG9" s="6"/>
      <c r="BH9" s="6"/>
      <c r="BI9" s="6"/>
      <c r="BJ9" s="20"/>
      <c r="BK9" s="1"/>
      <c r="BL9" s="1"/>
      <c r="BM9" s="1"/>
      <c r="BN9" s="43">
        <v>61</v>
      </c>
      <c r="BO9" s="286" t="s">
        <v>388</v>
      </c>
      <c r="BP9" s="287" t="str">
        <f t="array" ref="BP9">IF(SUM(IF(D47:D54="x",$C$47:$C$54,0))=0,"},{",SUM(IF(D47:D54="x",$C$47:$C$54,0)))</f>
        <v>},{</v>
      </c>
      <c r="BQ9" s="287" t="str">
        <f t="array" ref="BQ9">IF(SUM(IF(E47:E54="x",$C$47:$C$54,0))=0,"},{",SUM(IF(E47:E54="x",$C$47:$C$54,0)))</f>
        <v>},{</v>
      </c>
      <c r="BR9" s="287" t="str">
        <f t="array" ref="BR9">IF(SUM(IF(F47:F54="x",$C$47:$C$54,0))=0,"},{",SUM(IF(F47:F54="x",$C$47:$C$54,0)))</f>
        <v>},{</v>
      </c>
      <c r="BS9" s="287" t="str">
        <f t="array" ref="BS9">IF(SUM(IF(G47:G54="x",$C$47:$C$54,0))=0,"},{",SUM(IF(G47:G54="x",$C$47:$C$54,0)))</f>
        <v>},{</v>
      </c>
      <c r="BT9" s="287" t="str">
        <f t="array" ref="BT9">IF(SUM(IF(H47:H54="x",$C$47:$C$54,0))=0,"},{",SUM(IF(H47:H54="x",$C$47:$C$54,0)))</f>
        <v>},{</v>
      </c>
      <c r="BU9" s="287" t="str">
        <f t="array" ref="BU9">IF(SUM(IF(I47:I54="x",$C$47:$C$54,0))=0,"},{",SUM(IF(I47:I54="x",$C$47:$C$54,0)))</f>
        <v>},{</v>
      </c>
      <c r="BV9" s="287" t="str">
        <f t="array" ref="BV9">IF(SUM(IF(J47:J54="x",$C$47:$C$54,0))=0,"},{",SUM(IF(J47:J54="x",$C$47:$C$54,0)))</f>
        <v>},{</v>
      </c>
      <c r="BW9" s="287" t="str">
        <f t="array" ref="BW9">IF(SUM(IF(K47:K54="x",$C$47:$C$54,0))=0,"},{",SUM(IF(K47:K54="x",$C$47:$C$54,0)))</f>
        <v>},{</v>
      </c>
      <c r="BX9" s="287" t="str">
        <f t="array" ref="BX9">IF(SUM(IF(L47:L54="x",$C$47:$C$54,0))=0,"},{",SUM(IF(L47:L54="x",$C$47:$C$54,0)))</f>
        <v>},{</v>
      </c>
      <c r="BY9" s="287" t="str">
        <f t="array" ref="BY9">IF(SUM(IF(M47:M54="x",$C$47:$C$54,0))=0,"},{",SUM(IF(M47:M54="x",$C$47:$C$54,0)))</f>
        <v>},{</v>
      </c>
      <c r="BZ9" s="287" t="str">
        <f t="array" ref="BZ9">IF(SUM(IF(N47:N54="x",$C$47:$C$54,0))=0,"},{",SUM(IF(N47:N54="x",$C$47:$C$54,0)))</f>
        <v>},{</v>
      </c>
      <c r="CA9" s="287" t="str">
        <f t="array" ref="CA9">IF(SUM(IF(O47:O54="x",$C$47:$C$54,0))=0,"},{",SUM(IF(O47:O54="x",$C$47:$C$54,0)))</f>
        <v>},{</v>
      </c>
      <c r="CB9" s="287" t="str">
        <f t="array" ref="CB9">IF(SUM(IF(P47:P54="x",$C$47:$C$54,0))=0,"},{",SUM(IF(P47:P54="x",$C$47:$C$54,0)))</f>
        <v>},{</v>
      </c>
      <c r="CC9" s="287" t="str">
        <f t="array" ref="CC9">IF(SUM(IF(Q47:Q54="x",$C$47:$C$54,0))=0,"},{",SUM(IF(Q47:Q54="x",$C$47:$C$54,0)))</f>
        <v>},{</v>
      </c>
      <c r="CD9" s="287" t="str">
        <f t="array" ref="CD9">IF(SUM(IF(R47:R54="x",$C$47:$C$54,0))=0,"},{",SUM(IF(R47:R54="x",$C$47:$C$54,0)))</f>
        <v>},{</v>
      </c>
      <c r="CE9" s="287" t="str">
        <f t="array" ref="CE9">IF(SUM(IF(S47:S54="x",$C$47:$C$54,0))=0,"},{",SUM(IF(S47:S54="x",$C$47:$C$54,0)))</f>
        <v>},{</v>
      </c>
      <c r="CF9" s="287" t="str">
        <f t="array" ref="CF9">IF(SUM(IF(T47:T54="x",$C$47:$C$54,0))=0,"},{",SUM(IF(T47:T54="x",$C$47:$C$54,0)))</f>
        <v>},{</v>
      </c>
      <c r="CG9" s="287" t="str">
        <f t="array" ref="CG9">IF(SUM(IF(U47:U54="x",$C$47:$C$54,0))=0,"},{",SUM(IF(U47:U54="x",$C$47:$C$54,0)))</f>
        <v>},{</v>
      </c>
      <c r="CH9" s="287" t="str">
        <f t="array" ref="CH9">IF(SUM(IF(V47:V54="x",$C$47:$C$54,0))=0,"},{",SUM(IF(V47:V54="x",$C$47:$C$54,0)))</f>
        <v>},{</v>
      </c>
      <c r="CI9" s="287" t="str">
        <f t="array" ref="CI9">IF(SUM(IF(W47:W54="x",$C$47:$C$54,0))=0,"},{",SUM(IF(W47:W54="x",$C$47:$C$54,0)))</f>
        <v>},{</v>
      </c>
      <c r="CJ9" s="287" t="str">
        <f t="array" ref="CJ9">IF(SUM(IF(X47:X54="x",$C$47:$C$54,0))=0,"},{",SUM(IF(X47:X54="x",$C$47:$C$54,0)))</f>
        <v>},{</v>
      </c>
      <c r="CK9" s="287" t="str">
        <f t="array" ref="CK9">IF(SUM(IF(Y47:Y54="x",$C$47:$C$54,0))=0,"},{",SUM(IF(Y47:Y54="x",$C$47:$C$54,0)))</f>
        <v>},{</v>
      </c>
      <c r="CL9" s="287" t="str">
        <f t="array" ref="CL9">IF(SUM(IF(Z47:Z54="x",$C$47:$C$54,0))=0,"},{",SUM(IF(Z47:Z54="x",$C$47:$C$54,0)))</f>
        <v>},{</v>
      </c>
      <c r="CM9" s="287" t="str">
        <f t="array" ref="CM9">IF(SUM(IF(AA47:AA54="x",$C$47:$C$54,0))=0,"},{",SUM(IF(AA47:AA54="x",$C$47:$C$54,0)))</f>
        <v>},{</v>
      </c>
      <c r="CN9" s="287" t="str">
        <f t="array" ref="CN9">IF(SUM(IF(AB47:AB54="x",$C$47:$C$54,0))=0,"},{",SUM(IF(AB47:AB54="x",$C$47:$C$54,0)))</f>
        <v>},{</v>
      </c>
      <c r="CO9" s="287" t="str">
        <f t="array" ref="CO9">IF(SUM(IF(AC47:AC54="x",$C$47:$C$54,0))=0,"},{",SUM(IF(AC47:AC54="x",$C$47:$C$54,0)))</f>
        <v>},{</v>
      </c>
      <c r="CP9" s="287" t="str">
        <f t="array" ref="CP9">IF(SUM(IF(AD47:AD54="x",$C$47:$C$54,0))=0,"},{",SUM(IF(AD47:AD54="x",$C$47:$C$54,0)))</f>
        <v>},{</v>
      </c>
      <c r="CQ9" s="287" t="str">
        <f t="array" ref="CQ9">IF(SUM(IF(AE47:AE54="x",$C$47:$C$54,0))=0,"},{",SUM(IF(AE47:AE54="x",$C$47:$C$54,0)))</f>
        <v>},{</v>
      </c>
      <c r="CR9" s="287" t="str">
        <f t="array" ref="CR9">IF(SUM(IF(AF47:AF54="x",$C$47:$C$54,0))=0,"},{",SUM(IF(AF47:AF54="x",$C$47:$C$54,0)))</f>
        <v>},{</v>
      </c>
      <c r="CS9" s="287" t="str">
        <f t="array" ref="CS9">IF(SUM(IF(AG47:AG54="x",$C$47:$C$54,0))=0,"},{",SUM(IF(AG47:AG54="x",$C$47:$C$54,0)))</f>
        <v>},{</v>
      </c>
      <c r="CT9" s="287" t="str">
        <f t="array" ref="CT9">IF(SUM(IF(AH47:AH54="x",$C$47:$C$54,0))=0,"},{",SUM(IF(AH47:AH54="x",$C$47:$C$54,0)))</f>
        <v>},{</v>
      </c>
      <c r="CU9" s="287" t="str">
        <f t="array" ref="CU9">IF(SUM(IF(AI47:AI54="x",$C$47:$C$54,0))=0,"},{",SUM(IF(AI47:AI54="x",$C$47:$C$54,0)))</f>
        <v>},{</v>
      </c>
      <c r="CV9" s="287" t="str">
        <f t="array" ref="CV9">IF(SUM(IF(AJ47:AJ54="x",$C$47:$C$54,0))=0,"},{",SUM(IF(AJ47:AJ54="x",$C$47:$C$54,0)))</f>
        <v>},{</v>
      </c>
      <c r="CW9" s="287" t="str">
        <f t="array" ref="CW9">IF(SUM(IF(AK47:AK54="x",$C$47:$C$54,0))=0,"},{",SUM(IF(AK47:AK54="x",$C$47:$C$54,0)))</f>
        <v>},{</v>
      </c>
      <c r="CX9" s="287" t="str">
        <f t="array" ref="CX9">IF(SUM(IF(AL47:AL54="x",$C$47:$C$54,0))=0,"},{",SUM(IF(AL47:AL54="x",$C$47:$C$54,0)))</f>
        <v>},{</v>
      </c>
      <c r="CY9" s="287" t="str">
        <f t="array" ref="CY9">IF(SUM(IF(AM47:AM54="x",$C$47:$C$54,0))=0,"},{",SUM(IF(AM47:AM54="x",$C$47:$C$54,0)))</f>
        <v>},{</v>
      </c>
      <c r="CZ9" s="287" t="str">
        <f t="array" ref="CZ9">IF(SUM(IF(AN47:AN54="x",$C$47:$C$54,0))=0,"},{",SUM(IF(AN47:AN54="x",$C$47:$C$54,0)))</f>
        <v>},{</v>
      </c>
      <c r="DA9" s="287" t="str">
        <f t="array" ref="DA9">IF(SUM(IF(AO47:AO54="x",$C$47:$C$54,0))=0,"},{",SUM(IF(AO47:AO54="x",$C$47:$C$54,0)))</f>
        <v>},{</v>
      </c>
      <c r="DB9" s="287" t="str">
        <f t="array" ref="DB9">IF(SUM(IF(AP47:AP54="x",$C$47:$C$54,0))=0,"},{",SUM(IF(AP47:AP54="x",$C$47:$C$54,0)))</f>
        <v>},{</v>
      </c>
      <c r="DC9" s="287" t="str">
        <f t="array" ref="DC9">IF(SUM(IF(AQ47:AQ54="x",$C$47:$C$54,0))=0,"},{",SUM(IF(AQ47:AQ54="x",$C$47:$C$54,0)))</f>
        <v>},{</v>
      </c>
      <c r="DD9" s="287" t="str">
        <f t="array" ref="DD9">IF(SUM(IF(AR47:AR54="x",$C$47:$C$54,0))=0,"},{",SUM(IF(AR47:AR54="x",$C$47:$C$54,0)))</f>
        <v>},{</v>
      </c>
      <c r="DE9" s="287" t="str">
        <f t="array" ref="DE9">IF(SUM(IF(AS47:AS54="x",$C$47:$C$54,0))=0,"},{",SUM(IF(AS47:AS54="x",$C$47:$C$54,0)))</f>
        <v>},{</v>
      </c>
      <c r="DF9" s="287" t="str">
        <f t="array" ref="DF9">IF(SUM(IF(AT47:AT54="x",$C$47:$C$54,0))=0,"},{",SUM(IF(AT47:AT54="x",$C$47:$C$54,0)))</f>
        <v>},{</v>
      </c>
      <c r="DG9" s="287" t="str">
        <f t="array" ref="DG9">IF(SUM(IF(AU47:AU54="x",$C$47:$C$54,0))=0,"},{",SUM(IF(AU47:AU54="x",$C$47:$C$54,0)))</f>
        <v>},{</v>
      </c>
      <c r="DH9" s="287" t="str">
        <f t="array" ref="DH9">IF(SUM(IF(AV47:AV54="x",$C$47:$C$54,0))=0,"},{",SUM(IF(AV47:AV54="x",$C$47:$C$54,0)))</f>
        <v>},{</v>
      </c>
      <c r="DI9" s="287" t="str">
        <f t="array" ref="DI9">IF(SUM(IF(AW47:AW54="x",$C$47:$C$54,0))=0,"},{",SUM(IF(AW47:AW54="x",$C$47:$C$54,0)))</f>
        <v>},{</v>
      </c>
      <c r="DJ9" s="287" t="str">
        <f t="array" ref="DJ9">IF(SUM(IF(AX47:AX54="x",$C$47:$C$54,0))=0,"},{",SUM(IF(AX47:AX54="x",$C$47:$C$54,0)))</f>
        <v>},{</v>
      </c>
      <c r="DK9" s="287" t="str">
        <f t="array" ref="DK9">IF(SUM(IF(AY47:AY54="x",$C$47:$C$54,0))=0,"},{",SUM(IF(AY47:AY54="x",$C$47:$C$54,0)))</f>
        <v>},{</v>
      </c>
      <c r="DL9" s="287" t="str">
        <f t="array" ref="DL9">IF(SUM(IF(AZ47:AZ54="x",$C$47:$C$54,0))=0,"},{",SUM(IF(AZ47:AZ54="x",$C$47:$C$54,0)))</f>
        <v>},{</v>
      </c>
      <c r="DM9" s="287" t="str">
        <f t="array" ref="DM9">IF(SUM(IF(BA47:BA54="x",$C$47:$C$54,0))=0,"},{",SUM(IF(BA47:BA54="x",$C$47:$C$54,0)))</f>
        <v>},{</v>
      </c>
      <c r="DN9" s="287" t="str">
        <f t="array" ref="DN9">IF(SUM(IF(BB47:BB54="x",$C$47:$C$54,0))=0,"},{",SUM(IF(BB47:BB54="x",$C$47:$C$54,0)))</f>
        <v>},{</v>
      </c>
      <c r="DO9" s="287" t="str">
        <f t="array" ref="DO9">IF(SUM(IF(BC47:BC54="x",$C$47:$C$54,0))=0,"},{",SUM(IF(BC47:BC54="x",$C$47:$C$54,0)))</f>
        <v>},{</v>
      </c>
      <c r="DP9" s="287" t="str">
        <f t="array" ref="DP9">IF(SUM(IF(BD47:BD54="x",$C$47:$C$54,0))=0,"},{",SUM(IF(BD47:BD54="x",$C$47:$C$54,0)))</f>
        <v>},{</v>
      </c>
      <c r="DQ9" s="287" t="str">
        <f t="array" ref="DQ9">IF(SUM(IF(BE47:BE54="x",$C$47:$C$54,0))=0,"},{",SUM(IF(BE47:BE54="x",$C$47:$C$54,0)))</f>
        <v>},{</v>
      </c>
      <c r="DR9" s="287" t="str">
        <f t="array" ref="DR9">IF(SUM(IF(BF47:BF54="x",$C$47:$C$54,0))=0,"},{",SUM(IF(BF47:BF54="x",$C$47:$C$54,0)))</f>
        <v>},{</v>
      </c>
      <c r="DS9" s="287" t="str">
        <f t="array" ref="DS9">IF(SUM(IF(BG47:BG54="x",$C$47:$C$54,0))=0,"},{",SUM(IF(BG47:BG54="x",$C$47:$C$54,0)))</f>
        <v>},{</v>
      </c>
      <c r="DT9" s="287" t="str">
        <f t="array" ref="DT9">IF(SUM(IF(BH47:BH54="x",$C$47:$C$54,0))=0,"},{",SUM(IF(BH47:BH54="x",$C$47:$C$54,0)))</f>
        <v>},{</v>
      </c>
      <c r="DU9" s="287" t="str">
        <f t="array" ref="DU9">IF(SUM(IF(BI47:BI54="x",$C$47:$C$54,0))=0,"},{",SUM(IF(BI47:BI54="x",$C$47:$C$54,0)))</f>
        <v>},{</v>
      </c>
      <c r="DV9" s="287" t="str">
        <f t="array" ref="DV9">IF(SUM(IF(BJ47:BJ54="x",$C$47:$C$54,0))=0,"},{",SUM(IF(BJ47:BJ54="x",$C$47:$C$54,0)))</f>
        <v>},{</v>
      </c>
      <c r="DW9" s="288" t="s">
        <v>88</v>
      </c>
    </row>
    <row r="10" spans="1:137" ht="20.100000000000001" customHeight="1" x14ac:dyDescent="0.25">
      <c r="A10" s="1"/>
      <c r="B10" s="1"/>
      <c r="C10" s="1">
        <v>3</v>
      </c>
      <c r="D10" s="7"/>
      <c r="E10" s="6"/>
      <c r="F10" s="6"/>
      <c r="G10" s="6"/>
      <c r="H10" s="20" t="s">
        <v>387</v>
      </c>
      <c r="I10" s="1"/>
      <c r="J10" s="7"/>
      <c r="K10" s="6" t="s">
        <v>387</v>
      </c>
      <c r="L10" s="6" t="s">
        <v>387</v>
      </c>
      <c r="M10" s="6"/>
      <c r="N10" s="20"/>
      <c r="O10" s="1"/>
      <c r="P10" s="7"/>
      <c r="Q10" s="6"/>
      <c r="R10" s="6"/>
      <c r="S10" s="6"/>
      <c r="T10" s="20" t="s">
        <v>387</v>
      </c>
      <c r="U10" s="1"/>
      <c r="V10" s="7"/>
      <c r="W10" s="6"/>
      <c r="X10" s="6" t="s">
        <v>387</v>
      </c>
      <c r="Y10" s="6"/>
      <c r="Z10" s="20"/>
      <c r="AA10" s="1"/>
      <c r="AB10" s="7"/>
      <c r="AC10" s="6"/>
      <c r="AD10" s="6"/>
      <c r="AE10" s="6"/>
      <c r="AF10" s="20" t="s">
        <v>387</v>
      </c>
      <c r="AG10" s="1"/>
      <c r="AH10" s="7" t="s">
        <v>387</v>
      </c>
      <c r="AI10" s="6" t="s">
        <v>387</v>
      </c>
      <c r="AJ10" s="6"/>
      <c r="AK10" s="6"/>
      <c r="AL10" s="20"/>
      <c r="AM10" s="1"/>
      <c r="AN10" s="7"/>
      <c r="AO10" s="6"/>
      <c r="AP10" s="6"/>
      <c r="AQ10" s="6" t="s">
        <v>387</v>
      </c>
      <c r="AR10" s="20"/>
      <c r="AS10" s="1"/>
      <c r="AT10" s="7"/>
      <c r="AU10" s="6" t="s">
        <v>387</v>
      </c>
      <c r="AV10" s="6"/>
      <c r="AW10" s="6"/>
      <c r="AX10" s="20"/>
      <c r="AY10" s="1"/>
      <c r="AZ10" s="7"/>
      <c r="BA10" s="6"/>
      <c r="BB10" s="6"/>
      <c r="BC10" s="6" t="s">
        <v>387</v>
      </c>
      <c r="BD10" s="20" t="s">
        <v>387</v>
      </c>
      <c r="BE10" s="1"/>
      <c r="BF10" s="7" t="s">
        <v>387</v>
      </c>
      <c r="BG10" s="6" t="s">
        <v>387</v>
      </c>
      <c r="BH10" s="6" t="s">
        <v>387</v>
      </c>
      <c r="BI10" s="6"/>
      <c r="BJ10" s="20"/>
      <c r="BK10" s="1"/>
      <c r="BL10" s="1"/>
      <c r="BM10" s="1"/>
      <c r="BN10" s="43">
        <v>71</v>
      </c>
      <c r="BO10" s="286" t="s">
        <v>388</v>
      </c>
      <c r="BP10" s="287" t="str">
        <f t="array" ref="BP10">IF(SUM(IF(D57:D64="x",$C$57:$C$64,0))=0,"},{",SUM(IF(D57:D64="x",$C$57:$C$64,0)))</f>
        <v>},{</v>
      </c>
      <c r="BQ10" s="287" t="str">
        <f t="array" ref="BQ10">IF(SUM(IF(E57:E64="x",$C$57:$C$64,0))=0,"},{",SUM(IF(E57:E64="x",$C$57:$C$64,0)))</f>
        <v>},{</v>
      </c>
      <c r="BR10" s="287" t="str">
        <f t="array" ref="BR10">IF(SUM(IF(F57:F64="x",$C$57:$C$64,0))=0,"},{",SUM(IF(F57:F64="x",$C$57:$C$64,0)))</f>
        <v>},{</v>
      </c>
      <c r="BS10" s="287" t="str">
        <f t="array" ref="BS10">IF(SUM(IF(G57:G64="x",$C$57:$C$64,0))=0,"},{",SUM(IF(G57:G64="x",$C$57:$C$64,0)))</f>
        <v>},{</v>
      </c>
      <c r="BT10" s="287" t="str">
        <f t="array" ref="BT10">IF(SUM(IF(H57:H64="x",$C$57:$C$64,0))=0,"},{",SUM(IF(H57:H64="x",$C$57:$C$64,0)))</f>
        <v>},{</v>
      </c>
      <c r="BU10" s="287" t="str">
        <f t="array" ref="BU10">IF(SUM(IF(I57:I64="x",$C$57:$C$64,0))=0,"},{",SUM(IF(I57:I64="x",$C$57:$C$64,0)))</f>
        <v>},{</v>
      </c>
      <c r="BV10" s="287" t="str">
        <f t="array" ref="BV10">IF(SUM(IF(J57:J64="x",$C$57:$C$64,0))=0,"},{",SUM(IF(J57:J64="x",$C$57:$C$64,0)))</f>
        <v>},{</v>
      </c>
      <c r="BW10" s="287" t="str">
        <f t="array" ref="BW10">IF(SUM(IF(K57:K64="x",$C$57:$C$64,0))=0,"},{",SUM(IF(K57:K64="x",$C$57:$C$64,0)))</f>
        <v>},{</v>
      </c>
      <c r="BX10" s="287" t="str">
        <f t="array" ref="BX10">IF(SUM(IF(L57:L64="x",$C$57:$C$64,0))=0,"},{",SUM(IF(L57:L64="x",$C$57:$C$64,0)))</f>
        <v>},{</v>
      </c>
      <c r="BY10" s="287" t="str">
        <f t="array" ref="BY10">IF(SUM(IF(M57:M64="x",$C$57:$C$64,0))=0,"},{",SUM(IF(M57:M64="x",$C$57:$C$64,0)))</f>
        <v>},{</v>
      </c>
      <c r="BZ10" s="287" t="str">
        <f t="array" ref="BZ10">IF(SUM(IF(N57:N64="x",$C$57:$C$64,0))=0,"},{",SUM(IF(N57:N64="x",$C$57:$C$64,0)))</f>
        <v>},{</v>
      </c>
      <c r="CA10" s="287" t="str">
        <f t="array" ref="CA10">IF(SUM(IF(O57:O64="x",$C$57:$C$64,0))=0,"},{",SUM(IF(O57:O64="x",$C$57:$C$64,0)))</f>
        <v>},{</v>
      </c>
      <c r="CB10" s="287" t="str">
        <f t="array" ref="CB10">IF(SUM(IF(P57:P64="x",$C$57:$C$64,0))=0,"},{",SUM(IF(P57:P64="x",$C$57:$C$64,0)))</f>
        <v>},{</v>
      </c>
      <c r="CC10" s="287" t="str">
        <f t="array" ref="CC10">IF(SUM(IF(Q57:Q64="x",$C$57:$C$64,0))=0,"},{",SUM(IF(Q57:Q64="x",$C$57:$C$64,0)))</f>
        <v>},{</v>
      </c>
      <c r="CD10" s="287" t="str">
        <f t="array" ref="CD10">IF(SUM(IF(R57:R64="x",$C$57:$C$64,0))=0,"},{",SUM(IF(R57:R64="x",$C$57:$C$64,0)))</f>
        <v>},{</v>
      </c>
      <c r="CE10" s="287" t="str">
        <f t="array" ref="CE10">IF(SUM(IF(S57:S64="x",$C$57:$C$64,0))=0,"},{",SUM(IF(S57:S64="x",$C$57:$C$64,0)))</f>
        <v>},{</v>
      </c>
      <c r="CF10" s="287" t="str">
        <f t="array" ref="CF10">IF(SUM(IF(T57:T64="x",$C$57:$C$64,0))=0,"},{",SUM(IF(T57:T64="x",$C$57:$C$64,0)))</f>
        <v>},{</v>
      </c>
      <c r="CG10" s="287" t="str">
        <f t="array" ref="CG10">IF(SUM(IF(U57:U64="x",$C$57:$C$64,0))=0,"},{",SUM(IF(U57:U64="x",$C$57:$C$64,0)))</f>
        <v>},{</v>
      </c>
      <c r="CH10" s="287" t="str">
        <f t="array" ref="CH10">IF(SUM(IF(V57:V64="x",$C$57:$C$64,0))=0,"},{",SUM(IF(V57:V64="x",$C$57:$C$64,0)))</f>
        <v>},{</v>
      </c>
      <c r="CI10" s="287" t="str">
        <f t="array" ref="CI10">IF(SUM(IF(W57:W64="x",$C$57:$C$64,0))=0,"},{",SUM(IF(W57:W64="x",$C$57:$C$64,0)))</f>
        <v>},{</v>
      </c>
      <c r="CJ10" s="287" t="str">
        <f t="array" ref="CJ10">IF(SUM(IF(X57:X64="x",$C$57:$C$64,0))=0,"},{",SUM(IF(X57:X64="x",$C$57:$C$64,0)))</f>
        <v>},{</v>
      </c>
      <c r="CK10" s="287" t="str">
        <f t="array" ref="CK10">IF(SUM(IF(Y57:Y64="x",$C$57:$C$64,0))=0,"},{",SUM(IF(Y57:Y64="x",$C$57:$C$64,0)))</f>
        <v>},{</v>
      </c>
      <c r="CL10" s="287" t="str">
        <f t="array" ref="CL10">IF(SUM(IF(Z57:Z64="x",$C$57:$C$64,0))=0,"},{",SUM(IF(Z57:Z64="x",$C$57:$C$64,0)))</f>
        <v>},{</v>
      </c>
      <c r="CM10" s="287" t="str">
        <f t="array" ref="CM10">IF(SUM(IF(AA57:AA64="x",$C$57:$C$64,0))=0,"},{",SUM(IF(AA57:AA64="x",$C$57:$C$64,0)))</f>
        <v>},{</v>
      </c>
      <c r="CN10" s="287" t="str">
        <f t="array" ref="CN10">IF(SUM(IF(AB57:AB64="x",$C$57:$C$64,0))=0,"},{",SUM(IF(AB57:AB64="x",$C$57:$C$64,0)))</f>
        <v>},{</v>
      </c>
      <c r="CO10" s="287" t="str">
        <f t="array" ref="CO10">IF(SUM(IF(AC57:AC64="x",$C$57:$C$64,0))=0,"},{",SUM(IF(AC57:AC64="x",$C$57:$C$64,0)))</f>
        <v>},{</v>
      </c>
      <c r="CP10" s="287" t="str">
        <f t="array" ref="CP10">IF(SUM(IF(AD57:AD64="x",$C$57:$C$64,0))=0,"},{",SUM(IF(AD57:AD64="x",$C$57:$C$64,0)))</f>
        <v>},{</v>
      </c>
      <c r="CQ10" s="287" t="str">
        <f t="array" ref="CQ10">IF(SUM(IF(AE57:AE64="x",$C$57:$C$64,0))=0,"},{",SUM(IF(AE57:AE64="x",$C$57:$C$64,0)))</f>
        <v>},{</v>
      </c>
      <c r="CR10" s="287" t="str">
        <f t="array" ref="CR10">IF(SUM(IF(AF57:AF64="x",$C$57:$C$64,0))=0,"},{",SUM(IF(AF57:AF64="x",$C$57:$C$64,0)))</f>
        <v>},{</v>
      </c>
      <c r="CS10" s="287" t="str">
        <f t="array" ref="CS10">IF(SUM(IF(AG57:AG64="x",$C$57:$C$64,0))=0,"},{",SUM(IF(AG57:AG64="x",$C$57:$C$64,0)))</f>
        <v>},{</v>
      </c>
      <c r="CT10" s="287" t="str">
        <f t="array" ref="CT10">IF(SUM(IF(AH57:AH64="x",$C$57:$C$64,0))=0,"},{",SUM(IF(AH57:AH64="x",$C$57:$C$64,0)))</f>
        <v>},{</v>
      </c>
      <c r="CU10" s="287" t="str">
        <f t="array" ref="CU10">IF(SUM(IF(AI57:AI64="x",$C$57:$C$64,0))=0,"},{",SUM(IF(AI57:AI64="x",$C$57:$C$64,0)))</f>
        <v>},{</v>
      </c>
      <c r="CV10" s="287" t="str">
        <f t="array" ref="CV10">IF(SUM(IF(AJ57:AJ64="x",$C$57:$C$64,0))=0,"},{",SUM(IF(AJ57:AJ64="x",$C$57:$C$64,0)))</f>
        <v>},{</v>
      </c>
      <c r="CW10" s="287" t="str">
        <f t="array" ref="CW10">IF(SUM(IF(AK57:AK64="x",$C$57:$C$64,0))=0,"},{",SUM(IF(AK57:AK64="x",$C$57:$C$64,0)))</f>
        <v>},{</v>
      </c>
      <c r="CX10" s="287" t="str">
        <f t="array" ref="CX10">IF(SUM(IF(AL57:AL64="x",$C$57:$C$64,0))=0,"},{",SUM(IF(AL57:AL64="x",$C$57:$C$64,0)))</f>
        <v>},{</v>
      </c>
      <c r="CY10" s="287" t="str">
        <f t="array" ref="CY10">IF(SUM(IF(AM57:AM64="x",$C$57:$C$64,0))=0,"},{",SUM(IF(AM57:AM64="x",$C$57:$C$64,0)))</f>
        <v>},{</v>
      </c>
      <c r="CZ10" s="287" t="str">
        <f t="array" ref="CZ10">IF(SUM(IF(AN57:AN64="x",$C$57:$C$64,0))=0,"},{",SUM(IF(AN57:AN64="x",$C$57:$C$64,0)))</f>
        <v>},{</v>
      </c>
      <c r="DA10" s="287" t="str">
        <f t="array" ref="DA10">IF(SUM(IF(AO57:AO64="x",$C$57:$C$64,0))=0,"},{",SUM(IF(AO57:AO64="x",$C$57:$C$64,0)))</f>
        <v>},{</v>
      </c>
      <c r="DB10" s="287" t="str">
        <f t="array" ref="DB10">IF(SUM(IF(AP57:AP64="x",$C$57:$C$64,0))=0,"},{",SUM(IF(AP57:AP64="x",$C$57:$C$64,0)))</f>
        <v>},{</v>
      </c>
      <c r="DC10" s="287" t="str">
        <f t="array" ref="DC10">IF(SUM(IF(AQ57:AQ64="x",$C$57:$C$64,0))=0,"},{",SUM(IF(AQ57:AQ64="x",$C$57:$C$64,0)))</f>
        <v>},{</v>
      </c>
      <c r="DD10" s="287" t="str">
        <f t="array" ref="DD10">IF(SUM(IF(AR57:AR64="x",$C$57:$C$64,0))=0,"},{",SUM(IF(AR57:AR64="x",$C$57:$C$64,0)))</f>
        <v>},{</v>
      </c>
      <c r="DE10" s="287" t="str">
        <f t="array" ref="DE10">IF(SUM(IF(AS57:AS64="x",$C$57:$C$64,0))=0,"},{",SUM(IF(AS57:AS64="x",$C$57:$C$64,0)))</f>
        <v>},{</v>
      </c>
      <c r="DF10" s="287" t="str">
        <f t="array" ref="DF10">IF(SUM(IF(AT57:AT64="x",$C$57:$C$64,0))=0,"},{",SUM(IF(AT57:AT64="x",$C$57:$C$64,0)))</f>
        <v>},{</v>
      </c>
      <c r="DG10" s="287" t="str">
        <f t="array" ref="DG10">IF(SUM(IF(AU57:AU64="x",$C$57:$C$64,0))=0,"},{",SUM(IF(AU57:AU64="x",$C$57:$C$64,0)))</f>
        <v>},{</v>
      </c>
      <c r="DH10" s="287" t="str">
        <f t="array" ref="DH10">IF(SUM(IF(AV57:AV64="x",$C$57:$C$64,0))=0,"},{",SUM(IF(AV57:AV64="x",$C$57:$C$64,0)))</f>
        <v>},{</v>
      </c>
      <c r="DI10" s="287" t="str">
        <f t="array" ref="DI10">IF(SUM(IF(AW57:AW64="x",$C$57:$C$64,0))=0,"},{",SUM(IF(AW57:AW64="x",$C$57:$C$64,0)))</f>
        <v>},{</v>
      </c>
      <c r="DJ10" s="287" t="str">
        <f t="array" ref="DJ10">IF(SUM(IF(AX57:AX64="x",$C$57:$C$64,0))=0,"},{",SUM(IF(AX57:AX64="x",$C$57:$C$64,0)))</f>
        <v>},{</v>
      </c>
      <c r="DK10" s="287" t="str">
        <f t="array" ref="DK10">IF(SUM(IF(AY57:AY64="x",$C$57:$C$64,0))=0,"},{",SUM(IF(AY57:AY64="x",$C$57:$C$64,0)))</f>
        <v>},{</v>
      </c>
      <c r="DL10" s="287" t="str">
        <f t="array" ref="DL10">IF(SUM(IF(AZ57:AZ64="x",$C$57:$C$64,0))=0,"},{",SUM(IF(AZ57:AZ64="x",$C$57:$C$64,0)))</f>
        <v>},{</v>
      </c>
      <c r="DM10" s="287" t="str">
        <f t="array" ref="DM10">IF(SUM(IF(BA57:BA64="x",$C$57:$C$64,0))=0,"},{",SUM(IF(BA57:BA64="x",$C$57:$C$64,0)))</f>
        <v>},{</v>
      </c>
      <c r="DN10" s="287" t="str">
        <f t="array" ref="DN10">IF(SUM(IF(BB57:BB64="x",$C$57:$C$64,0))=0,"},{",SUM(IF(BB57:BB64="x",$C$57:$C$64,0)))</f>
        <v>},{</v>
      </c>
      <c r="DO10" s="287" t="str">
        <f t="array" ref="DO10">IF(SUM(IF(BC57:BC64="x",$C$57:$C$64,0))=0,"},{",SUM(IF(BC57:BC64="x",$C$57:$C$64,0)))</f>
        <v>},{</v>
      </c>
      <c r="DP10" s="287" t="str">
        <f t="array" ref="DP10">IF(SUM(IF(BD57:BD64="x",$C$57:$C$64,0))=0,"},{",SUM(IF(BD57:BD64="x",$C$57:$C$64,0)))</f>
        <v>},{</v>
      </c>
      <c r="DQ10" s="287" t="str">
        <f t="array" ref="DQ10">IF(SUM(IF(BE57:BE64="x",$C$57:$C$64,0))=0,"},{",SUM(IF(BE57:BE64="x",$C$57:$C$64,0)))</f>
        <v>},{</v>
      </c>
      <c r="DR10" s="287" t="str">
        <f t="array" ref="DR10">IF(SUM(IF(BF57:BF64="x",$C$57:$C$64,0))=0,"},{",SUM(IF(BF57:BF64="x",$C$57:$C$64,0)))</f>
        <v>},{</v>
      </c>
      <c r="DS10" s="287" t="str">
        <f t="array" ref="DS10">IF(SUM(IF(BG57:BG64="x",$C$57:$C$64,0))=0,"},{",SUM(IF(BG57:BG64="x",$C$57:$C$64,0)))</f>
        <v>},{</v>
      </c>
      <c r="DT10" s="287" t="str">
        <f t="array" ref="DT10">IF(SUM(IF(BH57:BH64="x",$C$57:$C$64,0))=0,"},{",SUM(IF(BH57:BH64="x",$C$57:$C$64,0)))</f>
        <v>},{</v>
      </c>
      <c r="DU10" s="287" t="str">
        <f t="array" ref="DU10">IF(SUM(IF(BI57:BI64="x",$C$57:$C$64,0))=0,"},{",SUM(IF(BI57:BI64="x",$C$57:$C$64,0)))</f>
        <v>},{</v>
      </c>
      <c r="DV10" s="287" t="str">
        <f t="array" ref="DV10">IF(SUM(IF(BJ57:BJ64="x",$C$57:$C$64,0))=0,"},{",SUM(IF(BJ57:BJ64="x",$C$57:$C$64,0)))</f>
        <v>},{</v>
      </c>
      <c r="DW10" s="288" t="s">
        <v>88</v>
      </c>
    </row>
    <row r="11" spans="1:137" ht="20.100000000000001" customHeight="1" x14ac:dyDescent="0.25">
      <c r="A11" s="1"/>
      <c r="C11" s="43">
        <v>2</v>
      </c>
      <c r="D11" s="6"/>
      <c r="E11" s="6" t="s">
        <v>387</v>
      </c>
      <c r="F11" s="6" t="s">
        <v>387</v>
      </c>
      <c r="G11" s="6" t="s">
        <v>387</v>
      </c>
      <c r="H11" s="6"/>
      <c r="J11" s="6" t="s">
        <v>387</v>
      </c>
      <c r="K11" s="6"/>
      <c r="L11" s="6"/>
      <c r="M11" s="6" t="s">
        <v>387</v>
      </c>
      <c r="N11" s="6"/>
      <c r="P11" s="6" t="s">
        <v>387</v>
      </c>
      <c r="Q11" s="6"/>
      <c r="R11" s="6"/>
      <c r="S11" s="6" t="s">
        <v>387</v>
      </c>
      <c r="T11" s="6"/>
      <c r="V11" s="6" t="s">
        <v>387</v>
      </c>
      <c r="W11" s="6" t="s">
        <v>387</v>
      </c>
      <c r="X11" s="6"/>
      <c r="Y11" s="6" t="s">
        <v>387</v>
      </c>
      <c r="Z11" s="6"/>
      <c r="AB11" s="6" t="s">
        <v>387</v>
      </c>
      <c r="AC11" s="6" t="s">
        <v>387</v>
      </c>
      <c r="AD11" s="6"/>
      <c r="AE11" s="6" t="s">
        <v>387</v>
      </c>
      <c r="AF11" s="6"/>
      <c r="AH11" s="6"/>
      <c r="AI11" s="6"/>
      <c r="AJ11" s="6" t="s">
        <v>387</v>
      </c>
      <c r="AK11" s="6"/>
      <c r="AL11" s="6" t="s">
        <v>387</v>
      </c>
      <c r="AN11" s="6"/>
      <c r="AO11" s="6"/>
      <c r="AP11" s="6" t="s">
        <v>387</v>
      </c>
      <c r="AQ11" s="6"/>
      <c r="AR11" s="6" t="s">
        <v>387</v>
      </c>
      <c r="AT11" s="6" t="s">
        <v>387</v>
      </c>
      <c r="AU11" s="6"/>
      <c r="AV11" s="6" t="s">
        <v>387</v>
      </c>
      <c r="AW11" s="6"/>
      <c r="AX11" s="6"/>
      <c r="AZ11" s="6" t="s">
        <v>387</v>
      </c>
      <c r="BA11" s="6"/>
      <c r="BB11" s="6" t="s">
        <v>387</v>
      </c>
      <c r="BC11" s="6"/>
      <c r="BD11" s="6"/>
      <c r="BF11" s="6"/>
      <c r="BG11" s="6"/>
      <c r="BH11" s="6"/>
      <c r="BI11" s="6" t="s">
        <v>387</v>
      </c>
      <c r="BJ11" s="6"/>
      <c r="BN11" s="43">
        <v>81</v>
      </c>
      <c r="BO11" s="286" t="s">
        <v>388</v>
      </c>
      <c r="BP11" s="287" t="str">
        <f t="array" ref="BP11">IF(SUM(IF(D67:D78="x",$C$67:$C$78,0))=0,"},{",SUM(IF(D67:D78="x",$C$67:$C$78,0)))</f>
        <v>},{</v>
      </c>
      <c r="BQ11" s="287" t="str">
        <f t="array" ref="BQ11">IF(SUM(IF(E67:E78="x",$C$67:$C$78,0))=0,"},{",SUM(IF(E67:E78="x",$C$67:$C$78,0)))</f>
        <v>},{</v>
      </c>
      <c r="BR11" s="287" t="str">
        <f t="array" ref="BR11">IF(SUM(IF(F67:F78="x",$C$67:$C$78,0))=0,"},{",SUM(IF(F67:F78="x",$C$67:$C$78,0)))</f>
        <v>},{</v>
      </c>
      <c r="BS11" s="287" t="str">
        <f t="array" ref="BS11">IF(SUM(IF(G67:G78="x",$C$67:$C$78,0))=0,"},{",SUM(IF(G67:G78="x",$C$67:$C$78,0)))</f>
        <v>},{</v>
      </c>
      <c r="BT11" s="287" t="str">
        <f t="array" ref="BT11">IF(SUM(IF(H67:H78="x",$C$67:$C$78,0))=0,"},{",SUM(IF(H67:H78="x",$C$67:$C$78,0)))</f>
        <v>},{</v>
      </c>
      <c r="BU11" s="287" t="str">
        <f t="array" ref="BU11">IF(SUM(IF(I67:I78="x",$C$67:$C$78,0))=0,"},{",SUM(IF(I67:I78="x",$C$67:$C$78,0)))</f>
        <v>},{</v>
      </c>
      <c r="BV11" s="287" t="str">
        <f t="array" ref="BV11">IF(SUM(IF(J67:J78="x",$C$67:$C$78,0))=0,"},{",SUM(IF(J67:J78="x",$C$67:$C$78,0)))</f>
        <v>},{</v>
      </c>
      <c r="BW11" s="287" t="str">
        <f t="array" ref="BW11">IF(SUM(IF(K67:K78="x",$C$67:$C$78,0))=0,"},{",SUM(IF(K67:K78="x",$C$67:$C$78,0)))</f>
        <v>},{</v>
      </c>
      <c r="BX11" s="287" t="str">
        <f t="array" ref="BX11">IF(SUM(IF(L67:L78="x",$C$67:$C$78,0))=0,"},{",SUM(IF(L67:L78="x",$C$67:$C$78,0)))</f>
        <v>},{</v>
      </c>
      <c r="BY11" s="287" t="str">
        <f t="array" ref="BY11">IF(SUM(IF(M67:M78="x",$C$67:$C$78,0))=0,"},{",SUM(IF(M67:M78="x",$C$67:$C$78,0)))</f>
        <v>},{</v>
      </c>
      <c r="BZ11" s="287" t="str">
        <f t="array" ref="BZ11">IF(SUM(IF(N67:N78="x",$C$67:$C$78,0))=0,"},{",SUM(IF(N67:N78="x",$C$67:$C$78,0)))</f>
        <v>},{</v>
      </c>
      <c r="CA11" s="287" t="str">
        <f t="array" ref="CA11">IF(SUM(IF(O67:O78="x",$C$67:$C$78,0))=0,"},{",SUM(IF(O67:O78="x",$C$67:$C$78,0)))</f>
        <v>},{</v>
      </c>
      <c r="CB11" s="287" t="str">
        <f t="array" ref="CB11">IF(SUM(IF(P67:P78="x",$C$67:$C$78,0))=0,"},{",SUM(IF(P67:P78="x",$C$67:$C$78,0)))</f>
        <v>},{</v>
      </c>
      <c r="CC11" s="287" t="str">
        <f t="array" ref="CC11">IF(SUM(IF(Q67:Q78="x",$C$67:$C$78,0))=0,"},{",SUM(IF(Q67:Q78="x",$C$67:$C$78,0)))</f>
        <v>},{</v>
      </c>
      <c r="CD11" s="287" t="str">
        <f t="array" ref="CD11">IF(SUM(IF(R67:R78="x",$C$67:$C$78,0))=0,"},{",SUM(IF(R67:R78="x",$C$67:$C$78,0)))</f>
        <v>},{</v>
      </c>
      <c r="CE11" s="287" t="str">
        <f t="array" ref="CE11">IF(SUM(IF(S67:S78="x",$C$67:$C$78,0))=0,"},{",SUM(IF(S67:S78="x",$C$67:$C$78,0)))</f>
        <v>},{</v>
      </c>
      <c r="CF11" s="287" t="str">
        <f t="array" ref="CF11">IF(SUM(IF(T67:T78="x",$C$67:$C$78,0))=0,"},{",SUM(IF(T67:T78="x",$C$67:$C$78,0)))</f>
        <v>},{</v>
      </c>
      <c r="CG11" s="287" t="str">
        <f t="array" ref="CG11">IF(SUM(IF(U67:U78="x",$C$67:$C$78,0))=0,"},{",SUM(IF(U67:U78="x",$C$67:$C$78,0)))</f>
        <v>},{</v>
      </c>
      <c r="CH11" s="287" t="str">
        <f t="array" ref="CH11">IF(SUM(IF(V67:V78="x",$C$67:$C$78,0))=0,"},{",SUM(IF(V67:V78="x",$C$67:$C$78,0)))</f>
        <v>},{</v>
      </c>
      <c r="CI11" s="287" t="str">
        <f t="array" ref="CI11">IF(SUM(IF(W67:W78="x",$C$67:$C$78,0))=0,"},{",SUM(IF(W67:W78="x",$C$67:$C$78,0)))</f>
        <v>},{</v>
      </c>
      <c r="CJ11" s="287" t="str">
        <f t="array" ref="CJ11">IF(SUM(IF(X67:X78="x",$C$67:$C$78,0))=0,"},{",SUM(IF(X67:X78="x",$C$67:$C$78,0)))</f>
        <v>},{</v>
      </c>
      <c r="CK11" s="287" t="str">
        <f t="array" ref="CK11">IF(SUM(IF(Y67:Y78="x",$C$67:$C$78,0))=0,"},{",SUM(IF(Y67:Y78="x",$C$67:$C$78,0)))</f>
        <v>},{</v>
      </c>
      <c r="CL11" s="287" t="str">
        <f t="array" ref="CL11">IF(SUM(IF(Z67:Z78="x",$C$67:$C$78,0))=0,"},{",SUM(IF(Z67:Z78="x",$C$67:$C$78,0)))</f>
        <v>},{</v>
      </c>
      <c r="CM11" s="287" t="str">
        <f t="array" ref="CM11">IF(SUM(IF(AA67:AA78="x",$C$67:$C$78,0))=0,"},{",SUM(IF(AA67:AA78="x",$C$67:$C$78,0)))</f>
        <v>},{</v>
      </c>
      <c r="CN11" s="287" t="str">
        <f t="array" ref="CN11">IF(SUM(IF(AB67:AB78="x",$C$67:$C$78,0))=0,"},{",SUM(IF(AB67:AB78="x",$C$67:$C$78,0)))</f>
        <v>},{</v>
      </c>
      <c r="CO11" s="287" t="str">
        <f t="array" ref="CO11">IF(SUM(IF(AC67:AC78="x",$C$67:$C$78,0))=0,"},{",SUM(IF(AC67:AC78="x",$C$67:$C$78,0)))</f>
        <v>},{</v>
      </c>
      <c r="CP11" s="287" t="str">
        <f t="array" ref="CP11">IF(SUM(IF(AD67:AD78="x",$C$67:$C$78,0))=0,"},{",SUM(IF(AD67:AD78="x",$C$67:$C$78,0)))</f>
        <v>},{</v>
      </c>
      <c r="CQ11" s="287" t="str">
        <f t="array" ref="CQ11">IF(SUM(IF(AE67:AE78="x",$C$67:$C$78,0))=0,"},{",SUM(IF(AE67:AE78="x",$C$67:$C$78,0)))</f>
        <v>},{</v>
      </c>
      <c r="CR11" s="287" t="str">
        <f t="array" ref="CR11">IF(SUM(IF(AF67:AF78="x",$C$67:$C$78,0))=0,"},{",SUM(IF(AF67:AF78="x",$C$67:$C$78,0)))</f>
        <v>},{</v>
      </c>
      <c r="CS11" s="287" t="str">
        <f t="array" ref="CS11">IF(SUM(IF(AG67:AG78="x",$C$67:$C$78,0))=0,"},{",SUM(IF(AG67:AG78="x",$C$67:$C$78,0)))</f>
        <v>},{</v>
      </c>
      <c r="CT11" s="287" t="str">
        <f t="array" ref="CT11">IF(SUM(IF(AH67:AH78="x",$C$67:$C$78,0))=0,"},{",SUM(IF(AH67:AH78="x",$C$67:$C$78,0)))</f>
        <v>},{</v>
      </c>
      <c r="CU11" s="287" t="str">
        <f t="array" ref="CU11">IF(SUM(IF(AI67:AI78="x",$C$67:$C$78,0))=0,"},{",SUM(IF(AI67:AI78="x",$C$67:$C$78,0)))</f>
        <v>},{</v>
      </c>
      <c r="CV11" s="287" t="str">
        <f t="array" ref="CV11">IF(SUM(IF(AJ67:AJ78="x",$C$67:$C$78,0))=0,"},{",SUM(IF(AJ67:AJ78="x",$C$67:$C$78,0)))</f>
        <v>},{</v>
      </c>
      <c r="CW11" s="287" t="str">
        <f t="array" ref="CW11">IF(SUM(IF(AK67:AK78="x",$C$67:$C$78,0))=0,"},{",SUM(IF(AK67:AK78="x",$C$67:$C$78,0)))</f>
        <v>},{</v>
      </c>
      <c r="CX11" s="287" t="str">
        <f t="array" ref="CX11">IF(SUM(IF(AL67:AL78="x",$C$67:$C$78,0))=0,"},{",SUM(IF(AL67:AL78="x",$C$67:$C$78,0)))</f>
        <v>},{</v>
      </c>
      <c r="CY11" s="287" t="str">
        <f t="array" ref="CY11">IF(SUM(IF(AM67:AM78="x",$C$67:$C$78,0))=0,"},{",SUM(IF(AM67:AM78="x",$C$67:$C$78,0)))</f>
        <v>},{</v>
      </c>
      <c r="CZ11" s="287" t="str">
        <f t="array" ref="CZ11">IF(SUM(IF(AN67:AN78="x",$C$67:$C$78,0))=0,"},{",SUM(IF(AN67:AN78="x",$C$67:$C$78,0)))</f>
        <v>},{</v>
      </c>
      <c r="DA11" s="287" t="str">
        <f t="array" ref="DA11">IF(SUM(IF(AO67:AO78="x",$C$67:$C$78,0))=0,"},{",SUM(IF(AO67:AO78="x",$C$67:$C$78,0)))</f>
        <v>},{</v>
      </c>
      <c r="DB11" s="287" t="str">
        <f t="array" ref="DB11">IF(SUM(IF(AP67:AP78="x",$C$67:$C$78,0))=0,"},{",SUM(IF(AP67:AP78="x",$C$67:$C$78,0)))</f>
        <v>},{</v>
      </c>
      <c r="DC11" s="287" t="str">
        <f t="array" ref="DC11">IF(SUM(IF(AQ67:AQ78="x",$C$67:$C$78,0))=0,"},{",SUM(IF(AQ67:AQ78="x",$C$67:$C$78,0)))</f>
        <v>},{</v>
      </c>
      <c r="DD11" s="287" t="str">
        <f t="array" ref="DD11">IF(SUM(IF(AR67:AR78="x",$C$67:$C$78,0))=0,"},{",SUM(IF(AR67:AR78="x",$C$67:$C$78,0)))</f>
        <v>},{</v>
      </c>
      <c r="DE11" s="287" t="str">
        <f t="array" ref="DE11">IF(SUM(IF(AS67:AS78="x",$C$67:$C$78,0))=0,"},{",SUM(IF(AS67:AS78="x",$C$67:$C$78,0)))</f>
        <v>},{</v>
      </c>
      <c r="DF11" s="287" t="str">
        <f t="array" ref="DF11">IF(SUM(IF(AT67:AT78="x",$C$67:$C$78,0))=0,"},{",SUM(IF(AT67:AT78="x",$C$67:$C$78,0)))</f>
        <v>},{</v>
      </c>
      <c r="DG11" s="287" t="str">
        <f t="array" ref="DG11">IF(SUM(IF(AU67:AU78="x",$C$67:$C$78,0))=0,"},{",SUM(IF(AU67:AU78="x",$C$67:$C$78,0)))</f>
        <v>},{</v>
      </c>
      <c r="DH11" s="287" t="str">
        <f t="array" ref="DH11">IF(SUM(IF(AV67:AV78="x",$C$67:$C$78,0))=0,"},{",SUM(IF(AV67:AV78="x",$C$67:$C$78,0)))</f>
        <v>},{</v>
      </c>
      <c r="DI11" s="287" t="str">
        <f t="array" ref="DI11">IF(SUM(IF(AW67:AW78="x",$C$67:$C$78,0))=0,"},{",SUM(IF(AW67:AW78="x",$C$67:$C$78,0)))</f>
        <v>},{</v>
      </c>
      <c r="DJ11" s="287" t="str">
        <f t="array" ref="DJ11">IF(SUM(IF(AX67:AX78="x",$C$67:$C$78,0))=0,"},{",SUM(IF(AX67:AX78="x",$C$67:$C$78,0)))</f>
        <v>},{</v>
      </c>
      <c r="DK11" s="287" t="str">
        <f t="array" ref="DK11">IF(SUM(IF(AY67:AY78="x",$C$67:$C$78,0))=0,"},{",SUM(IF(AY67:AY78="x",$C$67:$C$78,0)))</f>
        <v>},{</v>
      </c>
      <c r="DL11" s="287" t="str">
        <f t="array" ref="DL11">IF(SUM(IF(AZ67:AZ78="x",$C$67:$C$78,0))=0,"},{",SUM(IF(AZ67:AZ78="x",$C$67:$C$78,0)))</f>
        <v>},{</v>
      </c>
      <c r="DM11" s="287" t="str">
        <f t="array" ref="DM11">IF(SUM(IF(BA67:BA78="x",$C$67:$C$78,0))=0,"},{",SUM(IF(BA67:BA78="x",$C$67:$C$78,0)))</f>
        <v>},{</v>
      </c>
      <c r="DN11" s="287" t="str">
        <f t="array" ref="DN11">IF(SUM(IF(BB67:BB78="x",$C$67:$C$78,0))=0,"},{",SUM(IF(BB67:BB78="x",$C$67:$C$78,0)))</f>
        <v>},{</v>
      </c>
      <c r="DO11" s="287" t="str">
        <f t="array" ref="DO11">IF(SUM(IF(BC67:BC78="x",$C$67:$C$78,0))=0,"},{",SUM(IF(BC67:BC78="x",$C$67:$C$78,0)))</f>
        <v>},{</v>
      </c>
      <c r="DP11" s="287" t="str">
        <f t="array" ref="DP11">IF(SUM(IF(BD67:BD78="x",$C$67:$C$78,0))=0,"},{",SUM(IF(BD67:BD78="x",$C$67:$C$78,0)))</f>
        <v>},{</v>
      </c>
      <c r="DQ11" s="287" t="str">
        <f t="array" ref="DQ11">IF(SUM(IF(BE67:BE78="x",$C$67:$C$78,0))=0,"},{",SUM(IF(BE67:BE78="x",$C$67:$C$78,0)))</f>
        <v>},{</v>
      </c>
      <c r="DR11" s="287" t="str">
        <f t="array" ref="DR11">IF(SUM(IF(BF67:BF78="x",$C$67:$C$78,0))=0,"},{",SUM(IF(BF67:BF78="x",$C$67:$C$78,0)))</f>
        <v>},{</v>
      </c>
      <c r="DS11" s="287" t="str">
        <f t="array" ref="DS11">IF(SUM(IF(BG67:BG78="x",$C$67:$C$78,0))=0,"},{",SUM(IF(BG67:BG78="x",$C$67:$C$78,0)))</f>
        <v>},{</v>
      </c>
      <c r="DT11" s="287" t="str">
        <f t="array" ref="DT11">IF(SUM(IF(BH67:BH78="x",$C$67:$C$78,0))=0,"},{",SUM(IF(BH67:BH78="x",$C$67:$C$78,0)))</f>
        <v>},{</v>
      </c>
      <c r="DU11" s="287" t="str">
        <f t="array" ref="DU11">IF(SUM(IF(BI67:BI78="x",$C$67:$C$78,0))=0,"},{",SUM(IF(BI67:BI78="x",$C$67:$C$78,0)))</f>
        <v>},{</v>
      </c>
      <c r="DV11" s="287" t="str">
        <f t="array" ref="DV11">IF(SUM(IF(BJ67:BJ78="x",$C$67:$C$78,0))=0,"},{",SUM(IF(BJ67:BJ78="x",$C$67:$C$78,0)))</f>
        <v>},{</v>
      </c>
      <c r="DW11" s="288" t="s">
        <v>88</v>
      </c>
    </row>
    <row r="12" spans="1:137" ht="20.100000000000001" customHeight="1" x14ac:dyDescent="0.25">
      <c r="A12" s="1"/>
      <c r="B12" s="1"/>
      <c r="C12" s="1">
        <v>1</v>
      </c>
      <c r="D12" s="6" t="s">
        <v>387</v>
      </c>
      <c r="E12" s="6"/>
      <c r="F12" s="6"/>
      <c r="G12" s="6"/>
      <c r="H12" s="6"/>
      <c r="J12" s="6"/>
      <c r="K12" s="6"/>
      <c r="L12" s="6"/>
      <c r="M12" s="6"/>
      <c r="N12" s="6" t="s">
        <v>387</v>
      </c>
      <c r="P12" s="6"/>
      <c r="Q12" s="6" t="s">
        <v>387</v>
      </c>
      <c r="R12" s="6" t="s">
        <v>387</v>
      </c>
      <c r="S12" s="6"/>
      <c r="T12" s="6"/>
      <c r="V12" s="6"/>
      <c r="W12" s="6"/>
      <c r="X12" s="6"/>
      <c r="Y12" s="6"/>
      <c r="Z12" s="6" t="s">
        <v>387</v>
      </c>
      <c r="AB12" s="6"/>
      <c r="AC12" s="6"/>
      <c r="AD12" s="6" t="s">
        <v>387</v>
      </c>
      <c r="AE12" s="6"/>
      <c r="AF12" s="6"/>
      <c r="AH12" s="6"/>
      <c r="AI12" s="6"/>
      <c r="AJ12" s="6"/>
      <c r="AK12" s="6" t="s">
        <v>387</v>
      </c>
      <c r="AL12" s="6"/>
      <c r="AN12" s="6" t="s">
        <v>387</v>
      </c>
      <c r="AO12" s="6" t="s">
        <v>387</v>
      </c>
      <c r="AP12" s="6"/>
      <c r="AQ12" s="6"/>
      <c r="AR12" s="6"/>
      <c r="AT12" s="6"/>
      <c r="AU12" s="6"/>
      <c r="AV12" s="6"/>
      <c r="AW12" s="6" t="s">
        <v>387</v>
      </c>
      <c r="AX12" s="6" t="s">
        <v>387</v>
      </c>
      <c r="AZ12" s="6"/>
      <c r="BA12" s="6" t="s">
        <v>387</v>
      </c>
      <c r="BB12" s="6"/>
      <c r="BC12" s="6"/>
      <c r="BD12" s="6"/>
      <c r="BF12" s="6"/>
      <c r="BG12" s="6"/>
      <c r="BH12" s="6"/>
      <c r="BI12" s="6"/>
      <c r="BJ12" s="6" t="s">
        <v>387</v>
      </c>
      <c r="BN12" s="43">
        <v>91</v>
      </c>
      <c r="BO12" s="286" t="s">
        <v>388</v>
      </c>
      <c r="BP12" s="287" t="str">
        <f t="array" ref="BP12">IF(SUM(IF(D81:D92="x",$C$81:$C$92,0))=0,"},{",SUM(IF(D81:D92="x",$C$81:$C$92,0)))</f>
        <v>},{</v>
      </c>
      <c r="BQ12" s="287" t="str">
        <f t="array" ref="BQ12">IF(SUM(IF(E81:E92="x",$C$81:$C$92,0))=0,"},{",SUM(IF(E81:E92="x",$C$81:$C$92,0)))</f>
        <v>},{</v>
      </c>
      <c r="BR12" s="287" t="str">
        <f t="array" ref="BR12">IF(SUM(IF(F81:F92="x",$C$81:$C$92,0))=0,"},{",SUM(IF(F81:F92="x",$C$81:$C$92,0)))</f>
        <v>},{</v>
      </c>
      <c r="BS12" s="287" t="str">
        <f t="array" ref="BS12">IF(SUM(IF(G81:G92="x",$C$81:$C$92,0))=0,"},{",SUM(IF(G81:G92="x",$C$81:$C$92,0)))</f>
        <v>},{</v>
      </c>
      <c r="BT12" s="287" t="str">
        <f t="array" ref="BT12">IF(SUM(IF(H81:H92="x",$C$81:$C$92,0))=0,"},{",SUM(IF(H81:H92="x",$C$81:$C$92,0)))</f>
        <v>},{</v>
      </c>
      <c r="BU12" s="287" t="str">
        <f t="array" ref="BU12">IF(SUM(IF(I81:I92="x",$C$81:$C$92,0))=0,"},{",SUM(IF(I81:I92="x",$C$81:$C$92,0)))</f>
        <v>},{</v>
      </c>
      <c r="BV12" s="287" t="str">
        <f t="array" ref="BV12">IF(SUM(IF(J81:J92="x",$C$81:$C$92,0))=0,"},{",SUM(IF(J81:J92="x",$C$81:$C$92,0)))</f>
        <v>},{</v>
      </c>
      <c r="BW12" s="287" t="str">
        <f t="array" ref="BW12">IF(SUM(IF(K81:K92="x",$C$81:$C$92,0))=0,"},{",SUM(IF(K81:K92="x",$C$81:$C$92,0)))</f>
        <v>},{</v>
      </c>
      <c r="BX12" s="287" t="str">
        <f t="array" ref="BX12">IF(SUM(IF(L81:L92="x",$C$81:$C$92,0))=0,"},{",SUM(IF(L81:L92="x",$C$81:$C$92,0)))</f>
        <v>},{</v>
      </c>
      <c r="BY12" s="287" t="str">
        <f t="array" ref="BY12">IF(SUM(IF(M81:M92="x",$C$81:$C$92,0))=0,"},{",SUM(IF(M81:M92="x",$C$81:$C$92,0)))</f>
        <v>},{</v>
      </c>
      <c r="BZ12" s="287" t="str">
        <f t="array" ref="BZ12">IF(SUM(IF(N81:N92="x",$C$81:$C$92,0))=0,"},{",SUM(IF(N81:N92="x",$C$81:$C$92,0)))</f>
        <v>},{</v>
      </c>
      <c r="CA12" s="287" t="str">
        <f t="array" ref="CA12">IF(SUM(IF(O81:O92="x",$C$81:$C$92,0))=0,"},{",SUM(IF(O81:O92="x",$C$81:$C$92,0)))</f>
        <v>},{</v>
      </c>
      <c r="CB12" s="287" t="str">
        <f t="array" ref="CB12">IF(SUM(IF(P81:P92="x",$C$81:$C$92,0))=0,"},{",SUM(IF(P81:P92="x",$C$81:$C$92,0)))</f>
        <v>},{</v>
      </c>
      <c r="CC12" s="287" t="str">
        <f t="array" ref="CC12">IF(SUM(IF(Q81:Q92="x",$C$81:$C$92,0))=0,"},{",SUM(IF(Q81:Q92="x",$C$81:$C$92,0)))</f>
        <v>},{</v>
      </c>
      <c r="CD12" s="287" t="str">
        <f t="array" ref="CD12">IF(SUM(IF(R81:R92="x",$C$81:$C$92,0))=0,"},{",SUM(IF(R81:R92="x",$C$81:$C$92,0)))</f>
        <v>},{</v>
      </c>
      <c r="CE12" s="287" t="str">
        <f t="array" ref="CE12">IF(SUM(IF(S81:S92="x",$C$81:$C$92,0))=0,"},{",SUM(IF(S81:S92="x",$C$81:$C$92,0)))</f>
        <v>},{</v>
      </c>
      <c r="CF12" s="287" t="str">
        <f t="array" ref="CF12">IF(SUM(IF(T81:T92="x",$C$81:$C$92,0))=0,"},{",SUM(IF(T81:T92="x",$C$81:$C$92,0)))</f>
        <v>},{</v>
      </c>
      <c r="CG12" s="287" t="str">
        <f t="array" ref="CG12">IF(SUM(IF(U81:U92="x",$C$81:$C$92,0))=0,"},{",SUM(IF(U81:U92="x",$C$81:$C$92,0)))</f>
        <v>},{</v>
      </c>
      <c r="CH12" s="287" t="str">
        <f t="array" ref="CH12">IF(SUM(IF(V81:V92="x",$C$81:$C$92,0))=0,"},{",SUM(IF(V81:V92="x",$C$81:$C$92,0)))</f>
        <v>},{</v>
      </c>
      <c r="CI12" s="287" t="str">
        <f t="array" ref="CI12">IF(SUM(IF(W81:W92="x",$C$81:$C$92,0))=0,"},{",SUM(IF(W81:W92="x",$C$81:$C$92,0)))</f>
        <v>},{</v>
      </c>
      <c r="CJ12" s="287" t="str">
        <f t="array" ref="CJ12">IF(SUM(IF(X81:X92="x",$C$81:$C$92,0))=0,"},{",SUM(IF(X81:X92="x",$C$81:$C$92,0)))</f>
        <v>},{</v>
      </c>
      <c r="CK12" s="287" t="str">
        <f t="array" ref="CK12">IF(SUM(IF(Y81:Y92="x",$C$81:$C$92,0))=0,"},{",SUM(IF(Y81:Y92="x",$C$81:$C$92,0)))</f>
        <v>},{</v>
      </c>
      <c r="CL12" s="287" t="str">
        <f t="array" ref="CL12">IF(SUM(IF(Z81:Z92="x",$C$81:$C$92,0))=0,"},{",SUM(IF(Z81:Z92="x",$C$81:$C$92,0)))</f>
        <v>},{</v>
      </c>
      <c r="CM12" s="287" t="str">
        <f t="array" ref="CM12">IF(SUM(IF(AA81:AA92="x",$C$81:$C$92,0))=0,"},{",SUM(IF(AA81:AA92="x",$C$81:$C$92,0)))</f>
        <v>},{</v>
      </c>
      <c r="CN12" s="287" t="str">
        <f t="array" ref="CN12">IF(SUM(IF(AB81:AB92="x",$C$81:$C$92,0))=0,"},{",SUM(IF(AB81:AB92="x",$C$81:$C$92,0)))</f>
        <v>},{</v>
      </c>
      <c r="CO12" s="287" t="str">
        <f t="array" ref="CO12">IF(SUM(IF(AC81:AC92="x",$C$81:$C$92,0))=0,"},{",SUM(IF(AC81:AC92="x",$C$81:$C$92,0)))</f>
        <v>},{</v>
      </c>
      <c r="CP12" s="287" t="str">
        <f t="array" ref="CP12">IF(SUM(IF(AD81:AD92="x",$C$81:$C$92,0))=0,"},{",SUM(IF(AD81:AD92="x",$C$81:$C$92,0)))</f>
        <v>},{</v>
      </c>
      <c r="CQ12" s="287" t="str">
        <f t="array" ref="CQ12">IF(SUM(IF(AE81:AE92="x",$C$81:$C$92,0))=0,"},{",SUM(IF(AE81:AE92="x",$C$81:$C$92,0)))</f>
        <v>},{</v>
      </c>
      <c r="CR12" s="287" t="str">
        <f t="array" ref="CR12">IF(SUM(IF(AF81:AF92="x",$C$81:$C$92,0))=0,"},{",SUM(IF(AF81:AF92="x",$C$81:$C$92,0)))</f>
        <v>},{</v>
      </c>
      <c r="CS12" s="287" t="str">
        <f t="array" ref="CS12">IF(SUM(IF(AG81:AG92="x",$C$81:$C$92,0))=0,"},{",SUM(IF(AG81:AG92="x",$C$81:$C$92,0)))</f>
        <v>},{</v>
      </c>
      <c r="CT12" s="287" t="str">
        <f t="array" ref="CT12">IF(SUM(IF(AH81:AH92="x",$C$81:$C$92,0))=0,"},{",SUM(IF(AH81:AH92="x",$C$81:$C$92,0)))</f>
        <v>},{</v>
      </c>
      <c r="CU12" s="287" t="str">
        <f t="array" ref="CU12">IF(SUM(IF(AI81:AI92="x",$C$81:$C$92,0))=0,"},{",SUM(IF(AI81:AI92="x",$C$81:$C$92,0)))</f>
        <v>},{</v>
      </c>
      <c r="CV12" s="287" t="str">
        <f t="array" ref="CV12">IF(SUM(IF(AJ81:AJ92="x",$C$81:$C$92,0))=0,"},{",SUM(IF(AJ81:AJ92="x",$C$81:$C$92,0)))</f>
        <v>},{</v>
      </c>
      <c r="CW12" s="287" t="str">
        <f t="array" ref="CW12">IF(SUM(IF(AK81:AK92="x",$C$81:$C$92,0))=0,"},{",SUM(IF(AK81:AK92="x",$C$81:$C$92,0)))</f>
        <v>},{</v>
      </c>
      <c r="CX12" s="287" t="str">
        <f t="array" ref="CX12">IF(SUM(IF(AL81:AL92="x",$C$81:$C$92,0))=0,"},{",SUM(IF(AL81:AL92="x",$C$81:$C$92,0)))</f>
        <v>},{</v>
      </c>
      <c r="CY12" s="287" t="str">
        <f t="array" ref="CY12">IF(SUM(IF(AM81:AM92="x",$C$81:$C$92,0))=0,"},{",SUM(IF(AM81:AM92="x",$C$81:$C$92,0)))</f>
        <v>},{</v>
      </c>
      <c r="CZ12" s="287" t="str">
        <f t="array" ref="CZ12">IF(SUM(IF(AN81:AN92="x",$C$81:$C$92,0))=0,"},{",SUM(IF(AN81:AN92="x",$C$81:$C$92,0)))</f>
        <v>},{</v>
      </c>
      <c r="DA12" s="287" t="str">
        <f t="array" ref="DA12">IF(SUM(IF(AO81:AO92="x",$C$81:$C$92,0))=0,"},{",SUM(IF(AO81:AO92="x",$C$81:$C$92,0)))</f>
        <v>},{</v>
      </c>
      <c r="DB12" s="287" t="str">
        <f t="array" ref="DB12">IF(SUM(IF(AP81:AP92="x",$C$81:$C$92,0))=0,"},{",SUM(IF(AP81:AP92="x",$C$81:$C$92,0)))</f>
        <v>},{</v>
      </c>
      <c r="DC12" s="287" t="str">
        <f t="array" ref="DC12">IF(SUM(IF(AQ81:AQ92="x",$C$81:$C$92,0))=0,"},{",SUM(IF(AQ81:AQ92="x",$C$81:$C$92,0)))</f>
        <v>},{</v>
      </c>
      <c r="DD12" s="287" t="str">
        <f t="array" ref="DD12">IF(SUM(IF(AR81:AR92="x",$C$81:$C$92,0))=0,"},{",SUM(IF(AR81:AR92="x",$C$81:$C$92,0)))</f>
        <v>},{</v>
      </c>
      <c r="DE12" s="287" t="str">
        <f t="array" ref="DE12">IF(SUM(IF(AS81:AS92="x",$C$81:$C$92,0))=0,"},{",SUM(IF(AS81:AS92="x",$C$81:$C$92,0)))</f>
        <v>},{</v>
      </c>
      <c r="DF12" s="287" t="str">
        <f t="array" ref="DF12">IF(SUM(IF(AT81:AT92="x",$C$81:$C$92,0))=0,"},{",SUM(IF(AT81:AT92="x",$C$81:$C$92,0)))</f>
        <v>},{</v>
      </c>
      <c r="DG12" s="287" t="str">
        <f t="array" ref="DG12">IF(SUM(IF(AU81:AU92="x",$C$81:$C$92,0))=0,"},{",SUM(IF(AU81:AU92="x",$C$81:$C$92,0)))</f>
        <v>},{</v>
      </c>
      <c r="DH12" s="287" t="str">
        <f t="array" ref="DH12">IF(SUM(IF(AV81:AV92="x",$C$81:$C$92,0))=0,"},{",SUM(IF(AV81:AV92="x",$C$81:$C$92,0)))</f>
        <v>},{</v>
      </c>
      <c r="DI12" s="287" t="str">
        <f t="array" ref="DI12">IF(SUM(IF(AW81:AW92="x",$C$81:$C$92,0))=0,"},{",SUM(IF(AW81:AW92="x",$C$81:$C$92,0)))</f>
        <v>},{</v>
      </c>
      <c r="DJ12" s="287" t="str">
        <f t="array" ref="DJ12">IF(SUM(IF(AX81:AX92="x",$C$81:$C$92,0))=0,"},{",SUM(IF(AX81:AX92="x",$C$81:$C$92,0)))</f>
        <v>},{</v>
      </c>
      <c r="DK12" s="287" t="str">
        <f t="array" ref="DK12">IF(SUM(IF(AY81:AY92="x",$C$81:$C$92,0))=0,"},{",SUM(IF(AY81:AY92="x",$C$81:$C$92,0)))</f>
        <v>},{</v>
      </c>
      <c r="DL12" s="287" t="str">
        <f t="array" ref="DL12">IF(SUM(IF(AZ81:AZ92="x",$C$81:$C$92,0))=0,"},{",SUM(IF(AZ81:AZ92="x",$C$81:$C$92,0)))</f>
        <v>},{</v>
      </c>
      <c r="DM12" s="287" t="str">
        <f t="array" ref="DM12">IF(SUM(IF(BA81:BA92="x",$C$81:$C$92,0))=0,"},{",SUM(IF(BA81:BA92="x",$C$81:$C$92,0)))</f>
        <v>},{</v>
      </c>
      <c r="DN12" s="287" t="str">
        <f t="array" ref="DN12">IF(SUM(IF(BB81:BB92="x",$C$81:$C$92,0))=0,"},{",SUM(IF(BB81:BB92="x",$C$81:$C$92,0)))</f>
        <v>},{</v>
      </c>
      <c r="DO12" s="287" t="str">
        <f t="array" ref="DO12">IF(SUM(IF(BC81:BC92="x",$C$81:$C$92,0))=0,"},{",SUM(IF(BC81:BC92="x",$C$81:$C$92,0)))</f>
        <v>},{</v>
      </c>
      <c r="DP12" s="287" t="str">
        <f t="array" ref="DP12">IF(SUM(IF(BD81:BD92="x",$C$81:$C$92,0))=0,"},{",SUM(IF(BD81:BD92="x",$C$81:$C$92,0)))</f>
        <v>},{</v>
      </c>
      <c r="DQ12" s="287" t="str">
        <f t="array" ref="DQ12">IF(SUM(IF(BE81:BE92="x",$C$81:$C$92,0))=0,"},{",SUM(IF(BE81:BE92="x",$C$81:$C$92,0)))</f>
        <v>},{</v>
      </c>
      <c r="DR12" s="287" t="str">
        <f t="array" ref="DR12">IF(SUM(IF(BF81:BF92="x",$C$81:$C$92,0))=0,"},{",SUM(IF(BF81:BF92="x",$C$81:$C$92,0)))</f>
        <v>},{</v>
      </c>
      <c r="DS12" s="287" t="str">
        <f t="array" ref="DS12">IF(SUM(IF(BG81:BG92="x",$C$81:$C$92,0))=0,"},{",SUM(IF(BG81:BG92="x",$C$81:$C$92,0)))</f>
        <v>},{</v>
      </c>
      <c r="DT12" s="287" t="str">
        <f t="array" ref="DT12">IF(SUM(IF(BH81:BH92="x",$C$81:$C$92,0))=0,"},{",SUM(IF(BH81:BH92="x",$C$81:$C$92,0)))</f>
        <v>},{</v>
      </c>
      <c r="DU12" s="287" t="str">
        <f t="array" ref="DU12">IF(SUM(IF(BI81:BI92="x",$C$81:$C$92,0))=0,"},{",SUM(IF(BI81:BI92="x",$C$81:$C$92,0)))</f>
        <v>},{</v>
      </c>
      <c r="DV12" s="287" t="str">
        <f t="array" ref="DV12">IF(SUM(IF(BJ81:BJ92="x",$C$81:$C$92,0))=0,"},{",SUM(IF(BJ81:BJ92="x",$C$81:$C$92,0)))</f>
        <v>},{</v>
      </c>
      <c r="DW12" s="288" t="s">
        <v>88</v>
      </c>
      <c r="DX12"/>
    </row>
    <row r="13" spans="1:137" ht="20.100000000000001" customHeight="1" x14ac:dyDescent="0.25">
      <c r="A13" s="1"/>
      <c r="B13" s="1"/>
      <c r="C13" s="1"/>
      <c r="D13" s="1"/>
      <c r="E13" s="1"/>
      <c r="F13" s="1"/>
      <c r="G13" s="1"/>
      <c r="H13" s="1"/>
      <c r="J13" s="1"/>
      <c r="K13" s="1"/>
      <c r="L13" s="1"/>
      <c r="M13" s="1"/>
      <c r="N13" s="1"/>
      <c r="P13" s="1"/>
      <c r="Q13" s="1"/>
      <c r="R13" s="1"/>
      <c r="S13" s="1"/>
      <c r="T13" s="1"/>
      <c r="V13" s="1"/>
      <c r="W13" s="1"/>
      <c r="X13" s="1"/>
      <c r="Y13" s="1"/>
      <c r="Z13" s="1"/>
      <c r="AB13" s="1"/>
      <c r="AC13" s="1"/>
      <c r="AD13" s="1"/>
      <c r="AE13" s="1"/>
      <c r="AF13" s="1"/>
      <c r="AH13" s="1"/>
      <c r="AI13" s="1"/>
      <c r="AJ13" s="1"/>
      <c r="AK13" s="1"/>
      <c r="AL13" s="1"/>
      <c r="AN13" s="1"/>
      <c r="AO13" s="1"/>
      <c r="AP13" s="1"/>
      <c r="AQ13" s="1"/>
      <c r="AR13" s="1"/>
      <c r="AT13" s="1"/>
      <c r="AU13" s="1"/>
      <c r="AV13" s="1"/>
      <c r="AW13" s="1"/>
      <c r="AX13" s="1"/>
      <c r="AZ13" s="1"/>
      <c r="BA13" s="1"/>
      <c r="BB13" s="1"/>
      <c r="BC13" s="1"/>
      <c r="BD13" s="1"/>
      <c r="BF13" s="1"/>
      <c r="BG13" s="1"/>
      <c r="BH13" s="1"/>
      <c r="BI13" s="1"/>
      <c r="BJ13" s="1"/>
      <c r="BN13" s="43">
        <v>101</v>
      </c>
      <c r="BO13" s="286" t="s">
        <v>388</v>
      </c>
      <c r="BP13" s="287" t="str">
        <f t="array" ref="BP13">IF(SUM(IF(D95:D106="x",$C$95:$C$106,0))=0,"},{",SUM(IF(D95:D106="x",$C$95:$C$106,0)))</f>
        <v>},{</v>
      </c>
      <c r="BQ13" s="287" t="str">
        <f t="array" ref="BQ13">IF(SUM(IF(E95:E106="x",$C$95:$C$106,0))=0,"},{",SUM(IF(E95:E106="x",$C$95:$C$106,0)))</f>
        <v>},{</v>
      </c>
      <c r="BR13" s="287" t="str">
        <f t="array" ref="BR13">IF(SUM(IF(F95:F106="x",$C$95:$C$106,0))=0,"},{",SUM(IF(F95:F106="x",$C$95:$C$106,0)))</f>
        <v>},{</v>
      </c>
      <c r="BS13" s="287" t="str">
        <f t="array" ref="BS13">IF(SUM(IF(G95:G106="x",$C$95:$C$106,0))=0,"},{",SUM(IF(G95:G106="x",$C$95:$C$106,0)))</f>
        <v>},{</v>
      </c>
      <c r="BT13" s="287" t="str">
        <f t="array" ref="BT13">IF(SUM(IF(H95:H106="x",$C$95:$C$106,0))=0,"},{",SUM(IF(H95:H106="x",$C$95:$C$106,0)))</f>
        <v>},{</v>
      </c>
      <c r="BU13" s="287" t="str">
        <f t="array" ref="BU13">IF(SUM(IF(I95:I106="x",$C$95:$C$106,0))=0,"},{",SUM(IF(I95:I106="x",$C$95:$C$106,0)))</f>
        <v>},{</v>
      </c>
      <c r="BV13" s="287" t="str">
        <f t="array" ref="BV13">IF(SUM(IF(J95:J106="x",$C$95:$C$106,0))=0,"},{",SUM(IF(J95:J106="x",$C$95:$C$106,0)))</f>
        <v>},{</v>
      </c>
      <c r="BW13" s="287" t="str">
        <f t="array" ref="BW13">IF(SUM(IF(K95:K106="x",$C$95:$C$106,0))=0,"},{",SUM(IF(K95:K106="x",$C$95:$C$106,0)))</f>
        <v>},{</v>
      </c>
      <c r="BX13" s="287" t="str">
        <f t="array" ref="BX13">IF(SUM(IF(L95:L106="x",$C$95:$C$106,0))=0,"},{",SUM(IF(L95:L106="x",$C$95:$C$106,0)))</f>
        <v>},{</v>
      </c>
      <c r="BY13" s="287" t="str">
        <f t="array" ref="BY13">IF(SUM(IF(M95:M106="x",$C$95:$C$106,0))=0,"},{",SUM(IF(M95:M106="x",$C$95:$C$106,0)))</f>
        <v>},{</v>
      </c>
      <c r="BZ13" s="287" t="str">
        <f t="array" ref="BZ13">IF(SUM(IF(N95:N106="x",$C$95:$C$106,0))=0,"},{",SUM(IF(N95:N106="x",$C$95:$C$106,0)))</f>
        <v>},{</v>
      </c>
      <c r="CA13" s="287" t="str">
        <f t="array" ref="CA13">IF(SUM(IF(O95:O106="x",$C$95:$C$106,0))=0,"},{",SUM(IF(O95:O106="x",$C$95:$C$106,0)))</f>
        <v>},{</v>
      </c>
      <c r="CB13" s="287" t="str">
        <f t="array" ref="CB13">IF(SUM(IF(P95:P106="x",$C$95:$C$106,0))=0,"},{",SUM(IF(P95:P106="x",$C$95:$C$106,0)))</f>
        <v>},{</v>
      </c>
      <c r="CC13" s="287" t="str">
        <f t="array" ref="CC13">IF(SUM(IF(Q95:Q106="x",$C$95:$C$106,0))=0,"},{",SUM(IF(Q95:Q106="x",$C$95:$C$106,0)))</f>
        <v>},{</v>
      </c>
      <c r="CD13" s="287" t="str">
        <f t="array" ref="CD13">IF(SUM(IF(R95:R106="x",$C$95:$C$106,0))=0,"},{",SUM(IF(R95:R106="x",$C$95:$C$106,0)))</f>
        <v>},{</v>
      </c>
      <c r="CE13" s="287" t="str">
        <f t="array" ref="CE13">IF(SUM(IF(S95:S106="x",$C$95:$C$106,0))=0,"},{",SUM(IF(S95:S106="x",$C$95:$C$106,0)))</f>
        <v>},{</v>
      </c>
      <c r="CF13" s="287" t="str">
        <f t="array" ref="CF13">IF(SUM(IF(T95:T106="x",$C$95:$C$106,0))=0,"},{",SUM(IF(T95:T106="x",$C$95:$C$106,0)))</f>
        <v>},{</v>
      </c>
      <c r="CG13" s="287" t="str">
        <f t="array" ref="CG13">IF(SUM(IF(U95:U106="x",$C$95:$C$106,0))=0,"},{",SUM(IF(U95:U106="x",$C$95:$C$106,0)))</f>
        <v>},{</v>
      </c>
      <c r="CH13" s="287" t="str">
        <f t="array" ref="CH13">IF(SUM(IF(V95:V106="x",$C$95:$C$106,0))=0,"},{",SUM(IF(V95:V106="x",$C$95:$C$106,0)))</f>
        <v>},{</v>
      </c>
      <c r="CI13" s="287" t="str">
        <f t="array" ref="CI13">IF(SUM(IF(W95:W106="x",$C$95:$C$106,0))=0,"},{",SUM(IF(W95:W106="x",$C$95:$C$106,0)))</f>
        <v>},{</v>
      </c>
      <c r="CJ13" s="287" t="str">
        <f t="array" ref="CJ13">IF(SUM(IF(X95:X106="x",$C$95:$C$106,0))=0,"},{",SUM(IF(X95:X106="x",$C$95:$C$106,0)))</f>
        <v>},{</v>
      </c>
      <c r="CK13" s="287" t="str">
        <f t="array" ref="CK13">IF(SUM(IF(Y95:Y106="x",$C$95:$C$106,0))=0,"},{",SUM(IF(Y95:Y106="x",$C$95:$C$106,0)))</f>
        <v>},{</v>
      </c>
      <c r="CL13" s="287" t="str">
        <f t="array" ref="CL13">IF(SUM(IF(Z95:Z106="x",$C$95:$C$106,0))=0,"},{",SUM(IF(Z95:Z106="x",$C$95:$C$106,0)))</f>
        <v>},{</v>
      </c>
      <c r="CM13" s="287" t="str">
        <f t="array" ref="CM13">IF(SUM(IF(AA95:AA106="x",$C$95:$C$106,0))=0,"},{",SUM(IF(AA95:AA106="x",$C$95:$C$106,0)))</f>
        <v>},{</v>
      </c>
      <c r="CN13" s="287" t="str">
        <f t="array" ref="CN13">IF(SUM(IF(AB95:AB106="x",$C$95:$C$106,0))=0,"},{",SUM(IF(AB95:AB106="x",$C$95:$C$106,0)))</f>
        <v>},{</v>
      </c>
      <c r="CO13" s="287" t="str">
        <f t="array" ref="CO13">IF(SUM(IF(AC95:AC106="x",$C$95:$C$106,0))=0,"},{",SUM(IF(AC95:AC106="x",$C$95:$C$106,0)))</f>
        <v>},{</v>
      </c>
      <c r="CP13" s="287" t="str">
        <f t="array" ref="CP13">IF(SUM(IF(AD95:AD106="x",$C$95:$C$106,0))=0,"},{",SUM(IF(AD95:AD106="x",$C$95:$C$106,0)))</f>
        <v>},{</v>
      </c>
      <c r="CQ13" s="287" t="str">
        <f t="array" ref="CQ13">IF(SUM(IF(AE95:AE106="x",$C$95:$C$106,0))=0,"},{",SUM(IF(AE95:AE106="x",$C$95:$C$106,0)))</f>
        <v>},{</v>
      </c>
      <c r="CR13" s="287" t="str">
        <f t="array" ref="CR13">IF(SUM(IF(AF95:AF106="x",$C$95:$C$106,0))=0,"},{",SUM(IF(AF95:AF106="x",$C$95:$C$106,0)))</f>
        <v>},{</v>
      </c>
      <c r="CS13" s="287" t="str">
        <f t="array" ref="CS13">IF(SUM(IF(AG95:AG106="x",$C$95:$C$106,0))=0,"},{",SUM(IF(AG95:AG106="x",$C$95:$C$106,0)))</f>
        <v>},{</v>
      </c>
      <c r="CT13" s="287" t="str">
        <f t="array" ref="CT13">IF(SUM(IF(AH95:AH106="x",$C$95:$C$106,0))=0,"},{",SUM(IF(AH95:AH106="x",$C$95:$C$106,0)))</f>
        <v>},{</v>
      </c>
      <c r="CU13" s="287" t="str">
        <f t="array" ref="CU13">IF(SUM(IF(AI95:AI106="x",$C$95:$C$106,0))=0,"},{",SUM(IF(AI95:AI106="x",$C$95:$C$106,0)))</f>
        <v>},{</v>
      </c>
      <c r="CV13" s="287" t="str">
        <f t="array" ref="CV13">IF(SUM(IF(AJ95:AJ106="x",$C$95:$C$106,0))=0,"},{",SUM(IF(AJ95:AJ106="x",$C$95:$C$106,0)))</f>
        <v>},{</v>
      </c>
      <c r="CW13" s="287" t="str">
        <f t="array" ref="CW13">IF(SUM(IF(AK95:AK106="x",$C$95:$C$106,0))=0,"},{",SUM(IF(AK95:AK106="x",$C$95:$C$106,0)))</f>
        <v>},{</v>
      </c>
      <c r="CX13" s="287" t="str">
        <f t="array" ref="CX13">IF(SUM(IF(AL95:AL106="x",$C$95:$C$106,0))=0,"},{",SUM(IF(AL95:AL106="x",$C$95:$C$106,0)))</f>
        <v>},{</v>
      </c>
      <c r="CY13" s="287" t="str">
        <f t="array" ref="CY13">IF(SUM(IF(AM95:AM106="x",$C$95:$C$106,0))=0,"},{",SUM(IF(AM95:AM106="x",$C$95:$C$106,0)))</f>
        <v>},{</v>
      </c>
      <c r="CZ13" s="287" t="str">
        <f t="array" ref="CZ13">IF(SUM(IF(AN95:AN106="x",$C$95:$C$106,0))=0,"},{",SUM(IF(AN95:AN106="x",$C$95:$C$106,0)))</f>
        <v>},{</v>
      </c>
      <c r="DA13" s="287" t="str">
        <f t="array" ref="DA13">IF(SUM(IF(AO95:AO106="x",$C$95:$C$106,0))=0,"},{",SUM(IF(AO95:AO106="x",$C$95:$C$106,0)))</f>
        <v>},{</v>
      </c>
      <c r="DB13" s="287" t="str">
        <f t="array" ref="DB13">IF(SUM(IF(AP95:AP106="x",$C$95:$C$106,0))=0,"},{",SUM(IF(AP95:AP106="x",$C$95:$C$106,0)))</f>
        <v>},{</v>
      </c>
      <c r="DC13" s="287" t="str">
        <f t="array" ref="DC13">IF(SUM(IF(AQ95:AQ106="x",$C$95:$C$106,0))=0,"},{",SUM(IF(AQ95:AQ106="x",$C$95:$C$106,0)))</f>
        <v>},{</v>
      </c>
      <c r="DD13" s="287" t="str">
        <f t="array" ref="DD13">IF(SUM(IF(AR95:AR106="x",$C$95:$C$106,0))=0,"},{",SUM(IF(AR95:AR106="x",$C$95:$C$106,0)))</f>
        <v>},{</v>
      </c>
      <c r="DE13" s="287" t="str">
        <f t="array" ref="DE13">IF(SUM(IF(AS95:AS106="x",$C$95:$C$106,0))=0,"},{",SUM(IF(AS95:AS106="x",$C$95:$C$106,0)))</f>
        <v>},{</v>
      </c>
      <c r="DF13" s="287" t="str">
        <f t="array" ref="DF13">IF(SUM(IF(AT95:AT106="x",$C$95:$C$106,0))=0,"},{",SUM(IF(AT95:AT106="x",$C$95:$C$106,0)))</f>
        <v>},{</v>
      </c>
      <c r="DG13" s="287" t="str">
        <f t="array" ref="DG13">IF(SUM(IF(AU95:AU106="x",$C$95:$C$106,0))=0,"},{",SUM(IF(AU95:AU106="x",$C$95:$C$106,0)))</f>
        <v>},{</v>
      </c>
      <c r="DH13" s="287" t="str">
        <f t="array" ref="DH13">IF(SUM(IF(AV95:AV106="x",$C$95:$C$106,0))=0,"},{",SUM(IF(AV95:AV106="x",$C$95:$C$106,0)))</f>
        <v>},{</v>
      </c>
      <c r="DI13" s="287" t="str">
        <f t="array" ref="DI13">IF(SUM(IF(AW95:AW106="x",$C$95:$C$106,0))=0,"},{",SUM(IF(AW95:AW106="x",$C$95:$C$106,0)))</f>
        <v>},{</v>
      </c>
      <c r="DJ13" s="287" t="str">
        <f t="array" ref="DJ13">IF(SUM(IF(AX95:AX106="x",$C$95:$C$106,0))=0,"},{",SUM(IF(AX95:AX106="x",$C$95:$C$106,0)))</f>
        <v>},{</v>
      </c>
      <c r="DK13" s="287" t="str">
        <f t="array" ref="DK13">IF(SUM(IF(AY95:AY106="x",$C$95:$C$106,0))=0,"},{",SUM(IF(AY95:AY106="x",$C$95:$C$106,0)))</f>
        <v>},{</v>
      </c>
      <c r="DL13" s="287" t="str">
        <f t="array" ref="DL13">IF(SUM(IF(AZ95:AZ106="x",$C$95:$C$106,0))=0,"},{",SUM(IF(AZ95:AZ106="x",$C$95:$C$106,0)))</f>
        <v>},{</v>
      </c>
      <c r="DM13" s="287" t="str">
        <f t="array" ref="DM13">IF(SUM(IF(BA95:BA106="x",$C$95:$C$106,0))=0,"},{",SUM(IF(BA95:BA106="x",$C$95:$C$106,0)))</f>
        <v>},{</v>
      </c>
      <c r="DN13" s="287" t="str">
        <f t="array" ref="DN13">IF(SUM(IF(BB95:BB106="x",$C$95:$C$106,0))=0,"},{",SUM(IF(BB95:BB106="x",$C$95:$C$106,0)))</f>
        <v>},{</v>
      </c>
      <c r="DO13" s="287" t="str">
        <f t="array" ref="DO13">IF(SUM(IF(BC95:BC106="x",$C$95:$C$106,0))=0,"},{",SUM(IF(BC95:BC106="x",$C$95:$C$106,0)))</f>
        <v>},{</v>
      </c>
      <c r="DP13" s="287" t="str">
        <f t="array" ref="DP13">IF(SUM(IF(BD95:BD106="x",$C$95:$C$106,0))=0,"},{",SUM(IF(BD95:BD106="x",$C$95:$C$106,0)))</f>
        <v>},{</v>
      </c>
      <c r="DQ13" s="287" t="str">
        <f t="array" ref="DQ13">IF(SUM(IF(BE95:BE106="x",$C$95:$C$106,0))=0,"},{",SUM(IF(BE95:BE106="x",$C$95:$C$106,0)))</f>
        <v>},{</v>
      </c>
      <c r="DR13" s="287" t="str">
        <f t="array" ref="DR13">IF(SUM(IF(BF95:BF106="x",$C$95:$C$106,0))=0,"},{",SUM(IF(BF95:BF106="x",$C$95:$C$106,0)))</f>
        <v>},{</v>
      </c>
      <c r="DS13" s="287" t="str">
        <f t="array" ref="DS13">IF(SUM(IF(BG95:BG106="x",$C$95:$C$106,0))=0,"},{",SUM(IF(BG95:BG106="x",$C$95:$C$106,0)))</f>
        <v>},{</v>
      </c>
      <c r="DT13" s="287" t="str">
        <f t="array" ref="DT13">IF(SUM(IF(BH95:BH106="x",$C$95:$C$106,0))=0,"},{",SUM(IF(BH95:BH106="x",$C$95:$C$106,0)))</f>
        <v>},{</v>
      </c>
      <c r="DU13" s="287" t="str">
        <f t="array" ref="DU13">IF(SUM(IF(BI95:BI106="x",$C$95:$C$106,0))=0,"},{",SUM(IF(BI95:BI106="x",$C$95:$C$106,0)))</f>
        <v>},{</v>
      </c>
      <c r="DV13" s="287" t="str">
        <f t="array" ref="DV13">IF(SUM(IF(BJ95:BJ106="x",$C$95:$C$106,0))=0,"},{",SUM(IF(BJ95:BJ106="x",$C$95:$C$106,0)))</f>
        <v>},{</v>
      </c>
      <c r="DW13" s="288" t="s">
        <v>88</v>
      </c>
      <c r="DX13"/>
    </row>
    <row r="14" spans="1:137" ht="20.100000000000001" customHeight="1" thickBot="1" x14ac:dyDescent="0.3">
      <c r="A14" s="1"/>
      <c r="B14" s="1"/>
      <c r="C14" s="1"/>
      <c r="D14" s="1">
        <v>21</v>
      </c>
      <c r="E14" s="1"/>
      <c r="F14" s="1"/>
      <c r="G14" s="1"/>
      <c r="H14" s="1"/>
      <c r="J14" s="1">
        <v>22</v>
      </c>
      <c r="K14" s="1"/>
      <c r="L14" s="1"/>
      <c r="M14" s="1"/>
      <c r="N14" s="1"/>
      <c r="P14" s="1">
        <v>23</v>
      </c>
      <c r="Q14" s="1"/>
      <c r="R14" s="1"/>
      <c r="S14" s="1"/>
      <c r="T14" s="1"/>
      <c r="V14" s="1">
        <v>24</v>
      </c>
      <c r="W14" s="1"/>
      <c r="X14" s="1"/>
      <c r="Y14" s="1"/>
      <c r="Z14" s="1"/>
      <c r="AA14" s="1"/>
      <c r="AB14" s="1">
        <v>25</v>
      </c>
      <c r="AC14" s="1"/>
      <c r="AD14" s="1"/>
      <c r="AE14" s="1"/>
      <c r="AF14" s="1"/>
      <c r="AG14" s="1"/>
      <c r="AH14" s="1">
        <v>26</v>
      </c>
      <c r="AI14" s="1"/>
      <c r="AJ14" s="1"/>
      <c r="AK14" s="1"/>
      <c r="AL14" s="1"/>
      <c r="AM14" s="1"/>
      <c r="AN14" s="1">
        <v>27</v>
      </c>
      <c r="AO14" s="1"/>
      <c r="AP14" s="1"/>
      <c r="AQ14" s="1"/>
      <c r="AR14" s="1"/>
      <c r="AT14" s="1">
        <v>28</v>
      </c>
      <c r="AU14" s="1"/>
      <c r="AV14" s="1"/>
      <c r="AW14" s="1"/>
      <c r="AX14" s="1"/>
      <c r="AZ14" s="1">
        <v>29</v>
      </c>
      <c r="BA14" s="1"/>
      <c r="BB14" s="1"/>
      <c r="BC14" s="1"/>
      <c r="BD14" s="1"/>
      <c r="BF14" s="1">
        <v>30</v>
      </c>
      <c r="BG14" s="1"/>
      <c r="BH14" s="1"/>
      <c r="BI14" s="1"/>
      <c r="BJ14" s="1"/>
      <c r="BN14" s="43">
        <v>111</v>
      </c>
      <c r="BO14" s="289" t="s">
        <v>388</v>
      </c>
      <c r="BP14" s="290" t="str">
        <f t="array" ref="BP14">IF(SUM(IF(D109:D120="x",$C$109:$C$120,0))=0,"},{",SUM(IF(D109:D120="x",$C$109:$C$120,0)))</f>
        <v>},{</v>
      </c>
      <c r="BQ14" s="290" t="str">
        <f t="array" ref="BQ14">IF(SUM(IF(E109:E120="x",$C$109:$C$120,0))=0,"},{",SUM(IF(E109:E120="x",$C$109:$C$120,0)))</f>
        <v>},{</v>
      </c>
      <c r="BR14" s="290" t="str">
        <f t="array" ref="BR14">IF(SUM(IF(F109:F120="x",$C$109:$C$120,0))=0,"},{",SUM(IF(F109:F120="x",$C$109:$C$120,0)))</f>
        <v>},{</v>
      </c>
      <c r="BS14" s="290" t="str">
        <f t="array" ref="BS14">IF(SUM(IF(G109:G120="x",$C$109:$C$120,0))=0,"},{",SUM(IF(G109:G120="x",$C$109:$C$120,0)))</f>
        <v>},{</v>
      </c>
      <c r="BT14" s="290" t="str">
        <f t="array" ref="BT14">IF(SUM(IF(H109:H120="x",$C$109:$C$120,0))=0,"},{",SUM(IF(H109:H120="x",$C$109:$C$120,0)))</f>
        <v>},{</v>
      </c>
      <c r="BU14" s="290" t="str">
        <f t="array" ref="BU14">IF(SUM(IF(I109:I120="x",$C$109:$C$120,0))=0,"},{",SUM(IF(I109:I120="x",$C$109:$C$120,0)))</f>
        <v>},{</v>
      </c>
      <c r="BV14" s="290" t="str">
        <f t="array" ref="BV14">IF(SUM(IF(J109:J120="x",$C$109:$C$120,0))=0,"},{",SUM(IF(J109:J120="x",$C$109:$C$120,0)))</f>
        <v>},{</v>
      </c>
      <c r="BW14" s="290" t="str">
        <f t="array" ref="BW14">IF(SUM(IF(K109:K120="x",$C$109:$C$120,0))=0,"},{",SUM(IF(K109:K120="x",$C$109:$C$120,0)))</f>
        <v>},{</v>
      </c>
      <c r="BX14" s="290" t="str">
        <f t="array" ref="BX14">IF(SUM(IF(L109:L120="x",$C$109:$C$120,0))=0,"},{",SUM(IF(L109:L120="x",$C$109:$C$120,0)))</f>
        <v>},{</v>
      </c>
      <c r="BY14" s="290" t="str">
        <f t="array" ref="BY14">IF(SUM(IF(M109:M120="x",$C$109:$C$120,0))=0,"},{",SUM(IF(M109:M120="x",$C$109:$C$120,0)))</f>
        <v>},{</v>
      </c>
      <c r="BZ14" s="290" t="str">
        <f t="array" ref="BZ14">IF(SUM(IF(N109:N120="x",$C$109:$C$120,0))=0,"},{",SUM(IF(N109:N120="x",$C$109:$C$120,0)))</f>
        <v>},{</v>
      </c>
      <c r="CA14" s="290" t="str">
        <f t="array" ref="CA14">IF(SUM(IF(O109:O120="x",$C$109:$C$120,0))=0,"},{",SUM(IF(O109:O120="x",$C$109:$C$120,0)))</f>
        <v>},{</v>
      </c>
      <c r="CB14" s="290" t="str">
        <f t="array" ref="CB14">IF(SUM(IF(P109:P120="x",$C$109:$C$120,0))=0,"},{",SUM(IF(P109:P120="x",$C$109:$C$120,0)))</f>
        <v>},{</v>
      </c>
      <c r="CC14" s="290" t="str">
        <f t="array" ref="CC14">IF(SUM(IF(Q109:Q120="x",$C$109:$C$120,0))=0,"},{",SUM(IF(Q109:Q120="x",$C$109:$C$120,0)))</f>
        <v>},{</v>
      </c>
      <c r="CD14" s="290" t="str">
        <f t="array" ref="CD14">IF(SUM(IF(R109:R120="x",$C$109:$C$120,0))=0,"},{",SUM(IF(R109:R120="x",$C$109:$C$120,0)))</f>
        <v>},{</v>
      </c>
      <c r="CE14" s="290" t="str">
        <f t="array" ref="CE14">IF(SUM(IF(S109:S120="x",$C$109:$C$120,0))=0,"},{",SUM(IF(S109:S120="x",$C$109:$C$120,0)))</f>
        <v>},{</v>
      </c>
      <c r="CF14" s="290" t="str">
        <f t="array" ref="CF14">IF(SUM(IF(T109:T120="x",$C$109:$C$120,0))=0,"},{",SUM(IF(T109:T120="x",$C$109:$C$120,0)))</f>
        <v>},{</v>
      </c>
      <c r="CG14" s="290" t="str">
        <f t="array" ref="CG14">IF(SUM(IF(U109:U120="x",$C$109:$C$120,0))=0,"},{",SUM(IF(U109:U120="x",$C$109:$C$120,0)))</f>
        <v>},{</v>
      </c>
      <c r="CH14" s="290" t="str">
        <f t="array" ref="CH14">IF(SUM(IF(V109:V120="x",$C$109:$C$120,0))=0,"},{",SUM(IF(V109:V120="x",$C$109:$C$120,0)))</f>
        <v>},{</v>
      </c>
      <c r="CI14" s="290" t="str">
        <f t="array" ref="CI14">IF(SUM(IF(W109:W120="x",$C$109:$C$120,0))=0,"},{",SUM(IF(W109:W120="x",$C$109:$C$120,0)))</f>
        <v>},{</v>
      </c>
      <c r="CJ14" s="290" t="str">
        <f t="array" ref="CJ14">IF(SUM(IF(X109:X120="x",$C$109:$C$120,0))=0,"},{",SUM(IF(X109:X120="x",$C$109:$C$120,0)))</f>
        <v>},{</v>
      </c>
      <c r="CK14" s="290" t="str">
        <f t="array" ref="CK14">IF(SUM(IF(Y109:Y120="x",$C$109:$C$120,0))=0,"},{",SUM(IF(Y109:Y120="x",$C$109:$C$120,0)))</f>
        <v>},{</v>
      </c>
      <c r="CL14" s="290" t="str">
        <f t="array" ref="CL14">IF(SUM(IF(Z109:Z120="x",$C$109:$C$120,0))=0,"},{",SUM(IF(Z109:Z120="x",$C$109:$C$120,0)))</f>
        <v>},{</v>
      </c>
      <c r="CM14" s="290" t="str">
        <f t="array" ref="CM14">IF(SUM(IF(AA109:AA120="x",$C$109:$C$120,0))=0,"},{",SUM(IF(AA109:AA120="x",$C$109:$C$120,0)))</f>
        <v>},{</v>
      </c>
      <c r="CN14" s="290" t="str">
        <f t="array" ref="CN14">IF(SUM(IF(AB109:AB120="x",$C$109:$C$120,0))=0,"},{",SUM(IF(AB109:AB120="x",$C$109:$C$120,0)))</f>
        <v>},{</v>
      </c>
      <c r="CO14" s="290" t="str">
        <f t="array" ref="CO14">IF(SUM(IF(AC109:AC120="x",$C$109:$C$120,0))=0,"},{",SUM(IF(AC109:AC120="x",$C$109:$C$120,0)))</f>
        <v>},{</v>
      </c>
      <c r="CP14" s="290" t="str">
        <f t="array" ref="CP14">IF(SUM(IF(AD109:AD120="x",$C$109:$C$120,0))=0,"},{",SUM(IF(AD109:AD120="x",$C$109:$C$120,0)))</f>
        <v>},{</v>
      </c>
      <c r="CQ14" s="290" t="str">
        <f t="array" ref="CQ14">IF(SUM(IF(AE109:AE120="x",$C$109:$C$120,0))=0,"},{",SUM(IF(AE109:AE120="x",$C$109:$C$120,0)))</f>
        <v>},{</v>
      </c>
      <c r="CR14" s="290" t="str">
        <f t="array" ref="CR14">IF(SUM(IF(AF109:AF120="x",$C$109:$C$120,0))=0,"},{",SUM(IF(AF109:AF120="x",$C$109:$C$120,0)))</f>
        <v>},{</v>
      </c>
      <c r="CS14" s="290" t="str">
        <f t="array" ref="CS14">IF(SUM(IF(AG109:AG120="x",$C$109:$C$120,0))=0,"},{",SUM(IF(AG109:AG120="x",$C$109:$C$120,0)))</f>
        <v>},{</v>
      </c>
      <c r="CT14" s="290" t="str">
        <f t="array" ref="CT14">IF(SUM(IF(AH109:AH120="x",$C$109:$C$120,0))=0,"},{",SUM(IF(AH109:AH120="x",$C$109:$C$120,0)))</f>
        <v>},{</v>
      </c>
      <c r="CU14" s="290" t="str">
        <f t="array" ref="CU14">IF(SUM(IF(AI109:AI120="x",$C$109:$C$120,0))=0,"},{",SUM(IF(AI109:AI120="x",$C$109:$C$120,0)))</f>
        <v>},{</v>
      </c>
      <c r="CV14" s="290" t="str">
        <f t="array" ref="CV14">IF(SUM(IF(AJ109:AJ120="x",$C$109:$C$120,0))=0,"},{",SUM(IF(AJ109:AJ120="x",$C$109:$C$120,0)))</f>
        <v>},{</v>
      </c>
      <c r="CW14" s="290" t="str">
        <f t="array" ref="CW14">IF(SUM(IF(AK109:AK120="x",$C$109:$C$120,0))=0,"},{",SUM(IF(AK109:AK120="x",$C$109:$C$120,0)))</f>
        <v>},{</v>
      </c>
      <c r="CX14" s="290" t="str">
        <f t="array" ref="CX14">IF(SUM(IF(AL109:AL120="x",$C$109:$C$120,0))=0,"},{",SUM(IF(AL109:AL120="x",$C$109:$C$120,0)))</f>
        <v>},{</v>
      </c>
      <c r="CY14" s="290" t="str">
        <f t="array" ref="CY14">IF(SUM(IF(AM109:AM120="x",$C$109:$C$120,0))=0,"},{",SUM(IF(AM109:AM120="x",$C$109:$C$120,0)))</f>
        <v>},{</v>
      </c>
      <c r="CZ14" s="290" t="str">
        <f t="array" ref="CZ14">IF(SUM(IF(AN109:AN120="x",$C$109:$C$120,0))=0,"},{",SUM(IF(AN109:AN120="x",$C$109:$C$120,0)))</f>
        <v>},{</v>
      </c>
      <c r="DA14" s="290" t="str">
        <f t="array" ref="DA14">IF(SUM(IF(AO109:AO120="x",$C$109:$C$120,0))=0,"},{",SUM(IF(AO109:AO120="x",$C$109:$C$120,0)))</f>
        <v>},{</v>
      </c>
      <c r="DB14" s="290" t="str">
        <f t="array" ref="DB14">IF(SUM(IF(AP109:AP120="x",$C$109:$C$120,0))=0,"},{",SUM(IF(AP109:AP120="x",$C$109:$C$120,0)))</f>
        <v>},{</v>
      </c>
      <c r="DC14" s="290" t="str">
        <f t="array" ref="DC14">IF(SUM(IF(AQ109:AQ120="x",$C$109:$C$120,0))=0,"},{",SUM(IF(AQ109:AQ120="x",$C$109:$C$120,0)))</f>
        <v>},{</v>
      </c>
      <c r="DD14" s="290" t="str">
        <f t="array" ref="DD14">IF(SUM(IF(AR109:AR120="x",$C$109:$C$120,0))=0,"},{",SUM(IF(AR109:AR120="x",$C$109:$C$120,0)))</f>
        <v>},{</v>
      </c>
      <c r="DE14" s="290" t="str">
        <f t="array" ref="DE14">IF(SUM(IF(AS109:AS120="x",$C$109:$C$120,0))=0,"},{",SUM(IF(AS109:AS120="x",$C$109:$C$120,0)))</f>
        <v>},{</v>
      </c>
      <c r="DF14" s="290" t="str">
        <f t="array" ref="DF14">IF(SUM(IF(AT109:AT120="x",$C$109:$C$120,0))=0,"},{",SUM(IF(AT109:AT120="x",$C$109:$C$120,0)))</f>
        <v>},{</v>
      </c>
      <c r="DG14" s="290" t="str">
        <f t="array" ref="DG14">IF(SUM(IF(AU109:AU120="x",$C$109:$C$120,0))=0,"},{",SUM(IF(AU109:AU120="x",$C$109:$C$120,0)))</f>
        <v>},{</v>
      </c>
      <c r="DH14" s="290" t="str">
        <f t="array" ref="DH14">IF(SUM(IF(AV109:AV120="x",$C$109:$C$120,0))=0,"},{",SUM(IF(AV109:AV120="x",$C$109:$C$120,0)))</f>
        <v>},{</v>
      </c>
      <c r="DI14" s="290" t="str">
        <f t="array" ref="DI14">IF(SUM(IF(AW109:AW120="x",$C$109:$C$120,0))=0,"},{",SUM(IF(AW109:AW120="x",$C$109:$C$120,0)))</f>
        <v>},{</v>
      </c>
      <c r="DJ14" s="290" t="str">
        <f t="array" ref="DJ14">IF(SUM(IF(AX109:AX120="x",$C$109:$C$120,0))=0,"},{",SUM(IF(AX109:AX120="x",$C$109:$C$120,0)))</f>
        <v>},{</v>
      </c>
      <c r="DK14" s="290" t="str">
        <f t="array" ref="DK14">IF(SUM(IF(AY109:AY120="x",$C$109:$C$120,0))=0,"},{",SUM(IF(AY109:AY120="x",$C$109:$C$120,0)))</f>
        <v>},{</v>
      </c>
      <c r="DL14" s="290" t="str">
        <f t="array" ref="DL14">IF(SUM(IF(AZ109:AZ120="x",$C$109:$C$120,0))=0,"},{",SUM(IF(AZ109:AZ120="x",$C$109:$C$120,0)))</f>
        <v>},{</v>
      </c>
      <c r="DM14" s="290" t="str">
        <f t="array" ref="DM14">IF(SUM(IF(BA109:BA120="x",$C$109:$C$120,0))=0,"},{",SUM(IF(BA109:BA120="x",$C$109:$C$120,0)))</f>
        <v>},{</v>
      </c>
      <c r="DN14" s="290" t="str">
        <f t="array" ref="DN14">IF(SUM(IF(BB109:BB120="x",$C$109:$C$120,0))=0,"},{",SUM(IF(BB109:BB120="x",$C$109:$C$120,0)))</f>
        <v>},{</v>
      </c>
      <c r="DO14" s="290" t="str">
        <f t="array" ref="DO14">IF(SUM(IF(BC109:BC120="x",$C$109:$C$120,0))=0,"},{",SUM(IF(BC109:BC120="x",$C$109:$C$120,0)))</f>
        <v>},{</v>
      </c>
      <c r="DP14" s="290" t="str">
        <f t="array" ref="DP14">IF(SUM(IF(BD109:BD120="x",$C$109:$C$120,0))=0,"},{",SUM(IF(BD109:BD120="x",$C$109:$C$120,0)))</f>
        <v>},{</v>
      </c>
      <c r="DQ14" s="290" t="str">
        <f t="array" ref="DQ14">IF(SUM(IF(BE109:BE120="x",$C$109:$C$120,0))=0,"},{",SUM(IF(BE109:BE120="x",$C$109:$C$120,0)))</f>
        <v>},{</v>
      </c>
      <c r="DR14" s="290" t="str">
        <f t="array" ref="DR14">IF(SUM(IF(BF109:BF120="x",$C$109:$C$120,0))=0,"},{",SUM(IF(BF109:BF120="x",$C$109:$C$120,0)))</f>
        <v>},{</v>
      </c>
      <c r="DS14" s="290" t="str">
        <f t="array" ref="DS14">IF(SUM(IF(BG109:BG120="x",$C$109:$C$120,0))=0,"},{",SUM(IF(BG109:BG120="x",$C$109:$C$120,0)))</f>
        <v>},{</v>
      </c>
      <c r="DT14" s="290" t="str">
        <f t="array" ref="DT14">IF(SUM(IF(BH109:BH120="x",$C$109:$C$120,0))=0,"},{",SUM(IF(BH109:BH120="x",$C$109:$C$120,0)))</f>
        <v>},{</v>
      </c>
      <c r="DU14" s="290" t="str">
        <f t="array" ref="DU14">IF(SUM(IF(BI109:BI120="x",$C$109:$C$120,0))=0,"},{",SUM(IF(BI109:BI120="x",$C$109:$C$120,0)))</f>
        <v>},{</v>
      </c>
      <c r="DV14" s="290" t="str">
        <f t="array" ref="DV14">IF(SUM(IF(BJ109:BJ120="x",$C$109:$C$120,0))=0,"},{",SUM(IF(BJ109:BJ120="x",$C$109:$C$120,0)))</f>
        <v>},{</v>
      </c>
      <c r="DW14" s="291" t="s">
        <v>88</v>
      </c>
      <c r="DX14"/>
    </row>
    <row r="15" spans="1:137" ht="20.100000000000001" customHeight="1" thickTop="1" x14ac:dyDescent="0.25">
      <c r="A15" s="1"/>
      <c r="B15" s="1"/>
      <c r="C15" s="1">
        <v>4</v>
      </c>
      <c r="D15" s="7"/>
      <c r="E15" s="6"/>
      <c r="F15" s="6"/>
      <c r="G15" s="6"/>
      <c r="H15" s="20"/>
      <c r="I15" s="1"/>
      <c r="J15" s="7"/>
      <c r="K15" s="6"/>
      <c r="L15" s="6"/>
      <c r="M15" s="6"/>
      <c r="N15" s="20"/>
      <c r="O15" s="1"/>
      <c r="P15" s="7"/>
      <c r="Q15" s="6"/>
      <c r="R15" s="6"/>
      <c r="S15" s="6"/>
      <c r="T15" s="20"/>
      <c r="U15" s="1"/>
      <c r="V15" s="7"/>
      <c r="W15" s="6"/>
      <c r="X15" s="6"/>
      <c r="Y15" s="6"/>
      <c r="Z15" s="20"/>
      <c r="AA15" s="1"/>
      <c r="AB15" s="7"/>
      <c r="AC15" s="6"/>
      <c r="AD15" s="6"/>
      <c r="AE15" s="6"/>
      <c r="AF15" s="20"/>
      <c r="AG15" s="1"/>
      <c r="AH15" s="7"/>
      <c r="AI15" s="6"/>
      <c r="AJ15" s="6"/>
      <c r="AK15" s="6"/>
      <c r="AL15" s="20"/>
      <c r="AM15" s="1"/>
      <c r="AN15" s="7"/>
      <c r="AO15" s="6"/>
      <c r="AP15" s="6"/>
      <c r="AQ15" s="6"/>
      <c r="AR15" s="20"/>
      <c r="AS15" s="1"/>
      <c r="AT15" s="7"/>
      <c r="AU15" s="6"/>
      <c r="AV15" s="6"/>
      <c r="AW15" s="6"/>
      <c r="AX15" s="20"/>
      <c r="AY15" s="1"/>
      <c r="AZ15" s="7"/>
      <c r="BA15" s="6"/>
      <c r="BB15" s="6"/>
      <c r="BC15" s="6"/>
      <c r="BD15" s="20"/>
      <c r="BE15" s="1"/>
      <c r="BF15" s="7"/>
      <c r="BG15" s="6"/>
      <c r="BH15" s="6"/>
      <c r="BI15" s="6"/>
      <c r="BJ15" s="20"/>
      <c r="BK15" s="1"/>
      <c r="BL15" s="1"/>
      <c r="BM15" s="1"/>
      <c r="BN15" s="1"/>
      <c r="BP15" s="1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DW15"/>
      <c r="DX15"/>
    </row>
    <row r="16" spans="1:137" ht="20.100000000000001" customHeight="1" x14ac:dyDescent="0.25">
      <c r="A16" s="1"/>
      <c r="B16" s="1"/>
      <c r="C16" s="1">
        <v>3</v>
      </c>
      <c r="D16" s="7"/>
      <c r="E16" s="6"/>
      <c r="F16" s="6"/>
      <c r="G16" s="6"/>
      <c r="H16" s="20" t="s">
        <v>387</v>
      </c>
      <c r="I16" s="1"/>
      <c r="J16" s="7" t="s">
        <v>387</v>
      </c>
      <c r="K16" s="6"/>
      <c r="L16" s="6"/>
      <c r="M16" s="6"/>
      <c r="N16" s="20"/>
      <c r="O16" s="1"/>
      <c r="P16" s="7"/>
      <c r="Q16" s="6"/>
      <c r="R16" s="6" t="s">
        <v>387</v>
      </c>
      <c r="S16" s="6" t="s">
        <v>387</v>
      </c>
      <c r="T16" s="20" t="s">
        <v>387</v>
      </c>
      <c r="U16" s="1"/>
      <c r="V16" s="7" t="s">
        <v>387</v>
      </c>
      <c r="W16" s="6"/>
      <c r="X16" s="6" t="s">
        <v>387</v>
      </c>
      <c r="Y16" s="6"/>
      <c r="Z16" s="20" t="s">
        <v>387</v>
      </c>
      <c r="AA16" s="1"/>
      <c r="AB16" s="7"/>
      <c r="AC16" s="6" t="s">
        <v>387</v>
      </c>
      <c r="AD16" s="6"/>
      <c r="AE16" s="6" t="s">
        <v>387</v>
      </c>
      <c r="AF16" s="20"/>
      <c r="AG16" s="1"/>
      <c r="AH16" s="7"/>
      <c r="AI16" s="6"/>
      <c r="AJ16" s="6"/>
      <c r="AK16" s="6"/>
      <c r="AL16" s="20"/>
      <c r="AM16" s="1"/>
      <c r="AN16" s="7" t="s">
        <v>387</v>
      </c>
      <c r="AO16" s="6"/>
      <c r="AP16" s="6"/>
      <c r="AQ16" s="6"/>
      <c r="AR16" s="20" t="s">
        <v>387</v>
      </c>
      <c r="AS16" s="1"/>
      <c r="AT16" s="7"/>
      <c r="AU16" s="6" t="s">
        <v>387</v>
      </c>
      <c r="AV16" s="6" t="s">
        <v>387</v>
      </c>
      <c r="AW16" s="6" t="s">
        <v>387</v>
      </c>
      <c r="AX16" s="20"/>
      <c r="AY16" s="1"/>
      <c r="AZ16" s="7"/>
      <c r="BA16" s="6"/>
      <c r="BB16" s="6"/>
      <c r="BC16" s="6"/>
      <c r="BD16" s="20"/>
      <c r="BE16" s="1"/>
      <c r="BF16" s="7" t="s">
        <v>387</v>
      </c>
      <c r="BG16" s="6"/>
      <c r="BH16" s="6" t="s">
        <v>387</v>
      </c>
      <c r="BI16" s="6"/>
      <c r="BJ16" s="20"/>
      <c r="BK16" s="1"/>
      <c r="BL16" s="1"/>
      <c r="BM16" s="1"/>
      <c r="BN16" s="1"/>
      <c r="BP16" s="1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DW16"/>
      <c r="DX16"/>
    </row>
    <row r="17" spans="1:128" ht="20.100000000000001" customHeight="1" x14ac:dyDescent="0.25">
      <c r="A17" s="1"/>
      <c r="C17" s="43">
        <v>2</v>
      </c>
      <c r="D17" s="6"/>
      <c r="E17" s="6"/>
      <c r="F17" s="6"/>
      <c r="G17" s="6" t="s">
        <v>387</v>
      </c>
      <c r="H17" s="6"/>
      <c r="J17" s="6"/>
      <c r="K17" s="6" t="s">
        <v>387</v>
      </c>
      <c r="L17" s="6"/>
      <c r="M17" s="6"/>
      <c r="N17" s="6"/>
      <c r="P17" s="6"/>
      <c r="Q17" s="6" t="s">
        <v>387</v>
      </c>
      <c r="R17" s="6"/>
      <c r="S17" s="6"/>
      <c r="T17" s="6"/>
      <c r="V17" s="6"/>
      <c r="W17" s="6" t="s">
        <v>387</v>
      </c>
      <c r="X17" s="6"/>
      <c r="Y17" s="6" t="s">
        <v>387</v>
      </c>
      <c r="Z17" s="6"/>
      <c r="AB17" s="6" t="s">
        <v>387</v>
      </c>
      <c r="AC17" s="6"/>
      <c r="AD17" s="6" t="s">
        <v>387</v>
      </c>
      <c r="AE17" s="6"/>
      <c r="AF17" s="6" t="s">
        <v>387</v>
      </c>
      <c r="AH17" s="6"/>
      <c r="AI17" s="6" t="s">
        <v>387</v>
      </c>
      <c r="AJ17" s="6" t="s">
        <v>387</v>
      </c>
      <c r="AK17" s="6" t="s">
        <v>387</v>
      </c>
      <c r="AL17" s="6"/>
      <c r="AN17" s="6"/>
      <c r="AO17" s="6" t="s">
        <v>387</v>
      </c>
      <c r="AP17" s="6" t="s">
        <v>387</v>
      </c>
      <c r="AQ17" s="6" t="s">
        <v>387</v>
      </c>
      <c r="AR17" s="6"/>
      <c r="AT17" s="6" t="s">
        <v>387</v>
      </c>
      <c r="AU17" s="6"/>
      <c r="AV17" s="6"/>
      <c r="AW17" s="6"/>
      <c r="AX17" s="6" t="s">
        <v>387</v>
      </c>
      <c r="AZ17" s="6" t="s">
        <v>387</v>
      </c>
      <c r="BA17" s="6"/>
      <c r="BB17" s="6"/>
      <c r="BC17" s="6"/>
      <c r="BD17" s="6" t="s">
        <v>387</v>
      </c>
      <c r="BF17" s="6"/>
      <c r="BG17" s="6" t="s">
        <v>387</v>
      </c>
      <c r="BH17" s="6"/>
      <c r="BI17" s="6" t="s">
        <v>387</v>
      </c>
      <c r="BJ17" s="6"/>
      <c r="BN17" s="1"/>
      <c r="BP17" s="1"/>
      <c r="DW17"/>
      <c r="DX17"/>
    </row>
    <row r="18" spans="1:128" ht="20.100000000000001" customHeight="1" x14ac:dyDescent="0.25">
      <c r="A18" s="1"/>
      <c r="B18" s="1"/>
      <c r="C18" s="1">
        <v>1</v>
      </c>
      <c r="D18" s="6" t="s">
        <v>387</v>
      </c>
      <c r="E18" s="6" t="s">
        <v>387</v>
      </c>
      <c r="F18" s="6" t="s">
        <v>387</v>
      </c>
      <c r="G18" s="6"/>
      <c r="H18" s="6"/>
      <c r="J18" s="6"/>
      <c r="K18" s="6"/>
      <c r="L18" s="6" t="s">
        <v>387</v>
      </c>
      <c r="M18" s="6" t="s">
        <v>387</v>
      </c>
      <c r="N18" s="6" t="s">
        <v>387</v>
      </c>
      <c r="P18" s="6" t="s">
        <v>387</v>
      </c>
      <c r="Q18" s="6"/>
      <c r="R18" s="6"/>
      <c r="S18" s="6"/>
      <c r="T18" s="6"/>
      <c r="V18" s="6"/>
      <c r="W18" s="6"/>
      <c r="X18" s="6"/>
      <c r="Y18" s="6"/>
      <c r="Z18" s="6"/>
      <c r="AB18" s="6"/>
      <c r="AC18" s="6"/>
      <c r="AD18" s="6"/>
      <c r="AE18" s="6"/>
      <c r="AF18" s="6"/>
      <c r="AH18" s="6" t="s">
        <v>387</v>
      </c>
      <c r="AI18" s="6"/>
      <c r="AJ18" s="6"/>
      <c r="AK18" s="6"/>
      <c r="AL18" s="6" t="s">
        <v>387</v>
      </c>
      <c r="AN18" s="6"/>
      <c r="AO18" s="6"/>
      <c r="AP18" s="6"/>
      <c r="AQ18" s="6"/>
      <c r="AR18" s="6"/>
      <c r="AT18" s="6"/>
      <c r="AU18" s="6"/>
      <c r="AV18" s="6"/>
      <c r="AW18" s="6"/>
      <c r="AX18" s="6"/>
      <c r="AZ18" s="6"/>
      <c r="BA18" s="6" t="s">
        <v>387</v>
      </c>
      <c r="BB18" s="6" t="s">
        <v>387</v>
      </c>
      <c r="BC18" s="6" t="s">
        <v>387</v>
      </c>
      <c r="BD18" s="6"/>
      <c r="BF18" s="6"/>
      <c r="BG18" s="6"/>
      <c r="BH18" s="6"/>
      <c r="BI18" s="6"/>
      <c r="BJ18" s="6" t="s">
        <v>387</v>
      </c>
      <c r="BN18" s="1"/>
      <c r="BP18" s="1"/>
      <c r="DW18"/>
      <c r="DX18"/>
    </row>
    <row r="19" spans="1:128" ht="20.100000000000001" customHeight="1" x14ac:dyDescent="0.25">
      <c r="A19" s="1"/>
      <c r="B19" s="1"/>
      <c r="C19" s="1"/>
      <c r="D19" s="1"/>
      <c r="E19" s="1"/>
      <c r="F19" s="1"/>
      <c r="G19" s="1"/>
      <c r="H19" s="1"/>
      <c r="J19" s="1"/>
      <c r="K19" s="1"/>
      <c r="L19" s="1"/>
      <c r="M19" s="1"/>
      <c r="N19" s="1"/>
      <c r="P19" s="1"/>
      <c r="Q19" s="1"/>
      <c r="R19" s="1"/>
      <c r="S19" s="1"/>
      <c r="T19" s="1"/>
      <c r="V19" s="1"/>
      <c r="W19" s="1"/>
      <c r="X19" s="1"/>
      <c r="Y19" s="1"/>
      <c r="Z19" s="1"/>
      <c r="AB19" s="1"/>
      <c r="AC19" s="1"/>
      <c r="AD19" s="1"/>
      <c r="AE19" s="1"/>
      <c r="AF19" s="1"/>
      <c r="AH19" s="1"/>
      <c r="AI19" s="1"/>
      <c r="AJ19" s="1"/>
      <c r="AK19" s="1"/>
      <c r="AL19" s="1"/>
      <c r="AN19" s="1"/>
      <c r="AO19" s="1"/>
      <c r="AP19" s="1"/>
      <c r="AQ19" s="1"/>
      <c r="AR19" s="1"/>
      <c r="AT19" s="1"/>
      <c r="AU19" s="1"/>
      <c r="AV19" s="1"/>
      <c r="AW19" s="1"/>
      <c r="AX19" s="1"/>
      <c r="AZ19" s="1"/>
      <c r="BA19" s="1"/>
      <c r="BB19" s="1"/>
      <c r="BC19" s="1"/>
      <c r="BD19" s="1"/>
      <c r="BF19" s="1"/>
      <c r="BG19" s="1"/>
      <c r="BH19" s="1"/>
      <c r="BI19" s="1"/>
      <c r="BJ19" s="1"/>
      <c r="BN19" s="1"/>
      <c r="BP19" s="1"/>
      <c r="DW19"/>
      <c r="DX19"/>
    </row>
    <row r="20" spans="1:128" ht="20.100000000000001" customHeight="1" x14ac:dyDescent="0.25">
      <c r="A20" s="1"/>
      <c r="D20" s="43">
        <v>31</v>
      </c>
      <c r="F20" s="1"/>
      <c r="J20" s="43">
        <v>32</v>
      </c>
      <c r="L20" s="1"/>
      <c r="P20" s="43">
        <v>33</v>
      </c>
      <c r="R20" s="1"/>
      <c r="V20" s="43">
        <v>34</v>
      </c>
      <c r="X20" s="1"/>
      <c r="AB20" s="1">
        <v>35</v>
      </c>
      <c r="AC20" s="1"/>
      <c r="AD20" s="1"/>
      <c r="AE20" s="1"/>
      <c r="AF20" s="1"/>
      <c r="AH20" s="1">
        <v>36</v>
      </c>
      <c r="AI20" s="1"/>
      <c r="AJ20" s="1"/>
      <c r="AK20" s="1"/>
      <c r="AL20" s="1"/>
      <c r="AN20" s="43">
        <v>37</v>
      </c>
      <c r="AP20" s="1"/>
      <c r="AT20" s="43">
        <v>38</v>
      </c>
      <c r="AV20" s="1"/>
      <c r="AZ20" s="43">
        <v>39</v>
      </c>
      <c r="BB20" s="1"/>
      <c r="BF20" s="43">
        <v>40</v>
      </c>
      <c r="BH20" s="1"/>
      <c r="BN20" s="1"/>
      <c r="BP20" s="1"/>
      <c r="DW20"/>
      <c r="DX20"/>
    </row>
    <row r="21" spans="1:128" ht="20.100000000000001" customHeight="1" x14ac:dyDescent="0.25">
      <c r="A21" s="1"/>
      <c r="C21" s="1">
        <v>4</v>
      </c>
      <c r="D21" s="7"/>
      <c r="E21" s="6"/>
      <c r="F21" s="6"/>
      <c r="G21" s="6"/>
      <c r="H21" s="20"/>
      <c r="I21" s="1"/>
      <c r="J21" s="7"/>
      <c r="K21" s="6"/>
      <c r="L21" s="6"/>
      <c r="M21" s="6"/>
      <c r="N21" s="20"/>
      <c r="O21" s="1"/>
      <c r="P21" s="7"/>
      <c r="Q21" s="6"/>
      <c r="R21" s="6"/>
      <c r="S21" s="6"/>
      <c r="T21" s="20"/>
      <c r="U21" s="1"/>
      <c r="V21" s="7"/>
      <c r="W21" s="6"/>
      <c r="X21" s="6"/>
      <c r="Y21" s="6"/>
      <c r="Z21" s="20"/>
      <c r="AA21" s="1"/>
      <c r="AB21" s="7"/>
      <c r="AC21" s="6"/>
      <c r="AD21" s="6"/>
      <c r="AE21" s="6"/>
      <c r="AF21" s="20"/>
      <c r="AG21" s="1"/>
      <c r="AH21" s="7"/>
      <c r="AI21" s="6"/>
      <c r="AJ21" s="6"/>
      <c r="AK21" s="6"/>
      <c r="AL21" s="20"/>
      <c r="AM21" s="1"/>
      <c r="AN21" s="7"/>
      <c r="AO21" s="6"/>
      <c r="AP21" s="6"/>
      <c r="AQ21" s="6"/>
      <c r="AR21" s="20"/>
      <c r="AS21" s="1"/>
      <c r="AT21" s="7"/>
      <c r="AU21" s="6"/>
      <c r="AV21" s="6"/>
      <c r="AW21" s="6"/>
      <c r="AX21" s="20"/>
      <c r="AY21" s="1"/>
      <c r="AZ21" s="7"/>
      <c r="BA21" s="6"/>
      <c r="BB21" s="6"/>
      <c r="BC21" s="6"/>
      <c r="BD21" s="20"/>
      <c r="BE21" s="1"/>
      <c r="BF21" s="7"/>
      <c r="BG21" s="6"/>
      <c r="BH21" s="6"/>
      <c r="BI21" s="6"/>
      <c r="BJ21" s="20"/>
      <c r="BK21" s="1"/>
      <c r="BL21" s="1"/>
      <c r="BM21" s="1"/>
      <c r="BN21" s="1"/>
      <c r="BP21" s="1"/>
      <c r="DW21"/>
      <c r="DX21"/>
    </row>
    <row r="22" spans="1:128" ht="20.100000000000001" customHeight="1" x14ac:dyDescent="0.25">
      <c r="A22" s="1"/>
      <c r="C22" s="1">
        <v>3</v>
      </c>
      <c r="D22" s="7"/>
      <c r="E22" s="6"/>
      <c r="F22" s="6"/>
      <c r="G22" s="6"/>
      <c r="H22" s="20"/>
      <c r="I22" s="1"/>
      <c r="J22" s="7"/>
      <c r="K22" s="6"/>
      <c r="L22" s="6"/>
      <c r="M22" s="6"/>
      <c r="N22" s="20"/>
      <c r="O22" s="1"/>
      <c r="P22" s="7"/>
      <c r="Q22" s="6"/>
      <c r="R22" s="6"/>
      <c r="S22" s="6"/>
      <c r="T22" s="20"/>
      <c r="U22" s="1"/>
      <c r="V22" s="7"/>
      <c r="W22" s="6"/>
      <c r="X22" s="6"/>
      <c r="Y22" s="6"/>
      <c r="Z22" s="20"/>
      <c r="AA22" s="1"/>
      <c r="AB22" s="7"/>
      <c r="AC22" s="6"/>
      <c r="AD22" s="6"/>
      <c r="AE22" s="6"/>
      <c r="AF22" s="20"/>
      <c r="AG22" s="1"/>
      <c r="AH22" s="7"/>
      <c r="AI22" s="6"/>
      <c r="AJ22" s="6"/>
      <c r="AK22" s="6"/>
      <c r="AL22" s="20"/>
      <c r="AM22" s="1"/>
      <c r="AN22" s="7"/>
      <c r="AO22" s="6"/>
      <c r="AP22" s="6"/>
      <c r="AQ22" s="6"/>
      <c r="AR22" s="20"/>
      <c r="AS22" s="1"/>
      <c r="AT22" s="7"/>
      <c r="AU22" s="6"/>
      <c r="AV22" s="6"/>
      <c r="AW22" s="6"/>
      <c r="AX22" s="20"/>
      <c r="AY22" s="1"/>
      <c r="AZ22" s="7"/>
      <c r="BA22" s="6"/>
      <c r="BB22" s="6"/>
      <c r="BC22" s="6"/>
      <c r="BD22" s="20"/>
      <c r="BE22" s="1"/>
      <c r="BF22" s="7"/>
      <c r="BG22" s="6"/>
      <c r="BH22" s="6"/>
      <c r="BI22" s="6"/>
      <c r="BJ22" s="20"/>
      <c r="BK22" s="1"/>
      <c r="BL22" s="1"/>
      <c r="BM22" s="1"/>
      <c r="BN22" s="1"/>
      <c r="BP22" s="1"/>
      <c r="DW22"/>
      <c r="DX22"/>
    </row>
    <row r="23" spans="1:128" ht="20.100000000000001" customHeight="1" x14ac:dyDescent="0.25">
      <c r="A23" s="1"/>
      <c r="C23" s="43">
        <v>2</v>
      </c>
      <c r="D23" s="6"/>
      <c r="E23" s="6"/>
      <c r="F23" s="6"/>
      <c r="G23" s="6"/>
      <c r="H23" s="6"/>
      <c r="J23" s="6"/>
      <c r="K23" s="6"/>
      <c r="L23" s="6"/>
      <c r="M23" s="6"/>
      <c r="N23" s="6"/>
      <c r="P23" s="6"/>
      <c r="Q23" s="6"/>
      <c r="R23" s="6"/>
      <c r="S23" s="6"/>
      <c r="T23" s="6"/>
      <c r="V23" s="6"/>
      <c r="W23" s="6"/>
      <c r="X23" s="6"/>
      <c r="Y23" s="6"/>
      <c r="Z23" s="6"/>
      <c r="AB23" s="6"/>
      <c r="AC23" s="6"/>
      <c r="AD23" s="6"/>
      <c r="AE23" s="6"/>
      <c r="AF23" s="6"/>
      <c r="AH23" s="6"/>
      <c r="AI23" s="6"/>
      <c r="AJ23" s="6"/>
      <c r="AK23" s="6"/>
      <c r="AL23" s="6"/>
      <c r="AN23" s="6"/>
      <c r="AO23" s="6"/>
      <c r="AP23" s="6"/>
      <c r="AQ23" s="6"/>
      <c r="AR23" s="6"/>
      <c r="AT23" s="6"/>
      <c r="AU23" s="6"/>
      <c r="AV23" s="6"/>
      <c r="AW23" s="6"/>
      <c r="AX23" s="6"/>
      <c r="AZ23" s="6"/>
      <c r="BA23" s="6"/>
      <c r="BB23" s="6"/>
      <c r="BC23" s="6"/>
      <c r="BD23" s="6"/>
      <c r="BF23" s="6"/>
      <c r="BG23" s="6"/>
      <c r="BH23" s="6"/>
      <c r="BI23" s="6"/>
      <c r="BJ23" s="6"/>
      <c r="BN23" s="1"/>
      <c r="BP23" s="1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DW23"/>
      <c r="DX23"/>
    </row>
    <row r="24" spans="1:128" ht="20.100000000000001" customHeight="1" x14ac:dyDescent="0.25">
      <c r="A24" s="1"/>
      <c r="C24" s="1">
        <v>1</v>
      </c>
      <c r="D24" s="6"/>
      <c r="E24" s="6"/>
      <c r="F24" s="6"/>
      <c r="G24" s="6"/>
      <c r="H24" s="6"/>
      <c r="J24" s="6"/>
      <c r="K24" s="6"/>
      <c r="L24" s="6"/>
      <c r="M24" s="6"/>
      <c r="N24" s="6"/>
      <c r="P24" s="6"/>
      <c r="Q24" s="6"/>
      <c r="R24" s="6"/>
      <c r="S24" s="6"/>
      <c r="T24" s="6"/>
      <c r="V24" s="6"/>
      <c r="W24" s="6"/>
      <c r="X24" s="6"/>
      <c r="Y24" s="6"/>
      <c r="Z24" s="6"/>
      <c r="AB24" s="6"/>
      <c r="AC24" s="6"/>
      <c r="AD24" s="6"/>
      <c r="AE24" s="6"/>
      <c r="AF24" s="6"/>
      <c r="AH24" s="6"/>
      <c r="AI24" s="6"/>
      <c r="AJ24" s="6"/>
      <c r="AK24" s="6"/>
      <c r="AL24" s="6"/>
      <c r="AN24" s="6"/>
      <c r="AO24" s="6"/>
      <c r="AP24" s="6"/>
      <c r="AQ24" s="6"/>
      <c r="AR24" s="6"/>
      <c r="AT24" s="6"/>
      <c r="AU24" s="6"/>
      <c r="AV24" s="6"/>
      <c r="AW24" s="6"/>
      <c r="AX24" s="6"/>
      <c r="AZ24" s="6"/>
      <c r="BA24" s="6"/>
      <c r="BB24" s="6"/>
      <c r="BC24" s="6"/>
      <c r="BD24" s="6"/>
      <c r="BF24" s="6"/>
      <c r="BG24" s="6"/>
      <c r="BH24" s="6"/>
      <c r="BI24" s="6"/>
      <c r="BJ24" s="6"/>
      <c r="BN24" s="1"/>
      <c r="BP24" s="1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</row>
    <row r="25" spans="1:128" ht="20.100000000000001" customHeight="1" x14ac:dyDescent="0.25">
      <c r="A25" s="1"/>
      <c r="D25" s="1"/>
      <c r="E25" s="1"/>
      <c r="F25" s="1"/>
      <c r="G25" s="1"/>
      <c r="H25" s="1"/>
      <c r="J25" s="1"/>
      <c r="K25" s="1"/>
      <c r="L25" s="1"/>
      <c r="M25" s="1"/>
      <c r="N25" s="1"/>
      <c r="P25" s="1"/>
      <c r="Q25" s="1"/>
      <c r="R25" s="1"/>
      <c r="S25" s="1"/>
      <c r="T25" s="1"/>
      <c r="V25" s="1"/>
      <c r="W25" s="1"/>
      <c r="X25" s="1"/>
      <c r="Y25" s="1"/>
      <c r="Z25" s="1"/>
      <c r="AB25" s="1"/>
      <c r="AC25" s="1"/>
      <c r="AD25" s="1"/>
      <c r="AE25" s="1"/>
      <c r="AF25" s="1"/>
      <c r="AH25" s="1"/>
      <c r="AI25" s="1"/>
      <c r="AJ25" s="1"/>
      <c r="AK25" s="1"/>
      <c r="AL25" s="1"/>
      <c r="AN25" s="1"/>
      <c r="AO25" s="1"/>
      <c r="AP25" s="1"/>
      <c r="AQ25" s="1"/>
      <c r="AR25" s="1"/>
      <c r="AT25" s="1"/>
      <c r="AU25" s="1"/>
      <c r="AV25" s="1"/>
      <c r="AW25" s="1"/>
      <c r="AX25" s="1"/>
      <c r="AZ25" s="1"/>
      <c r="BA25" s="1"/>
      <c r="BB25" s="1"/>
      <c r="BC25" s="1"/>
      <c r="BD25" s="1"/>
      <c r="BF25" s="1"/>
      <c r="BG25" s="1"/>
      <c r="BH25" s="1"/>
      <c r="BI25" s="1"/>
      <c r="BJ25" s="1"/>
      <c r="BN25" s="1"/>
      <c r="BP25" s="1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</row>
    <row r="26" spans="1:128" ht="20.100000000000001" customHeight="1" x14ac:dyDescent="0.25">
      <c r="D26" s="43">
        <v>41</v>
      </c>
      <c r="I26" s="1"/>
      <c r="J26" s="43">
        <v>42</v>
      </c>
      <c r="O26" s="1"/>
      <c r="P26" s="43">
        <v>43</v>
      </c>
      <c r="U26" s="1"/>
      <c r="V26" s="43">
        <v>44</v>
      </c>
      <c r="AA26" s="1"/>
      <c r="AB26" s="43">
        <v>45</v>
      </c>
      <c r="AG26" s="1"/>
      <c r="AH26" s="43">
        <v>46</v>
      </c>
      <c r="AM26" s="1"/>
      <c r="AN26" s="43">
        <v>47</v>
      </c>
      <c r="AS26" s="1"/>
      <c r="AT26" s="43">
        <v>48</v>
      </c>
      <c r="AY26" s="1"/>
      <c r="AZ26" s="43">
        <v>49</v>
      </c>
      <c r="BE26" s="1"/>
      <c r="BF26" s="43">
        <v>50</v>
      </c>
      <c r="BK26" s="1"/>
      <c r="BN26" s="1"/>
      <c r="BP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</row>
    <row r="27" spans="1:128" ht="20.100000000000001" customHeight="1" x14ac:dyDescent="0.25">
      <c r="C27" s="1">
        <v>8</v>
      </c>
      <c r="D27" s="7"/>
      <c r="E27" s="6"/>
      <c r="F27" s="6"/>
      <c r="G27" s="6"/>
      <c r="H27" s="20"/>
      <c r="I27" s="1"/>
      <c r="J27" s="7"/>
      <c r="K27" s="6"/>
      <c r="L27" s="6"/>
      <c r="M27" s="6"/>
      <c r="N27" s="20"/>
      <c r="O27" s="1"/>
      <c r="P27" s="7"/>
      <c r="Q27" s="6"/>
      <c r="R27" s="6"/>
      <c r="S27" s="6"/>
      <c r="T27" s="20"/>
      <c r="U27" s="1"/>
      <c r="V27" s="7"/>
      <c r="W27" s="6"/>
      <c r="X27" s="6"/>
      <c r="Y27" s="6"/>
      <c r="Z27" s="20"/>
      <c r="AA27" s="1"/>
      <c r="AB27" s="7"/>
      <c r="AC27" s="6"/>
      <c r="AD27" s="6"/>
      <c r="AE27" s="6"/>
      <c r="AF27" s="20"/>
      <c r="AG27" s="1"/>
      <c r="AH27" s="7"/>
      <c r="AI27" s="6"/>
      <c r="AJ27" s="6"/>
      <c r="AK27" s="6"/>
      <c r="AL27" s="20"/>
      <c r="AM27" s="1"/>
      <c r="AN27" s="7"/>
      <c r="AO27" s="6"/>
      <c r="AP27" s="6"/>
      <c r="AQ27" s="6"/>
      <c r="AR27" s="20"/>
      <c r="AS27" s="1"/>
      <c r="AT27" s="7"/>
      <c r="AU27" s="6"/>
      <c r="AV27" s="6"/>
      <c r="AW27" s="6"/>
      <c r="AX27" s="20"/>
      <c r="AY27" s="1"/>
      <c r="AZ27" s="7"/>
      <c r="BA27" s="6"/>
      <c r="BB27" s="6"/>
      <c r="BC27" s="6"/>
      <c r="BD27" s="20"/>
      <c r="BE27" s="1"/>
      <c r="BF27" s="7"/>
      <c r="BG27" s="6"/>
      <c r="BH27" s="6"/>
      <c r="BI27" s="6"/>
      <c r="BJ27" s="20"/>
      <c r="BN27" s="1"/>
      <c r="BP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</row>
    <row r="28" spans="1:128" ht="20.100000000000001" customHeight="1" x14ac:dyDescent="0.25">
      <c r="C28" s="1">
        <v>7</v>
      </c>
      <c r="D28" s="7"/>
      <c r="E28" s="6"/>
      <c r="F28" s="6"/>
      <c r="G28" s="6"/>
      <c r="H28" s="20"/>
      <c r="I28" s="1"/>
      <c r="J28" s="7"/>
      <c r="K28" s="6"/>
      <c r="L28" s="6"/>
      <c r="M28" s="6"/>
      <c r="N28" s="20"/>
      <c r="O28" s="1"/>
      <c r="P28" s="7"/>
      <c r="Q28" s="6"/>
      <c r="R28" s="6"/>
      <c r="S28" s="6"/>
      <c r="T28" s="20"/>
      <c r="U28" s="1"/>
      <c r="V28" s="7"/>
      <c r="W28" s="6"/>
      <c r="X28" s="6"/>
      <c r="Y28" s="6"/>
      <c r="Z28" s="20"/>
      <c r="AA28" s="1"/>
      <c r="AB28" s="7"/>
      <c r="AC28" s="6"/>
      <c r="AD28" s="6"/>
      <c r="AE28" s="6"/>
      <c r="AF28" s="20"/>
      <c r="AG28" s="1"/>
      <c r="AH28" s="7"/>
      <c r="AI28" s="6"/>
      <c r="AJ28" s="6"/>
      <c r="AK28" s="6"/>
      <c r="AL28" s="20"/>
      <c r="AM28" s="1"/>
      <c r="AN28" s="7"/>
      <c r="AO28" s="6"/>
      <c r="AP28" s="6"/>
      <c r="AQ28" s="6"/>
      <c r="AR28" s="20"/>
      <c r="AS28" s="1"/>
      <c r="AT28" s="7"/>
      <c r="AU28" s="6"/>
      <c r="AV28" s="6"/>
      <c r="AW28" s="6"/>
      <c r="AX28" s="20"/>
      <c r="AY28" s="1"/>
      <c r="AZ28" s="7"/>
      <c r="BA28" s="6"/>
      <c r="BB28" s="6"/>
      <c r="BC28" s="6"/>
      <c r="BD28" s="20"/>
      <c r="BE28" s="1"/>
      <c r="BF28" s="7"/>
      <c r="BG28" s="6"/>
      <c r="BH28" s="6"/>
      <c r="BI28" s="6"/>
      <c r="BJ28" s="20"/>
      <c r="BN28" s="1"/>
      <c r="BP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</row>
    <row r="29" spans="1:128" ht="20.100000000000001" customHeight="1" x14ac:dyDescent="0.25">
      <c r="A29" s="1"/>
      <c r="C29" s="1">
        <v>6</v>
      </c>
      <c r="D29" s="7"/>
      <c r="E29" s="6"/>
      <c r="F29" s="6"/>
      <c r="G29" s="6"/>
      <c r="H29" s="20"/>
      <c r="I29" s="1"/>
      <c r="J29" s="7"/>
      <c r="K29" s="6"/>
      <c r="L29" s="6"/>
      <c r="M29" s="6"/>
      <c r="N29" s="20"/>
      <c r="O29" s="1"/>
      <c r="P29" s="7"/>
      <c r="Q29" s="6"/>
      <c r="R29" s="6"/>
      <c r="S29" s="6"/>
      <c r="T29" s="20"/>
      <c r="U29" s="1"/>
      <c r="V29" s="7"/>
      <c r="W29" s="6"/>
      <c r="X29" s="6"/>
      <c r="Y29" s="6"/>
      <c r="Z29" s="20"/>
      <c r="AA29" s="1"/>
      <c r="AB29" s="7"/>
      <c r="AC29" s="6"/>
      <c r="AD29" s="6"/>
      <c r="AE29" s="6"/>
      <c r="AF29" s="20"/>
      <c r="AG29" s="1"/>
      <c r="AH29" s="7"/>
      <c r="AI29" s="6"/>
      <c r="AJ29" s="6"/>
      <c r="AK29" s="6"/>
      <c r="AL29" s="20"/>
      <c r="AM29" s="1"/>
      <c r="AN29" s="7"/>
      <c r="AO29" s="6"/>
      <c r="AP29" s="6"/>
      <c r="AQ29" s="6"/>
      <c r="AR29" s="20"/>
      <c r="AS29" s="1"/>
      <c r="AT29" s="7"/>
      <c r="AU29" s="6"/>
      <c r="AV29" s="6"/>
      <c r="AW29" s="6"/>
      <c r="AX29" s="20"/>
      <c r="AY29" s="1"/>
      <c r="AZ29" s="7"/>
      <c r="BA29" s="6"/>
      <c r="BB29" s="6"/>
      <c r="BC29" s="6"/>
      <c r="BD29" s="20"/>
      <c r="BE29" s="1"/>
      <c r="BF29" s="7"/>
      <c r="BG29" s="6"/>
      <c r="BH29" s="6"/>
      <c r="BI29" s="6"/>
      <c r="BJ29" s="20"/>
      <c r="BN29" s="1"/>
      <c r="BP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</row>
    <row r="30" spans="1:128" ht="20.100000000000001" customHeight="1" x14ac:dyDescent="0.25">
      <c r="A30" s="1"/>
      <c r="C30" s="1">
        <v>5</v>
      </c>
      <c r="D30" s="7"/>
      <c r="E30" s="6"/>
      <c r="F30" s="6"/>
      <c r="G30" s="6"/>
      <c r="H30" s="20"/>
      <c r="I30" s="1"/>
      <c r="J30" s="7"/>
      <c r="K30" s="6"/>
      <c r="L30" s="6"/>
      <c r="M30" s="6"/>
      <c r="N30" s="20"/>
      <c r="O30" s="1"/>
      <c r="P30" s="7"/>
      <c r="Q30" s="6"/>
      <c r="R30" s="6"/>
      <c r="S30" s="6"/>
      <c r="T30" s="20"/>
      <c r="U30" s="1"/>
      <c r="V30" s="7"/>
      <c r="W30" s="6"/>
      <c r="X30" s="6"/>
      <c r="Y30" s="6"/>
      <c r="Z30" s="20"/>
      <c r="AA30" s="1"/>
      <c r="AB30" s="7"/>
      <c r="AC30" s="6"/>
      <c r="AD30" s="6"/>
      <c r="AE30" s="6"/>
      <c r="AF30" s="20"/>
      <c r="AG30" s="1"/>
      <c r="AH30" s="7"/>
      <c r="AI30" s="6"/>
      <c r="AJ30" s="6"/>
      <c r="AK30" s="6"/>
      <c r="AL30" s="20"/>
      <c r="AM30" s="1"/>
      <c r="AN30" s="7"/>
      <c r="AO30" s="6"/>
      <c r="AP30" s="6"/>
      <c r="AQ30" s="6"/>
      <c r="AR30" s="20"/>
      <c r="AS30" s="1"/>
      <c r="AT30" s="7"/>
      <c r="AU30" s="6"/>
      <c r="AV30" s="6"/>
      <c r="AW30" s="6"/>
      <c r="AX30" s="20"/>
      <c r="AY30" s="1"/>
      <c r="AZ30" s="7"/>
      <c r="BA30" s="6"/>
      <c r="BB30" s="6"/>
      <c r="BC30" s="6"/>
      <c r="BD30" s="20"/>
      <c r="BE30" s="1"/>
      <c r="BF30" s="7"/>
      <c r="BG30" s="6"/>
      <c r="BH30" s="6"/>
      <c r="BI30" s="6"/>
      <c r="BJ30" s="20"/>
      <c r="BK30" s="1"/>
      <c r="BN30" s="1"/>
      <c r="BP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</row>
    <row r="31" spans="1:128" ht="20.100000000000001" customHeight="1" x14ac:dyDescent="0.25">
      <c r="A31" s="1"/>
      <c r="C31" s="1">
        <v>4</v>
      </c>
      <c r="D31" s="7"/>
      <c r="E31" s="6"/>
      <c r="F31" s="6"/>
      <c r="G31" s="6"/>
      <c r="H31" s="20"/>
      <c r="I31" s="1"/>
      <c r="J31" s="7"/>
      <c r="K31" s="6"/>
      <c r="L31" s="6"/>
      <c r="M31" s="6"/>
      <c r="N31" s="20"/>
      <c r="O31" s="1"/>
      <c r="P31" s="7"/>
      <c r="Q31" s="6"/>
      <c r="R31" s="6"/>
      <c r="S31" s="6"/>
      <c r="T31" s="20"/>
      <c r="U31" s="1"/>
      <c r="V31" s="7"/>
      <c r="W31" s="6"/>
      <c r="X31" s="6"/>
      <c r="Y31" s="6"/>
      <c r="Z31" s="20"/>
      <c r="AA31" s="1"/>
      <c r="AB31" s="7"/>
      <c r="AC31" s="6"/>
      <c r="AD31" s="6"/>
      <c r="AE31" s="6"/>
      <c r="AF31" s="20"/>
      <c r="AG31" s="1"/>
      <c r="AH31" s="7"/>
      <c r="AI31" s="6"/>
      <c r="AJ31" s="6"/>
      <c r="AK31" s="6"/>
      <c r="AL31" s="20"/>
      <c r="AM31" s="1"/>
      <c r="AN31" s="7"/>
      <c r="AO31" s="6"/>
      <c r="AP31" s="6"/>
      <c r="AQ31" s="6"/>
      <c r="AR31" s="20"/>
      <c r="AS31" s="1"/>
      <c r="AT31" s="7"/>
      <c r="AU31" s="6"/>
      <c r="AV31" s="6"/>
      <c r="AW31" s="6"/>
      <c r="AX31" s="20"/>
      <c r="AY31" s="1"/>
      <c r="AZ31" s="7"/>
      <c r="BA31" s="6"/>
      <c r="BB31" s="6"/>
      <c r="BC31" s="6"/>
      <c r="BD31" s="20"/>
      <c r="BE31" s="1"/>
      <c r="BF31" s="7"/>
      <c r="BG31" s="6"/>
      <c r="BH31" s="6"/>
      <c r="BI31" s="6"/>
      <c r="BJ31" s="20"/>
      <c r="BK31" s="1"/>
      <c r="BN31" s="1"/>
      <c r="BP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</row>
    <row r="32" spans="1:128" ht="20.100000000000001" customHeight="1" x14ac:dyDescent="0.25">
      <c r="A32" s="1"/>
      <c r="C32" s="1">
        <v>3</v>
      </c>
      <c r="D32" s="6"/>
      <c r="E32" s="6"/>
      <c r="F32" s="6"/>
      <c r="G32" s="6"/>
      <c r="H32" s="6"/>
      <c r="J32" s="6"/>
      <c r="K32" s="6"/>
      <c r="L32" s="6"/>
      <c r="M32" s="6"/>
      <c r="N32" s="6"/>
      <c r="P32" s="6"/>
      <c r="Q32" s="6"/>
      <c r="R32" s="6"/>
      <c r="S32" s="6"/>
      <c r="T32" s="6"/>
      <c r="V32" s="6"/>
      <c r="W32" s="6"/>
      <c r="X32" s="6"/>
      <c r="Y32" s="6"/>
      <c r="Z32" s="6"/>
      <c r="AB32" s="6"/>
      <c r="AC32" s="6"/>
      <c r="AD32" s="6"/>
      <c r="AE32" s="6"/>
      <c r="AF32" s="6"/>
      <c r="AH32" s="6"/>
      <c r="AI32" s="6"/>
      <c r="AJ32" s="6"/>
      <c r="AK32" s="6"/>
      <c r="AL32" s="6"/>
      <c r="AN32" s="6"/>
      <c r="AO32" s="6"/>
      <c r="AP32" s="6"/>
      <c r="AQ32" s="6"/>
      <c r="AR32" s="6"/>
      <c r="AT32" s="6"/>
      <c r="AU32" s="6"/>
      <c r="AV32" s="6"/>
      <c r="AW32" s="6"/>
      <c r="AX32" s="6"/>
      <c r="AZ32" s="6"/>
      <c r="BA32" s="6"/>
      <c r="BB32" s="6"/>
      <c r="BC32" s="6"/>
      <c r="BD32" s="6"/>
      <c r="BF32" s="6"/>
      <c r="BG32" s="6"/>
      <c r="BH32" s="6"/>
      <c r="BI32" s="6"/>
      <c r="BJ32" s="6"/>
      <c r="BN32" s="1"/>
      <c r="BP32" s="1"/>
    </row>
    <row r="33" spans="1:140" ht="20.100000000000001" customHeight="1" x14ac:dyDescent="0.25">
      <c r="A33" s="1"/>
      <c r="C33" s="43">
        <v>2</v>
      </c>
      <c r="D33" s="6"/>
      <c r="E33" s="6"/>
      <c r="F33" s="6"/>
      <c r="G33" s="6"/>
      <c r="H33" s="6"/>
      <c r="J33" s="6"/>
      <c r="K33" s="6"/>
      <c r="L33" s="6"/>
      <c r="M33" s="6"/>
      <c r="N33" s="6"/>
      <c r="P33" s="6"/>
      <c r="Q33" s="6"/>
      <c r="R33" s="6"/>
      <c r="S33" s="6"/>
      <c r="T33" s="6"/>
      <c r="V33" s="6"/>
      <c r="W33" s="6"/>
      <c r="X33" s="6"/>
      <c r="Y33" s="6"/>
      <c r="Z33" s="6"/>
      <c r="AB33" s="6"/>
      <c r="AC33" s="6"/>
      <c r="AD33" s="6"/>
      <c r="AE33" s="6"/>
      <c r="AF33" s="6"/>
      <c r="AH33" s="6"/>
      <c r="AI33" s="6"/>
      <c r="AJ33" s="6"/>
      <c r="AK33" s="6"/>
      <c r="AL33" s="6"/>
      <c r="AN33" s="6"/>
      <c r="AO33" s="6"/>
      <c r="AP33" s="6"/>
      <c r="AQ33" s="6"/>
      <c r="AR33" s="6"/>
      <c r="AT33" s="6"/>
      <c r="AU33" s="6"/>
      <c r="AV33" s="6"/>
      <c r="AW33" s="6"/>
      <c r="AX33" s="6"/>
      <c r="AZ33" s="6"/>
      <c r="BA33" s="6"/>
      <c r="BB33" s="6"/>
      <c r="BC33" s="6"/>
      <c r="BD33" s="6"/>
      <c r="BF33" s="6"/>
      <c r="BG33" s="6"/>
      <c r="BH33" s="6"/>
      <c r="BI33" s="6"/>
      <c r="BJ33" s="6"/>
      <c r="BN33" s="1"/>
      <c r="BP33" s="1"/>
    </row>
    <row r="34" spans="1:140" ht="20.100000000000001" customHeight="1" x14ac:dyDescent="0.25">
      <c r="A34" s="1"/>
      <c r="C34" s="1">
        <v>1</v>
      </c>
      <c r="D34" s="6"/>
      <c r="E34" s="6"/>
      <c r="F34" s="6"/>
      <c r="G34" s="6"/>
      <c r="H34" s="6"/>
      <c r="J34" s="6"/>
      <c r="K34" s="6"/>
      <c r="L34" s="6"/>
      <c r="M34" s="6"/>
      <c r="N34" s="6"/>
      <c r="P34" s="6"/>
      <c r="Q34" s="6"/>
      <c r="R34" s="6"/>
      <c r="S34" s="6"/>
      <c r="T34" s="6"/>
      <c r="V34" s="6"/>
      <c r="W34" s="6"/>
      <c r="X34" s="6"/>
      <c r="Y34" s="6"/>
      <c r="Z34" s="6"/>
      <c r="AB34" s="6"/>
      <c r="AC34" s="6"/>
      <c r="AD34" s="6"/>
      <c r="AE34" s="6"/>
      <c r="AF34" s="6"/>
      <c r="AH34" s="6"/>
      <c r="AI34" s="6"/>
      <c r="AJ34" s="6"/>
      <c r="AK34" s="6"/>
      <c r="AL34" s="6"/>
      <c r="AN34" s="6"/>
      <c r="AO34" s="6"/>
      <c r="AP34" s="6"/>
      <c r="AQ34" s="6"/>
      <c r="AR34" s="6"/>
      <c r="AT34" s="6"/>
      <c r="AU34" s="6"/>
      <c r="AV34" s="6"/>
      <c r="AW34" s="6"/>
      <c r="AX34" s="6"/>
      <c r="AZ34" s="6"/>
      <c r="BA34" s="6"/>
      <c r="BB34" s="6"/>
      <c r="BC34" s="6"/>
      <c r="BD34" s="6"/>
      <c r="BF34" s="6"/>
      <c r="BG34" s="6"/>
      <c r="BH34" s="6"/>
      <c r="BI34" s="6"/>
      <c r="BJ34" s="6"/>
      <c r="BN34" s="1"/>
      <c r="BP34" s="1"/>
    </row>
    <row r="35" spans="1:140" ht="20.100000000000001" customHeight="1" x14ac:dyDescent="0.25">
      <c r="A35" s="1"/>
      <c r="I35" s="1"/>
      <c r="O35" s="1"/>
      <c r="U35" s="1"/>
      <c r="AA35" s="1"/>
      <c r="AG35" s="1"/>
      <c r="AM35" s="1"/>
      <c r="AS35" s="1"/>
      <c r="AY35" s="1"/>
      <c r="BE35" s="1"/>
      <c r="BN35" s="1"/>
      <c r="BP35" s="1"/>
    </row>
    <row r="36" spans="1:140" ht="20.100000000000001" customHeight="1" x14ac:dyDescent="0.25">
      <c r="D36" s="43">
        <v>51</v>
      </c>
      <c r="I36" s="1"/>
      <c r="J36" s="43">
        <v>52</v>
      </c>
      <c r="O36" s="1"/>
      <c r="P36" s="43">
        <v>53</v>
      </c>
      <c r="U36" s="1"/>
      <c r="V36" s="43">
        <v>54</v>
      </c>
      <c r="AA36" s="1"/>
      <c r="AB36" s="43">
        <v>55</v>
      </c>
      <c r="AG36" s="1"/>
      <c r="AH36" s="43">
        <v>56</v>
      </c>
      <c r="AM36" s="1"/>
      <c r="AN36" s="43">
        <v>57</v>
      </c>
      <c r="AS36" s="1"/>
      <c r="AT36" s="43">
        <v>58</v>
      </c>
      <c r="AY36" s="1"/>
      <c r="AZ36" s="43">
        <v>59</v>
      </c>
      <c r="BE36" s="1"/>
      <c r="BF36" s="43">
        <v>60</v>
      </c>
      <c r="BN36" s="1"/>
      <c r="BP36" s="1"/>
    </row>
    <row r="37" spans="1:140" ht="20.100000000000001" customHeight="1" x14ac:dyDescent="0.25">
      <c r="C37" s="1">
        <v>8</v>
      </c>
      <c r="D37" s="7"/>
      <c r="E37" s="6"/>
      <c r="F37" s="6"/>
      <c r="G37" s="6"/>
      <c r="H37" s="20"/>
      <c r="I37" s="1"/>
      <c r="J37" s="7"/>
      <c r="K37" s="6"/>
      <c r="L37" s="6"/>
      <c r="M37" s="6"/>
      <c r="N37" s="20"/>
      <c r="O37" s="1"/>
      <c r="P37" s="7"/>
      <c r="Q37" s="6"/>
      <c r="R37" s="6"/>
      <c r="S37" s="6"/>
      <c r="T37" s="20"/>
      <c r="U37" s="1"/>
      <c r="V37" s="7"/>
      <c r="W37" s="6"/>
      <c r="X37" s="6"/>
      <c r="Y37" s="6"/>
      <c r="Z37" s="20"/>
      <c r="AA37" s="1"/>
      <c r="AB37" s="7"/>
      <c r="AC37" s="6"/>
      <c r="AD37" s="6"/>
      <c r="AE37" s="6"/>
      <c r="AF37" s="20"/>
      <c r="AG37" s="1"/>
      <c r="AH37" s="7"/>
      <c r="AI37" s="6"/>
      <c r="AJ37" s="6"/>
      <c r="AK37" s="6"/>
      <c r="AL37" s="20"/>
      <c r="AM37" s="1"/>
      <c r="AN37" s="7"/>
      <c r="AO37" s="6"/>
      <c r="AP37" s="6"/>
      <c r="AQ37" s="6"/>
      <c r="AR37" s="20"/>
      <c r="AS37" s="1"/>
      <c r="AT37" s="7"/>
      <c r="AU37" s="6"/>
      <c r="AV37" s="6"/>
      <c r="AW37" s="6"/>
      <c r="AX37" s="20"/>
      <c r="AY37" s="1"/>
      <c r="AZ37" s="7"/>
      <c r="BA37" s="6"/>
      <c r="BB37" s="6"/>
      <c r="BC37" s="6"/>
      <c r="BD37" s="20"/>
      <c r="BE37" s="1"/>
      <c r="BF37" s="7"/>
      <c r="BG37" s="6"/>
      <c r="BH37" s="6"/>
      <c r="BI37" s="6"/>
      <c r="BJ37" s="20"/>
      <c r="BN37" s="1"/>
      <c r="BP37" s="1"/>
    </row>
    <row r="38" spans="1:140" ht="20.100000000000001" customHeight="1" x14ac:dyDescent="0.25">
      <c r="C38" s="1">
        <v>7</v>
      </c>
      <c r="D38" s="7"/>
      <c r="E38" s="6"/>
      <c r="F38" s="6"/>
      <c r="G38" s="6"/>
      <c r="H38" s="20"/>
      <c r="I38" s="1"/>
      <c r="J38" s="7"/>
      <c r="K38" s="6"/>
      <c r="L38" s="6"/>
      <c r="M38" s="6"/>
      <c r="N38" s="20"/>
      <c r="O38" s="1"/>
      <c r="P38" s="7"/>
      <c r="Q38" s="6"/>
      <c r="R38" s="6"/>
      <c r="S38" s="6"/>
      <c r="T38" s="20"/>
      <c r="U38" s="1"/>
      <c r="V38" s="7"/>
      <c r="W38" s="6"/>
      <c r="X38" s="6"/>
      <c r="Y38" s="6"/>
      <c r="Z38" s="20"/>
      <c r="AA38" s="1"/>
      <c r="AB38" s="7"/>
      <c r="AC38" s="6"/>
      <c r="AD38" s="6"/>
      <c r="AE38" s="6"/>
      <c r="AF38" s="20"/>
      <c r="AG38" s="1"/>
      <c r="AH38" s="7"/>
      <c r="AI38" s="6"/>
      <c r="AJ38" s="6"/>
      <c r="AK38" s="6"/>
      <c r="AL38" s="20"/>
      <c r="AM38" s="1"/>
      <c r="AN38" s="7"/>
      <c r="AO38" s="6"/>
      <c r="AP38" s="6"/>
      <c r="AQ38" s="6"/>
      <c r="AR38" s="20"/>
      <c r="AS38" s="1"/>
      <c r="AT38" s="7"/>
      <c r="AU38" s="6"/>
      <c r="AV38" s="6"/>
      <c r="AW38" s="6"/>
      <c r="AX38" s="20"/>
      <c r="AY38" s="1"/>
      <c r="AZ38" s="7"/>
      <c r="BA38" s="6"/>
      <c r="BB38" s="6"/>
      <c r="BC38" s="6"/>
      <c r="BD38" s="20"/>
      <c r="BE38" s="1"/>
      <c r="BF38" s="7"/>
      <c r="BG38" s="6"/>
      <c r="BH38" s="6"/>
      <c r="BI38" s="6"/>
      <c r="BJ38" s="20"/>
      <c r="BN38" s="1"/>
      <c r="BP38" s="1"/>
    </row>
    <row r="39" spans="1:140" ht="20.100000000000001" customHeight="1" x14ac:dyDescent="0.25">
      <c r="C39" s="1">
        <v>6</v>
      </c>
      <c r="D39" s="7"/>
      <c r="E39" s="6"/>
      <c r="F39" s="6"/>
      <c r="G39" s="6"/>
      <c r="H39" s="20"/>
      <c r="I39" s="1"/>
      <c r="J39" s="7"/>
      <c r="K39" s="6"/>
      <c r="L39" s="6"/>
      <c r="M39" s="6"/>
      <c r="N39" s="20"/>
      <c r="O39" s="1"/>
      <c r="P39" s="7"/>
      <c r="Q39" s="6"/>
      <c r="R39" s="6"/>
      <c r="S39" s="6"/>
      <c r="T39" s="20"/>
      <c r="U39" s="1"/>
      <c r="V39" s="7"/>
      <c r="W39" s="6"/>
      <c r="X39" s="6"/>
      <c r="Y39" s="6"/>
      <c r="Z39" s="20"/>
      <c r="AA39" s="1"/>
      <c r="AB39" s="7"/>
      <c r="AC39" s="6"/>
      <c r="AD39" s="6"/>
      <c r="AE39" s="6"/>
      <c r="AF39" s="20"/>
      <c r="AG39" s="1"/>
      <c r="AH39" s="7"/>
      <c r="AI39" s="6"/>
      <c r="AJ39" s="6"/>
      <c r="AK39" s="6"/>
      <c r="AL39" s="20"/>
      <c r="AM39" s="1"/>
      <c r="AN39" s="7"/>
      <c r="AO39" s="6"/>
      <c r="AP39" s="6"/>
      <c r="AQ39" s="6"/>
      <c r="AR39" s="20"/>
      <c r="AS39" s="1"/>
      <c r="AT39" s="7"/>
      <c r="AU39" s="6"/>
      <c r="AV39" s="6"/>
      <c r="AW39" s="6"/>
      <c r="AX39" s="20"/>
      <c r="AY39" s="1"/>
      <c r="AZ39" s="7"/>
      <c r="BA39" s="6"/>
      <c r="BB39" s="6"/>
      <c r="BC39" s="6"/>
      <c r="BD39" s="20"/>
      <c r="BE39" s="1"/>
      <c r="BF39" s="7"/>
      <c r="BG39" s="6"/>
      <c r="BH39" s="6"/>
      <c r="BI39" s="6"/>
      <c r="BJ39" s="20"/>
      <c r="BN39" s="1"/>
      <c r="BP39" s="1"/>
    </row>
    <row r="40" spans="1:140" ht="20.100000000000001" customHeight="1" x14ac:dyDescent="0.25">
      <c r="C40" s="1">
        <v>5</v>
      </c>
      <c r="D40" s="7"/>
      <c r="E40" s="6"/>
      <c r="F40" s="6"/>
      <c r="G40" s="6"/>
      <c r="H40" s="20"/>
      <c r="I40" s="1"/>
      <c r="J40" s="7"/>
      <c r="K40" s="6"/>
      <c r="L40" s="6"/>
      <c r="M40" s="6"/>
      <c r="N40" s="20"/>
      <c r="O40" s="1"/>
      <c r="P40" s="7"/>
      <c r="Q40" s="6"/>
      <c r="R40" s="6"/>
      <c r="S40" s="6"/>
      <c r="T40" s="20"/>
      <c r="U40" s="1"/>
      <c r="V40" s="7"/>
      <c r="W40" s="6"/>
      <c r="X40" s="6"/>
      <c r="Y40" s="6"/>
      <c r="Z40" s="20"/>
      <c r="AA40" s="1"/>
      <c r="AB40" s="7"/>
      <c r="AC40" s="6"/>
      <c r="AD40" s="6"/>
      <c r="AE40" s="6"/>
      <c r="AF40" s="20"/>
      <c r="AG40" s="1"/>
      <c r="AH40" s="7"/>
      <c r="AI40" s="6"/>
      <c r="AJ40" s="6"/>
      <c r="AK40" s="6"/>
      <c r="AL40" s="20"/>
      <c r="AM40" s="1"/>
      <c r="AN40" s="7"/>
      <c r="AO40" s="6"/>
      <c r="AP40" s="6"/>
      <c r="AQ40" s="6"/>
      <c r="AR40" s="20"/>
      <c r="AS40" s="1"/>
      <c r="AT40" s="7"/>
      <c r="AU40" s="6"/>
      <c r="AV40" s="6"/>
      <c r="AW40" s="6"/>
      <c r="AX40" s="20"/>
      <c r="AY40" s="1"/>
      <c r="AZ40" s="7"/>
      <c r="BA40" s="6"/>
      <c r="BB40" s="6"/>
      <c r="BC40" s="6"/>
      <c r="BD40" s="20"/>
      <c r="BE40" s="1"/>
      <c r="BF40" s="7"/>
      <c r="BG40" s="6"/>
      <c r="BH40" s="6"/>
      <c r="BI40" s="6"/>
      <c r="BJ40" s="20"/>
      <c r="BN40" s="1"/>
      <c r="BP40" s="1"/>
    </row>
    <row r="41" spans="1:140" ht="20.100000000000001" customHeight="1" x14ac:dyDescent="0.25">
      <c r="C41" s="1">
        <v>4</v>
      </c>
      <c r="D41" s="6"/>
      <c r="E41" s="6"/>
      <c r="F41" s="6"/>
      <c r="G41" s="6"/>
      <c r="H41" s="6"/>
      <c r="J41" s="6"/>
      <c r="K41" s="6"/>
      <c r="L41" s="6"/>
      <c r="M41" s="6"/>
      <c r="N41" s="6"/>
      <c r="P41" s="6"/>
      <c r="Q41" s="6"/>
      <c r="R41" s="6"/>
      <c r="S41" s="6"/>
      <c r="T41" s="6"/>
      <c r="V41" s="6"/>
      <c r="W41" s="6"/>
      <c r="X41" s="6"/>
      <c r="Y41" s="6"/>
      <c r="Z41" s="6"/>
      <c r="AB41" s="6"/>
      <c r="AC41" s="6"/>
      <c r="AD41" s="6"/>
      <c r="AE41" s="6"/>
      <c r="AF41" s="6"/>
      <c r="AH41" s="6"/>
      <c r="AI41" s="6"/>
      <c r="AJ41" s="6"/>
      <c r="AK41" s="6"/>
      <c r="AL41" s="6"/>
      <c r="AN41" s="6"/>
      <c r="AO41" s="6"/>
      <c r="AP41" s="6"/>
      <c r="AQ41" s="6"/>
      <c r="AR41" s="6"/>
      <c r="AT41" s="6"/>
      <c r="AU41" s="6"/>
      <c r="AV41" s="6"/>
      <c r="AW41" s="6"/>
      <c r="AX41" s="6"/>
      <c r="AZ41" s="6"/>
      <c r="BA41" s="6"/>
      <c r="BB41" s="6"/>
      <c r="BC41" s="6"/>
      <c r="BD41" s="6"/>
      <c r="BF41" s="6"/>
      <c r="BG41" s="6"/>
      <c r="BH41" s="6"/>
      <c r="BI41" s="6"/>
      <c r="BJ41" s="6"/>
      <c r="BN41" s="1"/>
      <c r="BP41" s="1"/>
    </row>
    <row r="42" spans="1:140" ht="20.100000000000001" customHeight="1" x14ac:dyDescent="0.25">
      <c r="C42" s="1">
        <v>3</v>
      </c>
      <c r="D42" s="6"/>
      <c r="E42" s="6"/>
      <c r="F42" s="6"/>
      <c r="G42" s="6"/>
      <c r="H42" s="6"/>
      <c r="J42" s="6"/>
      <c r="K42" s="6"/>
      <c r="L42" s="6"/>
      <c r="M42" s="6"/>
      <c r="N42" s="6"/>
      <c r="P42" s="6"/>
      <c r="Q42" s="6"/>
      <c r="R42" s="6"/>
      <c r="S42" s="6"/>
      <c r="T42" s="6"/>
      <c r="V42" s="6"/>
      <c r="W42" s="6"/>
      <c r="X42" s="6"/>
      <c r="Y42" s="6"/>
      <c r="Z42" s="6"/>
      <c r="AB42" s="6"/>
      <c r="AC42" s="6"/>
      <c r="AD42" s="6"/>
      <c r="AE42" s="6"/>
      <c r="AF42" s="6"/>
      <c r="AH42" s="6"/>
      <c r="AI42" s="6"/>
      <c r="AJ42" s="6"/>
      <c r="AK42" s="6"/>
      <c r="AL42" s="6"/>
      <c r="AN42" s="6"/>
      <c r="AO42" s="6"/>
      <c r="AP42" s="6"/>
      <c r="AQ42" s="6"/>
      <c r="AR42" s="6"/>
      <c r="AT42" s="6"/>
      <c r="AU42" s="6"/>
      <c r="AV42" s="6"/>
      <c r="AW42" s="6"/>
      <c r="AX42" s="6"/>
      <c r="AZ42" s="6"/>
      <c r="BA42" s="6"/>
      <c r="BB42" s="6"/>
      <c r="BC42" s="6"/>
      <c r="BD42" s="6"/>
      <c r="BF42" s="6"/>
      <c r="BG42" s="6"/>
      <c r="BH42" s="6"/>
      <c r="BI42" s="6"/>
      <c r="BJ42" s="6"/>
      <c r="BN42" s="1"/>
      <c r="BP42" s="1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</row>
    <row r="43" spans="1:140" ht="20.100000000000001" customHeight="1" x14ac:dyDescent="0.25">
      <c r="C43" s="1">
        <v>2</v>
      </c>
      <c r="D43" s="6"/>
      <c r="E43" s="6"/>
      <c r="F43" s="6"/>
      <c r="G43" s="6"/>
      <c r="H43" s="6"/>
      <c r="J43" s="6"/>
      <c r="K43" s="6"/>
      <c r="L43" s="6"/>
      <c r="M43" s="6"/>
      <c r="N43" s="6"/>
      <c r="P43" s="6"/>
      <c r="Q43" s="6"/>
      <c r="R43" s="6"/>
      <c r="S43" s="6"/>
      <c r="T43" s="6"/>
      <c r="V43" s="6"/>
      <c r="W43" s="6"/>
      <c r="X43" s="6"/>
      <c r="Y43" s="6"/>
      <c r="Z43" s="6"/>
      <c r="AB43" s="6"/>
      <c r="AC43" s="6"/>
      <c r="AD43" s="6"/>
      <c r="AE43" s="6"/>
      <c r="AF43" s="6"/>
      <c r="AH43" s="6"/>
      <c r="AI43" s="6"/>
      <c r="AJ43" s="6"/>
      <c r="AK43" s="6"/>
      <c r="AL43" s="6"/>
      <c r="AN43" s="6"/>
      <c r="AO43" s="6"/>
      <c r="AP43" s="6"/>
      <c r="AQ43" s="6"/>
      <c r="AR43" s="6"/>
      <c r="AT43" s="6"/>
      <c r="AU43" s="6"/>
      <c r="AV43" s="6"/>
      <c r="AW43" s="6"/>
      <c r="AX43" s="6"/>
      <c r="AZ43" s="6"/>
      <c r="BA43" s="6"/>
      <c r="BB43" s="6"/>
      <c r="BC43" s="6"/>
      <c r="BD43" s="6"/>
      <c r="BF43" s="6"/>
      <c r="BG43" s="6"/>
      <c r="BH43" s="6"/>
      <c r="BI43" s="6"/>
      <c r="BJ43" s="6"/>
      <c r="BN43" s="1"/>
      <c r="BP43" s="1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DW43" s="43" t="str">
        <f t="shared" ref="DW43:EJ43" si="2">IF((IF(BL27="x",5,0)+IF(BL28="x",4,0)+IF(BL29="x",3,0)+IF(BL30="x",2,0)+IF(BL31="x",1,0))=0,"",(IF(BL27="x",5,0)+IF(BL28="x",4,0)+IF(BL29="x",3,0)+IF(BL30="x",2,0)+IF(BL31="x",1,0)))</f>
        <v/>
      </c>
      <c r="DX43" s="43" t="str">
        <f t="shared" si="2"/>
        <v/>
      </c>
      <c r="DY43" s="43" t="str">
        <f t="shared" si="2"/>
        <v/>
      </c>
      <c r="DZ43" s="43" t="str">
        <f t="shared" si="2"/>
        <v/>
      </c>
      <c r="EA43" s="43" t="str">
        <f t="shared" si="2"/>
        <v/>
      </c>
      <c r="EB43" s="43" t="str">
        <f t="shared" si="2"/>
        <v/>
      </c>
      <c r="EC43" s="43" t="str">
        <f t="shared" si="2"/>
        <v/>
      </c>
      <c r="ED43" s="43" t="str">
        <f t="shared" si="2"/>
        <v/>
      </c>
      <c r="EE43" s="43" t="str">
        <f t="shared" si="2"/>
        <v/>
      </c>
      <c r="EF43" s="43" t="str">
        <f t="shared" si="2"/>
        <v/>
      </c>
      <c r="EG43" s="43" t="str">
        <f t="shared" si="2"/>
        <v/>
      </c>
      <c r="EH43" s="43" t="str">
        <f t="shared" si="2"/>
        <v/>
      </c>
      <c r="EI43" s="43" t="str">
        <f t="shared" si="2"/>
        <v/>
      </c>
      <c r="EJ43" s="43" t="str">
        <f t="shared" si="2"/>
        <v/>
      </c>
    </row>
    <row r="44" spans="1:140" ht="20.100000000000001" customHeight="1" x14ac:dyDescent="0.25">
      <c r="C44" s="1">
        <v>1</v>
      </c>
      <c r="D44" s="6"/>
      <c r="E44" s="6"/>
      <c r="F44" s="6"/>
      <c r="G44" s="6"/>
      <c r="H44" s="6"/>
      <c r="J44" s="6"/>
      <c r="K44" s="6"/>
      <c r="L44" s="6"/>
      <c r="M44" s="6"/>
      <c r="N44" s="6"/>
      <c r="P44" s="6"/>
      <c r="Q44" s="6"/>
      <c r="R44" s="6"/>
      <c r="S44" s="6"/>
      <c r="T44" s="6"/>
      <c r="V44" s="6"/>
      <c r="W44" s="6"/>
      <c r="X44" s="6"/>
      <c r="Y44" s="6"/>
      <c r="Z44" s="6"/>
      <c r="AB44" s="6"/>
      <c r="AC44" s="6"/>
      <c r="AD44" s="6"/>
      <c r="AE44" s="6"/>
      <c r="AF44" s="6"/>
      <c r="AH44" s="6"/>
      <c r="AI44" s="6"/>
      <c r="AJ44" s="6"/>
      <c r="AK44" s="6"/>
      <c r="AL44" s="6"/>
      <c r="AN44" s="6"/>
      <c r="AO44" s="6"/>
      <c r="AP44" s="6"/>
      <c r="AQ44" s="6"/>
      <c r="AR44" s="6"/>
      <c r="AT44" s="6"/>
      <c r="AU44" s="6"/>
      <c r="AV44" s="6"/>
      <c r="AW44" s="6"/>
      <c r="AX44" s="6"/>
      <c r="AZ44" s="6"/>
      <c r="BA44" s="6"/>
      <c r="BB44" s="6"/>
      <c r="BC44" s="6"/>
      <c r="BD44" s="6"/>
      <c r="BF44" s="6"/>
      <c r="BG44" s="6"/>
      <c r="BH44" s="6"/>
      <c r="BI44" s="6"/>
      <c r="BJ44" s="6"/>
      <c r="BN44" s="1"/>
      <c r="BP44" s="1"/>
    </row>
    <row r="45" spans="1:140" ht="20.100000000000001" customHeight="1" x14ac:dyDescent="0.25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N45" s="1"/>
      <c r="BP45" s="1"/>
    </row>
    <row r="46" spans="1:140" ht="20.100000000000001" customHeight="1" x14ac:dyDescent="0.25">
      <c r="D46" s="43">
        <v>61</v>
      </c>
      <c r="I46" s="1"/>
      <c r="J46" s="43">
        <v>62</v>
      </c>
      <c r="O46" s="1"/>
      <c r="P46" s="43">
        <v>63</v>
      </c>
      <c r="U46" s="1"/>
      <c r="V46" s="43">
        <v>64</v>
      </c>
      <c r="AA46" s="1"/>
      <c r="AB46" s="43">
        <v>65</v>
      </c>
      <c r="AG46" s="1"/>
      <c r="AH46" s="43">
        <v>66</v>
      </c>
      <c r="AM46" s="1"/>
      <c r="AN46" s="43">
        <v>67</v>
      </c>
      <c r="AS46" s="1"/>
      <c r="AT46" s="43">
        <v>68</v>
      </c>
      <c r="AY46" s="1"/>
      <c r="AZ46" s="43">
        <v>69</v>
      </c>
      <c r="BE46" s="1"/>
      <c r="BF46" s="43">
        <v>70</v>
      </c>
      <c r="BK46" s="1"/>
      <c r="BN46" s="1"/>
      <c r="BP46" s="1"/>
    </row>
    <row r="47" spans="1:140" ht="20.100000000000001" customHeight="1" x14ac:dyDescent="0.25">
      <c r="C47" s="1">
        <v>8</v>
      </c>
      <c r="D47" s="7"/>
      <c r="E47" s="6"/>
      <c r="F47" s="6"/>
      <c r="G47" s="6"/>
      <c r="H47" s="20"/>
      <c r="I47" s="1"/>
      <c r="J47" s="7"/>
      <c r="K47" s="6"/>
      <c r="L47" s="6"/>
      <c r="M47" s="6"/>
      <c r="N47" s="20"/>
      <c r="O47" s="1"/>
      <c r="P47" s="7"/>
      <c r="Q47" s="6"/>
      <c r="R47" s="6"/>
      <c r="S47" s="6"/>
      <c r="T47" s="20"/>
      <c r="U47" s="1"/>
      <c r="V47" s="7"/>
      <c r="W47" s="6"/>
      <c r="X47" s="6"/>
      <c r="Y47" s="6"/>
      <c r="Z47" s="20"/>
      <c r="AA47" s="1"/>
      <c r="AB47" s="7"/>
      <c r="AC47" s="6"/>
      <c r="AD47" s="6"/>
      <c r="AE47" s="6"/>
      <c r="AF47" s="20"/>
      <c r="AG47" s="1"/>
      <c r="AH47" s="7"/>
      <c r="AI47" s="6"/>
      <c r="AJ47" s="6"/>
      <c r="AK47" s="6"/>
      <c r="AL47" s="20"/>
      <c r="AM47" s="1"/>
      <c r="AN47" s="7"/>
      <c r="AO47" s="6"/>
      <c r="AP47" s="6"/>
      <c r="AQ47" s="6"/>
      <c r="AR47" s="20"/>
      <c r="AS47" s="1"/>
      <c r="AT47" s="7"/>
      <c r="AU47" s="6"/>
      <c r="AV47" s="6"/>
      <c r="AW47" s="6"/>
      <c r="AX47" s="20"/>
      <c r="AY47" s="1"/>
      <c r="AZ47" s="7"/>
      <c r="BA47" s="6"/>
      <c r="BB47" s="6"/>
      <c r="BC47" s="6"/>
      <c r="BD47" s="20"/>
      <c r="BE47" s="1"/>
      <c r="BF47" s="7"/>
      <c r="BG47" s="6"/>
      <c r="BH47" s="6"/>
      <c r="BI47" s="6"/>
      <c r="BJ47" s="20"/>
      <c r="BK47" s="1"/>
      <c r="BL47" s="1"/>
      <c r="BM47" s="1"/>
      <c r="BN47" s="1"/>
      <c r="BP47" s="1"/>
    </row>
    <row r="48" spans="1:140" ht="20.100000000000001" customHeight="1" x14ac:dyDescent="0.25">
      <c r="C48" s="1">
        <v>7</v>
      </c>
      <c r="D48" s="7"/>
      <c r="E48" s="6"/>
      <c r="F48" s="6"/>
      <c r="G48" s="6"/>
      <c r="H48" s="20"/>
      <c r="I48" s="1"/>
      <c r="J48" s="7"/>
      <c r="K48" s="6"/>
      <c r="L48" s="6"/>
      <c r="M48" s="6"/>
      <c r="N48" s="20"/>
      <c r="O48" s="1"/>
      <c r="P48" s="7"/>
      <c r="Q48" s="6"/>
      <c r="R48" s="6"/>
      <c r="S48" s="6"/>
      <c r="T48" s="20"/>
      <c r="U48" s="1"/>
      <c r="V48" s="7"/>
      <c r="W48" s="6"/>
      <c r="X48" s="6"/>
      <c r="Y48" s="6"/>
      <c r="Z48" s="20"/>
      <c r="AA48" s="1"/>
      <c r="AB48" s="7"/>
      <c r="AC48" s="6"/>
      <c r="AD48" s="6"/>
      <c r="AE48" s="6"/>
      <c r="AF48" s="20"/>
      <c r="AG48" s="1"/>
      <c r="AH48" s="7"/>
      <c r="AI48" s="6"/>
      <c r="AJ48" s="6"/>
      <c r="AK48" s="6"/>
      <c r="AL48" s="20"/>
      <c r="AM48" s="1"/>
      <c r="AN48" s="7"/>
      <c r="AO48" s="6"/>
      <c r="AP48" s="6"/>
      <c r="AQ48" s="6"/>
      <c r="AR48" s="20"/>
      <c r="AS48" s="1"/>
      <c r="AT48" s="7"/>
      <c r="AU48" s="6"/>
      <c r="AV48" s="6"/>
      <c r="AW48" s="6"/>
      <c r="AX48" s="20"/>
      <c r="AY48" s="1"/>
      <c r="AZ48" s="7"/>
      <c r="BA48" s="6"/>
      <c r="BB48" s="6"/>
      <c r="BC48" s="6"/>
      <c r="BD48" s="20"/>
      <c r="BE48" s="1"/>
      <c r="BF48" s="7"/>
      <c r="BG48" s="6"/>
      <c r="BH48" s="6"/>
      <c r="BI48" s="6"/>
      <c r="BJ48" s="20"/>
      <c r="BK48" s="1"/>
      <c r="BL48" s="1"/>
      <c r="BM48" s="1"/>
      <c r="BN48" s="1"/>
      <c r="BP48" s="1"/>
    </row>
    <row r="49" spans="3:68" ht="20.100000000000001" customHeight="1" x14ac:dyDescent="0.25">
      <c r="C49" s="1">
        <v>6</v>
      </c>
      <c r="D49" s="7"/>
      <c r="E49" s="6"/>
      <c r="F49" s="6"/>
      <c r="G49" s="6"/>
      <c r="H49" s="20"/>
      <c r="I49" s="1"/>
      <c r="J49" s="7"/>
      <c r="K49" s="6"/>
      <c r="L49" s="6"/>
      <c r="M49" s="6"/>
      <c r="N49" s="20"/>
      <c r="O49" s="1"/>
      <c r="P49" s="7"/>
      <c r="Q49" s="6"/>
      <c r="R49" s="6"/>
      <c r="S49" s="6"/>
      <c r="T49" s="20"/>
      <c r="U49" s="1"/>
      <c r="V49" s="7"/>
      <c r="W49" s="6"/>
      <c r="X49" s="6"/>
      <c r="Y49" s="6"/>
      <c r="Z49" s="20"/>
      <c r="AA49" s="1"/>
      <c r="AB49" s="7"/>
      <c r="AC49" s="6"/>
      <c r="AD49" s="6"/>
      <c r="AE49" s="6"/>
      <c r="AF49" s="20"/>
      <c r="AG49" s="1"/>
      <c r="AH49" s="7"/>
      <c r="AI49" s="6"/>
      <c r="AJ49" s="6"/>
      <c r="AK49" s="6"/>
      <c r="AL49" s="20"/>
      <c r="AM49" s="1"/>
      <c r="AN49" s="7"/>
      <c r="AO49" s="6"/>
      <c r="AP49" s="6"/>
      <c r="AQ49" s="6"/>
      <c r="AR49" s="20"/>
      <c r="AS49" s="1"/>
      <c r="AT49" s="7"/>
      <c r="AU49" s="6"/>
      <c r="AV49" s="6"/>
      <c r="AW49" s="6"/>
      <c r="AX49" s="20"/>
      <c r="AY49" s="1"/>
      <c r="AZ49" s="7"/>
      <c r="BA49" s="6"/>
      <c r="BB49" s="6"/>
      <c r="BC49" s="6"/>
      <c r="BD49" s="20"/>
      <c r="BE49" s="1"/>
      <c r="BF49" s="7"/>
      <c r="BG49" s="6"/>
      <c r="BH49" s="6"/>
      <c r="BI49" s="6"/>
      <c r="BJ49" s="20"/>
      <c r="BK49" s="1"/>
      <c r="BL49" s="1"/>
      <c r="BM49" s="1"/>
      <c r="BN49" s="1"/>
      <c r="BP49" s="1"/>
    </row>
    <row r="50" spans="3:68" ht="20.100000000000001" customHeight="1" x14ac:dyDescent="0.25">
      <c r="C50" s="1">
        <v>5</v>
      </c>
      <c r="D50" s="7"/>
      <c r="E50" s="6"/>
      <c r="F50" s="6"/>
      <c r="G50" s="6"/>
      <c r="H50" s="20"/>
      <c r="I50" s="1"/>
      <c r="J50" s="7"/>
      <c r="K50" s="6"/>
      <c r="L50" s="6"/>
      <c r="M50" s="6"/>
      <c r="N50" s="20"/>
      <c r="O50" s="1"/>
      <c r="P50" s="7"/>
      <c r="Q50" s="6"/>
      <c r="R50" s="6"/>
      <c r="S50" s="6"/>
      <c r="T50" s="20"/>
      <c r="U50" s="1"/>
      <c r="V50" s="7"/>
      <c r="W50" s="6"/>
      <c r="X50" s="6"/>
      <c r="Y50" s="6"/>
      <c r="Z50" s="20"/>
      <c r="AA50" s="1"/>
      <c r="AB50" s="7"/>
      <c r="AC50" s="6"/>
      <c r="AD50" s="6"/>
      <c r="AE50" s="6"/>
      <c r="AF50" s="20"/>
      <c r="AG50" s="1"/>
      <c r="AH50" s="7"/>
      <c r="AI50" s="6"/>
      <c r="AJ50" s="6"/>
      <c r="AK50" s="6"/>
      <c r="AL50" s="20"/>
      <c r="AM50" s="1"/>
      <c r="AN50" s="7"/>
      <c r="AO50" s="6"/>
      <c r="AP50" s="6"/>
      <c r="AQ50" s="6"/>
      <c r="AR50" s="20"/>
      <c r="AS50" s="1"/>
      <c r="AT50" s="7"/>
      <c r="AU50" s="6"/>
      <c r="AV50" s="6"/>
      <c r="AW50" s="6"/>
      <c r="AX50" s="20"/>
      <c r="AY50" s="1"/>
      <c r="AZ50" s="7"/>
      <c r="BA50" s="6"/>
      <c r="BB50" s="6"/>
      <c r="BC50" s="6"/>
      <c r="BD50" s="20"/>
      <c r="BE50" s="1"/>
      <c r="BF50" s="7"/>
      <c r="BG50" s="6"/>
      <c r="BH50" s="6"/>
      <c r="BI50" s="6"/>
      <c r="BJ50" s="20"/>
      <c r="BK50" s="1"/>
      <c r="BL50" s="1"/>
      <c r="BM50" s="1"/>
      <c r="BN50" s="1"/>
      <c r="BP50" s="1"/>
    </row>
    <row r="51" spans="3:68" ht="20.100000000000001" customHeight="1" x14ac:dyDescent="0.25">
      <c r="C51" s="1">
        <v>4</v>
      </c>
      <c r="D51" s="6"/>
      <c r="E51" s="6"/>
      <c r="F51" s="6"/>
      <c r="G51" s="6"/>
      <c r="H51" s="6"/>
      <c r="J51" s="6"/>
      <c r="K51" s="6"/>
      <c r="L51" s="6"/>
      <c r="M51" s="6"/>
      <c r="N51" s="6"/>
      <c r="P51" s="6"/>
      <c r="Q51" s="6"/>
      <c r="R51" s="6"/>
      <c r="S51" s="6"/>
      <c r="T51" s="6"/>
      <c r="V51" s="6"/>
      <c r="W51" s="6"/>
      <c r="X51" s="6"/>
      <c r="Y51" s="6"/>
      <c r="Z51" s="6"/>
      <c r="AB51" s="6"/>
      <c r="AC51" s="6"/>
      <c r="AD51" s="6"/>
      <c r="AE51" s="6"/>
      <c r="AF51" s="6"/>
      <c r="AH51" s="6"/>
      <c r="AI51" s="6"/>
      <c r="AJ51" s="6"/>
      <c r="AK51" s="6"/>
      <c r="AL51" s="6"/>
      <c r="AN51" s="6"/>
      <c r="AO51" s="6"/>
      <c r="AP51" s="6"/>
      <c r="AQ51" s="6"/>
      <c r="AR51" s="6"/>
      <c r="AT51" s="6"/>
      <c r="AU51" s="6"/>
      <c r="AV51" s="6"/>
      <c r="AW51" s="6"/>
      <c r="AX51" s="6"/>
      <c r="AZ51" s="6"/>
      <c r="BA51" s="6"/>
      <c r="BB51" s="6"/>
      <c r="BC51" s="6"/>
      <c r="BD51" s="6"/>
      <c r="BF51" s="6"/>
      <c r="BG51" s="6"/>
      <c r="BH51" s="6"/>
      <c r="BI51" s="6"/>
      <c r="BJ51" s="6"/>
      <c r="BK51" s="1"/>
      <c r="BL51" s="1"/>
      <c r="BM51" s="1"/>
      <c r="BN51" s="1"/>
      <c r="BP51" s="1"/>
    </row>
    <row r="52" spans="3:68" ht="20.100000000000001" customHeight="1" x14ac:dyDescent="0.25">
      <c r="C52" s="1">
        <v>3</v>
      </c>
      <c r="D52" s="6"/>
      <c r="E52" s="6"/>
      <c r="F52" s="6"/>
      <c r="G52" s="6"/>
      <c r="H52" s="6"/>
      <c r="J52" s="6"/>
      <c r="K52" s="6"/>
      <c r="L52" s="6"/>
      <c r="M52" s="6"/>
      <c r="N52" s="6"/>
      <c r="P52" s="6"/>
      <c r="Q52" s="6"/>
      <c r="R52" s="6"/>
      <c r="S52" s="6"/>
      <c r="T52" s="6"/>
      <c r="V52" s="6"/>
      <c r="W52" s="6"/>
      <c r="X52" s="6"/>
      <c r="Y52" s="6"/>
      <c r="Z52" s="6"/>
      <c r="AB52" s="6"/>
      <c r="AC52" s="6"/>
      <c r="AD52" s="6"/>
      <c r="AE52" s="6"/>
      <c r="AF52" s="6"/>
      <c r="AH52" s="6"/>
      <c r="AI52" s="6"/>
      <c r="AJ52" s="6"/>
      <c r="AK52" s="6"/>
      <c r="AL52" s="6"/>
      <c r="AN52" s="6"/>
      <c r="AO52" s="6"/>
      <c r="AP52" s="6"/>
      <c r="AQ52" s="6"/>
      <c r="AR52" s="6"/>
      <c r="AT52" s="6"/>
      <c r="AU52" s="6"/>
      <c r="AV52" s="6"/>
      <c r="AW52" s="6"/>
      <c r="AX52" s="6"/>
      <c r="AZ52" s="6"/>
      <c r="BA52" s="6"/>
      <c r="BB52" s="6"/>
      <c r="BC52" s="6"/>
      <c r="BD52" s="6"/>
      <c r="BF52" s="6"/>
      <c r="BG52" s="6"/>
      <c r="BH52" s="6"/>
      <c r="BI52" s="6"/>
      <c r="BJ52" s="6"/>
      <c r="BK52" s="1"/>
      <c r="BL52" s="1"/>
      <c r="BM52" s="1"/>
      <c r="BN52" s="1"/>
      <c r="BP52" s="1"/>
    </row>
    <row r="53" spans="3:68" ht="20.100000000000001" customHeight="1" x14ac:dyDescent="0.25">
      <c r="C53" s="1">
        <v>2</v>
      </c>
      <c r="D53" s="6"/>
      <c r="E53" s="6"/>
      <c r="F53" s="6"/>
      <c r="G53" s="6"/>
      <c r="H53" s="6"/>
      <c r="J53" s="6"/>
      <c r="K53" s="6"/>
      <c r="L53" s="6"/>
      <c r="M53" s="6"/>
      <c r="N53" s="6"/>
      <c r="P53" s="6"/>
      <c r="Q53" s="6"/>
      <c r="R53" s="6"/>
      <c r="S53" s="6"/>
      <c r="T53" s="6"/>
      <c r="V53" s="6"/>
      <c r="W53" s="6"/>
      <c r="X53" s="6"/>
      <c r="Y53" s="6"/>
      <c r="Z53" s="6"/>
      <c r="AB53" s="6"/>
      <c r="AC53" s="6"/>
      <c r="AD53" s="6"/>
      <c r="AE53" s="6"/>
      <c r="AF53" s="6"/>
      <c r="AH53" s="6"/>
      <c r="AI53" s="6"/>
      <c r="AJ53" s="6"/>
      <c r="AK53" s="6"/>
      <c r="AL53" s="6"/>
      <c r="AN53" s="6"/>
      <c r="AO53" s="6"/>
      <c r="AP53" s="6"/>
      <c r="AQ53" s="6"/>
      <c r="AR53" s="6"/>
      <c r="AT53" s="6"/>
      <c r="AU53" s="6"/>
      <c r="AV53" s="6"/>
      <c r="AW53" s="6"/>
      <c r="AX53" s="6"/>
      <c r="AZ53" s="6"/>
      <c r="BA53" s="6"/>
      <c r="BB53" s="6"/>
      <c r="BC53" s="6"/>
      <c r="BD53" s="6"/>
      <c r="BF53" s="6"/>
      <c r="BG53" s="6"/>
      <c r="BH53" s="6"/>
      <c r="BI53" s="6"/>
      <c r="BJ53" s="6"/>
      <c r="BK53" s="1"/>
      <c r="BL53" s="1"/>
      <c r="BM53" s="1"/>
      <c r="BN53" s="1"/>
      <c r="BP53" s="1"/>
    </row>
    <row r="54" spans="3:68" ht="20.100000000000001" customHeight="1" x14ac:dyDescent="0.25">
      <c r="C54" s="1">
        <v>1</v>
      </c>
      <c r="D54" s="6"/>
      <c r="E54" s="6"/>
      <c r="F54" s="6"/>
      <c r="G54" s="6"/>
      <c r="H54" s="6"/>
      <c r="J54" s="6"/>
      <c r="K54" s="6"/>
      <c r="L54" s="6"/>
      <c r="M54" s="6"/>
      <c r="N54" s="6"/>
      <c r="P54" s="6"/>
      <c r="Q54" s="6"/>
      <c r="R54" s="6"/>
      <c r="S54" s="6"/>
      <c r="T54" s="6"/>
      <c r="V54" s="6"/>
      <c r="W54" s="6"/>
      <c r="X54" s="6"/>
      <c r="Y54" s="6"/>
      <c r="Z54" s="6"/>
      <c r="AB54" s="6"/>
      <c r="AC54" s="6"/>
      <c r="AD54" s="6"/>
      <c r="AE54" s="6"/>
      <c r="AF54" s="6"/>
      <c r="AH54" s="6"/>
      <c r="AI54" s="6"/>
      <c r="AJ54" s="6"/>
      <c r="AK54" s="6"/>
      <c r="AL54" s="6"/>
      <c r="AN54" s="6"/>
      <c r="AO54" s="6"/>
      <c r="AP54" s="6"/>
      <c r="AQ54" s="6"/>
      <c r="AR54" s="6"/>
      <c r="AT54" s="6"/>
      <c r="AU54" s="6"/>
      <c r="AV54" s="6"/>
      <c r="AW54" s="6"/>
      <c r="AX54" s="6"/>
      <c r="AZ54" s="6"/>
      <c r="BA54" s="6"/>
      <c r="BB54" s="6"/>
      <c r="BC54" s="6"/>
      <c r="BD54" s="6"/>
      <c r="BF54" s="6"/>
      <c r="BG54" s="6"/>
      <c r="BH54" s="6"/>
      <c r="BI54" s="6"/>
      <c r="BJ54" s="6"/>
      <c r="BK54" s="1"/>
      <c r="BL54" s="1"/>
      <c r="BM54" s="1"/>
      <c r="BN54" s="1"/>
      <c r="BP54" s="1"/>
    </row>
    <row r="55" spans="3:68" ht="20.100000000000001" customHeight="1" x14ac:dyDescent="0.2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 s="1"/>
      <c r="BH55" s="1"/>
      <c r="BI55" s="1"/>
      <c r="BJ55" s="1"/>
      <c r="BK55" s="1"/>
      <c r="BL55" s="1"/>
      <c r="BM55" s="1"/>
      <c r="BN55" s="1"/>
      <c r="BP55" s="1"/>
    </row>
    <row r="56" spans="3:68" ht="20.100000000000001" customHeight="1" x14ac:dyDescent="0.25">
      <c r="D56" s="43">
        <v>71</v>
      </c>
      <c r="I56" s="1"/>
      <c r="J56" s="43">
        <v>72</v>
      </c>
      <c r="O56" s="1"/>
      <c r="P56" s="43">
        <v>73</v>
      </c>
      <c r="U56" s="1"/>
      <c r="V56" s="43">
        <v>74</v>
      </c>
      <c r="AA56" s="1"/>
      <c r="AB56" s="43">
        <v>75</v>
      </c>
      <c r="AG56" s="1"/>
      <c r="AH56" s="43">
        <v>76</v>
      </c>
      <c r="AM56" s="1"/>
      <c r="AN56" s="43">
        <v>77</v>
      </c>
      <c r="AS56" s="1"/>
      <c r="AT56" s="43">
        <v>78</v>
      </c>
      <c r="AY56" s="1"/>
      <c r="AZ56" s="43">
        <v>79</v>
      </c>
      <c r="BE56" s="1"/>
      <c r="BF56" s="43">
        <v>80</v>
      </c>
      <c r="BK56" s="1"/>
      <c r="BL56" s="1"/>
      <c r="BM56" s="1"/>
      <c r="BN56" s="1"/>
      <c r="BP56" s="1"/>
    </row>
    <row r="57" spans="3:68" ht="20.100000000000001" customHeight="1" x14ac:dyDescent="0.25">
      <c r="C57" s="1">
        <v>8</v>
      </c>
      <c r="D57" s="7"/>
      <c r="E57" s="6"/>
      <c r="F57" s="6"/>
      <c r="G57" s="6"/>
      <c r="H57" s="20"/>
      <c r="I57" s="1"/>
      <c r="J57" s="7"/>
      <c r="K57" s="6"/>
      <c r="L57" s="6"/>
      <c r="M57" s="6"/>
      <c r="N57" s="20"/>
      <c r="O57" s="1"/>
      <c r="P57" s="7"/>
      <c r="Q57" s="6"/>
      <c r="R57" s="6"/>
      <c r="S57" s="6"/>
      <c r="T57" s="20"/>
      <c r="U57" s="1"/>
      <c r="V57" s="7"/>
      <c r="W57" s="6"/>
      <c r="X57" s="6"/>
      <c r="Y57" s="6"/>
      <c r="Z57" s="20"/>
      <c r="AA57" s="1"/>
      <c r="AB57" s="7"/>
      <c r="AC57" s="6"/>
      <c r="AD57" s="6"/>
      <c r="AE57" s="6"/>
      <c r="AF57" s="20"/>
      <c r="AG57" s="1"/>
      <c r="AH57" s="7"/>
      <c r="AI57" s="6"/>
      <c r="AJ57" s="6"/>
      <c r="AK57" s="6"/>
      <c r="AL57" s="20"/>
      <c r="AM57" s="1"/>
      <c r="AN57" s="7"/>
      <c r="AO57" s="6"/>
      <c r="AP57" s="6"/>
      <c r="AQ57" s="6"/>
      <c r="AR57" s="20"/>
      <c r="AS57" s="1"/>
      <c r="AT57" s="7"/>
      <c r="AU57" s="6"/>
      <c r="AV57" s="6"/>
      <c r="AW57" s="6"/>
      <c r="AX57" s="20"/>
      <c r="AY57" s="1"/>
      <c r="AZ57" s="7"/>
      <c r="BA57" s="6"/>
      <c r="BB57" s="6"/>
      <c r="BC57" s="6"/>
      <c r="BD57" s="20"/>
      <c r="BE57" s="1"/>
      <c r="BF57" s="7"/>
      <c r="BG57" s="6"/>
      <c r="BH57" s="6"/>
      <c r="BI57" s="6"/>
      <c r="BJ57" s="20"/>
      <c r="BK57" s="1"/>
      <c r="BL57" s="1"/>
      <c r="BM57" s="1"/>
      <c r="BN57" s="1"/>
      <c r="BP57" s="1"/>
    </row>
    <row r="58" spans="3:68" ht="20.100000000000001" customHeight="1" x14ac:dyDescent="0.25">
      <c r="C58" s="1">
        <v>7</v>
      </c>
      <c r="D58" s="7"/>
      <c r="E58" s="6"/>
      <c r="F58" s="6"/>
      <c r="G58" s="6"/>
      <c r="H58" s="20"/>
      <c r="I58" s="1"/>
      <c r="J58" s="7"/>
      <c r="K58" s="6"/>
      <c r="L58" s="6"/>
      <c r="M58" s="6"/>
      <c r="N58" s="20"/>
      <c r="O58" s="1"/>
      <c r="P58" s="7"/>
      <c r="Q58" s="6"/>
      <c r="R58" s="6"/>
      <c r="S58" s="6"/>
      <c r="T58" s="20"/>
      <c r="U58" s="1"/>
      <c r="V58" s="7"/>
      <c r="W58" s="6"/>
      <c r="X58" s="6"/>
      <c r="Y58" s="6"/>
      <c r="Z58" s="20"/>
      <c r="AA58" s="1"/>
      <c r="AB58" s="7"/>
      <c r="AC58" s="6"/>
      <c r="AD58" s="6"/>
      <c r="AE58" s="6"/>
      <c r="AF58" s="20"/>
      <c r="AG58" s="1"/>
      <c r="AH58" s="7"/>
      <c r="AI58" s="6"/>
      <c r="AJ58" s="6"/>
      <c r="AK58" s="6"/>
      <c r="AL58" s="20"/>
      <c r="AM58" s="1"/>
      <c r="AN58" s="7"/>
      <c r="AO58" s="6"/>
      <c r="AP58" s="6"/>
      <c r="AQ58" s="6"/>
      <c r="AR58" s="20"/>
      <c r="AS58" s="1"/>
      <c r="AT58" s="7"/>
      <c r="AU58" s="6"/>
      <c r="AV58" s="6"/>
      <c r="AW58" s="6"/>
      <c r="AX58" s="20"/>
      <c r="AY58" s="1"/>
      <c r="AZ58" s="7"/>
      <c r="BA58" s="6"/>
      <c r="BB58" s="6"/>
      <c r="BC58" s="6"/>
      <c r="BD58" s="20"/>
      <c r="BE58" s="1"/>
      <c r="BF58" s="7"/>
      <c r="BG58" s="6"/>
      <c r="BH58" s="6"/>
      <c r="BI58" s="6"/>
      <c r="BJ58" s="20"/>
      <c r="BK58" s="1"/>
      <c r="BL58" s="1"/>
      <c r="BM58" s="1"/>
      <c r="BN58" s="1"/>
      <c r="BP58" s="1"/>
    </row>
    <row r="59" spans="3:68" ht="20.100000000000001" customHeight="1" x14ac:dyDescent="0.25">
      <c r="C59" s="1">
        <v>6</v>
      </c>
      <c r="D59" s="7"/>
      <c r="E59" s="6"/>
      <c r="F59" s="6"/>
      <c r="G59" s="6"/>
      <c r="H59" s="20"/>
      <c r="I59" s="1"/>
      <c r="J59" s="7"/>
      <c r="K59" s="6"/>
      <c r="L59" s="6"/>
      <c r="M59" s="6"/>
      <c r="N59" s="20"/>
      <c r="O59" s="1"/>
      <c r="P59" s="7"/>
      <c r="Q59" s="6"/>
      <c r="R59" s="6"/>
      <c r="S59" s="6"/>
      <c r="T59" s="20"/>
      <c r="U59" s="1"/>
      <c r="V59" s="7"/>
      <c r="W59" s="6"/>
      <c r="X59" s="6"/>
      <c r="Y59" s="6"/>
      <c r="Z59" s="20"/>
      <c r="AA59" s="1"/>
      <c r="AB59" s="7"/>
      <c r="AC59" s="6"/>
      <c r="AD59" s="6"/>
      <c r="AE59" s="6"/>
      <c r="AF59" s="20"/>
      <c r="AG59" s="1"/>
      <c r="AH59" s="7"/>
      <c r="AI59" s="6"/>
      <c r="AJ59" s="6"/>
      <c r="AK59" s="6"/>
      <c r="AL59" s="20"/>
      <c r="AM59" s="1"/>
      <c r="AN59" s="7"/>
      <c r="AO59" s="6"/>
      <c r="AP59" s="6"/>
      <c r="AQ59" s="6"/>
      <c r="AR59" s="20"/>
      <c r="AS59" s="1"/>
      <c r="AT59" s="7"/>
      <c r="AU59" s="6"/>
      <c r="AV59" s="6"/>
      <c r="AW59" s="6"/>
      <c r="AX59" s="20"/>
      <c r="AY59" s="1"/>
      <c r="AZ59" s="7"/>
      <c r="BA59" s="6"/>
      <c r="BB59" s="6"/>
      <c r="BC59" s="6"/>
      <c r="BD59" s="20"/>
      <c r="BE59" s="1"/>
      <c r="BF59" s="7"/>
      <c r="BG59" s="6"/>
      <c r="BH59" s="6"/>
      <c r="BI59" s="6"/>
      <c r="BJ59" s="20"/>
      <c r="BK59" s="1"/>
      <c r="BL59" s="1"/>
      <c r="BM59" s="1"/>
      <c r="BN59" s="1"/>
      <c r="BP59" s="1"/>
    </row>
    <row r="60" spans="3:68" ht="20.100000000000001" customHeight="1" x14ac:dyDescent="0.25">
      <c r="C60" s="1">
        <v>5</v>
      </c>
      <c r="D60" s="7"/>
      <c r="E60" s="6"/>
      <c r="F60" s="6"/>
      <c r="G60" s="6"/>
      <c r="H60" s="20"/>
      <c r="I60" s="1"/>
      <c r="J60" s="7"/>
      <c r="K60" s="6"/>
      <c r="L60" s="6"/>
      <c r="M60" s="6"/>
      <c r="N60" s="20"/>
      <c r="O60" s="1"/>
      <c r="P60" s="7"/>
      <c r="Q60" s="6"/>
      <c r="R60" s="6"/>
      <c r="S60" s="6"/>
      <c r="T60" s="20"/>
      <c r="U60" s="1"/>
      <c r="V60" s="7"/>
      <c r="W60" s="6"/>
      <c r="X60" s="6"/>
      <c r="Y60" s="6"/>
      <c r="Z60" s="20"/>
      <c r="AA60" s="1"/>
      <c r="AB60" s="7"/>
      <c r="AC60" s="6"/>
      <c r="AD60" s="6"/>
      <c r="AE60" s="6"/>
      <c r="AF60" s="20"/>
      <c r="AG60" s="1"/>
      <c r="AH60" s="7"/>
      <c r="AI60" s="6"/>
      <c r="AJ60" s="6"/>
      <c r="AK60" s="6"/>
      <c r="AL60" s="20"/>
      <c r="AM60" s="1"/>
      <c r="AN60" s="7"/>
      <c r="AO60" s="6"/>
      <c r="AP60" s="6"/>
      <c r="AQ60" s="6"/>
      <c r="AR60" s="20"/>
      <c r="AS60" s="1"/>
      <c r="AT60" s="7"/>
      <c r="AU60" s="6"/>
      <c r="AV60" s="6"/>
      <c r="AW60" s="6"/>
      <c r="AX60" s="20"/>
      <c r="AY60" s="1"/>
      <c r="AZ60" s="7"/>
      <c r="BA60" s="6"/>
      <c r="BB60" s="6"/>
      <c r="BC60" s="6"/>
      <c r="BD60" s="20"/>
      <c r="BE60" s="1"/>
      <c r="BF60" s="7"/>
      <c r="BG60" s="6"/>
      <c r="BH60" s="6"/>
      <c r="BI60" s="6"/>
      <c r="BJ60" s="20"/>
      <c r="BK60" s="1"/>
      <c r="BL60" s="1"/>
      <c r="BM60" s="1"/>
      <c r="BN60" s="1"/>
      <c r="BP60" s="1"/>
    </row>
    <row r="61" spans="3:68" ht="20.100000000000001" customHeight="1" x14ac:dyDescent="0.25">
      <c r="C61" s="1">
        <v>4</v>
      </c>
      <c r="D61" s="6"/>
      <c r="E61" s="6"/>
      <c r="F61" s="6"/>
      <c r="G61" s="6"/>
      <c r="H61" s="6"/>
      <c r="J61" s="6"/>
      <c r="K61" s="6"/>
      <c r="L61" s="6"/>
      <c r="M61" s="6"/>
      <c r="N61" s="6"/>
      <c r="P61" s="6"/>
      <c r="Q61" s="6"/>
      <c r="R61" s="6"/>
      <c r="S61" s="6"/>
      <c r="T61" s="6"/>
      <c r="V61" s="6"/>
      <c r="W61" s="6"/>
      <c r="X61" s="6"/>
      <c r="Y61" s="6"/>
      <c r="Z61" s="6"/>
      <c r="AB61" s="6"/>
      <c r="AC61" s="6"/>
      <c r="AD61" s="6"/>
      <c r="AE61" s="6"/>
      <c r="AF61" s="6"/>
      <c r="AH61" s="6"/>
      <c r="AI61" s="6"/>
      <c r="AJ61" s="6"/>
      <c r="AK61" s="6"/>
      <c r="AL61" s="6"/>
      <c r="AN61" s="6"/>
      <c r="AO61" s="6"/>
      <c r="AP61" s="6"/>
      <c r="AQ61" s="6"/>
      <c r="AR61" s="6"/>
      <c r="AT61" s="6"/>
      <c r="AU61" s="6"/>
      <c r="AV61" s="6"/>
      <c r="AW61" s="6"/>
      <c r="AX61" s="6"/>
      <c r="AZ61" s="6"/>
      <c r="BA61" s="6"/>
      <c r="BB61" s="6"/>
      <c r="BC61" s="6"/>
      <c r="BD61" s="6"/>
      <c r="BF61" s="6"/>
      <c r="BG61" s="6"/>
      <c r="BH61" s="6"/>
      <c r="BI61" s="6"/>
      <c r="BJ61" s="6"/>
      <c r="BK61" s="1"/>
      <c r="BL61" s="1"/>
      <c r="BM61" s="1"/>
      <c r="BN61" s="1"/>
      <c r="BP61" s="1"/>
    </row>
    <row r="62" spans="3:68" ht="20.100000000000001" customHeight="1" x14ac:dyDescent="0.25">
      <c r="C62" s="1">
        <v>3</v>
      </c>
      <c r="D62" s="6"/>
      <c r="E62" s="6"/>
      <c r="F62" s="6"/>
      <c r="G62" s="6"/>
      <c r="H62" s="6"/>
      <c r="J62" s="6"/>
      <c r="K62" s="6"/>
      <c r="L62" s="6"/>
      <c r="M62" s="6"/>
      <c r="N62" s="6"/>
      <c r="P62" s="6"/>
      <c r="Q62" s="6"/>
      <c r="R62" s="6"/>
      <c r="S62" s="6"/>
      <c r="T62" s="6"/>
      <c r="V62" s="6"/>
      <c r="W62" s="6"/>
      <c r="X62" s="6"/>
      <c r="Y62" s="6"/>
      <c r="Z62" s="6"/>
      <c r="AB62" s="6"/>
      <c r="AC62" s="6"/>
      <c r="AD62" s="6"/>
      <c r="AE62" s="6"/>
      <c r="AF62" s="6"/>
      <c r="AH62" s="6"/>
      <c r="AI62" s="6"/>
      <c r="AJ62" s="6"/>
      <c r="AK62" s="6"/>
      <c r="AL62" s="6"/>
      <c r="AN62" s="6"/>
      <c r="AO62" s="6"/>
      <c r="AP62" s="6"/>
      <c r="AQ62" s="6"/>
      <c r="AR62" s="6"/>
      <c r="AT62" s="6"/>
      <c r="AU62" s="6"/>
      <c r="AV62" s="6"/>
      <c r="AW62" s="6"/>
      <c r="AX62" s="6"/>
      <c r="AZ62" s="6"/>
      <c r="BA62" s="6"/>
      <c r="BB62" s="6"/>
      <c r="BC62" s="6"/>
      <c r="BD62" s="6"/>
      <c r="BF62" s="6"/>
      <c r="BG62" s="6"/>
      <c r="BH62" s="6"/>
      <c r="BI62" s="6"/>
      <c r="BJ62" s="6"/>
      <c r="BN62" s="1"/>
      <c r="BP62" s="1"/>
    </row>
    <row r="63" spans="3:68" ht="20.100000000000001" customHeight="1" x14ac:dyDescent="0.25">
      <c r="C63" s="1">
        <v>2</v>
      </c>
      <c r="D63" s="6"/>
      <c r="E63" s="6"/>
      <c r="F63" s="6"/>
      <c r="G63" s="6"/>
      <c r="H63" s="6"/>
      <c r="J63" s="6"/>
      <c r="K63" s="6"/>
      <c r="L63" s="6"/>
      <c r="M63" s="6"/>
      <c r="N63" s="6"/>
      <c r="P63" s="6"/>
      <c r="Q63" s="6"/>
      <c r="R63" s="6"/>
      <c r="S63" s="6"/>
      <c r="T63" s="6"/>
      <c r="V63" s="6"/>
      <c r="W63" s="6"/>
      <c r="X63" s="6"/>
      <c r="Y63" s="6"/>
      <c r="Z63" s="6"/>
      <c r="AB63" s="6"/>
      <c r="AC63" s="6"/>
      <c r="AD63" s="6"/>
      <c r="AE63" s="6"/>
      <c r="AF63" s="6"/>
      <c r="AH63" s="6"/>
      <c r="AI63" s="6"/>
      <c r="AJ63" s="6"/>
      <c r="AK63" s="6"/>
      <c r="AL63" s="6"/>
      <c r="AN63" s="6"/>
      <c r="AO63" s="6"/>
      <c r="AP63" s="6"/>
      <c r="AQ63" s="6"/>
      <c r="AR63" s="6"/>
      <c r="AT63" s="6"/>
      <c r="AU63" s="6"/>
      <c r="AV63" s="6"/>
      <c r="AW63" s="6"/>
      <c r="AX63" s="6"/>
      <c r="AZ63" s="6"/>
      <c r="BA63" s="6"/>
      <c r="BB63" s="6"/>
      <c r="BC63" s="6"/>
      <c r="BD63" s="6"/>
      <c r="BF63" s="6"/>
      <c r="BG63" s="6"/>
      <c r="BH63" s="6"/>
      <c r="BI63" s="6"/>
      <c r="BJ63" s="6"/>
      <c r="BN63" s="1"/>
      <c r="BP63" s="1"/>
    </row>
    <row r="64" spans="3:68" ht="20.100000000000001" customHeight="1" x14ac:dyDescent="0.25">
      <c r="C64" s="1">
        <v>1</v>
      </c>
      <c r="D64" s="6"/>
      <c r="E64" s="6"/>
      <c r="F64" s="6"/>
      <c r="G64" s="6"/>
      <c r="H64" s="6"/>
      <c r="J64" s="6"/>
      <c r="K64" s="6"/>
      <c r="L64" s="6"/>
      <c r="M64" s="6"/>
      <c r="N64" s="6"/>
      <c r="P64" s="6"/>
      <c r="Q64" s="6"/>
      <c r="R64" s="6"/>
      <c r="S64" s="6"/>
      <c r="T64" s="6"/>
      <c r="V64" s="6"/>
      <c r="W64" s="6"/>
      <c r="X64" s="6"/>
      <c r="Y64" s="6"/>
      <c r="Z64" s="6"/>
      <c r="AB64" s="6"/>
      <c r="AC64" s="6"/>
      <c r="AD64" s="6"/>
      <c r="AE64" s="6"/>
      <c r="AF64" s="6"/>
      <c r="AH64" s="6"/>
      <c r="AI64" s="6"/>
      <c r="AJ64" s="6"/>
      <c r="AK64" s="6"/>
      <c r="AL64" s="6"/>
      <c r="AN64" s="6"/>
      <c r="AO64" s="6"/>
      <c r="AP64" s="6"/>
      <c r="AQ64" s="6"/>
      <c r="AR64" s="6"/>
      <c r="AT64" s="6"/>
      <c r="AU64" s="6"/>
      <c r="AV64" s="6"/>
      <c r="AW64" s="6"/>
      <c r="AX64" s="6"/>
      <c r="AZ64" s="6"/>
      <c r="BA64" s="6"/>
      <c r="BB64" s="6"/>
      <c r="BC64" s="6"/>
      <c r="BD64" s="6"/>
      <c r="BF64" s="6"/>
      <c r="BG64" s="6"/>
      <c r="BH64" s="6"/>
      <c r="BI64" s="6"/>
      <c r="BJ64" s="6"/>
      <c r="BN64" s="1"/>
      <c r="BP64" s="1"/>
    </row>
    <row r="65" spans="3:68" ht="20.100000000000001" customHeight="1" x14ac:dyDescent="0.25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BN65" s="1"/>
      <c r="BP65" s="1"/>
    </row>
    <row r="66" spans="3:68" ht="20.100000000000001" customHeight="1" x14ac:dyDescent="0.25">
      <c r="D66" s="43">
        <v>81</v>
      </c>
      <c r="I66" s="1"/>
      <c r="J66" s="43">
        <v>82</v>
      </c>
      <c r="O66" s="1"/>
      <c r="P66" s="43">
        <v>83</v>
      </c>
      <c r="U66" s="1"/>
      <c r="V66" s="43">
        <v>84</v>
      </c>
      <c r="AA66" s="1"/>
      <c r="AB66" s="43">
        <v>85</v>
      </c>
      <c r="AG66" s="1"/>
      <c r="AH66" s="43">
        <v>86</v>
      </c>
      <c r="AM66" s="1"/>
      <c r="AN66" s="43">
        <v>87</v>
      </c>
      <c r="AS66" s="1"/>
      <c r="AT66" s="43">
        <v>88</v>
      </c>
      <c r="AY66" s="1"/>
      <c r="AZ66" s="43">
        <v>89</v>
      </c>
      <c r="BE66" s="1"/>
      <c r="BF66" s="43">
        <v>90</v>
      </c>
      <c r="BK66" s="1"/>
      <c r="BN66" s="1"/>
      <c r="BP66" s="1"/>
    </row>
    <row r="67" spans="3:68" ht="20.100000000000001" customHeight="1" x14ac:dyDescent="0.25">
      <c r="C67" s="1">
        <v>12</v>
      </c>
      <c r="D67" s="7"/>
      <c r="E67" s="6"/>
      <c r="F67" s="6"/>
      <c r="G67" s="6"/>
      <c r="H67" s="20"/>
      <c r="I67" s="1"/>
      <c r="J67" s="7"/>
      <c r="K67" s="6"/>
      <c r="L67" s="6"/>
      <c r="M67" s="6"/>
      <c r="N67" s="20"/>
      <c r="O67" s="1"/>
      <c r="P67" s="7"/>
      <c r="Q67" s="6"/>
      <c r="R67" s="6"/>
      <c r="S67" s="6"/>
      <c r="T67" s="20"/>
      <c r="U67" s="1"/>
      <c r="V67" s="7"/>
      <c r="W67" s="6"/>
      <c r="X67" s="6"/>
      <c r="Y67" s="6"/>
      <c r="Z67" s="20"/>
      <c r="AA67" s="1"/>
      <c r="AB67" s="7"/>
      <c r="AC67" s="6"/>
      <c r="AD67" s="6"/>
      <c r="AE67" s="6"/>
      <c r="AF67" s="20"/>
      <c r="AG67" s="1"/>
      <c r="AH67" s="7"/>
      <c r="AI67" s="6"/>
      <c r="AJ67" s="6"/>
      <c r="AK67" s="6"/>
      <c r="AL67" s="20"/>
      <c r="AM67" s="1"/>
      <c r="AN67" s="7"/>
      <c r="AO67" s="6"/>
      <c r="AP67" s="6"/>
      <c r="AQ67" s="6"/>
      <c r="AR67" s="20"/>
      <c r="AS67" s="1"/>
      <c r="AT67" s="7"/>
      <c r="AU67" s="6"/>
      <c r="AV67" s="6"/>
      <c r="AW67" s="6"/>
      <c r="AX67" s="20"/>
      <c r="AY67" s="1"/>
      <c r="AZ67" s="7"/>
      <c r="BA67" s="6"/>
      <c r="BB67" s="6"/>
      <c r="BC67" s="6"/>
      <c r="BD67" s="20"/>
      <c r="BE67" s="1"/>
      <c r="BF67" s="7"/>
      <c r="BG67" s="6"/>
      <c r="BH67" s="6"/>
      <c r="BI67" s="6"/>
      <c r="BJ67" s="20"/>
      <c r="BN67" s="1"/>
      <c r="BP67" s="1"/>
    </row>
    <row r="68" spans="3:68" ht="20.100000000000001" customHeight="1" x14ac:dyDescent="0.25">
      <c r="C68" s="1">
        <v>11</v>
      </c>
      <c r="D68" s="7"/>
      <c r="E68" s="6"/>
      <c r="F68" s="6"/>
      <c r="G68" s="6"/>
      <c r="H68" s="20"/>
      <c r="I68" s="1"/>
      <c r="J68" s="7"/>
      <c r="K68" s="6"/>
      <c r="L68" s="6"/>
      <c r="M68" s="6"/>
      <c r="N68" s="20"/>
      <c r="O68" s="1"/>
      <c r="P68" s="7"/>
      <c r="Q68" s="6"/>
      <c r="R68" s="6"/>
      <c r="S68" s="6"/>
      <c r="T68" s="20"/>
      <c r="U68" s="1"/>
      <c r="V68" s="7"/>
      <c r="W68" s="6"/>
      <c r="X68" s="6"/>
      <c r="Y68" s="6"/>
      <c r="Z68" s="20"/>
      <c r="AA68" s="1"/>
      <c r="AB68" s="7"/>
      <c r="AC68" s="6"/>
      <c r="AD68" s="6"/>
      <c r="AE68" s="6"/>
      <c r="AF68" s="20"/>
      <c r="AG68" s="1"/>
      <c r="AH68" s="7"/>
      <c r="AI68" s="6"/>
      <c r="AJ68" s="6"/>
      <c r="AK68" s="6"/>
      <c r="AL68" s="20"/>
      <c r="AM68" s="1"/>
      <c r="AN68" s="7"/>
      <c r="AO68" s="6"/>
      <c r="AP68" s="6"/>
      <c r="AQ68" s="6"/>
      <c r="AR68" s="20"/>
      <c r="AS68" s="1"/>
      <c r="AT68" s="7"/>
      <c r="AU68" s="6"/>
      <c r="AV68" s="6"/>
      <c r="AW68" s="6"/>
      <c r="AX68" s="20"/>
      <c r="AY68" s="1"/>
      <c r="AZ68" s="7"/>
      <c r="BA68" s="6"/>
      <c r="BB68" s="6"/>
      <c r="BC68" s="6"/>
      <c r="BD68" s="20"/>
      <c r="BE68" s="1"/>
      <c r="BF68" s="7"/>
      <c r="BG68" s="6"/>
      <c r="BH68" s="6"/>
      <c r="BI68" s="6"/>
      <c r="BJ68" s="20"/>
      <c r="BN68" s="1"/>
      <c r="BP68" s="1"/>
    </row>
    <row r="69" spans="3:68" ht="20.100000000000001" customHeight="1" x14ac:dyDescent="0.25">
      <c r="C69" s="1">
        <v>10</v>
      </c>
      <c r="D69" s="7"/>
      <c r="E69" s="6"/>
      <c r="F69" s="6"/>
      <c r="G69" s="6"/>
      <c r="H69" s="20"/>
      <c r="I69" s="1"/>
      <c r="J69" s="7"/>
      <c r="K69" s="6"/>
      <c r="L69" s="6"/>
      <c r="M69" s="6"/>
      <c r="N69" s="20"/>
      <c r="O69" s="1"/>
      <c r="P69" s="7"/>
      <c r="Q69" s="6"/>
      <c r="R69" s="6"/>
      <c r="S69" s="6"/>
      <c r="T69" s="20"/>
      <c r="U69" s="1"/>
      <c r="V69" s="7"/>
      <c r="W69" s="6"/>
      <c r="X69" s="6"/>
      <c r="Y69" s="6"/>
      <c r="Z69" s="20"/>
      <c r="AA69" s="1"/>
      <c r="AB69" s="7"/>
      <c r="AC69" s="6"/>
      <c r="AD69" s="6"/>
      <c r="AE69" s="6"/>
      <c r="AF69" s="20"/>
      <c r="AG69" s="1"/>
      <c r="AH69" s="7"/>
      <c r="AI69" s="6"/>
      <c r="AJ69" s="6"/>
      <c r="AK69" s="6"/>
      <c r="AL69" s="20"/>
      <c r="AM69" s="1"/>
      <c r="AN69" s="7"/>
      <c r="AO69" s="6"/>
      <c r="AP69" s="6"/>
      <c r="AQ69" s="6"/>
      <c r="AR69" s="20"/>
      <c r="AS69" s="1"/>
      <c r="AT69" s="7"/>
      <c r="AU69" s="6"/>
      <c r="AV69" s="6"/>
      <c r="AW69" s="6"/>
      <c r="AX69" s="20"/>
      <c r="AY69" s="1"/>
      <c r="AZ69" s="7"/>
      <c r="BA69" s="6"/>
      <c r="BB69" s="6"/>
      <c r="BC69" s="6"/>
      <c r="BD69" s="20"/>
      <c r="BE69" s="1"/>
      <c r="BF69" s="7"/>
      <c r="BG69" s="6"/>
      <c r="BH69" s="6"/>
      <c r="BI69" s="6"/>
      <c r="BJ69" s="20"/>
      <c r="BN69" s="1"/>
      <c r="BP69" s="1"/>
    </row>
    <row r="70" spans="3:68" ht="20.100000000000001" customHeight="1" x14ac:dyDescent="0.25">
      <c r="C70" s="1">
        <v>9</v>
      </c>
      <c r="D70" s="7"/>
      <c r="E70" s="6"/>
      <c r="F70" s="6"/>
      <c r="G70" s="6"/>
      <c r="H70" s="20"/>
      <c r="I70" s="1"/>
      <c r="J70" s="7"/>
      <c r="K70" s="6"/>
      <c r="L70" s="6"/>
      <c r="M70" s="6"/>
      <c r="N70" s="20"/>
      <c r="O70" s="1"/>
      <c r="P70" s="7"/>
      <c r="Q70" s="6"/>
      <c r="R70" s="6"/>
      <c r="S70" s="6"/>
      <c r="T70" s="20"/>
      <c r="U70" s="1"/>
      <c r="V70" s="7"/>
      <c r="W70" s="6"/>
      <c r="X70" s="6"/>
      <c r="Y70" s="6"/>
      <c r="Z70" s="20"/>
      <c r="AA70" s="1"/>
      <c r="AB70" s="7"/>
      <c r="AC70" s="6"/>
      <c r="AD70" s="6"/>
      <c r="AE70" s="6"/>
      <c r="AF70" s="20"/>
      <c r="AG70" s="1"/>
      <c r="AH70" s="7"/>
      <c r="AI70" s="6"/>
      <c r="AJ70" s="6"/>
      <c r="AK70" s="6"/>
      <c r="AL70" s="20"/>
      <c r="AM70" s="1"/>
      <c r="AN70" s="7"/>
      <c r="AO70" s="6"/>
      <c r="AP70" s="6"/>
      <c r="AQ70" s="6"/>
      <c r="AR70" s="20"/>
      <c r="AS70" s="1"/>
      <c r="AT70" s="7"/>
      <c r="AU70" s="6"/>
      <c r="AV70" s="6"/>
      <c r="AW70" s="6"/>
      <c r="AX70" s="20"/>
      <c r="AY70" s="1"/>
      <c r="AZ70" s="7"/>
      <c r="BA70" s="6"/>
      <c r="BB70" s="6"/>
      <c r="BC70" s="6"/>
      <c r="BD70" s="20"/>
      <c r="BE70" s="1"/>
      <c r="BF70" s="7"/>
      <c r="BG70" s="6"/>
      <c r="BH70" s="6"/>
      <c r="BI70" s="6"/>
      <c r="BJ70" s="20"/>
      <c r="BN70" s="1"/>
      <c r="BP70" s="1"/>
    </row>
    <row r="71" spans="3:68" ht="20.100000000000001" customHeight="1" x14ac:dyDescent="0.25">
      <c r="C71" s="1">
        <v>8</v>
      </c>
      <c r="D71" s="7"/>
      <c r="E71" s="6"/>
      <c r="F71" s="6"/>
      <c r="G71" s="6"/>
      <c r="H71" s="20"/>
      <c r="I71" s="1"/>
      <c r="J71" s="7"/>
      <c r="K71" s="6"/>
      <c r="L71" s="6"/>
      <c r="M71" s="6"/>
      <c r="N71" s="20"/>
      <c r="O71" s="1"/>
      <c r="P71" s="7"/>
      <c r="Q71" s="6"/>
      <c r="R71" s="6"/>
      <c r="S71" s="6"/>
      <c r="T71" s="20"/>
      <c r="U71" s="1"/>
      <c r="V71" s="7"/>
      <c r="W71" s="6"/>
      <c r="X71" s="6"/>
      <c r="Y71" s="6"/>
      <c r="Z71" s="20"/>
      <c r="AA71" s="1"/>
      <c r="AB71" s="7"/>
      <c r="AC71" s="6"/>
      <c r="AD71" s="6"/>
      <c r="AE71" s="6"/>
      <c r="AF71" s="20"/>
      <c r="AG71" s="1"/>
      <c r="AH71" s="7"/>
      <c r="AI71" s="6"/>
      <c r="AJ71" s="6"/>
      <c r="AK71" s="6"/>
      <c r="AL71" s="20"/>
      <c r="AM71" s="1"/>
      <c r="AN71" s="7"/>
      <c r="AO71" s="6"/>
      <c r="AP71" s="6"/>
      <c r="AQ71" s="6"/>
      <c r="AR71" s="20"/>
      <c r="AS71" s="1"/>
      <c r="AT71" s="7"/>
      <c r="AU71" s="6"/>
      <c r="AV71" s="6"/>
      <c r="AW71" s="6"/>
      <c r="AX71" s="20"/>
      <c r="AY71" s="1"/>
      <c r="AZ71" s="7"/>
      <c r="BA71" s="6"/>
      <c r="BB71" s="6"/>
      <c r="BC71" s="6"/>
      <c r="BD71" s="20"/>
      <c r="BE71" s="1"/>
      <c r="BF71" s="7"/>
      <c r="BG71" s="6"/>
      <c r="BH71" s="6"/>
      <c r="BI71" s="6"/>
      <c r="BJ71" s="20"/>
      <c r="BN71" s="1"/>
      <c r="BP71" s="1"/>
    </row>
    <row r="72" spans="3:68" ht="20.100000000000001" customHeight="1" x14ac:dyDescent="0.25">
      <c r="C72" s="1">
        <v>7</v>
      </c>
      <c r="D72" s="7"/>
      <c r="E72" s="6"/>
      <c r="F72" s="6"/>
      <c r="G72" s="6"/>
      <c r="H72" s="20"/>
      <c r="I72" s="1"/>
      <c r="J72" s="7"/>
      <c r="K72" s="6"/>
      <c r="L72" s="6"/>
      <c r="M72" s="6"/>
      <c r="N72" s="20"/>
      <c r="O72" s="1"/>
      <c r="P72" s="7"/>
      <c r="Q72" s="6"/>
      <c r="R72" s="6"/>
      <c r="S72" s="6"/>
      <c r="T72" s="20"/>
      <c r="U72" s="1"/>
      <c r="V72" s="7"/>
      <c r="W72" s="6"/>
      <c r="X72" s="6"/>
      <c r="Y72" s="6"/>
      <c r="Z72" s="20"/>
      <c r="AA72" s="1"/>
      <c r="AB72" s="7"/>
      <c r="AC72" s="6"/>
      <c r="AD72" s="6"/>
      <c r="AE72" s="6"/>
      <c r="AF72" s="20"/>
      <c r="AG72" s="1"/>
      <c r="AH72" s="7"/>
      <c r="AI72" s="6"/>
      <c r="AJ72" s="6"/>
      <c r="AK72" s="6"/>
      <c r="AL72" s="20"/>
      <c r="AM72" s="1"/>
      <c r="AN72" s="7"/>
      <c r="AO72" s="6"/>
      <c r="AP72" s="6"/>
      <c r="AQ72" s="6"/>
      <c r="AR72" s="20"/>
      <c r="AS72" s="1"/>
      <c r="AT72" s="7"/>
      <c r="AU72" s="6"/>
      <c r="AV72" s="6"/>
      <c r="AW72" s="6"/>
      <c r="AX72" s="20"/>
      <c r="AY72" s="1"/>
      <c r="AZ72" s="7"/>
      <c r="BA72" s="6"/>
      <c r="BB72" s="6"/>
      <c r="BC72" s="6"/>
      <c r="BD72" s="20"/>
      <c r="BE72" s="1"/>
      <c r="BF72" s="7"/>
      <c r="BG72" s="6"/>
      <c r="BH72" s="6"/>
      <c r="BI72" s="6"/>
      <c r="BJ72" s="20"/>
      <c r="BN72" s="1"/>
      <c r="BP72" s="1"/>
    </row>
    <row r="73" spans="3:68" ht="20.100000000000001" customHeight="1" x14ac:dyDescent="0.25">
      <c r="C73" s="1">
        <v>6</v>
      </c>
      <c r="D73" s="7"/>
      <c r="E73" s="6"/>
      <c r="F73" s="6"/>
      <c r="G73" s="6"/>
      <c r="H73" s="20"/>
      <c r="I73" s="1"/>
      <c r="J73" s="7"/>
      <c r="K73" s="6"/>
      <c r="L73" s="6"/>
      <c r="M73" s="6"/>
      <c r="N73" s="20"/>
      <c r="O73" s="1"/>
      <c r="P73" s="7"/>
      <c r="Q73" s="6"/>
      <c r="R73" s="6"/>
      <c r="S73" s="6"/>
      <c r="T73" s="20"/>
      <c r="U73" s="1"/>
      <c r="V73" s="7"/>
      <c r="W73" s="6"/>
      <c r="X73" s="6"/>
      <c r="Y73" s="6"/>
      <c r="Z73" s="20"/>
      <c r="AA73" s="1"/>
      <c r="AB73" s="7"/>
      <c r="AC73" s="6"/>
      <c r="AD73" s="6"/>
      <c r="AE73" s="6"/>
      <c r="AF73" s="20"/>
      <c r="AG73" s="1"/>
      <c r="AH73" s="7"/>
      <c r="AI73" s="6"/>
      <c r="AJ73" s="6"/>
      <c r="AK73" s="6"/>
      <c r="AL73" s="20"/>
      <c r="AM73" s="1"/>
      <c r="AN73" s="7"/>
      <c r="AO73" s="6"/>
      <c r="AP73" s="6"/>
      <c r="AQ73" s="6"/>
      <c r="AR73" s="20"/>
      <c r="AS73" s="1"/>
      <c r="AT73" s="7"/>
      <c r="AU73" s="6"/>
      <c r="AV73" s="6"/>
      <c r="AW73" s="6"/>
      <c r="AX73" s="20"/>
      <c r="AY73" s="1"/>
      <c r="AZ73" s="7"/>
      <c r="BA73" s="6"/>
      <c r="BB73" s="6"/>
      <c r="BC73" s="6"/>
      <c r="BD73" s="20"/>
      <c r="BE73" s="1"/>
      <c r="BF73" s="7"/>
      <c r="BG73" s="6"/>
      <c r="BH73" s="6"/>
      <c r="BI73" s="6"/>
      <c r="BJ73" s="20"/>
      <c r="BN73" s="1"/>
      <c r="BP73" s="1"/>
    </row>
    <row r="74" spans="3:68" ht="20.100000000000001" customHeight="1" x14ac:dyDescent="0.25">
      <c r="C74" s="1">
        <v>5</v>
      </c>
      <c r="D74" s="7"/>
      <c r="E74" s="6"/>
      <c r="F74" s="6"/>
      <c r="G74" s="6"/>
      <c r="H74" s="20"/>
      <c r="I74" s="1"/>
      <c r="J74" s="7"/>
      <c r="K74" s="6"/>
      <c r="L74" s="6"/>
      <c r="M74" s="6"/>
      <c r="N74" s="20"/>
      <c r="O74" s="1"/>
      <c r="P74" s="7"/>
      <c r="Q74" s="6"/>
      <c r="R74" s="6"/>
      <c r="S74" s="6"/>
      <c r="T74" s="20"/>
      <c r="U74" s="1"/>
      <c r="V74" s="7"/>
      <c r="W74" s="6"/>
      <c r="X74" s="6"/>
      <c r="Y74" s="6"/>
      <c r="Z74" s="20"/>
      <c r="AA74" s="1"/>
      <c r="AB74" s="7"/>
      <c r="AC74" s="6"/>
      <c r="AD74" s="6"/>
      <c r="AE74" s="6"/>
      <c r="AF74" s="20"/>
      <c r="AG74" s="1"/>
      <c r="AH74" s="7"/>
      <c r="AI74" s="6"/>
      <c r="AJ74" s="6"/>
      <c r="AK74" s="6"/>
      <c r="AL74" s="20"/>
      <c r="AM74" s="1"/>
      <c r="AN74" s="7"/>
      <c r="AO74" s="6"/>
      <c r="AP74" s="6"/>
      <c r="AQ74" s="6"/>
      <c r="AR74" s="20"/>
      <c r="AS74" s="1"/>
      <c r="AT74" s="7"/>
      <c r="AU74" s="6"/>
      <c r="AV74" s="6"/>
      <c r="AW74" s="6"/>
      <c r="AX74" s="20"/>
      <c r="AY74" s="1"/>
      <c r="AZ74" s="7"/>
      <c r="BA74" s="6"/>
      <c r="BB74" s="6"/>
      <c r="BC74" s="6"/>
      <c r="BD74" s="20"/>
      <c r="BE74" s="1"/>
      <c r="BF74" s="7"/>
      <c r="BG74" s="6"/>
      <c r="BH74" s="6"/>
      <c r="BI74" s="6"/>
      <c r="BJ74" s="20"/>
      <c r="BN74" s="1"/>
      <c r="BP74" s="1"/>
    </row>
    <row r="75" spans="3:68" ht="20.100000000000001" customHeight="1" x14ac:dyDescent="0.25">
      <c r="C75" s="1">
        <v>4</v>
      </c>
      <c r="D75" s="6"/>
      <c r="E75" s="6"/>
      <c r="F75" s="6"/>
      <c r="G75" s="6"/>
      <c r="H75" s="6"/>
      <c r="J75" s="6"/>
      <c r="K75" s="6"/>
      <c r="L75" s="6"/>
      <c r="M75" s="6"/>
      <c r="N75" s="6"/>
      <c r="P75" s="6"/>
      <c r="Q75" s="6"/>
      <c r="R75" s="6"/>
      <c r="S75" s="6"/>
      <c r="T75" s="6"/>
      <c r="V75" s="6"/>
      <c r="W75" s="6"/>
      <c r="X75" s="6"/>
      <c r="Y75" s="6"/>
      <c r="Z75" s="6"/>
      <c r="AB75" s="6"/>
      <c r="AC75" s="6"/>
      <c r="AD75" s="6"/>
      <c r="AE75" s="6"/>
      <c r="AF75" s="6"/>
      <c r="AH75" s="6"/>
      <c r="AI75" s="6"/>
      <c r="AJ75" s="6"/>
      <c r="AK75" s="6"/>
      <c r="AL75" s="6"/>
      <c r="AN75" s="6"/>
      <c r="AO75" s="6"/>
      <c r="AP75" s="6"/>
      <c r="AQ75" s="6"/>
      <c r="AR75" s="6"/>
      <c r="AT75" s="6"/>
      <c r="AU75" s="6"/>
      <c r="AV75" s="6"/>
      <c r="AW75" s="6"/>
      <c r="AX75" s="6"/>
      <c r="AZ75" s="6"/>
      <c r="BA75" s="6"/>
      <c r="BB75" s="6"/>
      <c r="BC75" s="6"/>
      <c r="BD75" s="6"/>
      <c r="BF75" s="6"/>
      <c r="BG75" s="6"/>
      <c r="BH75" s="6"/>
      <c r="BI75" s="6"/>
      <c r="BJ75" s="6"/>
      <c r="BN75" s="1"/>
      <c r="BP75" s="1"/>
    </row>
    <row r="76" spans="3:68" ht="20.100000000000001" customHeight="1" x14ac:dyDescent="0.25">
      <c r="C76" s="1">
        <v>3</v>
      </c>
      <c r="D76" s="6"/>
      <c r="E76" s="6"/>
      <c r="F76" s="6"/>
      <c r="G76" s="6"/>
      <c r="H76" s="6"/>
      <c r="J76" s="6"/>
      <c r="K76" s="6"/>
      <c r="L76" s="6"/>
      <c r="M76" s="6"/>
      <c r="N76" s="6"/>
      <c r="P76" s="6"/>
      <c r="Q76" s="6"/>
      <c r="R76" s="6"/>
      <c r="S76" s="6"/>
      <c r="T76" s="6"/>
      <c r="V76" s="6"/>
      <c r="W76" s="6"/>
      <c r="X76" s="6"/>
      <c r="Y76" s="6"/>
      <c r="Z76" s="6"/>
      <c r="AB76" s="6"/>
      <c r="AC76" s="6"/>
      <c r="AD76" s="6"/>
      <c r="AE76" s="6"/>
      <c r="AF76" s="6"/>
      <c r="AH76" s="6"/>
      <c r="AI76" s="6"/>
      <c r="AJ76" s="6"/>
      <c r="AK76" s="6"/>
      <c r="AL76" s="6"/>
      <c r="AN76" s="6"/>
      <c r="AO76" s="6"/>
      <c r="AP76" s="6"/>
      <c r="AQ76" s="6"/>
      <c r="AR76" s="6"/>
      <c r="AT76" s="6"/>
      <c r="AU76" s="6"/>
      <c r="AV76" s="6"/>
      <c r="AW76" s="6"/>
      <c r="AX76" s="6"/>
      <c r="AZ76" s="6"/>
      <c r="BA76" s="6"/>
      <c r="BB76" s="6"/>
      <c r="BC76" s="6"/>
      <c r="BD76" s="6"/>
      <c r="BF76" s="6"/>
      <c r="BG76" s="6"/>
      <c r="BH76" s="6"/>
      <c r="BI76" s="6"/>
      <c r="BJ76" s="6"/>
      <c r="BN76" s="1"/>
      <c r="BP76" s="1"/>
    </row>
    <row r="77" spans="3:68" ht="20.100000000000001" customHeight="1" x14ac:dyDescent="0.25">
      <c r="C77" s="1">
        <v>2</v>
      </c>
      <c r="D77" s="6"/>
      <c r="E77" s="6"/>
      <c r="F77" s="6"/>
      <c r="G77" s="6"/>
      <c r="H77" s="6"/>
      <c r="J77" s="6"/>
      <c r="K77" s="6"/>
      <c r="L77" s="6"/>
      <c r="M77" s="6"/>
      <c r="N77" s="6"/>
      <c r="P77" s="6"/>
      <c r="Q77" s="6"/>
      <c r="R77" s="6"/>
      <c r="S77" s="6"/>
      <c r="T77" s="6"/>
      <c r="V77" s="6"/>
      <c r="W77" s="6"/>
      <c r="X77" s="6"/>
      <c r="Y77" s="6"/>
      <c r="Z77" s="6"/>
      <c r="AB77" s="6"/>
      <c r="AC77" s="6"/>
      <c r="AD77" s="6"/>
      <c r="AE77" s="6"/>
      <c r="AF77" s="6"/>
      <c r="AH77" s="6"/>
      <c r="AI77" s="6"/>
      <c r="AJ77" s="6"/>
      <c r="AK77" s="6"/>
      <c r="AL77" s="6"/>
      <c r="AN77" s="6"/>
      <c r="AO77" s="6"/>
      <c r="AP77" s="6"/>
      <c r="AQ77" s="6"/>
      <c r="AR77" s="6"/>
      <c r="AT77" s="6"/>
      <c r="AU77" s="6"/>
      <c r="AV77" s="6"/>
      <c r="AW77" s="6"/>
      <c r="AX77" s="6"/>
      <c r="AZ77" s="6"/>
      <c r="BA77" s="6"/>
      <c r="BB77" s="6"/>
      <c r="BC77" s="6"/>
      <c r="BD77" s="6"/>
      <c r="BF77" s="6"/>
      <c r="BG77" s="6"/>
      <c r="BH77" s="6"/>
      <c r="BI77" s="6"/>
      <c r="BJ77" s="6"/>
      <c r="BN77" s="1"/>
      <c r="BP77" s="1"/>
    </row>
    <row r="78" spans="3:68" ht="20.100000000000001" customHeight="1" x14ac:dyDescent="0.25">
      <c r="C78" s="1">
        <v>1</v>
      </c>
      <c r="D78" s="6"/>
      <c r="E78" s="6"/>
      <c r="F78" s="6"/>
      <c r="G78" s="6"/>
      <c r="H78" s="6"/>
      <c r="J78" s="6"/>
      <c r="K78" s="6"/>
      <c r="L78" s="6"/>
      <c r="M78" s="6"/>
      <c r="N78" s="6"/>
      <c r="P78" s="6"/>
      <c r="Q78" s="6"/>
      <c r="R78" s="6"/>
      <c r="S78" s="6"/>
      <c r="T78" s="6"/>
      <c r="V78" s="6"/>
      <c r="W78" s="6"/>
      <c r="X78" s="6"/>
      <c r="Y78" s="6"/>
      <c r="Z78" s="6"/>
      <c r="AB78" s="6"/>
      <c r="AC78" s="6"/>
      <c r="AD78" s="6"/>
      <c r="AE78" s="6"/>
      <c r="AF78" s="6"/>
      <c r="AH78" s="6"/>
      <c r="AI78" s="6"/>
      <c r="AJ78" s="6"/>
      <c r="AK78" s="6"/>
      <c r="AL78" s="6"/>
      <c r="AN78" s="6"/>
      <c r="AO78" s="6"/>
      <c r="AP78" s="6"/>
      <c r="AQ78" s="6"/>
      <c r="AR78" s="6"/>
      <c r="AT78" s="6"/>
      <c r="AU78" s="6"/>
      <c r="AV78" s="6"/>
      <c r="AW78" s="6"/>
      <c r="AX78" s="6"/>
      <c r="AZ78" s="6"/>
      <c r="BA78" s="6"/>
      <c r="BB78" s="6"/>
      <c r="BC78" s="6"/>
      <c r="BD78" s="6"/>
      <c r="BF78" s="6"/>
      <c r="BG78" s="6"/>
      <c r="BH78" s="6"/>
      <c r="BI78" s="6"/>
      <c r="BJ78" s="6"/>
      <c r="BN78" s="1"/>
      <c r="BP78" s="1"/>
    </row>
    <row r="79" spans="3:68" ht="20.100000000000001" customHeight="1" x14ac:dyDescent="0.25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BN79" s="1"/>
      <c r="BP79" s="1"/>
    </row>
    <row r="80" spans="3:68" ht="20.100000000000001" customHeight="1" x14ac:dyDescent="0.25">
      <c r="D80" s="43">
        <v>91</v>
      </c>
      <c r="I80" s="1"/>
      <c r="J80" s="43">
        <v>92</v>
      </c>
      <c r="O80" s="1"/>
      <c r="P80" s="43">
        <v>93</v>
      </c>
      <c r="U80" s="1"/>
      <c r="V80" s="43">
        <v>94</v>
      </c>
      <c r="AA80" s="1"/>
      <c r="AB80" s="43">
        <v>95</v>
      </c>
      <c r="AG80" s="1"/>
      <c r="AH80" s="43">
        <v>96</v>
      </c>
      <c r="AM80" s="1"/>
      <c r="AN80" s="43">
        <v>97</v>
      </c>
      <c r="AS80" s="1"/>
      <c r="AT80" s="43">
        <v>98</v>
      </c>
      <c r="AY80" s="1"/>
      <c r="AZ80" s="43">
        <v>99</v>
      </c>
      <c r="BE80" s="1"/>
      <c r="BF80" s="43">
        <v>100</v>
      </c>
      <c r="BK80" s="1"/>
      <c r="BN80" s="1"/>
      <c r="BP80" s="1"/>
    </row>
    <row r="81" spans="3:68" ht="20.100000000000001" customHeight="1" x14ac:dyDescent="0.25">
      <c r="C81" s="1">
        <v>12</v>
      </c>
      <c r="D81" s="7"/>
      <c r="E81" s="6"/>
      <c r="F81" s="6"/>
      <c r="G81" s="6"/>
      <c r="H81" s="20"/>
      <c r="I81" s="1"/>
      <c r="J81" s="7"/>
      <c r="K81" s="6"/>
      <c r="L81" s="6"/>
      <c r="M81" s="6"/>
      <c r="N81" s="20"/>
      <c r="O81" s="1"/>
      <c r="P81" s="7"/>
      <c r="Q81" s="6"/>
      <c r="R81" s="6"/>
      <c r="S81" s="6"/>
      <c r="T81" s="20"/>
      <c r="U81" s="1"/>
      <c r="V81" s="7"/>
      <c r="W81" s="6"/>
      <c r="X81" s="6"/>
      <c r="Y81" s="6"/>
      <c r="Z81" s="20"/>
      <c r="AA81" s="1"/>
      <c r="AB81" s="7"/>
      <c r="AC81" s="6"/>
      <c r="AD81" s="6"/>
      <c r="AE81" s="6"/>
      <c r="AF81" s="20"/>
      <c r="AG81" s="1"/>
      <c r="AH81" s="7"/>
      <c r="AI81" s="6"/>
      <c r="AJ81" s="6"/>
      <c r="AK81" s="6"/>
      <c r="AL81" s="20"/>
      <c r="AM81" s="1"/>
      <c r="AN81" s="7"/>
      <c r="AO81" s="6"/>
      <c r="AP81" s="6"/>
      <c r="AQ81" s="6"/>
      <c r="AR81" s="20"/>
      <c r="AS81" s="1"/>
      <c r="AT81" s="7"/>
      <c r="AU81" s="6"/>
      <c r="AV81" s="6"/>
      <c r="AW81" s="6"/>
      <c r="AX81" s="20"/>
      <c r="AY81" s="1"/>
      <c r="AZ81" s="7"/>
      <c r="BA81" s="6"/>
      <c r="BB81" s="6"/>
      <c r="BC81" s="6"/>
      <c r="BD81" s="20"/>
      <c r="BE81" s="1"/>
      <c r="BF81" s="7"/>
      <c r="BG81" s="6"/>
      <c r="BH81" s="6"/>
      <c r="BI81" s="6"/>
      <c r="BJ81" s="20"/>
      <c r="BN81" s="1"/>
      <c r="BP81" s="1"/>
    </row>
    <row r="82" spans="3:68" ht="20.100000000000001" customHeight="1" x14ac:dyDescent="0.25">
      <c r="C82" s="1">
        <v>11</v>
      </c>
      <c r="D82" s="7"/>
      <c r="E82" s="6"/>
      <c r="F82" s="6"/>
      <c r="G82" s="6"/>
      <c r="H82" s="20"/>
      <c r="I82" s="1"/>
      <c r="J82" s="7"/>
      <c r="K82" s="6"/>
      <c r="L82" s="6"/>
      <c r="M82" s="6"/>
      <c r="N82" s="20"/>
      <c r="O82" s="1"/>
      <c r="P82" s="7"/>
      <c r="Q82" s="6"/>
      <c r="R82" s="6"/>
      <c r="S82" s="6"/>
      <c r="T82" s="20"/>
      <c r="U82" s="1"/>
      <c r="V82" s="7"/>
      <c r="W82" s="6"/>
      <c r="X82" s="6"/>
      <c r="Y82" s="6"/>
      <c r="Z82" s="20"/>
      <c r="AA82" s="1"/>
      <c r="AB82" s="7"/>
      <c r="AC82" s="6"/>
      <c r="AD82" s="6"/>
      <c r="AE82" s="6"/>
      <c r="AF82" s="20"/>
      <c r="AG82" s="1"/>
      <c r="AH82" s="7"/>
      <c r="AI82" s="6"/>
      <c r="AJ82" s="6"/>
      <c r="AK82" s="6"/>
      <c r="AL82" s="20"/>
      <c r="AM82" s="1"/>
      <c r="AN82" s="7"/>
      <c r="AO82" s="6"/>
      <c r="AP82" s="6"/>
      <c r="AQ82" s="6"/>
      <c r="AR82" s="20"/>
      <c r="AS82" s="1"/>
      <c r="AT82" s="7"/>
      <c r="AU82" s="6"/>
      <c r="AV82" s="6"/>
      <c r="AW82" s="6"/>
      <c r="AX82" s="20"/>
      <c r="AY82" s="1"/>
      <c r="AZ82" s="7"/>
      <c r="BA82" s="6"/>
      <c r="BB82" s="6"/>
      <c r="BC82" s="6"/>
      <c r="BD82" s="20"/>
      <c r="BE82" s="1"/>
      <c r="BF82" s="7"/>
      <c r="BG82" s="6"/>
      <c r="BH82" s="6"/>
      <c r="BI82" s="6"/>
      <c r="BJ82" s="20"/>
      <c r="BN82" s="1"/>
      <c r="BP82" s="1"/>
    </row>
    <row r="83" spans="3:68" ht="20.100000000000001" customHeight="1" x14ac:dyDescent="0.25">
      <c r="C83" s="1">
        <v>10</v>
      </c>
      <c r="D83" s="7"/>
      <c r="E83" s="6"/>
      <c r="F83" s="6"/>
      <c r="G83" s="6"/>
      <c r="H83" s="20"/>
      <c r="I83" s="1"/>
      <c r="J83" s="7"/>
      <c r="K83" s="6"/>
      <c r="L83" s="6"/>
      <c r="M83" s="6"/>
      <c r="N83" s="20"/>
      <c r="O83" s="1"/>
      <c r="P83" s="7"/>
      <c r="Q83" s="6"/>
      <c r="R83" s="6"/>
      <c r="S83" s="6"/>
      <c r="T83" s="20"/>
      <c r="U83" s="1"/>
      <c r="V83" s="7"/>
      <c r="W83" s="6"/>
      <c r="X83" s="6"/>
      <c r="Y83" s="6"/>
      <c r="Z83" s="20"/>
      <c r="AA83" s="1"/>
      <c r="AB83" s="7"/>
      <c r="AC83" s="6"/>
      <c r="AD83" s="6"/>
      <c r="AE83" s="6"/>
      <c r="AF83" s="20"/>
      <c r="AG83" s="1"/>
      <c r="AH83" s="7"/>
      <c r="AI83" s="6"/>
      <c r="AJ83" s="6"/>
      <c r="AK83" s="6"/>
      <c r="AL83" s="20"/>
      <c r="AM83" s="1"/>
      <c r="AN83" s="7"/>
      <c r="AO83" s="6"/>
      <c r="AP83" s="6"/>
      <c r="AQ83" s="6"/>
      <c r="AR83" s="20"/>
      <c r="AS83" s="1"/>
      <c r="AT83" s="7"/>
      <c r="AU83" s="6"/>
      <c r="AV83" s="6"/>
      <c r="AW83" s="6"/>
      <c r="AX83" s="20"/>
      <c r="AY83" s="1"/>
      <c r="AZ83" s="7"/>
      <c r="BA83" s="6"/>
      <c r="BB83" s="6"/>
      <c r="BC83" s="6"/>
      <c r="BD83" s="20"/>
      <c r="BE83" s="1"/>
      <c r="BF83" s="7"/>
      <c r="BG83" s="6"/>
      <c r="BH83" s="6"/>
      <c r="BI83" s="6"/>
      <c r="BJ83" s="20"/>
      <c r="BN83" s="1"/>
      <c r="BP83" s="1"/>
    </row>
    <row r="84" spans="3:68" ht="20.100000000000001" customHeight="1" x14ac:dyDescent="0.25">
      <c r="C84" s="1">
        <v>9</v>
      </c>
      <c r="D84" s="7"/>
      <c r="E84" s="6"/>
      <c r="F84" s="6"/>
      <c r="G84" s="6"/>
      <c r="H84" s="20"/>
      <c r="I84" s="1"/>
      <c r="J84" s="7"/>
      <c r="K84" s="6"/>
      <c r="L84" s="6"/>
      <c r="M84" s="6"/>
      <c r="N84" s="20"/>
      <c r="O84" s="1"/>
      <c r="P84" s="7"/>
      <c r="Q84" s="6"/>
      <c r="R84" s="6"/>
      <c r="S84" s="6"/>
      <c r="T84" s="20"/>
      <c r="U84" s="1"/>
      <c r="V84" s="7"/>
      <c r="W84" s="6"/>
      <c r="X84" s="6"/>
      <c r="Y84" s="6"/>
      <c r="Z84" s="20"/>
      <c r="AA84" s="1"/>
      <c r="AB84" s="7"/>
      <c r="AC84" s="6"/>
      <c r="AD84" s="6"/>
      <c r="AE84" s="6"/>
      <c r="AF84" s="20"/>
      <c r="AG84" s="1"/>
      <c r="AH84" s="7"/>
      <c r="AI84" s="6"/>
      <c r="AJ84" s="6"/>
      <c r="AK84" s="6"/>
      <c r="AL84" s="20"/>
      <c r="AM84" s="1"/>
      <c r="AN84" s="7"/>
      <c r="AO84" s="6"/>
      <c r="AP84" s="6"/>
      <c r="AQ84" s="6"/>
      <c r="AR84" s="20"/>
      <c r="AS84" s="1"/>
      <c r="AT84" s="7"/>
      <c r="AU84" s="6"/>
      <c r="AV84" s="6"/>
      <c r="AW84" s="6"/>
      <c r="AX84" s="20"/>
      <c r="AY84" s="1"/>
      <c r="AZ84" s="7"/>
      <c r="BA84" s="6"/>
      <c r="BB84" s="6"/>
      <c r="BC84" s="6"/>
      <c r="BD84" s="20"/>
      <c r="BE84" s="1"/>
      <c r="BF84" s="7"/>
      <c r="BG84" s="6"/>
      <c r="BH84" s="6"/>
      <c r="BI84" s="6"/>
      <c r="BJ84" s="20"/>
      <c r="BN84" s="1"/>
      <c r="BP84" s="1"/>
    </row>
    <row r="85" spans="3:68" ht="20.100000000000001" customHeight="1" x14ac:dyDescent="0.25">
      <c r="C85" s="1">
        <v>8</v>
      </c>
      <c r="D85" s="7"/>
      <c r="E85" s="6"/>
      <c r="F85" s="6"/>
      <c r="G85" s="6"/>
      <c r="H85" s="20"/>
      <c r="I85" s="1"/>
      <c r="J85" s="7"/>
      <c r="K85" s="6"/>
      <c r="L85" s="6"/>
      <c r="M85" s="6"/>
      <c r="N85" s="20"/>
      <c r="O85" s="1"/>
      <c r="P85" s="7"/>
      <c r="Q85" s="6"/>
      <c r="R85" s="6"/>
      <c r="S85" s="6"/>
      <c r="T85" s="20"/>
      <c r="U85" s="1"/>
      <c r="V85" s="7"/>
      <c r="W85" s="6"/>
      <c r="X85" s="6"/>
      <c r="Y85" s="6"/>
      <c r="Z85" s="20"/>
      <c r="AA85" s="1"/>
      <c r="AB85" s="7"/>
      <c r="AC85" s="6"/>
      <c r="AD85" s="6"/>
      <c r="AE85" s="6"/>
      <c r="AF85" s="20"/>
      <c r="AG85" s="1"/>
      <c r="AH85" s="7"/>
      <c r="AI85" s="6"/>
      <c r="AJ85" s="6"/>
      <c r="AK85" s="6"/>
      <c r="AL85" s="20"/>
      <c r="AM85" s="1"/>
      <c r="AN85" s="7"/>
      <c r="AO85" s="6"/>
      <c r="AP85" s="6"/>
      <c r="AQ85" s="6"/>
      <c r="AR85" s="20"/>
      <c r="AS85" s="1"/>
      <c r="AT85" s="7"/>
      <c r="AU85" s="6"/>
      <c r="AV85" s="6"/>
      <c r="AW85" s="6"/>
      <c r="AX85" s="20"/>
      <c r="AY85" s="1"/>
      <c r="AZ85" s="7"/>
      <c r="BA85" s="6"/>
      <c r="BB85" s="6"/>
      <c r="BC85" s="6"/>
      <c r="BD85" s="20"/>
      <c r="BE85" s="1"/>
      <c r="BF85" s="7"/>
      <c r="BG85" s="6"/>
      <c r="BH85" s="6"/>
      <c r="BI85" s="6"/>
      <c r="BJ85" s="20"/>
      <c r="BN85" s="1"/>
      <c r="BP85" s="1"/>
    </row>
    <row r="86" spans="3:68" ht="20.100000000000001" customHeight="1" x14ac:dyDescent="0.25">
      <c r="C86" s="1">
        <v>7</v>
      </c>
      <c r="D86" s="7"/>
      <c r="E86" s="6"/>
      <c r="F86" s="6"/>
      <c r="G86" s="6"/>
      <c r="H86" s="20"/>
      <c r="I86" s="1"/>
      <c r="J86" s="7"/>
      <c r="K86" s="6"/>
      <c r="L86" s="6"/>
      <c r="M86" s="6"/>
      <c r="N86" s="20"/>
      <c r="O86" s="1"/>
      <c r="P86" s="7"/>
      <c r="Q86" s="6"/>
      <c r="R86" s="6"/>
      <c r="S86" s="6"/>
      <c r="T86" s="20"/>
      <c r="U86" s="1"/>
      <c r="V86" s="7"/>
      <c r="W86" s="6"/>
      <c r="X86" s="6"/>
      <c r="Y86" s="6"/>
      <c r="Z86" s="20"/>
      <c r="AA86" s="1"/>
      <c r="AB86" s="7"/>
      <c r="AC86" s="6"/>
      <c r="AD86" s="6"/>
      <c r="AE86" s="6"/>
      <c r="AF86" s="20"/>
      <c r="AG86" s="1"/>
      <c r="AH86" s="7"/>
      <c r="AI86" s="6"/>
      <c r="AJ86" s="6"/>
      <c r="AK86" s="6"/>
      <c r="AL86" s="20"/>
      <c r="AM86" s="1"/>
      <c r="AN86" s="7"/>
      <c r="AO86" s="6"/>
      <c r="AP86" s="6"/>
      <c r="AQ86" s="6"/>
      <c r="AR86" s="20"/>
      <c r="AS86" s="1"/>
      <c r="AT86" s="7"/>
      <c r="AU86" s="6"/>
      <c r="AV86" s="6"/>
      <c r="AW86" s="6"/>
      <c r="AX86" s="20"/>
      <c r="AY86" s="1"/>
      <c r="AZ86" s="7"/>
      <c r="BA86" s="6"/>
      <c r="BB86" s="6"/>
      <c r="BC86" s="6"/>
      <c r="BD86" s="20"/>
      <c r="BE86" s="1"/>
      <c r="BF86" s="7"/>
      <c r="BG86" s="6"/>
      <c r="BH86" s="6"/>
      <c r="BI86" s="6"/>
      <c r="BJ86" s="20"/>
      <c r="BN86" s="1"/>
      <c r="BP86" s="1"/>
    </row>
    <row r="87" spans="3:68" ht="20.100000000000001" customHeight="1" x14ac:dyDescent="0.25">
      <c r="C87" s="1">
        <v>6</v>
      </c>
      <c r="D87" s="7"/>
      <c r="E87" s="6"/>
      <c r="F87" s="6"/>
      <c r="G87" s="6"/>
      <c r="H87" s="20"/>
      <c r="I87" s="1"/>
      <c r="J87" s="7"/>
      <c r="K87" s="6"/>
      <c r="L87" s="6"/>
      <c r="M87" s="6"/>
      <c r="N87" s="20"/>
      <c r="O87" s="1"/>
      <c r="P87" s="7"/>
      <c r="Q87" s="6"/>
      <c r="R87" s="6"/>
      <c r="S87" s="6"/>
      <c r="T87" s="20"/>
      <c r="U87" s="1"/>
      <c r="V87" s="7"/>
      <c r="W87" s="6"/>
      <c r="X87" s="6"/>
      <c r="Y87" s="6"/>
      <c r="Z87" s="20"/>
      <c r="AA87" s="1"/>
      <c r="AB87" s="7"/>
      <c r="AC87" s="6"/>
      <c r="AD87" s="6"/>
      <c r="AE87" s="6"/>
      <c r="AF87" s="20"/>
      <c r="AG87" s="1"/>
      <c r="AH87" s="7"/>
      <c r="AI87" s="6"/>
      <c r="AJ87" s="6"/>
      <c r="AK87" s="6"/>
      <c r="AL87" s="20"/>
      <c r="AM87" s="1"/>
      <c r="AN87" s="7"/>
      <c r="AO87" s="6"/>
      <c r="AP87" s="6"/>
      <c r="AQ87" s="6"/>
      <c r="AR87" s="20"/>
      <c r="AS87" s="1"/>
      <c r="AT87" s="7"/>
      <c r="AU87" s="6"/>
      <c r="AV87" s="6"/>
      <c r="AW87" s="6"/>
      <c r="AX87" s="20"/>
      <c r="AY87" s="1"/>
      <c r="AZ87" s="7"/>
      <c r="BA87" s="6"/>
      <c r="BB87" s="6"/>
      <c r="BC87" s="6"/>
      <c r="BD87" s="20"/>
      <c r="BE87" s="1"/>
      <c r="BF87" s="7"/>
      <c r="BG87" s="6"/>
      <c r="BH87" s="6"/>
      <c r="BI87" s="6"/>
      <c r="BJ87" s="20"/>
      <c r="BN87" s="1"/>
      <c r="BP87" s="1"/>
    </row>
    <row r="88" spans="3:68" ht="20.100000000000001" customHeight="1" x14ac:dyDescent="0.25">
      <c r="C88" s="1">
        <v>5</v>
      </c>
      <c r="D88" s="7"/>
      <c r="E88" s="6"/>
      <c r="F88" s="6"/>
      <c r="G88" s="6"/>
      <c r="H88" s="20"/>
      <c r="I88" s="1"/>
      <c r="J88" s="7"/>
      <c r="K88" s="6"/>
      <c r="L88" s="6"/>
      <c r="M88" s="6"/>
      <c r="N88" s="20"/>
      <c r="O88" s="1"/>
      <c r="P88" s="7"/>
      <c r="Q88" s="6"/>
      <c r="R88" s="6"/>
      <c r="S88" s="6"/>
      <c r="T88" s="20"/>
      <c r="U88" s="1"/>
      <c r="V88" s="7"/>
      <c r="W88" s="6"/>
      <c r="X88" s="6"/>
      <c r="Y88" s="6"/>
      <c r="Z88" s="20"/>
      <c r="AA88" s="1"/>
      <c r="AB88" s="7"/>
      <c r="AC88" s="6"/>
      <c r="AD88" s="6"/>
      <c r="AE88" s="6"/>
      <c r="AF88" s="20"/>
      <c r="AG88" s="1"/>
      <c r="AH88" s="7"/>
      <c r="AI88" s="6"/>
      <c r="AJ88" s="6"/>
      <c r="AK88" s="6"/>
      <c r="AL88" s="20"/>
      <c r="AM88" s="1"/>
      <c r="AN88" s="7"/>
      <c r="AO88" s="6"/>
      <c r="AP88" s="6"/>
      <c r="AQ88" s="6"/>
      <c r="AR88" s="20"/>
      <c r="AS88" s="1"/>
      <c r="AT88" s="7"/>
      <c r="AU88" s="6"/>
      <c r="AV88" s="6"/>
      <c r="AW88" s="6"/>
      <c r="AX88" s="20"/>
      <c r="AY88" s="1"/>
      <c r="AZ88" s="7"/>
      <c r="BA88" s="6"/>
      <c r="BB88" s="6"/>
      <c r="BC88" s="6"/>
      <c r="BD88" s="20"/>
      <c r="BE88" s="1"/>
      <c r="BF88" s="7"/>
      <c r="BG88" s="6"/>
      <c r="BH88" s="6"/>
      <c r="BI88" s="6"/>
      <c r="BJ88" s="20"/>
      <c r="BN88" s="1"/>
      <c r="BP88" s="1"/>
    </row>
    <row r="89" spans="3:68" ht="20.100000000000001" customHeight="1" x14ac:dyDescent="0.25">
      <c r="C89" s="1">
        <v>4</v>
      </c>
      <c r="D89" s="6"/>
      <c r="E89" s="6"/>
      <c r="F89" s="6"/>
      <c r="G89" s="6"/>
      <c r="H89" s="6"/>
      <c r="J89" s="6"/>
      <c r="K89" s="6"/>
      <c r="L89" s="6"/>
      <c r="M89" s="6"/>
      <c r="N89" s="6"/>
      <c r="P89" s="6"/>
      <c r="Q89" s="6"/>
      <c r="R89" s="6"/>
      <c r="S89" s="6"/>
      <c r="T89" s="6"/>
      <c r="V89" s="6"/>
      <c r="W89" s="6"/>
      <c r="X89" s="6"/>
      <c r="Y89" s="6"/>
      <c r="Z89" s="6"/>
      <c r="AB89" s="6"/>
      <c r="AC89" s="6"/>
      <c r="AD89" s="6"/>
      <c r="AE89" s="6"/>
      <c r="AF89" s="6"/>
      <c r="AH89" s="6"/>
      <c r="AI89" s="6"/>
      <c r="AJ89" s="6"/>
      <c r="AK89" s="6"/>
      <c r="AL89" s="6"/>
      <c r="AN89" s="6"/>
      <c r="AO89" s="6"/>
      <c r="AP89" s="6"/>
      <c r="AQ89" s="6"/>
      <c r="AR89" s="6"/>
      <c r="AT89" s="6"/>
      <c r="AU89" s="6"/>
      <c r="AV89" s="6"/>
      <c r="AW89" s="6"/>
      <c r="AX89" s="6"/>
      <c r="AZ89" s="6"/>
      <c r="BA89" s="6"/>
      <c r="BB89" s="6"/>
      <c r="BC89" s="6"/>
      <c r="BD89" s="6"/>
      <c r="BF89" s="6"/>
      <c r="BG89" s="6"/>
      <c r="BH89" s="6"/>
      <c r="BI89" s="6"/>
      <c r="BJ89" s="6"/>
      <c r="BN89" s="1"/>
      <c r="BP89" s="1"/>
    </row>
    <row r="90" spans="3:68" ht="20.100000000000001" customHeight="1" x14ac:dyDescent="0.25">
      <c r="C90" s="1">
        <v>3</v>
      </c>
      <c r="D90" s="6"/>
      <c r="E90" s="6"/>
      <c r="F90" s="6"/>
      <c r="G90" s="6"/>
      <c r="H90" s="6"/>
      <c r="J90" s="6"/>
      <c r="K90" s="6"/>
      <c r="L90" s="6"/>
      <c r="M90" s="6"/>
      <c r="N90" s="6"/>
      <c r="P90" s="6"/>
      <c r="Q90" s="6"/>
      <c r="R90" s="6"/>
      <c r="S90" s="6"/>
      <c r="T90" s="6"/>
      <c r="V90" s="6"/>
      <c r="W90" s="6"/>
      <c r="X90" s="6"/>
      <c r="Y90" s="6"/>
      <c r="Z90" s="6"/>
      <c r="AB90" s="6"/>
      <c r="AC90" s="6"/>
      <c r="AD90" s="6"/>
      <c r="AE90" s="6"/>
      <c r="AF90" s="6"/>
      <c r="AH90" s="6"/>
      <c r="AI90" s="6"/>
      <c r="AJ90" s="6"/>
      <c r="AK90" s="6"/>
      <c r="AL90" s="6"/>
      <c r="AN90" s="6"/>
      <c r="AO90" s="6"/>
      <c r="AP90" s="6"/>
      <c r="AQ90" s="6"/>
      <c r="AR90" s="6"/>
      <c r="AT90" s="6"/>
      <c r="AU90" s="6"/>
      <c r="AV90" s="6"/>
      <c r="AW90" s="6"/>
      <c r="AX90" s="6"/>
      <c r="AZ90" s="6"/>
      <c r="BA90" s="6"/>
      <c r="BB90" s="6"/>
      <c r="BC90" s="6"/>
      <c r="BD90" s="6"/>
      <c r="BF90" s="6"/>
      <c r="BG90" s="6"/>
      <c r="BH90" s="6"/>
      <c r="BI90" s="6"/>
      <c r="BJ90" s="6"/>
      <c r="BN90" s="1"/>
      <c r="BP90" s="1"/>
    </row>
    <row r="91" spans="3:68" ht="20.100000000000001" customHeight="1" x14ac:dyDescent="0.25">
      <c r="C91" s="1">
        <v>2</v>
      </c>
      <c r="D91" s="6"/>
      <c r="E91" s="6"/>
      <c r="F91" s="6"/>
      <c r="G91" s="6"/>
      <c r="H91" s="6"/>
      <c r="J91" s="6"/>
      <c r="K91" s="6"/>
      <c r="L91" s="6"/>
      <c r="M91" s="6"/>
      <c r="N91" s="6"/>
      <c r="P91" s="6"/>
      <c r="Q91" s="6"/>
      <c r="R91" s="6"/>
      <c r="S91" s="6"/>
      <c r="T91" s="6"/>
      <c r="V91" s="6"/>
      <c r="W91" s="6"/>
      <c r="X91" s="6"/>
      <c r="Y91" s="6"/>
      <c r="Z91" s="6"/>
      <c r="AB91" s="6"/>
      <c r="AC91" s="6"/>
      <c r="AD91" s="6"/>
      <c r="AE91" s="6"/>
      <c r="AF91" s="6"/>
      <c r="AH91" s="6"/>
      <c r="AI91" s="6"/>
      <c r="AJ91" s="6"/>
      <c r="AK91" s="6"/>
      <c r="AL91" s="6"/>
      <c r="AN91" s="6"/>
      <c r="AO91" s="6"/>
      <c r="AP91" s="6"/>
      <c r="AQ91" s="6"/>
      <c r="AR91" s="6"/>
      <c r="AT91" s="6"/>
      <c r="AU91" s="6"/>
      <c r="AV91" s="6"/>
      <c r="AW91" s="6"/>
      <c r="AX91" s="6"/>
      <c r="AZ91" s="6"/>
      <c r="BA91" s="6"/>
      <c r="BB91" s="6"/>
      <c r="BC91" s="6"/>
      <c r="BD91" s="6"/>
      <c r="BF91" s="6"/>
      <c r="BG91" s="6"/>
      <c r="BH91" s="6"/>
      <c r="BI91" s="6"/>
      <c r="BJ91" s="6"/>
      <c r="BN91" s="1"/>
      <c r="BP91" s="1"/>
    </row>
    <row r="92" spans="3:68" ht="20.100000000000001" customHeight="1" x14ac:dyDescent="0.25">
      <c r="C92" s="1">
        <v>1</v>
      </c>
      <c r="D92" s="6"/>
      <c r="E92" s="6"/>
      <c r="F92" s="6"/>
      <c r="G92" s="6"/>
      <c r="H92" s="6"/>
      <c r="J92" s="6"/>
      <c r="K92" s="6"/>
      <c r="L92" s="6"/>
      <c r="M92" s="6"/>
      <c r="N92" s="6"/>
      <c r="P92" s="6"/>
      <c r="Q92" s="6"/>
      <c r="R92" s="6"/>
      <c r="S92" s="6"/>
      <c r="T92" s="6"/>
      <c r="V92" s="6"/>
      <c r="W92" s="6"/>
      <c r="X92" s="6"/>
      <c r="Y92" s="6"/>
      <c r="Z92" s="6"/>
      <c r="AB92" s="6"/>
      <c r="AC92" s="6"/>
      <c r="AD92" s="6"/>
      <c r="AE92" s="6"/>
      <c r="AF92" s="6"/>
      <c r="AH92" s="6"/>
      <c r="AI92" s="6"/>
      <c r="AJ92" s="6"/>
      <c r="AK92" s="6"/>
      <c r="AL92" s="6"/>
      <c r="AN92" s="6"/>
      <c r="AO92" s="6"/>
      <c r="AP92" s="6"/>
      <c r="AQ92" s="6"/>
      <c r="AR92" s="6"/>
      <c r="AT92" s="6"/>
      <c r="AU92" s="6"/>
      <c r="AV92" s="6"/>
      <c r="AW92" s="6"/>
      <c r="AX92" s="6"/>
      <c r="AZ92" s="6"/>
      <c r="BA92" s="6"/>
      <c r="BB92" s="6"/>
      <c r="BC92" s="6"/>
      <c r="BD92" s="6"/>
      <c r="BF92" s="6"/>
      <c r="BG92" s="6"/>
      <c r="BH92" s="6"/>
      <c r="BI92" s="6"/>
      <c r="BJ92" s="6"/>
      <c r="BN92" s="1"/>
      <c r="BP92" s="1"/>
    </row>
    <row r="93" spans="3:68" ht="20.100000000000001" customHeight="1" x14ac:dyDescent="0.25"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BN93" s="1"/>
      <c r="BP93" s="1"/>
    </row>
    <row r="94" spans="3:68" ht="20.100000000000001" customHeight="1" x14ac:dyDescent="0.25">
      <c r="D94" s="292">
        <v>101</v>
      </c>
      <c r="E94" s="292"/>
      <c r="F94" s="292"/>
      <c r="G94" s="292"/>
      <c r="H94" s="292"/>
      <c r="I94" s="293"/>
      <c r="J94" s="292">
        <v>102</v>
      </c>
      <c r="K94" s="292"/>
      <c r="L94" s="292"/>
      <c r="M94" s="292"/>
      <c r="N94" s="292"/>
      <c r="O94" s="293"/>
      <c r="P94" s="292">
        <v>103</v>
      </c>
      <c r="Q94" s="292"/>
      <c r="R94" s="292"/>
      <c r="S94" s="292"/>
      <c r="T94" s="292"/>
      <c r="U94" s="293"/>
      <c r="V94" s="292">
        <v>104</v>
      </c>
      <c r="W94" s="292"/>
      <c r="X94" s="292"/>
      <c r="Y94" s="292"/>
      <c r="Z94" s="292"/>
      <c r="AA94" s="293"/>
      <c r="AB94" s="292">
        <v>105</v>
      </c>
      <c r="AC94" s="292"/>
      <c r="AD94" s="292"/>
      <c r="AE94" s="292"/>
      <c r="AF94" s="292"/>
      <c r="AG94" s="293"/>
      <c r="AH94" s="292">
        <v>106</v>
      </c>
      <c r="AI94" s="292"/>
      <c r="AJ94" s="292"/>
      <c r="AK94" s="292"/>
      <c r="AL94" s="292"/>
      <c r="AM94" s="293"/>
      <c r="AN94" s="292">
        <v>107</v>
      </c>
      <c r="AO94" s="292"/>
      <c r="AP94" s="292"/>
      <c r="AQ94" s="292"/>
      <c r="AR94" s="292"/>
      <c r="AS94" s="293"/>
      <c r="AT94" s="292">
        <v>108</v>
      </c>
      <c r="AU94" s="292"/>
      <c r="AV94" s="292"/>
      <c r="AW94" s="292"/>
      <c r="AX94" s="292"/>
      <c r="AY94" s="293"/>
      <c r="AZ94" s="292">
        <v>109</v>
      </c>
      <c r="BA94" s="292"/>
      <c r="BB94" s="292"/>
      <c r="BC94" s="292"/>
      <c r="BD94" s="292"/>
      <c r="BE94" s="293"/>
      <c r="BF94" s="292">
        <v>110</v>
      </c>
      <c r="BG94" s="292"/>
      <c r="BH94" s="292"/>
      <c r="BI94" s="292"/>
      <c r="BJ94" s="292"/>
      <c r="BK94" s="1"/>
      <c r="BN94" s="1"/>
      <c r="BP94" s="1"/>
    </row>
    <row r="95" spans="3:68" ht="20.100000000000001" customHeight="1" x14ac:dyDescent="0.25">
      <c r="C95" s="1">
        <v>12</v>
      </c>
      <c r="D95" s="7"/>
      <c r="E95" s="6"/>
      <c r="F95" s="6"/>
      <c r="G95" s="6"/>
      <c r="H95" s="20"/>
      <c r="I95" s="1"/>
      <c r="J95" s="7"/>
      <c r="K95" s="6"/>
      <c r="L95" s="6"/>
      <c r="M95" s="6"/>
      <c r="N95" s="20"/>
      <c r="O95" s="1"/>
      <c r="P95" s="7"/>
      <c r="Q95" s="6"/>
      <c r="R95" s="6"/>
      <c r="S95" s="6"/>
      <c r="T95" s="20"/>
      <c r="U95" s="1"/>
      <c r="V95" s="7"/>
      <c r="W95" s="6"/>
      <c r="X95" s="6"/>
      <c r="Y95" s="6"/>
      <c r="Z95" s="20"/>
      <c r="AA95" s="1"/>
      <c r="AB95" s="7"/>
      <c r="AC95" s="6"/>
      <c r="AD95" s="6"/>
      <c r="AE95" s="6"/>
      <c r="AF95" s="20"/>
      <c r="AG95" s="1"/>
      <c r="AH95" s="7"/>
      <c r="AI95" s="6"/>
      <c r="AJ95" s="6"/>
      <c r="AK95" s="6"/>
      <c r="AL95" s="20"/>
      <c r="AM95" s="1"/>
      <c r="AN95" s="7"/>
      <c r="AO95" s="6"/>
      <c r="AP95" s="6"/>
      <c r="AQ95" s="6"/>
      <c r="AR95" s="20"/>
      <c r="AS95" s="1"/>
      <c r="AT95" s="7"/>
      <c r="AU95" s="6"/>
      <c r="AV95" s="6"/>
      <c r="AW95" s="6"/>
      <c r="AX95" s="20"/>
      <c r="AY95" s="1"/>
      <c r="AZ95" s="7"/>
      <c r="BA95" s="6"/>
      <c r="BB95" s="6"/>
      <c r="BC95" s="6"/>
      <c r="BD95" s="20"/>
      <c r="BE95" s="1"/>
      <c r="BF95" s="7"/>
      <c r="BG95" s="6"/>
      <c r="BH95" s="6"/>
      <c r="BI95" s="6"/>
      <c r="BJ95" s="20"/>
      <c r="BN95" s="1"/>
      <c r="BP95" s="1"/>
    </row>
    <row r="96" spans="3:68" ht="20.100000000000001" customHeight="1" x14ac:dyDescent="0.25">
      <c r="C96" s="1">
        <v>11</v>
      </c>
      <c r="D96" s="7"/>
      <c r="E96" s="6"/>
      <c r="F96" s="6"/>
      <c r="G96" s="6"/>
      <c r="H96" s="20"/>
      <c r="I96" s="1"/>
      <c r="J96" s="7"/>
      <c r="K96" s="6"/>
      <c r="L96" s="6"/>
      <c r="M96" s="6"/>
      <c r="N96" s="20"/>
      <c r="O96" s="1"/>
      <c r="P96" s="7"/>
      <c r="Q96" s="6"/>
      <c r="R96" s="6"/>
      <c r="S96" s="6"/>
      <c r="T96" s="20"/>
      <c r="U96" s="1"/>
      <c r="V96" s="7"/>
      <c r="W96" s="6"/>
      <c r="X96" s="6"/>
      <c r="Y96" s="6"/>
      <c r="Z96" s="20"/>
      <c r="AA96" s="1"/>
      <c r="AB96" s="7"/>
      <c r="AC96" s="6"/>
      <c r="AD96" s="6"/>
      <c r="AE96" s="6"/>
      <c r="AF96" s="20"/>
      <c r="AG96" s="1"/>
      <c r="AH96" s="7"/>
      <c r="AI96" s="6"/>
      <c r="AJ96" s="6"/>
      <c r="AK96" s="6"/>
      <c r="AL96" s="20"/>
      <c r="AM96" s="1"/>
      <c r="AN96" s="7"/>
      <c r="AO96" s="6"/>
      <c r="AP96" s="6"/>
      <c r="AQ96" s="6"/>
      <c r="AR96" s="20"/>
      <c r="AS96" s="1"/>
      <c r="AT96" s="7"/>
      <c r="AU96" s="6"/>
      <c r="AV96" s="6"/>
      <c r="AW96" s="6"/>
      <c r="AX96" s="20"/>
      <c r="AY96" s="1"/>
      <c r="AZ96" s="7"/>
      <c r="BA96" s="6"/>
      <c r="BB96" s="6"/>
      <c r="BC96" s="6"/>
      <c r="BD96" s="20"/>
      <c r="BE96" s="1"/>
      <c r="BF96" s="7"/>
      <c r="BG96" s="6"/>
      <c r="BH96" s="6"/>
      <c r="BI96" s="6"/>
      <c r="BJ96" s="20"/>
      <c r="BN96" s="1"/>
      <c r="BP96" s="1"/>
    </row>
    <row r="97" spans="3:68" ht="20.100000000000001" customHeight="1" x14ac:dyDescent="0.25">
      <c r="C97" s="1">
        <v>10</v>
      </c>
      <c r="D97" s="7"/>
      <c r="E97" s="6"/>
      <c r="F97" s="6"/>
      <c r="G97" s="6"/>
      <c r="H97" s="20"/>
      <c r="I97" s="1"/>
      <c r="J97" s="7"/>
      <c r="K97" s="6"/>
      <c r="L97" s="6"/>
      <c r="M97" s="6"/>
      <c r="N97" s="20"/>
      <c r="O97" s="1"/>
      <c r="P97" s="7"/>
      <c r="Q97" s="6"/>
      <c r="R97" s="6"/>
      <c r="S97" s="6"/>
      <c r="T97" s="20"/>
      <c r="U97" s="1"/>
      <c r="V97" s="7"/>
      <c r="W97" s="6"/>
      <c r="X97" s="6"/>
      <c r="Y97" s="6"/>
      <c r="Z97" s="20"/>
      <c r="AA97" s="1"/>
      <c r="AB97" s="7"/>
      <c r="AC97" s="6"/>
      <c r="AD97" s="6"/>
      <c r="AE97" s="6"/>
      <c r="AF97" s="20"/>
      <c r="AG97" s="1"/>
      <c r="AH97" s="7"/>
      <c r="AI97" s="6"/>
      <c r="AJ97" s="6"/>
      <c r="AK97" s="6"/>
      <c r="AL97" s="20"/>
      <c r="AM97" s="1"/>
      <c r="AN97" s="7"/>
      <c r="AO97" s="6"/>
      <c r="AP97" s="6"/>
      <c r="AQ97" s="6"/>
      <c r="AR97" s="20"/>
      <c r="AS97" s="1"/>
      <c r="AT97" s="7"/>
      <c r="AU97" s="6"/>
      <c r="AV97" s="6"/>
      <c r="AW97" s="6"/>
      <c r="AX97" s="20"/>
      <c r="AY97" s="1"/>
      <c r="AZ97" s="7"/>
      <c r="BA97" s="6"/>
      <c r="BB97" s="6"/>
      <c r="BC97" s="6"/>
      <c r="BD97" s="20"/>
      <c r="BE97" s="1"/>
      <c r="BF97" s="7"/>
      <c r="BG97" s="6"/>
      <c r="BH97" s="6"/>
      <c r="BI97" s="6"/>
      <c r="BJ97" s="20"/>
      <c r="BN97" s="1"/>
      <c r="BP97" s="1"/>
    </row>
    <row r="98" spans="3:68" ht="20.100000000000001" customHeight="1" x14ac:dyDescent="0.25">
      <c r="C98" s="1">
        <v>9</v>
      </c>
      <c r="D98" s="7"/>
      <c r="E98" s="6"/>
      <c r="F98" s="6"/>
      <c r="G98" s="6"/>
      <c r="H98" s="20"/>
      <c r="I98" s="1"/>
      <c r="J98" s="7"/>
      <c r="K98" s="6"/>
      <c r="L98" s="6"/>
      <c r="M98" s="6"/>
      <c r="N98" s="20"/>
      <c r="O98" s="1"/>
      <c r="P98" s="7"/>
      <c r="Q98" s="6"/>
      <c r="R98" s="6"/>
      <c r="S98" s="6"/>
      <c r="T98" s="20"/>
      <c r="U98" s="1"/>
      <c r="V98" s="7"/>
      <c r="W98" s="6"/>
      <c r="X98" s="6"/>
      <c r="Y98" s="6"/>
      <c r="Z98" s="20"/>
      <c r="AA98" s="1"/>
      <c r="AB98" s="7"/>
      <c r="AC98" s="6"/>
      <c r="AD98" s="6"/>
      <c r="AE98" s="6"/>
      <c r="AF98" s="20"/>
      <c r="AG98" s="1"/>
      <c r="AH98" s="7"/>
      <c r="AI98" s="6"/>
      <c r="AJ98" s="6"/>
      <c r="AK98" s="6"/>
      <c r="AL98" s="20"/>
      <c r="AM98" s="1"/>
      <c r="AN98" s="7"/>
      <c r="AO98" s="6"/>
      <c r="AP98" s="6"/>
      <c r="AQ98" s="6"/>
      <c r="AR98" s="20"/>
      <c r="AS98" s="1"/>
      <c r="AT98" s="7"/>
      <c r="AU98" s="6"/>
      <c r="AV98" s="6"/>
      <c r="AW98" s="6"/>
      <c r="AX98" s="20"/>
      <c r="AY98" s="1"/>
      <c r="AZ98" s="7"/>
      <c r="BA98" s="6"/>
      <c r="BB98" s="6"/>
      <c r="BC98" s="6"/>
      <c r="BD98" s="20"/>
      <c r="BE98" s="1"/>
      <c r="BF98" s="7"/>
      <c r="BG98" s="6"/>
      <c r="BH98" s="6"/>
      <c r="BI98" s="6"/>
      <c r="BJ98" s="20"/>
      <c r="BN98" s="1"/>
      <c r="BP98" s="1"/>
    </row>
    <row r="99" spans="3:68" ht="20.100000000000001" customHeight="1" x14ac:dyDescent="0.25">
      <c r="C99" s="1">
        <v>8</v>
      </c>
      <c r="D99" s="7"/>
      <c r="E99" s="6"/>
      <c r="F99" s="6"/>
      <c r="G99" s="6"/>
      <c r="H99" s="20"/>
      <c r="I99" s="1"/>
      <c r="J99" s="7"/>
      <c r="K99" s="6"/>
      <c r="L99" s="6"/>
      <c r="M99" s="6"/>
      <c r="N99" s="20"/>
      <c r="O99" s="1"/>
      <c r="P99" s="7"/>
      <c r="Q99" s="6"/>
      <c r="R99" s="6"/>
      <c r="S99" s="6"/>
      <c r="T99" s="20"/>
      <c r="U99" s="1"/>
      <c r="V99" s="7"/>
      <c r="W99" s="6"/>
      <c r="X99" s="6"/>
      <c r="Y99" s="6"/>
      <c r="Z99" s="20"/>
      <c r="AA99" s="1"/>
      <c r="AB99" s="7"/>
      <c r="AC99" s="6"/>
      <c r="AD99" s="6"/>
      <c r="AE99" s="6"/>
      <c r="AF99" s="20"/>
      <c r="AG99" s="1"/>
      <c r="AH99" s="7"/>
      <c r="AI99" s="6"/>
      <c r="AJ99" s="6"/>
      <c r="AK99" s="6"/>
      <c r="AL99" s="20"/>
      <c r="AM99" s="1"/>
      <c r="AN99" s="7"/>
      <c r="AO99" s="6"/>
      <c r="AP99" s="6"/>
      <c r="AQ99" s="6"/>
      <c r="AR99" s="20"/>
      <c r="AS99" s="1"/>
      <c r="AT99" s="7"/>
      <c r="AU99" s="6"/>
      <c r="AV99" s="6"/>
      <c r="AW99" s="6"/>
      <c r="AX99" s="20"/>
      <c r="AY99" s="1"/>
      <c r="AZ99" s="7"/>
      <c r="BA99" s="6"/>
      <c r="BB99" s="6"/>
      <c r="BC99" s="6"/>
      <c r="BD99" s="20"/>
      <c r="BE99" s="1"/>
      <c r="BF99" s="7"/>
      <c r="BG99" s="6"/>
      <c r="BH99" s="6"/>
      <c r="BI99" s="6"/>
      <c r="BJ99" s="20"/>
      <c r="BN99" s="1"/>
      <c r="BP99" s="1"/>
    </row>
    <row r="100" spans="3:68" ht="20.100000000000001" customHeight="1" x14ac:dyDescent="0.25">
      <c r="C100" s="1">
        <v>7</v>
      </c>
      <c r="D100" s="7"/>
      <c r="E100" s="6"/>
      <c r="F100" s="6"/>
      <c r="G100" s="6"/>
      <c r="H100" s="20"/>
      <c r="I100" s="1"/>
      <c r="J100" s="7"/>
      <c r="K100" s="6"/>
      <c r="L100" s="6"/>
      <c r="M100" s="6"/>
      <c r="N100" s="20"/>
      <c r="O100" s="1"/>
      <c r="P100" s="7"/>
      <c r="Q100" s="6"/>
      <c r="R100" s="6"/>
      <c r="S100" s="6"/>
      <c r="T100" s="20"/>
      <c r="U100" s="1"/>
      <c r="V100" s="7"/>
      <c r="W100" s="6"/>
      <c r="X100" s="6"/>
      <c r="Y100" s="6"/>
      <c r="Z100" s="20"/>
      <c r="AA100" s="1"/>
      <c r="AB100" s="7"/>
      <c r="AC100" s="6"/>
      <c r="AD100" s="6"/>
      <c r="AE100" s="6"/>
      <c r="AF100" s="20"/>
      <c r="AG100" s="1"/>
      <c r="AH100" s="7"/>
      <c r="AI100" s="6"/>
      <c r="AJ100" s="6"/>
      <c r="AK100" s="6"/>
      <c r="AL100" s="20"/>
      <c r="AM100" s="1"/>
      <c r="AN100" s="7"/>
      <c r="AO100" s="6"/>
      <c r="AP100" s="6"/>
      <c r="AQ100" s="6"/>
      <c r="AR100" s="20"/>
      <c r="AS100" s="1"/>
      <c r="AT100" s="7"/>
      <c r="AU100" s="6"/>
      <c r="AV100" s="6"/>
      <c r="AW100" s="6"/>
      <c r="AX100" s="20"/>
      <c r="AY100" s="1"/>
      <c r="AZ100" s="7"/>
      <c r="BA100" s="6"/>
      <c r="BB100" s="6"/>
      <c r="BC100" s="6"/>
      <c r="BD100" s="20"/>
      <c r="BE100" s="1"/>
      <c r="BF100" s="7"/>
      <c r="BG100" s="6"/>
      <c r="BH100" s="6"/>
      <c r="BI100" s="6"/>
      <c r="BJ100" s="20"/>
      <c r="BN100" s="1"/>
      <c r="BP100" s="1"/>
    </row>
    <row r="101" spans="3:68" ht="20.100000000000001" customHeight="1" x14ac:dyDescent="0.25">
      <c r="C101" s="1">
        <v>6</v>
      </c>
      <c r="D101" s="7"/>
      <c r="E101" s="6"/>
      <c r="F101" s="6"/>
      <c r="G101" s="6"/>
      <c r="H101" s="20"/>
      <c r="I101" s="1"/>
      <c r="J101" s="7"/>
      <c r="K101" s="6"/>
      <c r="L101" s="6"/>
      <c r="M101" s="6"/>
      <c r="N101" s="20"/>
      <c r="O101" s="1"/>
      <c r="P101" s="7"/>
      <c r="Q101" s="6"/>
      <c r="R101" s="6"/>
      <c r="S101" s="6"/>
      <c r="T101" s="20"/>
      <c r="U101" s="1"/>
      <c r="V101" s="7"/>
      <c r="W101" s="6"/>
      <c r="X101" s="6"/>
      <c r="Y101" s="6"/>
      <c r="Z101" s="20"/>
      <c r="AA101" s="1"/>
      <c r="AB101" s="7"/>
      <c r="AC101" s="6"/>
      <c r="AD101" s="6"/>
      <c r="AE101" s="6"/>
      <c r="AF101" s="20"/>
      <c r="AG101" s="1"/>
      <c r="AH101" s="7"/>
      <c r="AI101" s="6"/>
      <c r="AJ101" s="6"/>
      <c r="AK101" s="6"/>
      <c r="AL101" s="20"/>
      <c r="AM101" s="1"/>
      <c r="AN101" s="7"/>
      <c r="AO101" s="6"/>
      <c r="AP101" s="6"/>
      <c r="AQ101" s="6"/>
      <c r="AR101" s="20"/>
      <c r="AS101" s="1"/>
      <c r="AT101" s="7"/>
      <c r="AU101" s="6"/>
      <c r="AV101" s="6"/>
      <c r="AW101" s="6"/>
      <c r="AX101" s="20"/>
      <c r="AY101" s="1"/>
      <c r="AZ101" s="7"/>
      <c r="BA101" s="6"/>
      <c r="BB101" s="6"/>
      <c r="BC101" s="6"/>
      <c r="BD101" s="20"/>
      <c r="BE101" s="1"/>
      <c r="BF101" s="7"/>
      <c r="BG101" s="6"/>
      <c r="BH101" s="6"/>
      <c r="BI101" s="6"/>
      <c r="BJ101" s="20"/>
      <c r="BN101" s="1"/>
      <c r="BP101" s="1"/>
    </row>
    <row r="102" spans="3:68" ht="20.100000000000001" customHeight="1" x14ac:dyDescent="0.25">
      <c r="C102" s="1">
        <v>5</v>
      </c>
      <c r="D102" s="7"/>
      <c r="E102" s="6"/>
      <c r="F102" s="6"/>
      <c r="G102" s="6"/>
      <c r="H102" s="20"/>
      <c r="I102" s="1"/>
      <c r="J102" s="7"/>
      <c r="K102" s="6"/>
      <c r="L102" s="6"/>
      <c r="M102" s="6"/>
      <c r="N102" s="20"/>
      <c r="O102" s="1"/>
      <c r="P102" s="7"/>
      <c r="Q102" s="6"/>
      <c r="R102" s="6"/>
      <c r="S102" s="6"/>
      <c r="T102" s="20"/>
      <c r="U102" s="1"/>
      <c r="V102" s="7"/>
      <c r="W102" s="6"/>
      <c r="X102" s="6"/>
      <c r="Y102" s="6"/>
      <c r="Z102" s="20"/>
      <c r="AA102" s="1"/>
      <c r="AB102" s="7"/>
      <c r="AC102" s="6"/>
      <c r="AD102" s="6"/>
      <c r="AE102" s="6"/>
      <c r="AF102" s="20"/>
      <c r="AG102" s="1"/>
      <c r="AH102" s="7"/>
      <c r="AI102" s="6"/>
      <c r="AJ102" s="6"/>
      <c r="AK102" s="6"/>
      <c r="AL102" s="20"/>
      <c r="AM102" s="1"/>
      <c r="AN102" s="7"/>
      <c r="AO102" s="6"/>
      <c r="AP102" s="6"/>
      <c r="AQ102" s="6"/>
      <c r="AR102" s="20"/>
      <c r="AS102" s="1"/>
      <c r="AT102" s="7"/>
      <c r="AU102" s="6"/>
      <c r="AV102" s="6"/>
      <c r="AW102" s="6"/>
      <c r="AX102" s="20"/>
      <c r="AY102" s="1"/>
      <c r="AZ102" s="7"/>
      <c r="BA102" s="6"/>
      <c r="BB102" s="6"/>
      <c r="BC102" s="6"/>
      <c r="BD102" s="20"/>
      <c r="BE102" s="1"/>
      <c r="BF102" s="7"/>
      <c r="BG102" s="6"/>
      <c r="BH102" s="6"/>
      <c r="BI102" s="6"/>
      <c r="BJ102" s="20"/>
      <c r="BN102" s="1"/>
      <c r="BP102" s="1"/>
    </row>
    <row r="103" spans="3:68" ht="20.100000000000001" customHeight="1" x14ac:dyDescent="0.25">
      <c r="C103" s="1">
        <v>4</v>
      </c>
      <c r="D103" s="6"/>
      <c r="E103" s="6"/>
      <c r="F103" s="6"/>
      <c r="G103" s="6"/>
      <c r="H103" s="6"/>
      <c r="J103" s="6"/>
      <c r="K103" s="6"/>
      <c r="L103" s="6"/>
      <c r="M103" s="6"/>
      <c r="N103" s="6"/>
      <c r="P103" s="6"/>
      <c r="Q103" s="6"/>
      <c r="R103" s="6"/>
      <c r="S103" s="6"/>
      <c r="T103" s="6"/>
      <c r="V103" s="6"/>
      <c r="W103" s="6"/>
      <c r="X103" s="6"/>
      <c r="Y103" s="6"/>
      <c r="Z103" s="6"/>
      <c r="AB103" s="6"/>
      <c r="AC103" s="6"/>
      <c r="AD103" s="6"/>
      <c r="AE103" s="6"/>
      <c r="AF103" s="6"/>
      <c r="AH103" s="6"/>
      <c r="AI103" s="6"/>
      <c r="AJ103" s="6"/>
      <c r="AK103" s="6"/>
      <c r="AL103" s="6"/>
      <c r="AN103" s="6"/>
      <c r="AO103" s="6"/>
      <c r="AP103" s="6"/>
      <c r="AQ103" s="6"/>
      <c r="AR103" s="6"/>
      <c r="AT103" s="6"/>
      <c r="AU103" s="6"/>
      <c r="AV103" s="6"/>
      <c r="AW103" s="6"/>
      <c r="AX103" s="6"/>
      <c r="AZ103" s="6"/>
      <c r="BA103" s="6"/>
      <c r="BB103" s="6"/>
      <c r="BC103" s="6"/>
      <c r="BD103" s="6"/>
      <c r="BF103" s="6"/>
      <c r="BG103" s="6"/>
      <c r="BH103" s="6"/>
      <c r="BI103" s="6"/>
      <c r="BJ103" s="6"/>
      <c r="BN103" s="1"/>
      <c r="BP103" s="1"/>
    </row>
    <row r="104" spans="3:68" ht="20.100000000000001" customHeight="1" x14ac:dyDescent="0.25">
      <c r="C104" s="1">
        <v>3</v>
      </c>
      <c r="D104" s="6"/>
      <c r="E104" s="6"/>
      <c r="F104" s="6"/>
      <c r="G104" s="6"/>
      <c r="H104" s="6"/>
      <c r="J104" s="6"/>
      <c r="K104" s="6"/>
      <c r="L104" s="6"/>
      <c r="M104" s="6"/>
      <c r="N104" s="6"/>
      <c r="P104" s="6"/>
      <c r="Q104" s="6"/>
      <c r="R104" s="6"/>
      <c r="S104" s="6"/>
      <c r="T104" s="6"/>
      <c r="V104" s="6"/>
      <c r="W104" s="6"/>
      <c r="X104" s="6"/>
      <c r="Y104" s="6"/>
      <c r="Z104" s="6"/>
      <c r="AB104" s="6"/>
      <c r="AC104" s="6"/>
      <c r="AD104" s="6"/>
      <c r="AE104" s="6"/>
      <c r="AF104" s="6"/>
      <c r="AH104" s="6"/>
      <c r="AI104" s="6"/>
      <c r="AJ104" s="6"/>
      <c r="AK104" s="6"/>
      <c r="AL104" s="6"/>
      <c r="AN104" s="6"/>
      <c r="AO104" s="6"/>
      <c r="AP104" s="6"/>
      <c r="AQ104" s="6"/>
      <c r="AR104" s="6"/>
      <c r="AT104" s="6"/>
      <c r="AU104" s="6"/>
      <c r="AV104" s="6"/>
      <c r="AW104" s="6"/>
      <c r="AX104" s="6"/>
      <c r="AZ104" s="6"/>
      <c r="BA104" s="6"/>
      <c r="BB104" s="6"/>
      <c r="BC104" s="6"/>
      <c r="BD104" s="6"/>
      <c r="BF104" s="6"/>
      <c r="BG104" s="6"/>
      <c r="BH104" s="6"/>
      <c r="BI104" s="6"/>
      <c r="BJ104" s="6"/>
      <c r="BN104" s="1"/>
      <c r="BP104" s="1"/>
    </row>
    <row r="105" spans="3:68" ht="20.100000000000001" customHeight="1" x14ac:dyDescent="0.25">
      <c r="C105" s="1">
        <v>2</v>
      </c>
      <c r="D105" s="6"/>
      <c r="E105" s="6"/>
      <c r="F105" s="6"/>
      <c r="G105" s="6"/>
      <c r="H105" s="6"/>
      <c r="J105" s="6"/>
      <c r="K105" s="6"/>
      <c r="L105" s="6"/>
      <c r="M105" s="6"/>
      <c r="N105" s="6"/>
      <c r="P105" s="6"/>
      <c r="Q105" s="6"/>
      <c r="R105" s="6"/>
      <c r="S105" s="6"/>
      <c r="T105" s="6"/>
      <c r="V105" s="6"/>
      <c r="W105" s="6"/>
      <c r="X105" s="6"/>
      <c r="Y105" s="6"/>
      <c r="Z105" s="6"/>
      <c r="AB105" s="6"/>
      <c r="AC105" s="6"/>
      <c r="AD105" s="6"/>
      <c r="AE105" s="6"/>
      <c r="AF105" s="6"/>
      <c r="AH105" s="6"/>
      <c r="AI105" s="6"/>
      <c r="AJ105" s="6"/>
      <c r="AK105" s="6"/>
      <c r="AL105" s="6"/>
      <c r="AN105" s="6"/>
      <c r="AO105" s="6"/>
      <c r="AP105" s="6"/>
      <c r="AQ105" s="6"/>
      <c r="AR105" s="6"/>
      <c r="AT105" s="6"/>
      <c r="AU105" s="6"/>
      <c r="AV105" s="6"/>
      <c r="AW105" s="6"/>
      <c r="AX105" s="6"/>
      <c r="AZ105" s="6"/>
      <c r="BA105" s="6"/>
      <c r="BB105" s="6"/>
      <c r="BC105" s="6"/>
      <c r="BD105" s="6"/>
      <c r="BF105" s="6"/>
      <c r="BG105" s="6"/>
      <c r="BH105" s="6"/>
      <c r="BI105" s="6"/>
      <c r="BJ105" s="6"/>
      <c r="BN105" s="1"/>
      <c r="BP105" s="1"/>
    </row>
    <row r="106" spans="3:68" ht="20.100000000000001" customHeight="1" x14ac:dyDescent="0.25">
      <c r="C106" s="1">
        <v>1</v>
      </c>
      <c r="D106" s="6"/>
      <c r="E106" s="6"/>
      <c r="F106" s="6"/>
      <c r="G106" s="6"/>
      <c r="H106" s="6"/>
      <c r="J106" s="6"/>
      <c r="K106" s="6"/>
      <c r="L106" s="6"/>
      <c r="M106" s="6"/>
      <c r="N106" s="6"/>
      <c r="P106" s="6"/>
      <c r="Q106" s="6"/>
      <c r="R106" s="6"/>
      <c r="S106" s="6"/>
      <c r="T106" s="6"/>
      <c r="V106" s="6"/>
      <c r="W106" s="6"/>
      <c r="X106" s="6"/>
      <c r="Y106" s="6"/>
      <c r="Z106" s="6"/>
      <c r="AB106" s="6"/>
      <c r="AC106" s="6"/>
      <c r="AD106" s="6"/>
      <c r="AE106" s="6"/>
      <c r="AF106" s="6"/>
      <c r="AH106" s="6"/>
      <c r="AI106" s="6"/>
      <c r="AJ106" s="6"/>
      <c r="AK106" s="6"/>
      <c r="AL106" s="6"/>
      <c r="AN106" s="6"/>
      <c r="AO106" s="6"/>
      <c r="AP106" s="6"/>
      <c r="AQ106" s="6"/>
      <c r="AR106" s="6"/>
      <c r="AT106" s="6"/>
      <c r="AU106" s="6"/>
      <c r="AV106" s="6"/>
      <c r="AW106" s="6"/>
      <c r="AX106" s="6"/>
      <c r="AZ106" s="6"/>
      <c r="BA106" s="6"/>
      <c r="BB106" s="6"/>
      <c r="BC106" s="6"/>
      <c r="BD106" s="6"/>
      <c r="BF106" s="6"/>
      <c r="BG106" s="6"/>
      <c r="BH106" s="6"/>
      <c r="BI106" s="6"/>
      <c r="BJ106" s="6"/>
      <c r="BN106" s="1"/>
      <c r="BP106" s="1"/>
    </row>
    <row r="107" spans="3:68" ht="20.100000000000001" customHeight="1" x14ac:dyDescent="0.25">
      <c r="M107" s="10"/>
      <c r="N107" s="10"/>
      <c r="O107" s="10"/>
      <c r="P107" s="10"/>
      <c r="Q107" s="10"/>
      <c r="R107" s="10"/>
      <c r="BN107" s="1"/>
      <c r="BP107" s="1"/>
    </row>
    <row r="108" spans="3:68" ht="20.100000000000001" customHeight="1" x14ac:dyDescent="0.25">
      <c r="D108" s="292" t="s">
        <v>389</v>
      </c>
      <c r="I108" s="1"/>
      <c r="J108" s="292" t="s">
        <v>390</v>
      </c>
      <c r="O108" s="1"/>
      <c r="P108" s="292" t="s">
        <v>391</v>
      </c>
      <c r="U108" s="1"/>
      <c r="V108" s="292" t="s">
        <v>392</v>
      </c>
      <c r="AA108" s="1"/>
      <c r="AB108" s="292" t="s">
        <v>393</v>
      </c>
      <c r="AG108" s="1"/>
      <c r="AH108" s="292" t="s">
        <v>394</v>
      </c>
      <c r="AM108" s="1"/>
      <c r="AN108" s="292" t="s">
        <v>395</v>
      </c>
      <c r="AS108" s="1"/>
      <c r="AT108" s="292" t="s">
        <v>396</v>
      </c>
      <c r="AY108" s="1"/>
      <c r="AZ108" s="292" t="s">
        <v>397</v>
      </c>
      <c r="BE108" s="1"/>
      <c r="BF108" s="292" t="s">
        <v>398</v>
      </c>
      <c r="BK108" s="1"/>
      <c r="BN108" s="1"/>
      <c r="BP108" s="1"/>
    </row>
    <row r="109" spans="3:68" ht="20.100000000000001" customHeight="1" x14ac:dyDescent="0.25">
      <c r="C109" s="1">
        <v>12</v>
      </c>
      <c r="D109" s="7"/>
      <c r="E109" s="6"/>
      <c r="F109" s="6"/>
      <c r="G109" s="6"/>
      <c r="H109" s="20"/>
      <c r="I109" s="1"/>
      <c r="J109" s="7"/>
      <c r="K109" s="6"/>
      <c r="L109" s="6"/>
      <c r="M109" s="6"/>
      <c r="N109" s="20"/>
      <c r="O109" s="1"/>
      <c r="P109" s="7"/>
      <c r="Q109" s="6"/>
      <c r="R109" s="6"/>
      <c r="S109" s="6"/>
      <c r="T109" s="20"/>
      <c r="U109" s="1"/>
      <c r="V109" s="7"/>
      <c r="W109" s="6"/>
      <c r="X109" s="6"/>
      <c r="Y109" s="6"/>
      <c r="Z109" s="20"/>
      <c r="AA109" s="1"/>
      <c r="AB109" s="7"/>
      <c r="AC109" s="6"/>
      <c r="AD109" s="6"/>
      <c r="AE109" s="6"/>
      <c r="AF109" s="20"/>
      <c r="AG109" s="1"/>
      <c r="AH109" s="7"/>
      <c r="AI109" s="6"/>
      <c r="AJ109" s="6"/>
      <c r="AK109" s="6"/>
      <c r="AL109" s="20"/>
      <c r="AM109" s="1"/>
      <c r="AN109" s="7"/>
      <c r="AO109" s="6"/>
      <c r="AP109" s="6"/>
      <c r="AQ109" s="6"/>
      <c r="AR109" s="20"/>
      <c r="AS109" s="1"/>
      <c r="AT109" s="7"/>
      <c r="AU109" s="6"/>
      <c r="AV109" s="6"/>
      <c r="AW109" s="6"/>
      <c r="AX109" s="20"/>
      <c r="AY109" s="1"/>
      <c r="AZ109" s="7"/>
      <c r="BA109" s="6"/>
      <c r="BB109" s="6"/>
      <c r="BC109" s="6"/>
      <c r="BD109" s="20"/>
      <c r="BE109" s="1"/>
      <c r="BF109" s="7"/>
      <c r="BG109" s="6"/>
      <c r="BH109" s="6"/>
      <c r="BI109" s="6"/>
      <c r="BJ109" s="20"/>
      <c r="BN109" s="1"/>
      <c r="BP109" s="1"/>
    </row>
    <row r="110" spans="3:68" ht="20.100000000000001" customHeight="1" x14ac:dyDescent="0.25">
      <c r="C110" s="1">
        <v>11</v>
      </c>
      <c r="D110" s="7"/>
      <c r="E110" s="6"/>
      <c r="F110" s="6"/>
      <c r="G110" s="6"/>
      <c r="H110" s="20"/>
      <c r="I110" s="1"/>
      <c r="J110" s="7"/>
      <c r="K110" s="6"/>
      <c r="L110" s="6"/>
      <c r="M110" s="6"/>
      <c r="N110" s="20"/>
      <c r="O110" s="1"/>
      <c r="P110" s="7"/>
      <c r="Q110" s="6"/>
      <c r="R110" s="6"/>
      <c r="S110" s="6"/>
      <c r="T110" s="20"/>
      <c r="U110" s="1"/>
      <c r="V110" s="7"/>
      <c r="W110" s="6"/>
      <c r="X110" s="6"/>
      <c r="Y110" s="6"/>
      <c r="Z110" s="20"/>
      <c r="AA110" s="1"/>
      <c r="AB110" s="7"/>
      <c r="AC110" s="6"/>
      <c r="AD110" s="6"/>
      <c r="AE110" s="6"/>
      <c r="AF110" s="20"/>
      <c r="AG110" s="1"/>
      <c r="AH110" s="7"/>
      <c r="AI110" s="6"/>
      <c r="AJ110" s="6"/>
      <c r="AK110" s="6"/>
      <c r="AL110" s="20"/>
      <c r="AM110" s="1"/>
      <c r="AN110" s="7"/>
      <c r="AO110" s="6"/>
      <c r="AP110" s="6"/>
      <c r="AQ110" s="6"/>
      <c r="AR110" s="20"/>
      <c r="AS110" s="1"/>
      <c r="AT110" s="7"/>
      <c r="AU110" s="6"/>
      <c r="AV110" s="6"/>
      <c r="AW110" s="6"/>
      <c r="AX110" s="20"/>
      <c r="AY110" s="1"/>
      <c r="AZ110" s="7"/>
      <c r="BA110" s="6"/>
      <c r="BB110" s="6"/>
      <c r="BC110" s="6"/>
      <c r="BD110" s="20"/>
      <c r="BE110" s="1"/>
      <c r="BF110" s="7"/>
      <c r="BG110" s="6"/>
      <c r="BH110" s="6"/>
      <c r="BI110" s="6"/>
      <c r="BJ110" s="20"/>
      <c r="BN110" s="1"/>
      <c r="BP110" s="1"/>
    </row>
    <row r="111" spans="3:68" ht="20.100000000000001" customHeight="1" x14ac:dyDescent="0.25">
      <c r="C111" s="1">
        <v>10</v>
      </c>
      <c r="D111" s="7"/>
      <c r="E111" s="6"/>
      <c r="F111" s="6"/>
      <c r="G111" s="6"/>
      <c r="H111" s="20"/>
      <c r="I111" s="1"/>
      <c r="J111" s="7"/>
      <c r="K111" s="6"/>
      <c r="L111" s="6"/>
      <c r="M111" s="6"/>
      <c r="N111" s="20"/>
      <c r="O111" s="1"/>
      <c r="P111" s="7"/>
      <c r="Q111" s="6"/>
      <c r="R111" s="6"/>
      <c r="S111" s="6"/>
      <c r="T111" s="20"/>
      <c r="U111" s="1"/>
      <c r="V111" s="7"/>
      <c r="W111" s="6"/>
      <c r="X111" s="6"/>
      <c r="Y111" s="6"/>
      <c r="Z111" s="20"/>
      <c r="AA111" s="1"/>
      <c r="AB111" s="7"/>
      <c r="AC111" s="6"/>
      <c r="AD111" s="6"/>
      <c r="AE111" s="6"/>
      <c r="AF111" s="20"/>
      <c r="AG111" s="1"/>
      <c r="AH111" s="7"/>
      <c r="AI111" s="6"/>
      <c r="AJ111" s="6"/>
      <c r="AK111" s="6"/>
      <c r="AL111" s="20"/>
      <c r="AM111" s="1"/>
      <c r="AN111" s="7"/>
      <c r="AO111" s="6"/>
      <c r="AP111" s="6"/>
      <c r="AQ111" s="6"/>
      <c r="AR111" s="20"/>
      <c r="AS111" s="1"/>
      <c r="AT111" s="7"/>
      <c r="AU111" s="6"/>
      <c r="AV111" s="6"/>
      <c r="AW111" s="6"/>
      <c r="AX111" s="20"/>
      <c r="AY111" s="1"/>
      <c r="AZ111" s="7"/>
      <c r="BA111" s="6"/>
      <c r="BB111" s="6"/>
      <c r="BC111" s="6"/>
      <c r="BD111" s="20"/>
      <c r="BE111" s="1"/>
      <c r="BF111" s="7"/>
      <c r="BG111" s="6"/>
      <c r="BH111" s="6"/>
      <c r="BI111" s="6"/>
      <c r="BJ111" s="20"/>
      <c r="BN111" s="1"/>
      <c r="BP111" s="1"/>
    </row>
    <row r="112" spans="3:68" ht="20.100000000000001" customHeight="1" x14ac:dyDescent="0.25">
      <c r="C112" s="1">
        <v>9</v>
      </c>
      <c r="D112" s="7"/>
      <c r="E112" s="6"/>
      <c r="F112" s="6"/>
      <c r="G112" s="6"/>
      <c r="H112" s="20"/>
      <c r="I112" s="1"/>
      <c r="J112" s="7"/>
      <c r="K112" s="6"/>
      <c r="L112" s="6"/>
      <c r="M112" s="6"/>
      <c r="N112" s="20"/>
      <c r="O112" s="1"/>
      <c r="P112" s="7"/>
      <c r="Q112" s="6"/>
      <c r="R112" s="6"/>
      <c r="S112" s="6"/>
      <c r="T112" s="20"/>
      <c r="U112" s="1"/>
      <c r="V112" s="7"/>
      <c r="W112" s="6"/>
      <c r="X112" s="6"/>
      <c r="Y112" s="6"/>
      <c r="Z112" s="20"/>
      <c r="AA112" s="1"/>
      <c r="AB112" s="7"/>
      <c r="AC112" s="6"/>
      <c r="AD112" s="6"/>
      <c r="AE112" s="6"/>
      <c r="AF112" s="20"/>
      <c r="AG112" s="1"/>
      <c r="AH112" s="7"/>
      <c r="AI112" s="6"/>
      <c r="AJ112" s="6"/>
      <c r="AK112" s="6"/>
      <c r="AL112" s="20"/>
      <c r="AM112" s="1"/>
      <c r="AN112" s="7"/>
      <c r="AO112" s="6"/>
      <c r="AP112" s="6"/>
      <c r="AQ112" s="6"/>
      <c r="AR112" s="20"/>
      <c r="AS112" s="1"/>
      <c r="AT112" s="7"/>
      <c r="AU112" s="6"/>
      <c r="AV112" s="6"/>
      <c r="AW112" s="6"/>
      <c r="AX112" s="20"/>
      <c r="AY112" s="1"/>
      <c r="AZ112" s="7"/>
      <c r="BA112" s="6"/>
      <c r="BB112" s="6"/>
      <c r="BC112" s="6"/>
      <c r="BD112" s="20"/>
      <c r="BE112" s="1"/>
      <c r="BF112" s="7"/>
      <c r="BG112" s="6"/>
      <c r="BH112" s="6"/>
      <c r="BI112" s="6"/>
      <c r="BJ112" s="20"/>
      <c r="BN112" s="1"/>
      <c r="BP112" s="1"/>
    </row>
    <row r="113" spans="3:68" ht="20.100000000000001" customHeight="1" x14ac:dyDescent="0.25">
      <c r="C113" s="1">
        <v>8</v>
      </c>
      <c r="D113" s="7"/>
      <c r="E113" s="6"/>
      <c r="F113" s="6"/>
      <c r="G113" s="6"/>
      <c r="H113" s="20"/>
      <c r="I113" s="1"/>
      <c r="J113" s="7"/>
      <c r="K113" s="6"/>
      <c r="L113" s="6"/>
      <c r="M113" s="6"/>
      <c r="N113" s="20"/>
      <c r="O113" s="1"/>
      <c r="P113" s="7"/>
      <c r="Q113" s="6"/>
      <c r="R113" s="6"/>
      <c r="S113" s="6"/>
      <c r="T113" s="20"/>
      <c r="U113" s="1"/>
      <c r="V113" s="7"/>
      <c r="W113" s="6"/>
      <c r="X113" s="6"/>
      <c r="Y113" s="6"/>
      <c r="Z113" s="20"/>
      <c r="AA113" s="1"/>
      <c r="AB113" s="7"/>
      <c r="AC113" s="6"/>
      <c r="AD113" s="6"/>
      <c r="AE113" s="6"/>
      <c r="AF113" s="20"/>
      <c r="AG113" s="1"/>
      <c r="AH113" s="7"/>
      <c r="AI113" s="6"/>
      <c r="AJ113" s="6"/>
      <c r="AK113" s="6"/>
      <c r="AL113" s="20"/>
      <c r="AM113" s="1"/>
      <c r="AN113" s="7"/>
      <c r="AO113" s="6"/>
      <c r="AP113" s="6"/>
      <c r="AQ113" s="6"/>
      <c r="AR113" s="20"/>
      <c r="AS113" s="1"/>
      <c r="AT113" s="7"/>
      <c r="AU113" s="6"/>
      <c r="AV113" s="6"/>
      <c r="AW113" s="6"/>
      <c r="AX113" s="20"/>
      <c r="AY113" s="1"/>
      <c r="AZ113" s="7"/>
      <c r="BA113" s="6"/>
      <c r="BB113" s="6"/>
      <c r="BC113" s="6"/>
      <c r="BD113" s="20"/>
      <c r="BE113" s="1"/>
      <c r="BF113" s="7"/>
      <c r="BG113" s="6"/>
      <c r="BH113" s="6"/>
      <c r="BI113" s="6"/>
      <c r="BJ113" s="20"/>
      <c r="BN113" s="1"/>
      <c r="BP113" s="1"/>
    </row>
    <row r="114" spans="3:68" ht="20.100000000000001" customHeight="1" x14ac:dyDescent="0.25">
      <c r="C114" s="1">
        <v>7</v>
      </c>
      <c r="D114" s="7"/>
      <c r="E114" s="6"/>
      <c r="F114" s="6"/>
      <c r="G114" s="6"/>
      <c r="H114" s="20"/>
      <c r="I114" s="1"/>
      <c r="J114" s="7"/>
      <c r="K114" s="6"/>
      <c r="L114" s="6"/>
      <c r="M114" s="6"/>
      <c r="N114" s="20"/>
      <c r="O114" s="1"/>
      <c r="P114" s="7"/>
      <c r="Q114" s="6"/>
      <c r="R114" s="6"/>
      <c r="S114" s="6"/>
      <c r="T114" s="20"/>
      <c r="U114" s="1"/>
      <c r="V114" s="7"/>
      <c r="W114" s="6"/>
      <c r="X114" s="6"/>
      <c r="Y114" s="6"/>
      <c r="Z114" s="20"/>
      <c r="AA114" s="1"/>
      <c r="AB114" s="7"/>
      <c r="AC114" s="6"/>
      <c r="AD114" s="6"/>
      <c r="AE114" s="6"/>
      <c r="AF114" s="20"/>
      <c r="AG114" s="1"/>
      <c r="AH114" s="7"/>
      <c r="AI114" s="6"/>
      <c r="AJ114" s="6"/>
      <c r="AK114" s="6"/>
      <c r="AL114" s="20"/>
      <c r="AM114" s="1"/>
      <c r="AN114" s="7"/>
      <c r="AO114" s="6"/>
      <c r="AP114" s="6"/>
      <c r="AQ114" s="6"/>
      <c r="AR114" s="20"/>
      <c r="AS114" s="1"/>
      <c r="AT114" s="7"/>
      <c r="AU114" s="6"/>
      <c r="AV114" s="6"/>
      <c r="AW114" s="6"/>
      <c r="AX114" s="20"/>
      <c r="AY114" s="1"/>
      <c r="AZ114" s="7"/>
      <c r="BA114" s="6"/>
      <c r="BB114" s="6"/>
      <c r="BC114" s="6"/>
      <c r="BD114" s="20"/>
      <c r="BE114" s="1"/>
      <c r="BF114" s="7"/>
      <c r="BG114" s="6"/>
      <c r="BH114" s="6"/>
      <c r="BI114" s="6"/>
      <c r="BJ114" s="20"/>
      <c r="BN114" s="1"/>
      <c r="BP114" s="1"/>
    </row>
    <row r="115" spans="3:68" ht="20.100000000000001" customHeight="1" x14ac:dyDescent="0.25">
      <c r="C115" s="1">
        <v>6</v>
      </c>
      <c r="D115" s="7"/>
      <c r="E115" s="6"/>
      <c r="F115" s="6"/>
      <c r="G115" s="6"/>
      <c r="H115" s="20"/>
      <c r="I115" s="1"/>
      <c r="J115" s="7"/>
      <c r="K115" s="6"/>
      <c r="L115" s="6"/>
      <c r="M115" s="6"/>
      <c r="N115" s="20"/>
      <c r="O115" s="1"/>
      <c r="P115" s="7"/>
      <c r="Q115" s="6"/>
      <c r="R115" s="6"/>
      <c r="S115" s="6"/>
      <c r="T115" s="20"/>
      <c r="U115" s="1"/>
      <c r="V115" s="7"/>
      <c r="W115" s="6"/>
      <c r="X115" s="6"/>
      <c r="Y115" s="6"/>
      <c r="Z115" s="20"/>
      <c r="AA115" s="1"/>
      <c r="AB115" s="7"/>
      <c r="AC115" s="6"/>
      <c r="AD115" s="6"/>
      <c r="AE115" s="6"/>
      <c r="AF115" s="20"/>
      <c r="AG115" s="1"/>
      <c r="AH115" s="7"/>
      <c r="AI115" s="6"/>
      <c r="AJ115" s="6"/>
      <c r="AK115" s="6"/>
      <c r="AL115" s="20"/>
      <c r="AM115" s="1"/>
      <c r="AN115" s="7"/>
      <c r="AO115" s="6"/>
      <c r="AP115" s="6"/>
      <c r="AQ115" s="6"/>
      <c r="AR115" s="20"/>
      <c r="AS115" s="1"/>
      <c r="AT115" s="7"/>
      <c r="AU115" s="6"/>
      <c r="AV115" s="6"/>
      <c r="AW115" s="6"/>
      <c r="AX115" s="20"/>
      <c r="AY115" s="1"/>
      <c r="AZ115" s="7"/>
      <c r="BA115" s="6"/>
      <c r="BB115" s="6"/>
      <c r="BC115" s="6"/>
      <c r="BD115" s="20"/>
      <c r="BE115" s="1"/>
      <c r="BF115" s="7"/>
      <c r="BG115" s="6"/>
      <c r="BH115" s="6"/>
      <c r="BI115" s="6"/>
      <c r="BJ115" s="20"/>
      <c r="BN115" s="1"/>
      <c r="BP115" s="1"/>
    </row>
    <row r="116" spans="3:68" ht="20.100000000000001" customHeight="1" x14ac:dyDescent="0.25">
      <c r="C116" s="1">
        <v>5</v>
      </c>
      <c r="D116" s="7"/>
      <c r="E116" s="6"/>
      <c r="F116" s="6"/>
      <c r="G116" s="6"/>
      <c r="H116" s="20"/>
      <c r="I116" s="1"/>
      <c r="J116" s="7"/>
      <c r="K116" s="6"/>
      <c r="L116" s="6"/>
      <c r="M116" s="6"/>
      <c r="N116" s="20"/>
      <c r="O116" s="1"/>
      <c r="P116" s="7"/>
      <c r="Q116" s="6"/>
      <c r="R116" s="6"/>
      <c r="S116" s="6"/>
      <c r="T116" s="20"/>
      <c r="U116" s="1"/>
      <c r="V116" s="7"/>
      <c r="W116" s="6"/>
      <c r="X116" s="6"/>
      <c r="Y116" s="6"/>
      <c r="Z116" s="20"/>
      <c r="AA116" s="1"/>
      <c r="AB116" s="7"/>
      <c r="AC116" s="6"/>
      <c r="AD116" s="6"/>
      <c r="AE116" s="6"/>
      <c r="AF116" s="20"/>
      <c r="AG116" s="1"/>
      <c r="AH116" s="7"/>
      <c r="AI116" s="6"/>
      <c r="AJ116" s="6"/>
      <c r="AK116" s="6"/>
      <c r="AL116" s="20"/>
      <c r="AM116" s="1"/>
      <c r="AN116" s="7"/>
      <c r="AO116" s="6"/>
      <c r="AP116" s="6"/>
      <c r="AQ116" s="6"/>
      <c r="AR116" s="20"/>
      <c r="AS116" s="1"/>
      <c r="AT116" s="7"/>
      <c r="AU116" s="6"/>
      <c r="AV116" s="6"/>
      <c r="AW116" s="6"/>
      <c r="AX116" s="20"/>
      <c r="AY116" s="1"/>
      <c r="AZ116" s="7"/>
      <c r="BA116" s="6"/>
      <c r="BB116" s="6"/>
      <c r="BC116" s="6"/>
      <c r="BD116" s="20"/>
      <c r="BE116" s="1"/>
      <c r="BF116" s="7"/>
      <c r="BG116" s="6"/>
      <c r="BH116" s="6"/>
      <c r="BI116" s="6"/>
      <c r="BJ116" s="20"/>
      <c r="BN116" s="1"/>
      <c r="BP116" s="1"/>
    </row>
    <row r="117" spans="3:68" ht="20.100000000000001" customHeight="1" x14ac:dyDescent="0.25">
      <c r="C117" s="1">
        <v>4</v>
      </c>
      <c r="D117" s="6"/>
      <c r="E117" s="6"/>
      <c r="F117" s="6"/>
      <c r="G117" s="6"/>
      <c r="H117" s="6"/>
      <c r="J117" s="6"/>
      <c r="K117" s="6"/>
      <c r="L117" s="6"/>
      <c r="M117" s="6"/>
      <c r="N117" s="6"/>
      <c r="P117" s="6"/>
      <c r="Q117" s="6"/>
      <c r="R117" s="6"/>
      <c r="S117" s="6"/>
      <c r="T117" s="6"/>
      <c r="V117" s="6"/>
      <c r="W117" s="6"/>
      <c r="X117" s="6"/>
      <c r="Y117" s="6"/>
      <c r="Z117" s="6"/>
      <c r="AB117" s="6"/>
      <c r="AC117" s="6"/>
      <c r="AD117" s="6"/>
      <c r="AE117" s="6"/>
      <c r="AF117" s="6"/>
      <c r="AH117" s="6"/>
      <c r="AI117" s="6"/>
      <c r="AJ117" s="6"/>
      <c r="AK117" s="6"/>
      <c r="AL117" s="6"/>
      <c r="AN117" s="6"/>
      <c r="AO117" s="6"/>
      <c r="AP117" s="6"/>
      <c r="AQ117" s="6"/>
      <c r="AR117" s="6"/>
      <c r="AT117" s="6"/>
      <c r="AU117" s="6"/>
      <c r="AV117" s="6"/>
      <c r="AW117" s="6"/>
      <c r="AX117" s="6"/>
      <c r="AZ117" s="6"/>
      <c r="BA117" s="6"/>
      <c r="BB117" s="6"/>
      <c r="BC117" s="6"/>
      <c r="BD117" s="6"/>
      <c r="BF117" s="6"/>
      <c r="BG117" s="6"/>
      <c r="BH117" s="6"/>
      <c r="BI117" s="6"/>
      <c r="BJ117" s="6"/>
      <c r="BN117" s="1"/>
      <c r="BP117" s="1"/>
    </row>
    <row r="118" spans="3:68" ht="20.100000000000001" customHeight="1" x14ac:dyDescent="0.25">
      <c r="C118" s="1">
        <v>3</v>
      </c>
      <c r="D118" s="6"/>
      <c r="E118" s="6"/>
      <c r="F118" s="6"/>
      <c r="G118" s="6"/>
      <c r="H118" s="6"/>
      <c r="J118" s="6"/>
      <c r="K118" s="6"/>
      <c r="L118" s="6"/>
      <c r="M118" s="6"/>
      <c r="N118" s="6"/>
      <c r="P118" s="6"/>
      <c r="Q118" s="6"/>
      <c r="R118" s="6"/>
      <c r="S118" s="6"/>
      <c r="T118" s="6"/>
      <c r="V118" s="6"/>
      <c r="W118" s="6"/>
      <c r="X118" s="6"/>
      <c r="Y118" s="6"/>
      <c r="Z118" s="6"/>
      <c r="AB118" s="6"/>
      <c r="AC118" s="6"/>
      <c r="AD118" s="6"/>
      <c r="AE118" s="6"/>
      <c r="AF118" s="6"/>
      <c r="AH118" s="6"/>
      <c r="AI118" s="6"/>
      <c r="AJ118" s="6"/>
      <c r="AK118" s="6"/>
      <c r="AL118" s="6"/>
      <c r="AN118" s="6"/>
      <c r="AO118" s="6"/>
      <c r="AP118" s="6"/>
      <c r="AQ118" s="6"/>
      <c r="AR118" s="6"/>
      <c r="AT118" s="6"/>
      <c r="AU118" s="6"/>
      <c r="AV118" s="6"/>
      <c r="AW118" s="6"/>
      <c r="AX118" s="6"/>
      <c r="AZ118" s="6"/>
      <c r="BA118" s="6"/>
      <c r="BB118" s="6"/>
      <c r="BC118" s="6"/>
      <c r="BD118" s="6"/>
      <c r="BF118" s="6"/>
      <c r="BG118" s="6"/>
      <c r="BH118" s="6"/>
      <c r="BI118" s="6"/>
      <c r="BJ118" s="6"/>
      <c r="BN118" s="1"/>
      <c r="BP118" s="1"/>
    </row>
    <row r="119" spans="3:68" ht="20.100000000000001" customHeight="1" x14ac:dyDescent="0.25">
      <c r="C119" s="1">
        <v>2</v>
      </c>
      <c r="D119" s="6"/>
      <c r="E119" s="6"/>
      <c r="F119" s="6"/>
      <c r="G119" s="6"/>
      <c r="H119" s="6"/>
      <c r="J119" s="6"/>
      <c r="K119" s="6"/>
      <c r="L119" s="6"/>
      <c r="M119" s="6"/>
      <c r="N119" s="6"/>
      <c r="P119" s="6"/>
      <c r="Q119" s="6"/>
      <c r="R119" s="6"/>
      <c r="S119" s="6"/>
      <c r="T119" s="6"/>
      <c r="V119" s="6"/>
      <c r="W119" s="6"/>
      <c r="X119" s="6"/>
      <c r="Y119" s="6"/>
      <c r="Z119" s="6"/>
      <c r="AB119" s="6"/>
      <c r="AC119" s="6"/>
      <c r="AD119" s="6"/>
      <c r="AE119" s="6"/>
      <c r="AF119" s="6"/>
      <c r="AH119" s="6"/>
      <c r="AI119" s="6"/>
      <c r="AJ119" s="6"/>
      <c r="AK119" s="6"/>
      <c r="AL119" s="6"/>
      <c r="AN119" s="6"/>
      <c r="AO119" s="6"/>
      <c r="AP119" s="6"/>
      <c r="AQ119" s="6"/>
      <c r="AR119" s="6"/>
      <c r="AT119" s="6"/>
      <c r="AU119" s="6"/>
      <c r="AV119" s="6"/>
      <c r="AW119" s="6"/>
      <c r="AX119" s="6"/>
      <c r="AZ119" s="6"/>
      <c r="BA119" s="6"/>
      <c r="BB119" s="6"/>
      <c r="BC119" s="6"/>
      <c r="BD119" s="6"/>
      <c r="BF119" s="6"/>
      <c r="BG119" s="6"/>
      <c r="BH119" s="6"/>
      <c r="BI119" s="6"/>
      <c r="BJ119" s="6"/>
      <c r="BN119" s="1"/>
      <c r="BP119" s="1"/>
    </row>
    <row r="120" spans="3:68" ht="20.100000000000001" customHeight="1" x14ac:dyDescent="0.25">
      <c r="C120" s="1">
        <v>1</v>
      </c>
      <c r="D120" s="6"/>
      <c r="E120" s="6"/>
      <c r="F120" s="6"/>
      <c r="G120" s="6"/>
      <c r="H120" s="6"/>
      <c r="J120" s="6"/>
      <c r="K120" s="6"/>
      <c r="L120" s="6"/>
      <c r="M120" s="6"/>
      <c r="N120" s="6"/>
      <c r="P120" s="6"/>
      <c r="Q120" s="6"/>
      <c r="R120" s="6"/>
      <c r="S120" s="6"/>
      <c r="T120" s="6"/>
      <c r="V120" s="6"/>
      <c r="W120" s="6"/>
      <c r="X120" s="6"/>
      <c r="Y120" s="6"/>
      <c r="Z120" s="6"/>
      <c r="AB120" s="6"/>
      <c r="AC120" s="6"/>
      <c r="AD120" s="6"/>
      <c r="AE120" s="6"/>
      <c r="AF120" s="6"/>
      <c r="AH120" s="6"/>
      <c r="AI120" s="6"/>
      <c r="AJ120" s="6"/>
      <c r="AK120" s="6"/>
      <c r="AL120" s="6"/>
      <c r="AN120" s="6"/>
      <c r="AO120" s="6"/>
      <c r="AP120" s="6"/>
      <c r="AQ120" s="6"/>
      <c r="AR120" s="6"/>
      <c r="AT120" s="6"/>
      <c r="AU120" s="6"/>
      <c r="AV120" s="6"/>
      <c r="AW120" s="6"/>
      <c r="AX120" s="6"/>
      <c r="AZ120" s="6"/>
      <c r="BA120" s="6"/>
      <c r="BB120" s="6"/>
      <c r="BC120" s="6"/>
      <c r="BD120" s="6"/>
      <c r="BF120" s="6"/>
      <c r="BG120" s="6"/>
      <c r="BH120" s="6"/>
      <c r="BI120" s="6"/>
      <c r="BJ120" s="6"/>
      <c r="BN120" s="1"/>
      <c r="BP120" s="1"/>
    </row>
    <row r="121" spans="3:68" x14ac:dyDescent="0.25">
      <c r="BN121" s="1"/>
      <c r="BP121" s="1"/>
    </row>
    <row r="122" spans="3:68" x14ac:dyDescent="0.25">
      <c r="BN122" s="1"/>
      <c r="BP122" s="1"/>
    </row>
    <row r="123" spans="3:68" x14ac:dyDescent="0.25">
      <c r="BN123" s="1"/>
      <c r="BP123" s="1"/>
    </row>
    <row r="124" spans="3:68" x14ac:dyDescent="0.25">
      <c r="BN124" s="1"/>
      <c r="BP124" s="1"/>
    </row>
    <row r="125" spans="3:68" x14ac:dyDescent="0.25">
      <c r="M125" s="10"/>
      <c r="N125" s="10"/>
      <c r="O125" s="10"/>
      <c r="P125" s="10"/>
      <c r="Q125" s="10"/>
      <c r="R125" s="10"/>
      <c r="BN125" s="1"/>
      <c r="BP125" s="1"/>
    </row>
    <row r="126" spans="3:68" x14ac:dyDescent="0.25">
      <c r="M126" s="10"/>
      <c r="N126" s="10"/>
      <c r="O126" s="10"/>
      <c r="P126" s="10"/>
      <c r="Q126" s="10"/>
      <c r="R126" s="10"/>
      <c r="BN126" s="1"/>
      <c r="BP126" s="1"/>
    </row>
    <row r="127" spans="3:68" x14ac:dyDescent="0.25">
      <c r="BN127" s="1"/>
      <c r="BP127" s="1"/>
    </row>
    <row r="128" spans="3:68" x14ac:dyDescent="0.25">
      <c r="BN128" s="1"/>
      <c r="BP128" s="1"/>
    </row>
    <row r="129" spans="66:68" x14ac:dyDescent="0.25">
      <c r="BN129" s="1"/>
      <c r="BP129" s="1"/>
    </row>
    <row r="130" spans="66:68" x14ac:dyDescent="0.25">
      <c r="BN130" s="1"/>
      <c r="BP130" s="1"/>
    </row>
    <row r="131" spans="66:68" x14ac:dyDescent="0.25">
      <c r="BN131" s="1"/>
      <c r="BP131" s="1"/>
    </row>
    <row r="132" spans="66:68" x14ac:dyDescent="0.25">
      <c r="BN132" s="1"/>
      <c r="BP132" s="1"/>
    </row>
    <row r="149" spans="13:18" x14ac:dyDescent="0.25">
      <c r="M149" s="10"/>
      <c r="N149" s="10"/>
      <c r="O149" s="10"/>
      <c r="P149" s="10"/>
      <c r="Q149" s="10"/>
      <c r="R149" s="10"/>
    </row>
    <row r="150" spans="13:18" x14ac:dyDescent="0.25">
      <c r="M150" s="10"/>
      <c r="N150" s="10"/>
      <c r="O150" s="10"/>
      <c r="P150" s="10"/>
      <c r="Q150" s="10"/>
      <c r="R150" s="10"/>
    </row>
    <row r="155" spans="13:18" x14ac:dyDescent="0.25">
      <c r="M155" s="10"/>
      <c r="N155" s="10"/>
      <c r="O155" s="10"/>
      <c r="P155" s="10"/>
      <c r="Q155" s="10"/>
      <c r="R155" s="10"/>
    </row>
    <row r="156" spans="13:18" x14ac:dyDescent="0.25">
      <c r="M156" s="10"/>
      <c r="N156" s="10"/>
      <c r="O156" s="10"/>
      <c r="P156" s="10"/>
      <c r="Q156" s="10"/>
      <c r="R156" s="10"/>
    </row>
    <row r="161" spans="13:18" x14ac:dyDescent="0.25">
      <c r="M161" s="10"/>
      <c r="N161" s="10"/>
      <c r="O161" s="10"/>
      <c r="P161" s="10"/>
      <c r="Q161" s="10"/>
      <c r="R161" s="10"/>
    </row>
    <row r="162" spans="13:18" x14ac:dyDescent="0.25">
      <c r="M162" s="10"/>
      <c r="N162" s="10"/>
      <c r="O162" s="10"/>
      <c r="P162" s="10"/>
      <c r="Q162" s="10"/>
      <c r="R162" s="10"/>
    </row>
    <row r="167" spans="13:18" x14ac:dyDescent="0.25">
      <c r="M167" s="10"/>
      <c r="N167" s="10"/>
      <c r="O167" s="10"/>
      <c r="P167" s="10"/>
      <c r="Q167" s="10"/>
      <c r="R167" s="10"/>
    </row>
    <row r="168" spans="13:18" x14ac:dyDescent="0.25">
      <c r="M168" s="10"/>
      <c r="N168" s="10"/>
      <c r="O168" s="10"/>
      <c r="P168" s="10"/>
      <c r="Q168" s="10"/>
      <c r="R168" s="10"/>
    </row>
    <row r="173" spans="13:18" x14ac:dyDescent="0.25">
      <c r="M173" s="10"/>
      <c r="N173" s="10"/>
      <c r="O173" s="10"/>
      <c r="P173" s="10"/>
      <c r="Q173" s="10"/>
      <c r="R173" s="10"/>
    </row>
    <row r="174" spans="13:18" x14ac:dyDescent="0.25">
      <c r="M174" s="10"/>
      <c r="N174" s="10"/>
      <c r="O174" s="10"/>
      <c r="P174" s="10"/>
      <c r="Q174" s="10"/>
      <c r="R174" s="10"/>
    </row>
    <row r="179" spans="13:18" x14ac:dyDescent="0.25">
      <c r="M179" s="10"/>
      <c r="N179" s="10"/>
      <c r="O179" s="10"/>
      <c r="P179" s="10"/>
      <c r="Q179" s="10"/>
      <c r="R179" s="10"/>
    </row>
    <row r="180" spans="13:18" x14ac:dyDescent="0.25">
      <c r="M180" s="10"/>
      <c r="N180" s="10"/>
      <c r="O180" s="10"/>
      <c r="P180" s="10"/>
      <c r="Q180" s="10"/>
      <c r="R180" s="10"/>
    </row>
    <row r="185" spans="13:18" x14ac:dyDescent="0.25">
      <c r="M185" s="10"/>
      <c r="N185" s="10"/>
      <c r="O185" s="10"/>
      <c r="P185" s="10"/>
      <c r="Q185" s="10"/>
      <c r="R185" s="10"/>
    </row>
    <row r="186" spans="13:18" x14ac:dyDescent="0.25">
      <c r="M186" s="10"/>
      <c r="N186" s="10"/>
      <c r="O186" s="10"/>
      <c r="P186" s="10"/>
      <c r="Q186" s="10"/>
      <c r="R186" s="10"/>
    </row>
    <row r="197" spans="13:18" x14ac:dyDescent="0.25">
      <c r="M197" s="10"/>
      <c r="N197" s="10"/>
      <c r="O197" s="10"/>
      <c r="P197" s="10"/>
      <c r="Q197" s="10"/>
      <c r="R197" s="10"/>
    </row>
    <row r="198" spans="13:18" x14ac:dyDescent="0.25">
      <c r="M198" s="10"/>
      <c r="N198" s="10"/>
      <c r="O198" s="10"/>
      <c r="P198" s="10"/>
      <c r="Q198" s="10"/>
      <c r="R198" s="10"/>
    </row>
    <row r="203" spans="13:18" x14ac:dyDescent="0.25">
      <c r="M203" s="10"/>
      <c r="N203" s="10"/>
      <c r="O203" s="10"/>
      <c r="P203" s="10"/>
      <c r="Q203" s="10"/>
      <c r="R203" s="10"/>
    </row>
    <row r="204" spans="13:18" x14ac:dyDescent="0.25">
      <c r="M204" s="10"/>
      <c r="N204" s="10"/>
      <c r="O204" s="10"/>
      <c r="P204" s="10"/>
      <c r="Q204" s="10"/>
      <c r="R204" s="10"/>
    </row>
    <row r="209" spans="13:18" x14ac:dyDescent="0.25">
      <c r="M209" s="10"/>
      <c r="N209" s="10"/>
      <c r="O209" s="10"/>
      <c r="P209" s="10"/>
      <c r="Q209" s="10"/>
      <c r="R209" s="10"/>
    </row>
    <row r="210" spans="13:18" x14ac:dyDescent="0.25">
      <c r="M210" s="10"/>
      <c r="N210" s="10"/>
      <c r="O210" s="10"/>
      <c r="P210" s="10"/>
      <c r="Q210" s="10"/>
      <c r="R210" s="10"/>
    </row>
    <row r="215" spans="13:18" x14ac:dyDescent="0.25">
      <c r="M215" s="10"/>
      <c r="N215" s="10"/>
      <c r="O215" s="10"/>
      <c r="P215" s="10"/>
      <c r="Q215" s="10"/>
      <c r="R215" s="10"/>
    </row>
    <row r="216" spans="13:18" x14ac:dyDescent="0.25">
      <c r="M216" s="10"/>
      <c r="N216" s="10"/>
      <c r="O216" s="10"/>
      <c r="P216" s="10"/>
      <c r="Q216" s="10"/>
      <c r="R216" s="10"/>
    </row>
    <row r="221" spans="13:18" x14ac:dyDescent="0.25">
      <c r="M221" s="10"/>
      <c r="N221" s="10"/>
      <c r="O221" s="10"/>
      <c r="P221" s="10"/>
      <c r="Q221" s="10"/>
      <c r="R221" s="10"/>
    </row>
    <row r="222" spans="13:18" x14ac:dyDescent="0.25">
      <c r="M222" s="10"/>
      <c r="N222" s="10"/>
      <c r="O222" s="10"/>
      <c r="P222" s="10"/>
      <c r="Q222" s="10"/>
      <c r="R222" s="10"/>
    </row>
    <row r="227" spans="13:18" x14ac:dyDescent="0.25">
      <c r="M227" s="10"/>
      <c r="N227" s="10"/>
      <c r="O227" s="10"/>
      <c r="P227" s="10"/>
      <c r="Q227" s="10"/>
      <c r="R227" s="10"/>
    </row>
    <row r="228" spans="13:18" x14ac:dyDescent="0.25">
      <c r="M228" s="10"/>
      <c r="N228" s="10"/>
      <c r="O228" s="10"/>
      <c r="P228" s="10"/>
      <c r="Q228" s="10"/>
      <c r="R228" s="10"/>
    </row>
    <row r="233" spans="13:18" x14ac:dyDescent="0.25">
      <c r="M233" s="10"/>
      <c r="N233" s="10"/>
      <c r="O233" s="10"/>
      <c r="P233" s="10"/>
      <c r="Q233" s="10"/>
      <c r="R233" s="10"/>
    </row>
    <row r="234" spans="13:18" x14ac:dyDescent="0.25">
      <c r="M234" s="10"/>
      <c r="N234" s="10"/>
      <c r="O234" s="10"/>
      <c r="P234" s="10"/>
      <c r="Q234" s="10"/>
      <c r="R234" s="10"/>
    </row>
    <row r="239" spans="13:18" x14ac:dyDescent="0.25">
      <c r="M239" s="10"/>
      <c r="N239" s="10"/>
      <c r="O239" s="10"/>
      <c r="P239" s="10"/>
      <c r="Q239" s="10"/>
      <c r="R239" s="10"/>
    </row>
    <row r="240" spans="13:18" x14ac:dyDescent="0.25">
      <c r="M240" s="10"/>
      <c r="N240" s="10"/>
      <c r="O240" s="10"/>
      <c r="P240" s="10"/>
      <c r="Q240" s="10"/>
      <c r="R240" s="10"/>
    </row>
  </sheetData>
  <phoneticPr fontId="7" type="noConversion"/>
  <conditionalFormatting sqref="A26:C42">
    <cfRule type="cellIs" dxfId="428" priority="23" operator="equal">
      <formula>"X"</formula>
    </cfRule>
  </conditionalFormatting>
  <conditionalFormatting sqref="A1:XFD1 BL2:XFD2 A2:BK6 BO3:XFD3 BL3:BM6 BO4:DV7 DX4:XFD11 DW4:DW14 A7:BM25 DY12:XFD23 BW17:DV22 DW24:XFD25 I26 O26 U26 AA26 AG26 AM26 AS26 AY26 BE26 BK26 BL26:BM39 BW26:XFD41 C34:BJ34 BK40:BM42 DW42:XFD43 A43:BM43 A44:B44 BK44:BM44 BW44:XFD132 A45:BM45 C46:C52 A46:B54 A55:C55 BG55:BM55 C56:C62 A56:B64 A65:BM65 C66:C76 A66:B78 A79:BM79 C80:C90 A80:B92 A93:BM93 C94:C104 A94:B106 A107:BM107 C108:C118 A108:B120 A121:BM132 A133:XFD1048576">
    <cfRule type="cellIs" dxfId="427" priority="25" operator="equal">
      <formula>"X"</formula>
    </cfRule>
  </conditionalFormatting>
  <conditionalFormatting sqref="C43:BJ44">
    <cfRule type="cellIs" dxfId="426" priority="20" operator="equal">
      <formula>"X"</formula>
    </cfRule>
  </conditionalFormatting>
  <conditionalFormatting sqref="C53:BJ54">
    <cfRule type="cellIs" dxfId="425" priority="17" operator="equal">
      <formula>"X"</formula>
    </cfRule>
  </conditionalFormatting>
  <conditionalFormatting sqref="C63:BJ64">
    <cfRule type="cellIs" dxfId="424" priority="14" operator="equal">
      <formula>"X"</formula>
    </cfRule>
  </conditionalFormatting>
  <conditionalFormatting sqref="C76:BJ78">
    <cfRule type="cellIs" dxfId="423" priority="11" operator="equal">
      <formula>"X"</formula>
    </cfRule>
  </conditionalFormatting>
  <conditionalFormatting sqref="C90:BJ92">
    <cfRule type="cellIs" dxfId="422" priority="8" operator="equal">
      <formula>"X"</formula>
    </cfRule>
  </conditionalFormatting>
  <conditionalFormatting sqref="C104:BJ106">
    <cfRule type="cellIs" dxfId="421" priority="5" operator="equal">
      <formula>"X"</formula>
    </cfRule>
  </conditionalFormatting>
  <conditionalFormatting sqref="C118:BJ120">
    <cfRule type="cellIs" dxfId="420" priority="2" operator="equal">
      <formula>"X"</formula>
    </cfRule>
  </conditionalFormatting>
  <conditionalFormatting sqref="D27:BJ34">
    <cfRule type="cellIs" dxfId="419" priority="22" operator="equal">
      <formula>"X"</formula>
    </cfRule>
  </conditionalFormatting>
  <conditionalFormatting sqref="D37:BJ44">
    <cfRule type="cellIs" dxfId="418" priority="19" operator="equal">
      <formula>"X"</formula>
    </cfRule>
  </conditionalFormatting>
  <conditionalFormatting sqref="D47:BM54">
    <cfRule type="cellIs" dxfId="417" priority="16" operator="equal">
      <formula>"X"</formula>
    </cfRule>
  </conditionalFormatting>
  <conditionalFormatting sqref="D57:BM64">
    <cfRule type="cellIs" dxfId="416" priority="13" operator="equal">
      <formula>"X"</formula>
    </cfRule>
  </conditionalFormatting>
  <conditionalFormatting sqref="D67:BM78">
    <cfRule type="cellIs" dxfId="415" priority="10" operator="equal">
      <formula>"X"</formula>
    </cfRule>
  </conditionalFormatting>
  <conditionalFormatting sqref="D81:BM92">
    <cfRule type="cellIs" dxfId="414" priority="7" operator="equal">
      <formula>"X"</formula>
    </cfRule>
  </conditionalFormatting>
  <conditionalFormatting sqref="D95:BM106">
    <cfRule type="cellIs" dxfId="413" priority="4" operator="equal">
      <formula>"X"</formula>
    </cfRule>
  </conditionalFormatting>
  <conditionalFormatting sqref="D109:BM120">
    <cfRule type="cellIs" dxfId="412" priority="1" operator="equal">
      <formula>"X"</formula>
    </cfRule>
  </conditionalFormatting>
  <conditionalFormatting sqref="I35:I36 O35:O36 U35:U36 AA35:AA36 AG35:AG36 AM35:AM36 AS35:AS36 AY35:AY36 BE35:BE36">
    <cfRule type="cellIs" dxfId="411" priority="21" operator="equal">
      <formula>"X"</formula>
    </cfRule>
  </conditionalFormatting>
  <conditionalFormatting sqref="I46 O46 U46 AA46 AG46 AM46 AS46 AY46 BE46 BK46:BM46">
    <cfRule type="cellIs" dxfId="410" priority="18" operator="equal">
      <formula>"X"</formula>
    </cfRule>
  </conditionalFormatting>
  <conditionalFormatting sqref="I56 O56 U56 AA56 AG56 AM56 AS56 AY56 BE56 BK56:BM56">
    <cfRule type="cellIs" dxfId="409" priority="15" operator="equal">
      <formula>"X"</formula>
    </cfRule>
  </conditionalFormatting>
  <conditionalFormatting sqref="I66 O66 U66 AA66 AG66 AM66 AS66 AY66 BE66 BK66:BM66">
    <cfRule type="cellIs" dxfId="408" priority="12" operator="equal">
      <formula>"X"</formula>
    </cfRule>
  </conditionalFormatting>
  <conditionalFormatting sqref="I80 O80 U80 AA80 AG80 AM80 AS80 AY80 BE80 BK80:BM80">
    <cfRule type="cellIs" dxfId="407" priority="9" operator="equal">
      <formula>"X"</formula>
    </cfRule>
  </conditionalFormatting>
  <conditionalFormatting sqref="I94 O94 U94 AA94 AG94 AM94 AS94 AY94 BE94 BK94:BM94">
    <cfRule type="cellIs" dxfId="406" priority="6" operator="equal">
      <formula>"X"</formula>
    </cfRule>
  </conditionalFormatting>
  <conditionalFormatting sqref="I108 O108 U108 AA108 AG108 AM108 AS108 AY108 BE108 BK108:BM108">
    <cfRule type="cellIs" dxfId="405" priority="3" operator="equal">
      <formula>"X"</formula>
    </cfRule>
  </conditionalFormatting>
  <conditionalFormatting sqref="M107:R107 M125:R126 M149:R150 M155:R156 M161:R162 M167:R168 M173:R174 M179:R180 M185:R186 M197:R198 M203:R204 M209:R210 M215:R216 M221:R222 M227:R228 M233:R234 M239:R240">
    <cfRule type="cellIs" dxfId="404" priority="26" operator="equal">
      <formula>"X"</formula>
    </cfRule>
  </conditionalFormatting>
  <conditionalFormatting sqref="BK30:BK41">
    <cfRule type="cellIs" dxfId="403" priority="24" operator="equal">
      <formula>"X"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X30"/>
  <sheetViews>
    <sheetView workbookViewId="0">
      <selection activeCell="N33" sqref="N33"/>
    </sheetView>
  </sheetViews>
  <sheetFormatPr defaultColWidth="9" defaultRowHeight="15" x14ac:dyDescent="0.15"/>
  <cols>
    <col min="1" max="1" width="9" style="1"/>
    <col min="2" max="2" width="14.25" style="1" bestFit="1" customWidth="1"/>
    <col min="3" max="14" width="9" style="1"/>
    <col min="15" max="15" width="9" style="1" customWidth="1"/>
    <col min="16" max="17" width="9" style="1"/>
    <col min="18" max="18" width="11" style="1" bestFit="1" customWidth="1"/>
    <col min="19" max="16384" width="9" style="1"/>
  </cols>
  <sheetData>
    <row r="2" spans="1:24" ht="15.75" thickBot="1" x14ac:dyDescent="0.2">
      <c r="A2" s="1" t="s">
        <v>0</v>
      </c>
      <c r="B2" s="13">
        <f>100/G2</f>
        <v>2</v>
      </c>
      <c r="C2" s="1" t="s">
        <v>1</v>
      </c>
      <c r="F2" s="1" t="s">
        <v>46</v>
      </c>
      <c r="G2" s="1">
        <v>50</v>
      </c>
    </row>
    <row r="3" spans="1:24" x14ac:dyDescent="0.15">
      <c r="M3" s="55" t="s">
        <v>54</v>
      </c>
      <c r="N3" s="104" t="s">
        <v>48</v>
      </c>
      <c r="O3" s="104" t="s">
        <v>141</v>
      </c>
      <c r="P3" s="25" t="s">
        <v>344</v>
      </c>
      <c r="R3" s="1" t="s">
        <v>114</v>
      </c>
      <c r="S3" s="1">
        <v>1</v>
      </c>
      <c r="T3" s="1">
        <v>2</v>
      </c>
      <c r="U3" s="1">
        <v>3</v>
      </c>
      <c r="V3" s="1">
        <v>4</v>
      </c>
      <c r="W3" s="1">
        <v>5</v>
      </c>
      <c r="X3" s="1">
        <v>6</v>
      </c>
    </row>
    <row r="4" spans="1:24" x14ac:dyDescent="0.25">
      <c r="B4" s="1" t="s">
        <v>2</v>
      </c>
      <c r="C4" s="1" t="s">
        <v>3</v>
      </c>
      <c r="D4" s="1" t="s">
        <v>3</v>
      </c>
      <c r="E4" s="1" t="s">
        <v>3</v>
      </c>
      <c r="F4" s="1" t="s">
        <v>3</v>
      </c>
      <c r="M4" s="56" t="s">
        <v>129</v>
      </c>
      <c r="N4" s="52">
        <v>0</v>
      </c>
      <c r="O4" s="52">
        <v>1</v>
      </c>
      <c r="P4" s="27">
        <f>N4+200</f>
        <v>200</v>
      </c>
      <c r="R4" s="1" t="s">
        <v>115</v>
      </c>
      <c r="S4" s="1">
        <v>0</v>
      </c>
      <c r="T4" s="1">
        <v>0</v>
      </c>
      <c r="U4" s="1">
        <v>6</v>
      </c>
      <c r="V4" s="1">
        <v>8</v>
      </c>
      <c r="W4" s="1">
        <v>10</v>
      </c>
      <c r="X4" s="1">
        <v>12</v>
      </c>
    </row>
    <row r="5" spans="1:24" x14ac:dyDescent="0.25">
      <c r="B5" s="1" t="s">
        <v>4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M5" s="56" t="s">
        <v>130</v>
      </c>
      <c r="N5" s="52">
        <v>1</v>
      </c>
      <c r="O5" s="52">
        <v>2</v>
      </c>
      <c r="P5" s="27">
        <f t="shared" ref="P5:P15" si="0">N5+200</f>
        <v>201</v>
      </c>
      <c r="R5" s="1" t="s">
        <v>116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</row>
    <row r="6" spans="1:24" x14ac:dyDescent="0.25">
      <c r="B6" s="1" t="s">
        <v>17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56" t="s">
        <v>135</v>
      </c>
      <c r="N6" s="62">
        <v>2</v>
      </c>
      <c r="O6" s="62">
        <v>3</v>
      </c>
      <c r="P6" s="27">
        <f t="shared" si="0"/>
        <v>202</v>
      </c>
    </row>
    <row r="7" spans="1:24" x14ac:dyDescent="0.25">
      <c r="B7" s="1" t="s">
        <v>129</v>
      </c>
      <c r="C7" s="1">
        <v>0</v>
      </c>
      <c r="D7" s="1">
        <v>5</v>
      </c>
      <c r="E7" s="1">
        <v>15</v>
      </c>
      <c r="F7" s="1">
        <v>50</v>
      </c>
      <c r="G7" s="1">
        <v>100</v>
      </c>
      <c r="H7" s="1">
        <v>200</v>
      </c>
      <c r="I7" s="1">
        <v>500</v>
      </c>
      <c r="J7" s="1">
        <v>750</v>
      </c>
      <c r="K7" s="1">
        <v>1000</v>
      </c>
      <c r="M7" s="56" t="s">
        <v>136</v>
      </c>
      <c r="N7" s="62">
        <v>3</v>
      </c>
      <c r="O7" s="62">
        <v>4</v>
      </c>
      <c r="P7" s="27">
        <f t="shared" si="0"/>
        <v>203</v>
      </c>
    </row>
    <row r="8" spans="1:24" x14ac:dyDescent="0.25">
      <c r="B8" s="1" t="s">
        <v>130</v>
      </c>
      <c r="C8" s="1">
        <v>0</v>
      </c>
      <c r="D8" s="1">
        <v>5</v>
      </c>
      <c r="E8" s="1">
        <v>15</v>
      </c>
      <c r="F8" s="1">
        <v>50</v>
      </c>
      <c r="G8" s="1">
        <v>100</v>
      </c>
      <c r="H8" s="1">
        <v>200</v>
      </c>
      <c r="I8" s="1">
        <v>500</v>
      </c>
      <c r="J8" s="1">
        <v>750</v>
      </c>
      <c r="K8" s="1">
        <v>1000</v>
      </c>
      <c r="M8" s="56" t="s">
        <v>137</v>
      </c>
      <c r="N8" s="62">
        <v>4</v>
      </c>
      <c r="O8" s="62">
        <v>5</v>
      </c>
      <c r="P8" s="27">
        <f t="shared" si="0"/>
        <v>204</v>
      </c>
    </row>
    <row r="9" spans="1:24" x14ac:dyDescent="0.25">
      <c r="B9" s="1" t="s">
        <v>126</v>
      </c>
      <c r="C9" s="1">
        <v>0</v>
      </c>
      <c r="D9" s="1">
        <v>5</v>
      </c>
      <c r="E9" s="1">
        <v>10</v>
      </c>
      <c r="F9" s="1">
        <v>25</v>
      </c>
      <c r="G9" s="1">
        <v>50</v>
      </c>
      <c r="H9" s="1">
        <v>100</v>
      </c>
      <c r="I9" s="1">
        <v>200</v>
      </c>
      <c r="J9" s="1">
        <v>300</v>
      </c>
      <c r="K9" s="1">
        <v>500</v>
      </c>
      <c r="M9" s="56" t="s">
        <v>131</v>
      </c>
      <c r="N9" s="62">
        <v>5</v>
      </c>
      <c r="O9" s="62">
        <v>6</v>
      </c>
      <c r="P9" s="27">
        <f>N9</f>
        <v>5</v>
      </c>
    </row>
    <row r="10" spans="1:24" x14ac:dyDescent="0.25">
      <c r="B10" s="1" t="s">
        <v>127</v>
      </c>
      <c r="C10" s="1">
        <v>0</v>
      </c>
      <c r="D10" s="1">
        <v>5</v>
      </c>
      <c r="E10" s="1">
        <v>10</v>
      </c>
      <c r="F10" s="1">
        <v>25</v>
      </c>
      <c r="G10" s="1">
        <v>50</v>
      </c>
      <c r="H10" s="1">
        <v>100</v>
      </c>
      <c r="I10" s="1">
        <v>200</v>
      </c>
      <c r="J10" s="1">
        <v>300</v>
      </c>
      <c r="K10" s="1">
        <v>500</v>
      </c>
      <c r="M10" s="56" t="s">
        <v>132</v>
      </c>
      <c r="N10" s="62">
        <v>6</v>
      </c>
      <c r="O10" s="62">
        <v>7</v>
      </c>
      <c r="P10" s="27">
        <f t="shared" ref="P10:P12" si="1">N10</f>
        <v>6</v>
      </c>
    </row>
    <row r="11" spans="1:24" x14ac:dyDescent="0.25">
      <c r="B11" s="1" t="s">
        <v>128</v>
      </c>
      <c r="C11" s="1">
        <v>0</v>
      </c>
      <c r="D11" s="1">
        <v>5</v>
      </c>
      <c r="E11" s="1">
        <v>10</v>
      </c>
      <c r="F11" s="1">
        <v>25</v>
      </c>
      <c r="G11" s="1">
        <v>50</v>
      </c>
      <c r="H11" s="1">
        <v>100</v>
      </c>
      <c r="I11" s="1">
        <v>200</v>
      </c>
      <c r="J11" s="1">
        <v>300</v>
      </c>
      <c r="K11" s="1">
        <v>500</v>
      </c>
      <c r="M11" s="56" t="s">
        <v>133</v>
      </c>
      <c r="N11" s="62">
        <v>7</v>
      </c>
      <c r="O11" s="62">
        <v>8</v>
      </c>
      <c r="P11" s="27">
        <f t="shared" si="1"/>
        <v>7</v>
      </c>
    </row>
    <row r="12" spans="1:24" x14ac:dyDescent="0.25">
      <c r="B12" s="1" t="s">
        <v>131</v>
      </c>
      <c r="C12" s="1">
        <v>0</v>
      </c>
      <c r="D12" s="1">
        <v>2</v>
      </c>
      <c r="E12" s="1">
        <v>5</v>
      </c>
      <c r="F12" s="1">
        <v>20</v>
      </c>
      <c r="G12" s="1">
        <v>30</v>
      </c>
      <c r="H12" s="1">
        <v>50</v>
      </c>
      <c r="I12" s="1">
        <v>75</v>
      </c>
      <c r="J12" s="1">
        <v>100</v>
      </c>
      <c r="K12" s="1">
        <v>0</v>
      </c>
      <c r="M12" s="56" t="s">
        <v>134</v>
      </c>
      <c r="N12" s="62">
        <v>8</v>
      </c>
      <c r="O12" s="62">
        <v>9</v>
      </c>
      <c r="P12" s="27">
        <f t="shared" si="1"/>
        <v>8</v>
      </c>
    </row>
    <row r="13" spans="1:24" x14ac:dyDescent="0.25">
      <c r="B13" s="1" t="s">
        <v>132</v>
      </c>
      <c r="C13" s="1">
        <v>0</v>
      </c>
      <c r="D13" s="1">
        <v>2</v>
      </c>
      <c r="E13" s="1">
        <v>5</v>
      </c>
      <c r="F13" s="1">
        <v>20</v>
      </c>
      <c r="G13" s="1">
        <v>30</v>
      </c>
      <c r="H13" s="1">
        <v>50</v>
      </c>
      <c r="I13" s="1">
        <v>75</v>
      </c>
      <c r="J13" s="1">
        <v>100</v>
      </c>
      <c r="K13" s="1">
        <v>0</v>
      </c>
      <c r="M13" s="56" t="s">
        <v>13</v>
      </c>
      <c r="N13" s="62">
        <v>90</v>
      </c>
      <c r="O13" s="62" t="s">
        <v>138</v>
      </c>
      <c r="P13" s="27">
        <v>290</v>
      </c>
    </row>
    <row r="14" spans="1:24" x14ac:dyDescent="0.25">
      <c r="B14" s="1" t="s">
        <v>133</v>
      </c>
      <c r="C14" s="1">
        <v>0</v>
      </c>
      <c r="D14" s="1">
        <v>2</v>
      </c>
      <c r="E14" s="1">
        <v>5</v>
      </c>
      <c r="F14" s="1">
        <v>20</v>
      </c>
      <c r="G14" s="1">
        <v>30</v>
      </c>
      <c r="H14" s="1">
        <v>50</v>
      </c>
      <c r="I14" s="1">
        <v>75</v>
      </c>
      <c r="J14" s="1">
        <v>100</v>
      </c>
      <c r="K14" s="1">
        <v>0</v>
      </c>
      <c r="M14" s="56" t="s">
        <v>45</v>
      </c>
      <c r="N14" s="62">
        <v>94</v>
      </c>
      <c r="O14" s="62" t="s">
        <v>139</v>
      </c>
      <c r="P14" s="27">
        <f t="shared" si="0"/>
        <v>294</v>
      </c>
    </row>
    <row r="15" spans="1:24" x14ac:dyDescent="0.15">
      <c r="B15" s="1" t="s">
        <v>134</v>
      </c>
      <c r="C15" s="1">
        <v>0</v>
      </c>
      <c r="D15" s="1">
        <v>2</v>
      </c>
      <c r="E15" s="1">
        <v>5</v>
      </c>
      <c r="F15" s="1">
        <v>20</v>
      </c>
      <c r="G15" s="1">
        <v>30</v>
      </c>
      <c r="H15" s="1">
        <v>50</v>
      </c>
      <c r="I15" s="1">
        <v>75</v>
      </c>
      <c r="J15" s="1">
        <v>100</v>
      </c>
      <c r="K15" s="1">
        <v>0</v>
      </c>
      <c r="M15" s="59" t="s">
        <v>17</v>
      </c>
      <c r="N15" s="62">
        <v>92</v>
      </c>
      <c r="O15" s="62" t="s">
        <v>140</v>
      </c>
      <c r="P15" s="27">
        <f t="shared" si="0"/>
        <v>292</v>
      </c>
    </row>
    <row r="16" spans="1:24" x14ac:dyDescent="0.15">
      <c r="B16" s="1" t="s">
        <v>13</v>
      </c>
      <c r="C16" s="1">
        <v>0</v>
      </c>
      <c r="D16" s="1">
        <v>100</v>
      </c>
      <c r="E16" s="1">
        <v>200</v>
      </c>
      <c r="F16" s="1">
        <v>300</v>
      </c>
      <c r="G16" s="1">
        <v>500</v>
      </c>
      <c r="H16" s="1">
        <v>0</v>
      </c>
      <c r="I16" s="1">
        <v>0</v>
      </c>
      <c r="J16" s="1">
        <v>0</v>
      </c>
      <c r="K16" s="1">
        <v>0</v>
      </c>
      <c r="M16" s="59" t="s">
        <v>345</v>
      </c>
      <c r="N16" s="62">
        <v>95</v>
      </c>
      <c r="O16" s="62"/>
      <c r="P16" s="27">
        <v>95</v>
      </c>
    </row>
    <row r="17" spans="2:16" x14ac:dyDescent="0.15">
      <c r="B17" s="1" t="s">
        <v>45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M17" s="59"/>
      <c r="N17" s="62"/>
      <c r="O17" s="62"/>
      <c r="P17" s="27"/>
    </row>
    <row r="18" spans="2:16" ht="15.75" thickBot="1" x14ac:dyDescent="0.2">
      <c r="M18" s="61"/>
      <c r="N18" s="105"/>
      <c r="O18" s="105"/>
      <c r="P18" s="28"/>
    </row>
    <row r="19" spans="2:16" x14ac:dyDescent="0.15">
      <c r="D19" s="1">
        <v>1</v>
      </c>
      <c r="E19" s="1">
        <v>2</v>
      </c>
      <c r="F19" s="1">
        <v>3</v>
      </c>
      <c r="G19" s="1">
        <v>5</v>
      </c>
      <c r="H19"/>
      <c r="I19"/>
      <c r="J19"/>
      <c r="K19"/>
    </row>
    <row r="20" spans="2:16" x14ac:dyDescent="0.15">
      <c r="D20"/>
      <c r="E20"/>
      <c r="F20"/>
      <c r="G20"/>
      <c r="H20"/>
      <c r="I20"/>
      <c r="J20"/>
      <c r="K20"/>
    </row>
    <row r="21" spans="2:16" x14ac:dyDescent="0.15">
      <c r="C21" s="1">
        <f>C7/100</f>
        <v>0</v>
      </c>
      <c r="D21" s="1">
        <f t="shared" ref="D21:K21" si="2">D7/100</f>
        <v>0.05</v>
      </c>
      <c r="E21" s="1">
        <f t="shared" si="2"/>
        <v>0.15</v>
      </c>
      <c r="F21" s="1">
        <f t="shared" si="2"/>
        <v>0.5</v>
      </c>
      <c r="G21" s="1">
        <f t="shared" si="2"/>
        <v>1</v>
      </c>
      <c r="H21" s="1">
        <f t="shared" si="2"/>
        <v>2</v>
      </c>
      <c r="I21" s="1">
        <f t="shared" si="2"/>
        <v>5</v>
      </c>
      <c r="J21" s="1">
        <f t="shared" si="2"/>
        <v>7.5</v>
      </c>
      <c r="K21" s="1">
        <f t="shared" si="2"/>
        <v>10</v>
      </c>
    </row>
    <row r="22" spans="2:16" x14ac:dyDescent="0.15">
      <c r="C22" s="1">
        <f t="shared" ref="C22:K22" si="3">C8/100</f>
        <v>0</v>
      </c>
      <c r="D22" s="1">
        <f t="shared" si="3"/>
        <v>0.05</v>
      </c>
      <c r="E22" s="1">
        <f t="shared" si="3"/>
        <v>0.15</v>
      </c>
      <c r="F22" s="1">
        <f t="shared" si="3"/>
        <v>0.5</v>
      </c>
      <c r="G22" s="1">
        <f t="shared" si="3"/>
        <v>1</v>
      </c>
      <c r="H22" s="1">
        <f t="shared" si="3"/>
        <v>2</v>
      </c>
      <c r="I22" s="1">
        <f t="shared" si="3"/>
        <v>5</v>
      </c>
      <c r="J22" s="1">
        <f t="shared" si="3"/>
        <v>7.5</v>
      </c>
      <c r="K22" s="1">
        <f t="shared" si="3"/>
        <v>10</v>
      </c>
    </row>
    <row r="23" spans="2:16" x14ac:dyDescent="0.15">
      <c r="C23" s="1">
        <f t="shared" ref="C23:K23" si="4">C9/100</f>
        <v>0</v>
      </c>
      <c r="D23" s="1">
        <f t="shared" si="4"/>
        <v>0.05</v>
      </c>
      <c r="E23" s="1">
        <f t="shared" si="4"/>
        <v>0.1</v>
      </c>
      <c r="F23" s="1">
        <f t="shared" si="4"/>
        <v>0.25</v>
      </c>
      <c r="G23" s="1">
        <f t="shared" si="4"/>
        <v>0.5</v>
      </c>
      <c r="H23" s="1">
        <f t="shared" si="4"/>
        <v>1</v>
      </c>
      <c r="I23" s="1">
        <f t="shared" si="4"/>
        <v>2</v>
      </c>
      <c r="J23" s="1">
        <f t="shared" si="4"/>
        <v>3</v>
      </c>
      <c r="K23" s="1">
        <f t="shared" si="4"/>
        <v>5</v>
      </c>
    </row>
    <row r="24" spans="2:16" x14ac:dyDescent="0.15">
      <c r="C24" s="1">
        <f t="shared" ref="C24:K24" si="5">C10/100</f>
        <v>0</v>
      </c>
      <c r="D24" s="1">
        <f t="shared" si="5"/>
        <v>0.05</v>
      </c>
      <c r="E24" s="1">
        <f t="shared" si="5"/>
        <v>0.1</v>
      </c>
      <c r="F24" s="1">
        <f t="shared" si="5"/>
        <v>0.25</v>
      </c>
      <c r="G24" s="1">
        <f t="shared" si="5"/>
        <v>0.5</v>
      </c>
      <c r="H24" s="1">
        <f t="shared" si="5"/>
        <v>1</v>
      </c>
      <c r="I24" s="1">
        <f t="shared" si="5"/>
        <v>2</v>
      </c>
      <c r="J24" s="1">
        <f t="shared" si="5"/>
        <v>3</v>
      </c>
      <c r="K24" s="1">
        <f t="shared" si="5"/>
        <v>5</v>
      </c>
    </row>
    <row r="25" spans="2:16" x14ac:dyDescent="0.15">
      <c r="C25" s="1">
        <f t="shared" ref="C25:K25" si="6">C11/100</f>
        <v>0</v>
      </c>
      <c r="D25" s="1">
        <f t="shared" si="6"/>
        <v>0.05</v>
      </c>
      <c r="E25" s="1">
        <f t="shared" si="6"/>
        <v>0.1</v>
      </c>
      <c r="F25" s="1">
        <f t="shared" si="6"/>
        <v>0.25</v>
      </c>
      <c r="G25" s="1">
        <f t="shared" si="6"/>
        <v>0.5</v>
      </c>
      <c r="H25" s="1">
        <f t="shared" si="6"/>
        <v>1</v>
      </c>
      <c r="I25" s="1">
        <f t="shared" si="6"/>
        <v>2</v>
      </c>
      <c r="J25" s="1">
        <f t="shared" si="6"/>
        <v>3</v>
      </c>
      <c r="K25" s="1">
        <f t="shared" si="6"/>
        <v>5</v>
      </c>
    </row>
    <row r="26" spans="2:16" x14ac:dyDescent="0.15">
      <c r="C26" s="1">
        <f t="shared" ref="C26:K26" si="7">C12/100</f>
        <v>0</v>
      </c>
      <c r="D26" s="1">
        <f t="shared" si="7"/>
        <v>0.02</v>
      </c>
      <c r="E26" s="1">
        <f t="shared" si="7"/>
        <v>0.05</v>
      </c>
      <c r="F26" s="1">
        <f t="shared" si="7"/>
        <v>0.2</v>
      </c>
      <c r="G26" s="1">
        <f t="shared" si="7"/>
        <v>0.3</v>
      </c>
      <c r="H26" s="1">
        <f t="shared" si="7"/>
        <v>0.5</v>
      </c>
      <c r="I26" s="1">
        <f t="shared" si="7"/>
        <v>0.75</v>
      </c>
      <c r="J26" s="1">
        <f t="shared" si="7"/>
        <v>1</v>
      </c>
      <c r="K26" s="1">
        <f t="shared" si="7"/>
        <v>0</v>
      </c>
    </row>
    <row r="27" spans="2:16" x14ac:dyDescent="0.15">
      <c r="C27" s="1">
        <f t="shared" ref="C27:K27" si="8">C13/100</f>
        <v>0</v>
      </c>
      <c r="D27" s="1">
        <f t="shared" si="8"/>
        <v>0.02</v>
      </c>
      <c r="E27" s="1">
        <f t="shared" si="8"/>
        <v>0.05</v>
      </c>
      <c r="F27" s="1">
        <f t="shared" si="8"/>
        <v>0.2</v>
      </c>
      <c r="G27" s="1">
        <f t="shared" si="8"/>
        <v>0.3</v>
      </c>
      <c r="H27" s="1">
        <f t="shared" si="8"/>
        <v>0.5</v>
      </c>
      <c r="I27" s="1">
        <f t="shared" si="8"/>
        <v>0.75</v>
      </c>
      <c r="J27" s="1">
        <f t="shared" si="8"/>
        <v>1</v>
      </c>
      <c r="K27" s="1">
        <f t="shared" si="8"/>
        <v>0</v>
      </c>
    </row>
    <row r="28" spans="2:16" x14ac:dyDescent="0.15">
      <c r="D28"/>
      <c r="E28"/>
      <c r="F28"/>
      <c r="G28"/>
      <c r="H28"/>
      <c r="I28"/>
      <c r="J28"/>
      <c r="K28"/>
    </row>
    <row r="29" spans="2:16" x14ac:dyDescent="0.15">
      <c r="J29" s="1">
        <v>500</v>
      </c>
      <c r="K29" s="1">
        <f>2500</f>
        <v>2500</v>
      </c>
    </row>
    <row r="30" spans="2:16" x14ac:dyDescent="0.15">
      <c r="J30" s="1">
        <f>J29/5</f>
        <v>100</v>
      </c>
      <c r="K30" s="1">
        <f>K29/J29</f>
        <v>5</v>
      </c>
    </row>
  </sheetData>
  <sortState xmlns:xlrd2="http://schemas.microsoft.com/office/spreadsheetml/2017/richdata2" ref="N5:N7">
    <sortCondition descending="1" ref="N5"/>
  </sortState>
  <phoneticPr fontId="7" type="noConversion"/>
  <conditionalFormatting sqref="N3:O18">
    <cfRule type="cellIs" dxfId="402" priority="1" operator="equal">
      <formula>#REF!</formula>
    </cfRule>
    <cfRule type="cellIs" dxfId="401" priority="2" operator="equal">
      <formula>#REF!</formula>
    </cfRule>
    <cfRule type="cellIs" dxfId="400" priority="3" operator="equal">
      <formula>#REF!</formula>
    </cfRule>
    <cfRule type="cellIs" dxfId="399" priority="4" operator="equal">
      <formula>#REF!</formula>
    </cfRule>
    <cfRule type="cellIs" dxfId="398" priority="5" operator="equal">
      <formula>#REF!</formula>
    </cfRule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ECA4-EB43-482B-87B4-87664F896E73}">
  <dimension ref="A2:BL684"/>
  <sheetViews>
    <sheetView topLeftCell="A67" zoomScale="85" zoomScaleNormal="85" workbookViewId="0">
      <selection activeCell="R73" sqref="R73"/>
    </sheetView>
  </sheetViews>
  <sheetFormatPr defaultColWidth="9" defaultRowHeight="15" x14ac:dyDescent="0.15"/>
  <cols>
    <col min="1" max="1" width="9.125" style="1" customWidth="1"/>
    <col min="2" max="3" width="13.125" style="10" customWidth="1"/>
    <col min="4" max="5" width="12.5" style="10" customWidth="1"/>
    <col min="6" max="7" width="12" style="10" customWidth="1"/>
    <col min="8" max="9" width="12.125" style="10" customWidth="1"/>
    <col min="10" max="10" width="12.5" style="10" customWidth="1"/>
    <col min="11" max="11" width="8.875" style="10" customWidth="1"/>
    <col min="12" max="13" width="9" style="1"/>
    <col min="14" max="14" width="29" style="1" bestFit="1" customWidth="1"/>
    <col min="15" max="19" width="11.625" style="1" customWidth="1"/>
    <col min="20" max="20" width="12.625" style="1" customWidth="1"/>
    <col min="21" max="48" width="11.625" style="1" customWidth="1"/>
    <col min="49" max="49" width="12" style="1" bestFit="1" customWidth="1"/>
    <col min="50" max="16384" width="9" style="1"/>
  </cols>
  <sheetData>
    <row r="2" spans="1:64" ht="17.100000000000001" customHeight="1" x14ac:dyDescent="0.15">
      <c r="A2" s="30" t="s">
        <v>5</v>
      </c>
      <c r="B2" s="11"/>
      <c r="C2" s="11"/>
      <c r="D2" s="11"/>
      <c r="E2" s="11"/>
      <c r="F2" s="11"/>
      <c r="G2" s="11"/>
      <c r="H2" s="11"/>
      <c r="I2" s="11"/>
      <c r="J2" s="11"/>
    </row>
    <row r="3" spans="1:64" ht="17.100000000000001" customHeight="1" thickBot="1" x14ac:dyDescent="0.3">
      <c r="A3" s="30"/>
      <c r="B3" s="12" t="s">
        <v>6</v>
      </c>
      <c r="C3" s="12"/>
      <c r="D3" s="12" t="s">
        <v>7</v>
      </c>
      <c r="E3" s="12"/>
      <c r="F3" s="12" t="s">
        <v>8</v>
      </c>
      <c r="G3" s="12"/>
      <c r="H3" s="12" t="s">
        <v>9</v>
      </c>
      <c r="I3" s="12"/>
      <c r="J3" s="12" t="s">
        <v>10</v>
      </c>
      <c r="K3" s="12"/>
      <c r="N3" s="17" t="s">
        <v>70</v>
      </c>
      <c r="O3" s="18">
        <v>3</v>
      </c>
      <c r="P3" s="18">
        <v>3</v>
      </c>
      <c r="Q3" s="18">
        <v>3</v>
      </c>
      <c r="R3" s="18">
        <v>3</v>
      </c>
      <c r="S3" s="36">
        <v>3</v>
      </c>
      <c r="BB3" s="50" t="s">
        <v>57</v>
      </c>
      <c r="BC3" s="50" t="s">
        <v>53</v>
      </c>
      <c r="BD3" s="50" t="s">
        <v>52</v>
      </c>
      <c r="BE3" s="50"/>
      <c r="BF3" s="54"/>
    </row>
    <row r="4" spans="1:64" ht="17.100000000000001" customHeight="1" x14ac:dyDescent="0.15">
      <c r="A4" s="30"/>
      <c r="B4" s="44" t="str">
        <f>LOOKUP(COUNTA(B$6:B$291)-1,$A$6:$A$291,B$6:B$291)</f>
        <v>M3</v>
      </c>
      <c r="C4" s="45">
        <f t="shared" ref="C4:K4" si="0">LOOKUP(COUNTA(C$6:C$291)-1,$A$6:$A$291,C$6:C$291)</f>
        <v>100</v>
      </c>
      <c r="D4" s="45" t="str">
        <f t="shared" si="0"/>
        <v>M3</v>
      </c>
      <c r="E4" s="45">
        <f t="shared" si="0"/>
        <v>100</v>
      </c>
      <c r="F4" s="45" t="str">
        <f t="shared" si="0"/>
        <v>LINK</v>
      </c>
      <c r="G4" s="45">
        <f t="shared" si="0"/>
        <v>50</v>
      </c>
      <c r="H4" s="45" t="str">
        <f t="shared" si="0"/>
        <v>K</v>
      </c>
      <c r="I4" s="45">
        <f t="shared" si="0"/>
        <v>100</v>
      </c>
      <c r="J4" s="45" t="str">
        <f t="shared" si="0"/>
        <v>K</v>
      </c>
      <c r="K4" s="46">
        <f t="shared" si="0"/>
        <v>100</v>
      </c>
      <c r="L4" s="31"/>
      <c r="U4"/>
      <c r="V4"/>
      <c r="W4"/>
      <c r="X4"/>
      <c r="Y4"/>
      <c r="Z4"/>
      <c r="BB4" s="57" t="str">
        <f>IFERROR($BC$3&amp;VLOOKUP(B6,'Pay Table'!$M$3:$N$18,2,FALSE)&amp;$BB$3&amp;C6&amp;$BD$3,"")</f>
        <v>[3,100]</v>
      </c>
      <c r="BC4" s="58" t="str">
        <f>IFERROR($BC$3&amp;VLOOKUP(D6,'Pay Table'!$M$3:$N$18,2,FALSE)&amp;$BB$3&amp;E6&amp;$BD$3,"")</f>
        <v>[1,100]</v>
      </c>
      <c r="BD4" s="58" t="str">
        <f>IFERROR($BC$3&amp;VLOOKUP(F6,'Pay Table'!$M$3:$N$18,2,FALSE)&amp;$BB$3&amp;G6&amp;$BD$3,"")</f>
        <v>[0,100]</v>
      </c>
      <c r="BE4" s="33" t="str">
        <f>IFERROR($BC$3&amp;VLOOKUP(H6,'Pay Table'!$M$3:$N$18,2,FALSE)&amp;$BB$3&amp;I6&amp;$BD$3,"")</f>
        <v>[1,100]</v>
      </c>
      <c r="BF4" s="25" t="str">
        <f>IFERROR($BC$3&amp;VLOOKUP(J6,'Pay Table'!$M$3:$N$18,2,FALSE)&amp;$BB$3&amp;K6&amp;$BD$3,"")</f>
        <v>[3,100]</v>
      </c>
      <c r="BG4" s="1" t="str">
        <f>IFERROR($BC$3&amp;VLOOKUP(G6,'Pay Table'!$M$3:$N$18,2,FALSE)&amp;$BB$3&amp;H6&amp;$BD$3,"")</f>
        <v/>
      </c>
      <c r="BI4" s="1" t="str">
        <f>IFERROR($BC$3&amp;VLOOKUP(I6,'Pay Table'!$M$3:$N$18,2,FALSE)&amp;$BB$3&amp;J6&amp;$BD$3,"")</f>
        <v/>
      </c>
      <c r="BK4" s="1" t="str">
        <f>IFERROR($BC$3&amp;VLOOKUP(K6,'Pay Table'!$M$3:$N$18,2,FALSE)&amp;$BB$3&amp;L6&amp;$BD$3,"")</f>
        <v/>
      </c>
      <c r="BL4" s="1" t="str">
        <f>IFERROR($BC$3&amp;VLOOKUP(L6,'Pay Table'!$M$3:$N$18,2,FALSE)&amp;$BB$3&amp;M6&amp;$BD$3,"")</f>
        <v/>
      </c>
    </row>
    <row r="5" spans="1:64" ht="17.100000000000001" customHeight="1" thickBot="1" x14ac:dyDescent="0.2">
      <c r="A5" s="30"/>
      <c r="B5" s="35" t="str">
        <f>LOOKUP(COUNTA(B$6:B$291),$A$6:$A$291,B$6:B$291)</f>
        <v>M4</v>
      </c>
      <c r="C5" s="41">
        <f t="shared" ref="C5:K5" si="1">LOOKUP(COUNTA(C$6:C$291),$A$6:$A$291,C$6:C$291)</f>
        <v>100</v>
      </c>
      <c r="D5" s="41" t="str">
        <f t="shared" si="1"/>
        <v>J</v>
      </c>
      <c r="E5" s="41">
        <f t="shared" si="1"/>
        <v>100</v>
      </c>
      <c r="F5" s="41" t="str">
        <f t="shared" si="1"/>
        <v>K</v>
      </c>
      <c r="G5" s="41">
        <f t="shared" si="1"/>
        <v>100</v>
      </c>
      <c r="H5" s="41" t="str">
        <f t="shared" si="1"/>
        <v>M2</v>
      </c>
      <c r="I5" s="41">
        <f t="shared" si="1"/>
        <v>100</v>
      </c>
      <c r="J5" s="41" t="str">
        <f t="shared" si="1"/>
        <v>A</v>
      </c>
      <c r="K5" s="42">
        <f t="shared" si="1"/>
        <v>100</v>
      </c>
      <c r="L5" s="31"/>
      <c r="N5" s="17"/>
      <c r="O5" s="18">
        <v>1</v>
      </c>
      <c r="P5" s="18">
        <v>2</v>
      </c>
      <c r="Q5" s="18">
        <v>3</v>
      </c>
      <c r="R5" s="18">
        <v>4</v>
      </c>
      <c r="S5" s="36">
        <v>5</v>
      </c>
      <c r="V5" s="18">
        <v>1</v>
      </c>
      <c r="W5" s="18">
        <v>2</v>
      </c>
      <c r="X5" s="18">
        <v>3</v>
      </c>
      <c r="Y5" s="18">
        <v>4</v>
      </c>
      <c r="Z5" s="36">
        <v>5</v>
      </c>
      <c r="BB5" s="59" t="str">
        <f>IFERROR($BC$3&amp;VLOOKUP(B7,'Pay Table'!$M$3:$N$18,2,FALSE)&amp;$BB$3&amp;C7&amp;$BD$3,"")</f>
        <v>[2,100]</v>
      </c>
      <c r="BC5" s="49" t="str">
        <f>IFERROR($BC$3&amp;VLOOKUP(D7,'Pay Table'!$M$3:$N$18,2,FALSE)&amp;$BB$3&amp;E7&amp;$BD$3,"")</f>
        <v>[7,100]</v>
      </c>
      <c r="BD5" s="49" t="str">
        <f>IFERROR($BC$3&amp;VLOOKUP(F7,'Pay Table'!$M$3:$N$18,2,FALSE)&amp;$BB$3&amp;G7&amp;$BD$3,"")</f>
        <v>[0,100]</v>
      </c>
      <c r="BE5" s="49" t="str">
        <f>IFERROR($BC$3&amp;VLOOKUP(H7,'Pay Table'!$M$3:$N$18,2,FALSE)&amp;$BB$3&amp;I7&amp;$BD$3,"")</f>
        <v>[1,100]</v>
      </c>
      <c r="BF5" s="60" t="str">
        <f>IFERROR($BC$3&amp;VLOOKUP(J7,'Pay Table'!$M$3:$N$18,2,FALSE)&amp;$BB$3&amp;K7&amp;$BD$3,"")</f>
        <v>[6,100]</v>
      </c>
    </row>
    <row r="6" spans="1:64" ht="17.100000000000001" customHeight="1" x14ac:dyDescent="0.15">
      <c r="A6" s="14">
        <v>1</v>
      </c>
      <c r="B6" s="10" t="s">
        <v>172</v>
      </c>
      <c r="C6" s="10">
        <v>100</v>
      </c>
      <c r="D6" s="10" t="s">
        <v>125</v>
      </c>
      <c r="E6" s="10">
        <v>100</v>
      </c>
      <c r="F6" s="10" t="s">
        <v>153</v>
      </c>
      <c r="G6" s="10">
        <v>100</v>
      </c>
      <c r="H6" s="10" t="s">
        <v>125</v>
      </c>
      <c r="I6" s="10">
        <v>100</v>
      </c>
      <c r="J6" s="10" t="s">
        <v>127</v>
      </c>
      <c r="K6" s="10">
        <v>100</v>
      </c>
      <c r="N6" s="4" t="str">
        <f>'Pay Table'!B17</f>
        <v>LINK</v>
      </c>
      <c r="O6" s="254">
        <f t="array" ref="O6">SUM(IF(B$6:B$289=$N6,1,0)*(C$6:C$289+C$5:C$288+C$4:C$287)/O$3)</f>
        <v>315</v>
      </c>
      <c r="P6" s="255">
        <f t="array" ref="P6">SUM(IF(D$6:D$289=$N6,1,0)*(E$6:E$289+E$5:E$288+E$4:E$287)/P$3)</f>
        <v>315</v>
      </c>
      <c r="Q6" s="255">
        <f t="array" ref="Q6">SUM(IF(F$6:F$289=$N6,1,0)*(G$6:G$289+G$5:G$288+G$4:G$287)/Q$3)</f>
        <v>315</v>
      </c>
      <c r="R6" s="255">
        <f t="array" ref="R6">SUM(IF(H$6:H$289=$N6,1,0)*(I$6:I$289+I$5:I$288+I$4:I$287)/R$3)</f>
        <v>315</v>
      </c>
      <c r="S6" s="256">
        <f t="array" ref="S6">SUM(IF(J$6:J$289=$N6,1,0)*(K$6:K$289+K$5:K$288+K$4:K$287)/S$3)</f>
        <v>315</v>
      </c>
      <c r="U6" s="1" t="str">
        <f>N6</f>
        <v>LINK</v>
      </c>
      <c r="W6" s="23">
        <f>O29/$O$23</f>
        <v>1.2160350814741346E-2</v>
      </c>
      <c r="X6" s="23">
        <f t="shared" ref="X6:Z6" si="2">P29/$O$23</f>
        <v>2.7422628910050827E-3</v>
      </c>
      <c r="Y6" s="23">
        <f t="shared" si="2"/>
        <v>3.8861329910618383E-4</v>
      </c>
      <c r="Z6" s="23">
        <f t="shared" si="2"/>
        <v>1.1705219852595901E-4</v>
      </c>
      <c r="BB6" s="59" t="str">
        <f>IFERROR($BC$3&amp;VLOOKUP(B8,'Pay Table'!$M$3:$N$18,2,FALSE)&amp;$BB$3&amp;C8&amp;$BD$3,"")</f>
        <v>[5,100]</v>
      </c>
      <c r="BC6" s="49" t="str">
        <f>IFERROR($BC$3&amp;VLOOKUP(D8,'Pay Table'!$M$3:$N$18,2,FALSE)&amp;$BB$3&amp;E8&amp;$BD$3,"")</f>
        <v>[92,100]</v>
      </c>
      <c r="BD6" s="49" t="str">
        <f>IFERROR($BC$3&amp;VLOOKUP(F8,'Pay Table'!$M$3:$N$18,2,FALSE)&amp;$BB$3&amp;G8&amp;$BD$3,"")</f>
        <v>[0,100]</v>
      </c>
      <c r="BE6" s="49" t="str">
        <f>IFERROR($BC$3&amp;VLOOKUP(H8,'Pay Table'!$M$3:$N$18,2,FALSE)&amp;$BB$3&amp;I8&amp;$BD$3,"")</f>
        <v>[7,100]</v>
      </c>
      <c r="BF6" s="60" t="str">
        <f>IFERROR($BC$3&amp;VLOOKUP(J8,'Pay Table'!$M$3:$N$18,2,FALSE)&amp;$BB$3&amp;K8&amp;$BD$3,"")</f>
        <v>[94,15]</v>
      </c>
    </row>
    <row r="7" spans="1:64" ht="17.100000000000001" customHeight="1" x14ac:dyDescent="0.15">
      <c r="A7" s="14">
        <v>2</v>
      </c>
      <c r="B7" s="10" t="s">
        <v>151</v>
      </c>
      <c r="C7" s="10">
        <v>100</v>
      </c>
      <c r="D7" s="10" t="s">
        <v>119</v>
      </c>
      <c r="E7" s="10">
        <v>100</v>
      </c>
      <c r="F7" s="10" t="s">
        <v>153</v>
      </c>
      <c r="G7" s="10">
        <v>100</v>
      </c>
      <c r="H7" s="10" t="s">
        <v>152</v>
      </c>
      <c r="I7" s="10">
        <v>100</v>
      </c>
      <c r="J7" s="10" t="s">
        <v>121</v>
      </c>
      <c r="K7" s="10">
        <v>100</v>
      </c>
      <c r="L7" s="31"/>
      <c r="N7" s="4" t="str">
        <f>'Pay Table'!B6</f>
        <v>WILD</v>
      </c>
      <c r="O7" s="257">
        <f t="array" ref="O7">SUM(IF(B$6:B$289=$N7,1,0)*(C$6:C$289+C$5:C$288+C$4:C$287)/O$3)</f>
        <v>0</v>
      </c>
      <c r="P7" s="258">
        <f t="array" ref="P7">SUM(IF(D$6:D$289=$N7,1,0)*(E$6:E$289+E$5:E$288+E$4:E$287)/P$3)</f>
        <v>333.33333333333337</v>
      </c>
      <c r="Q7" s="258">
        <f t="array" ref="Q7">SUM(IF(F$6:F$289=$N7,1,0)*(G$6:G$289+G$5:G$288+G$4:G$287)/Q$3)</f>
        <v>300</v>
      </c>
      <c r="R7" s="258">
        <f t="array" ref="R7">SUM(IF(H$6:H$289=$N7,1,0)*(I$6:I$289+I$5:I$288+I$4:I$287)/R$3)</f>
        <v>300</v>
      </c>
      <c r="S7" s="259">
        <f t="array" ref="S7">SUM(IF(J$6:J$289=$N7,1,0)*(K$6:K$289+K$5:K$288+K$4:K$287)/S$3)</f>
        <v>300</v>
      </c>
      <c r="U7" s="1" t="str">
        <f t="shared" ref="U7:U17" si="3">N7</f>
        <v>WILD</v>
      </c>
      <c r="W7" s="23">
        <f t="shared" ref="W7:W16" si="4">O30/$O$23</f>
        <v>1.2427728136554191E-2</v>
      </c>
      <c r="X7" s="23">
        <f t="shared" ref="X7:X16" si="5">P30/$O$23</f>
        <v>2.1914555235735189E-3</v>
      </c>
      <c r="Y7" s="23">
        <f t="shared" ref="Y7:Y16" si="6">Q30/$O$23</f>
        <v>3.6118176289319921E-4</v>
      </c>
      <c r="Z7" s="23">
        <f t="shared" ref="Z7:Z16" si="7">R30/$O$23</f>
        <v>9.2951188979867452E-5</v>
      </c>
      <c r="BB7" s="59" t="str">
        <f>IFERROR($BC$3&amp;VLOOKUP(B9,'Pay Table'!$M$3:$N$18,2,FALSE)&amp;$BB$3&amp;C9&amp;$BD$3,"")</f>
        <v>[94,15]</v>
      </c>
      <c r="BC7" s="49" t="str">
        <f>IFERROR($BC$3&amp;VLOOKUP(D9,'Pay Table'!$M$3:$N$18,2,FALSE)&amp;$BB$3&amp;E9&amp;$BD$3,"")</f>
        <v>[5,140]</v>
      </c>
      <c r="BD7" s="49" t="str">
        <f>IFERROR($BC$3&amp;VLOOKUP(F9,'Pay Table'!$M$3:$N$18,2,FALSE)&amp;$BB$3&amp;G9&amp;$BD$3,"")</f>
        <v>[5,140]</v>
      </c>
      <c r="BE7" s="49" t="str">
        <f>IFERROR($BC$3&amp;VLOOKUP(H9,'Pay Table'!$M$3:$N$18,2,FALSE)&amp;$BB$3&amp;I9&amp;$BD$3,"")</f>
        <v>[8,100]</v>
      </c>
      <c r="BF7" s="60" t="str">
        <f>IFERROR($BC$3&amp;VLOOKUP(J9,'Pay Table'!$M$3:$N$18,2,FALSE)&amp;$BB$3&amp;K9&amp;$BD$3,"")</f>
        <v>[94,25]</v>
      </c>
    </row>
    <row r="8" spans="1:64" ht="17.100000000000001" customHeight="1" x14ac:dyDescent="0.15">
      <c r="A8" s="14">
        <v>3</v>
      </c>
      <c r="B8" s="10" t="s">
        <v>123</v>
      </c>
      <c r="C8" s="10">
        <v>100</v>
      </c>
      <c r="D8" s="10" t="s">
        <v>122</v>
      </c>
      <c r="E8" s="10">
        <v>100</v>
      </c>
      <c r="F8" s="10" t="s">
        <v>153</v>
      </c>
      <c r="G8" s="10">
        <v>100</v>
      </c>
      <c r="H8" s="10" t="s">
        <v>119</v>
      </c>
      <c r="I8" s="10">
        <v>100</v>
      </c>
      <c r="J8" s="10" t="s">
        <v>47</v>
      </c>
      <c r="K8" s="10">
        <v>15</v>
      </c>
      <c r="L8" s="31"/>
      <c r="N8" s="4" t="str">
        <f>'Pay Table'!B7</f>
        <v>M1</v>
      </c>
      <c r="O8" s="257">
        <f t="array" ref="O8">SUM(IF(B$6:B$289=$N8,1,0)*(C$6:C$289+C$5:C$288+C$4:C$287)/O$3)</f>
        <v>700</v>
      </c>
      <c r="P8" s="258">
        <f t="array" ref="P8">SUM(IF(D$6:D$289=$N8,1,0)*(E$6:E$289+E$5:E$288+E$4:E$287)/P$3)</f>
        <v>433.33333333333337</v>
      </c>
      <c r="Q8" s="258">
        <f t="array" ref="Q8">SUM(IF(F$6:F$289=$N8,1,0)*(G$6:G$289+G$5:G$288+G$4:G$287)/Q$3)</f>
        <v>914.99999999999989</v>
      </c>
      <c r="R8" s="258">
        <f t="array" ref="R8">SUM(IF(H$6:H$289=$N8,1,0)*(I$6:I$289+I$5:I$288+I$4:I$287)/R$3)</f>
        <v>1000</v>
      </c>
      <c r="S8" s="259">
        <f t="array" ref="S8">SUM(IF(J$6:J$289=$N8,1,0)*(K$6:K$289+K$5:K$288+K$4:K$287)/S$3)</f>
        <v>1283.3333333333333</v>
      </c>
      <c r="T8" s="258"/>
      <c r="U8" s="1" t="str">
        <f t="shared" si="3"/>
        <v>M1</v>
      </c>
      <c r="W8" s="23">
        <f t="shared" si="4"/>
        <v>2.1530569838915683E-2</v>
      </c>
      <c r="X8" s="23">
        <f t="shared" si="5"/>
        <v>1.9753221219149767E-3</v>
      </c>
      <c r="Y8" s="23">
        <f t="shared" si="6"/>
        <v>1.5960826226840425E-4</v>
      </c>
      <c r="Z8" s="23">
        <f t="shared" si="7"/>
        <v>2.1140167187868117E-5</v>
      </c>
      <c r="BB8" s="59" t="str">
        <f>IFERROR($BC$3&amp;VLOOKUP(B10,'Pay Table'!$M$3:$N$18,2,FALSE)&amp;$BB$3&amp;C10&amp;$BD$3,"")</f>
        <v>[94,25]</v>
      </c>
      <c r="BC8" s="49" t="str">
        <f>IFERROR($BC$3&amp;VLOOKUP(D10,'Pay Table'!$M$3:$N$18,2,FALSE)&amp;$BB$3&amp;E10&amp;$BD$3,"")</f>
        <v>[90,144]</v>
      </c>
      <c r="BD8" s="49" t="str">
        <f>IFERROR($BC$3&amp;VLOOKUP(F10,'Pay Table'!$M$3:$N$18,2,FALSE)&amp;$BB$3&amp;G10&amp;$BD$3,"")</f>
        <v>[90,144]</v>
      </c>
      <c r="BE8" s="49" t="str">
        <f>IFERROR($BC$3&amp;VLOOKUP(H10,'Pay Table'!$M$3:$N$18,2,FALSE)&amp;$BB$3&amp;I10&amp;$BD$3,"")</f>
        <v>[5,100]</v>
      </c>
      <c r="BF8" s="60" t="str">
        <f>IFERROR($BC$3&amp;VLOOKUP(J10,'Pay Table'!$M$3:$N$18,2,FALSE)&amp;$BB$3&amp;K10&amp;$BD$3,"")</f>
        <v>[94,50]</v>
      </c>
    </row>
    <row r="9" spans="1:64" ht="17.100000000000001" customHeight="1" x14ac:dyDescent="0.15">
      <c r="A9" s="14">
        <v>4</v>
      </c>
      <c r="B9" s="10" t="s">
        <v>47</v>
      </c>
      <c r="C9" s="10">
        <v>15</v>
      </c>
      <c r="D9" s="10" t="s">
        <v>123</v>
      </c>
      <c r="E9" s="10">
        <v>140</v>
      </c>
      <c r="F9" s="10" t="s">
        <v>123</v>
      </c>
      <c r="G9" s="10">
        <v>140</v>
      </c>
      <c r="H9" s="10" t="s">
        <v>120</v>
      </c>
      <c r="I9" s="10">
        <v>100</v>
      </c>
      <c r="J9" s="10" t="s">
        <v>47</v>
      </c>
      <c r="K9" s="10">
        <v>25</v>
      </c>
      <c r="L9" s="31"/>
      <c r="N9" s="4" t="str">
        <f>'Pay Table'!B8</f>
        <v>M2</v>
      </c>
      <c r="O9" s="257">
        <f t="array" ref="O9">SUM(IF(B$6:B$289=$N9,1,0)*(C$6:C$289+C$5:C$288+C$4:C$287)/O$3)</f>
        <v>500</v>
      </c>
      <c r="P9" s="258">
        <f t="array" ref="P9">SUM(IF(D$6:D$289=$N9,1,0)*(E$6:E$289+E$5:E$288+E$4:E$287)/P$3)</f>
        <v>716.66666666666663</v>
      </c>
      <c r="Q9" s="258">
        <f t="array" ref="Q9">SUM(IF(F$6:F$289=$N9,1,0)*(G$6:G$289+G$5:G$288+G$4:G$287)/Q$3)</f>
        <v>711.66666666666674</v>
      </c>
      <c r="R9" s="258">
        <f t="array" ref="R9">SUM(IF(H$6:H$289=$N9,1,0)*(I$6:I$289+I$5:I$288+I$4:I$287)/R$3)</f>
        <v>1133.3333333333335</v>
      </c>
      <c r="S9" s="259">
        <f t="array" ref="S9">SUM(IF(J$6:J$289=$N9,1,0)*(K$6:K$289+K$5:K$288+K$4:K$287)/S$3)</f>
        <v>1100</v>
      </c>
      <c r="T9" s="258"/>
      <c r="U9" s="1" t="str">
        <f t="shared" si="3"/>
        <v>M2</v>
      </c>
      <c r="W9" s="23">
        <f t="shared" si="4"/>
        <v>1.1137091071372333E-2</v>
      </c>
      <c r="X9" s="23">
        <f t="shared" si="5"/>
        <v>1.5978172962156463E-3</v>
      </c>
      <c r="Y9" s="23">
        <f t="shared" si="6"/>
        <v>1.7159401847760338E-4</v>
      </c>
      <c r="Z9" s="23">
        <f t="shared" si="7"/>
        <v>2.5446231055716227E-5</v>
      </c>
      <c r="BB9" s="59" t="str">
        <f>IFERROR($BC$3&amp;VLOOKUP(B11,'Pay Table'!$M$3:$N$18,2,FALSE)&amp;$BB$3&amp;C11&amp;$BD$3,"")</f>
        <v>[94,50]</v>
      </c>
      <c r="BC9" s="49" t="str">
        <f>IFERROR($BC$3&amp;VLOOKUP(D11,'Pay Table'!$M$3:$N$18,2,FALSE)&amp;$BB$3&amp;E11&amp;$BD$3,"")</f>
        <v>[6,100]</v>
      </c>
      <c r="BD9" s="49" t="str">
        <f>IFERROR($BC$3&amp;VLOOKUP(F11,'Pay Table'!$M$3:$N$18,2,FALSE)&amp;$BB$3&amp;G11&amp;$BD$3,"")</f>
        <v>[8,100]</v>
      </c>
      <c r="BE9" s="49" t="str">
        <f>IFERROR($BC$3&amp;VLOOKUP(H11,'Pay Table'!$M$3:$N$18,2,FALSE)&amp;$BB$3&amp;I11&amp;$BD$3,"")</f>
        <v>[3,100]</v>
      </c>
      <c r="BF9" s="60" t="str">
        <f>IFERROR($BC$3&amp;VLOOKUP(J11,'Pay Table'!$M$3:$N$18,2,FALSE)&amp;$BB$3&amp;K11&amp;$BD$3,"")</f>
        <v>[7,100]</v>
      </c>
    </row>
    <row r="10" spans="1:64" ht="17.100000000000001" customHeight="1" x14ac:dyDescent="0.15">
      <c r="A10" s="14">
        <v>5</v>
      </c>
      <c r="B10" s="10" t="s">
        <v>47</v>
      </c>
      <c r="C10" s="10">
        <v>25</v>
      </c>
      <c r="D10" s="10" t="s">
        <v>14</v>
      </c>
      <c r="E10" s="10">
        <v>144</v>
      </c>
      <c r="F10" s="10" t="s">
        <v>14</v>
      </c>
      <c r="G10" s="10">
        <v>144</v>
      </c>
      <c r="H10" s="10" t="s">
        <v>123</v>
      </c>
      <c r="I10" s="10">
        <v>100</v>
      </c>
      <c r="J10" s="10" t="s">
        <v>47</v>
      </c>
      <c r="K10" s="10">
        <v>50</v>
      </c>
      <c r="L10" s="31"/>
      <c r="N10" s="4" t="str">
        <f>'Pay Table'!B9</f>
        <v>M3</v>
      </c>
      <c r="O10" s="257">
        <f t="array" ref="O10">SUM(IF(B$6:B$289=$N10,1,0)*(C$6:C$289+C$5:C$288+C$4:C$287)/O$3)</f>
        <v>900</v>
      </c>
      <c r="P10" s="258">
        <f t="array" ref="P10">SUM(IF(D$6:D$289=$N10,1,0)*(E$6:E$289+E$5:E$288+E$4:E$287)/P$3)</f>
        <v>583.33333333333326</v>
      </c>
      <c r="Q10" s="258">
        <f t="array" ref="Q10">SUM(IF(F$6:F$289=$N10,1,0)*(G$6:G$289+G$5:G$288+G$4:G$287)/Q$3)</f>
        <v>224.66666666666669</v>
      </c>
      <c r="R10" s="258">
        <f t="array" ref="R10">SUM(IF(H$6:H$289=$N10,1,0)*(I$6:I$289+I$5:I$288+I$4:I$287)/R$3)</f>
        <v>400</v>
      </c>
      <c r="S10" s="259">
        <f t="array" ref="S10">SUM(IF(J$6:J$289=$N10,1,0)*(K$6:K$289+K$5:K$288+K$4:K$287)/S$3)</f>
        <v>500</v>
      </c>
      <c r="T10" s="258"/>
      <c r="U10" s="1" t="str">
        <f t="shared" si="3"/>
        <v>M3</v>
      </c>
      <c r="W10" s="23">
        <f t="shared" si="4"/>
        <v>1.9470155066489539E-2</v>
      </c>
      <c r="X10" s="23">
        <f t="shared" si="5"/>
        <v>1.9822627574105642E-3</v>
      </c>
      <c r="Y10" s="23">
        <f t="shared" si="6"/>
        <v>2.5130472848014946E-4</v>
      </c>
      <c r="Z10" s="23">
        <f t="shared" si="7"/>
        <v>2.8650376211091964E-5</v>
      </c>
      <c r="BB10" s="59" t="str">
        <f>IFERROR($BC$3&amp;VLOOKUP(B12,'Pay Table'!$M$3:$N$18,2,FALSE)&amp;$BB$3&amp;C12&amp;$BD$3,"")</f>
        <v>[5,100]</v>
      </c>
      <c r="BC10" s="49" t="str">
        <f>IFERROR($BC$3&amp;VLOOKUP(D12,'Pay Table'!$M$3:$N$18,2,FALSE)&amp;$BB$3&amp;E12&amp;$BD$3,"")</f>
        <v>[4,100]</v>
      </c>
      <c r="BD10" s="49" t="str">
        <f>IFERROR($BC$3&amp;VLOOKUP(F12,'Pay Table'!$M$3:$N$18,2,FALSE)&amp;$BB$3&amp;G12&amp;$BD$3,"")</f>
        <v>[2,100]</v>
      </c>
      <c r="BE10" s="49" t="str">
        <f>IFERROR($BC$3&amp;VLOOKUP(H12,'Pay Table'!$M$3:$N$18,2,FALSE)&amp;$BB$3&amp;I12&amp;$BD$3,"")</f>
        <v>[3,100]</v>
      </c>
      <c r="BF10" s="60" t="str">
        <f>IFERROR($BC$3&amp;VLOOKUP(J12,'Pay Table'!$M$3:$N$18,2,FALSE)&amp;$BB$3&amp;K12&amp;$BD$3,"")</f>
        <v>[0,100]</v>
      </c>
    </row>
    <row r="11" spans="1:64" ht="17.100000000000001" customHeight="1" x14ac:dyDescent="0.15">
      <c r="A11" s="14">
        <v>6</v>
      </c>
      <c r="B11" s="10" t="s">
        <v>47</v>
      </c>
      <c r="C11" s="10">
        <v>50</v>
      </c>
      <c r="D11" s="10" t="s">
        <v>121</v>
      </c>
      <c r="E11" s="10">
        <v>100</v>
      </c>
      <c r="F11" s="10" t="s">
        <v>120</v>
      </c>
      <c r="G11" s="10">
        <v>100</v>
      </c>
      <c r="H11" s="10" t="s">
        <v>127</v>
      </c>
      <c r="I11" s="10">
        <v>100</v>
      </c>
      <c r="J11" s="10" t="s">
        <v>119</v>
      </c>
      <c r="K11" s="10">
        <v>100</v>
      </c>
      <c r="L11" s="31"/>
      <c r="N11" s="4" t="str">
        <f>'Pay Table'!B10</f>
        <v>M4</v>
      </c>
      <c r="O11" s="257">
        <f t="array" ref="O11">SUM(IF(B$6:B$289=$N11,1,0)*(C$6:C$289+C$5:C$288+C$4:C$287)/O$3)</f>
        <v>783.33333333333326</v>
      </c>
      <c r="P11" s="258">
        <f t="array" ref="P11">SUM(IF(D$6:D$289=$N11,1,0)*(E$6:E$289+E$5:E$288+E$4:E$287)/P$3)</f>
        <v>241.66666666666669</v>
      </c>
      <c r="Q11" s="258">
        <f t="array" ref="Q11">SUM(IF(F$6:F$289=$N11,1,0)*(G$6:G$289+G$5:G$288+G$4:G$287)/Q$3)</f>
        <v>500</v>
      </c>
      <c r="R11" s="258">
        <f t="array" ref="R11">SUM(IF(H$6:H$289=$N11,1,0)*(I$6:I$289+I$5:I$288+I$4:I$287)/R$3)</f>
        <v>616.66666666666674</v>
      </c>
      <c r="S11" s="259">
        <f t="array" ref="S11">SUM(IF(J$6:J$289=$N11,1,0)*(K$6:K$289+K$5:K$288+K$4:K$287)/S$3)</f>
        <v>583.33333333333326</v>
      </c>
      <c r="U11" s="1" t="str">
        <f t="shared" si="3"/>
        <v>M4</v>
      </c>
      <c r="W11" s="23">
        <f t="shared" si="4"/>
        <v>1.207998126690034E-2</v>
      </c>
      <c r="X11" s="23">
        <f t="shared" si="5"/>
        <v>1.4769363139445772E-3</v>
      </c>
      <c r="Y11" s="23">
        <f t="shared" si="6"/>
        <v>2.0573097309051796E-4</v>
      </c>
      <c r="Z11" s="23">
        <f t="shared" si="7"/>
        <v>2.3454671199244723E-5</v>
      </c>
      <c r="BB11" s="59" t="str">
        <f>IFERROR($BC$3&amp;VLOOKUP(B13,'Pay Table'!$M$3:$N$18,2,FALSE)&amp;$BB$3&amp;C13&amp;$BD$3,"")</f>
        <v>[7,100]</v>
      </c>
      <c r="BC11" s="49" t="str">
        <f>IFERROR($BC$3&amp;VLOOKUP(D13,'Pay Table'!$M$3:$N$18,2,FALSE)&amp;$BB$3&amp;E13&amp;$BD$3,"")</f>
        <v>[4,100]</v>
      </c>
      <c r="BD11" s="49" t="str">
        <f>IFERROR($BC$3&amp;VLOOKUP(F13,'Pay Table'!$M$3:$N$18,2,FALSE)&amp;$BB$3&amp;G13&amp;$BD$3,"")</f>
        <v>[3,100]</v>
      </c>
      <c r="BE11" s="49" t="str">
        <f>IFERROR($BC$3&amp;VLOOKUP(H13,'Pay Table'!$M$3:$N$18,2,FALSE)&amp;$BB$3&amp;I13&amp;$BD$3,"")</f>
        <v>[5,100]</v>
      </c>
      <c r="BF11" s="60" t="str">
        <f>IFERROR($BC$3&amp;VLOOKUP(J13,'Pay Table'!$M$3:$N$18,2,FALSE)&amp;$BB$3&amp;K13&amp;$BD$3,"")</f>
        <v>[5,100]</v>
      </c>
    </row>
    <row r="12" spans="1:64" ht="17.100000000000001" customHeight="1" x14ac:dyDescent="0.15">
      <c r="A12" s="14">
        <v>7</v>
      </c>
      <c r="B12" s="10" t="s">
        <v>123</v>
      </c>
      <c r="C12" s="10">
        <v>100</v>
      </c>
      <c r="D12" s="10" t="s">
        <v>148</v>
      </c>
      <c r="E12" s="10">
        <v>100</v>
      </c>
      <c r="F12" s="282" t="s">
        <v>151</v>
      </c>
      <c r="G12" s="10">
        <v>100</v>
      </c>
      <c r="H12" s="10" t="s">
        <v>172</v>
      </c>
      <c r="I12" s="10">
        <v>100</v>
      </c>
      <c r="J12" s="10" t="s">
        <v>124</v>
      </c>
      <c r="K12" s="10">
        <v>100</v>
      </c>
      <c r="L12" s="31"/>
      <c r="N12" s="4" t="str">
        <f>'Pay Table'!B11</f>
        <v>M5</v>
      </c>
      <c r="O12" s="257">
        <f t="array" ref="O12">SUM(IF(B$6:B$289=$N12,1,0)*(C$6:C$289+C$5:C$288+C$4:C$287)/O$3)</f>
        <v>700</v>
      </c>
      <c r="P12" s="258">
        <f t="array" ref="P12">SUM(IF(D$6:D$289=$N12,1,0)*(E$6:E$289+E$5:E$288+E$4:E$287)/P$3)</f>
        <v>748.00000000000011</v>
      </c>
      <c r="Q12" s="258">
        <f t="array" ref="Q12">SUM(IF(F$6:F$289=$N12,1,0)*(G$6:G$289+G$5:G$288+G$4:G$287)/Q$3)</f>
        <v>300</v>
      </c>
      <c r="R12" s="258">
        <f t="array" ref="R12">SUM(IF(H$6:H$289=$N12,1,0)*(I$6:I$289+I$5:I$288+I$4:I$287)/R$3)</f>
        <v>733.33333333333337</v>
      </c>
      <c r="S12" s="259">
        <f t="array" ref="S12">SUM(IF(J$6:J$289=$N12,1,0)*(K$6:K$289+K$5:K$288+K$4:K$287)/S$3)</f>
        <v>400</v>
      </c>
      <c r="U12" s="1" t="str">
        <f t="shared" si="3"/>
        <v>M5</v>
      </c>
      <c r="W12" s="23">
        <f t="shared" si="4"/>
        <v>1.5730394201123162E-2</v>
      </c>
      <c r="X12" s="23">
        <f t="shared" si="5"/>
        <v>2.4375756441621494E-3</v>
      </c>
      <c r="Y12" s="23">
        <f t="shared" si="6"/>
        <v>3.4281529902936285E-4</v>
      </c>
      <c r="Z12" s="23">
        <f t="shared" si="7"/>
        <v>7.2939425325396363E-5</v>
      </c>
      <c r="BB12" s="59" t="str">
        <f>IFERROR($BC$3&amp;VLOOKUP(B14,'Pay Table'!$M$3:$N$18,2,FALSE)&amp;$BB$3&amp;C14&amp;$BD$3,"")</f>
        <v>[3,100]</v>
      </c>
      <c r="BC12" s="49" t="str">
        <f>IFERROR($BC$3&amp;VLOOKUP(D14,'Pay Table'!$M$3:$N$18,2,FALSE)&amp;$BB$3&amp;E14&amp;$BD$3,"")</f>
        <v>[2,100]</v>
      </c>
      <c r="BD12" s="49" t="str">
        <f>IFERROR($BC$3&amp;VLOOKUP(F14,'Pay Table'!$M$3:$N$18,2,FALSE)&amp;$BB$3&amp;G14&amp;$BD$3,"")</f>
        <v>[0,100]</v>
      </c>
      <c r="BE12" s="49" t="str">
        <f>IFERROR($BC$3&amp;VLOOKUP(H14,'Pay Table'!$M$3:$N$18,2,FALSE)&amp;$BB$3&amp;I14&amp;$BD$3,"")</f>
        <v>[4,100]</v>
      </c>
      <c r="BF12" s="60" t="str">
        <f>IFERROR($BC$3&amp;VLOOKUP(J14,'Pay Table'!$M$3:$N$18,2,FALSE)&amp;$BB$3&amp;K14&amp;$BD$3,"")</f>
        <v>[6,100]</v>
      </c>
    </row>
    <row r="13" spans="1:64" ht="17.100000000000001" customHeight="1" x14ac:dyDescent="0.15">
      <c r="A13" s="14">
        <v>8</v>
      </c>
      <c r="B13" s="10" t="s">
        <v>119</v>
      </c>
      <c r="C13" s="10">
        <v>100</v>
      </c>
      <c r="D13" s="10" t="s">
        <v>148</v>
      </c>
      <c r="E13" s="10">
        <v>100</v>
      </c>
      <c r="F13" s="10" t="s">
        <v>172</v>
      </c>
      <c r="G13" s="10">
        <v>100</v>
      </c>
      <c r="H13" s="10" t="s">
        <v>123</v>
      </c>
      <c r="I13" s="10">
        <v>100</v>
      </c>
      <c r="J13" s="10" t="s">
        <v>123</v>
      </c>
      <c r="K13" s="10">
        <v>100</v>
      </c>
      <c r="L13" s="31"/>
      <c r="N13" s="4" t="str">
        <f>'Pay Table'!B12</f>
        <v>A</v>
      </c>
      <c r="O13" s="257">
        <f t="array" ref="O13">SUM(IF(B$6:B$289=$N13,1,0)*(C$6:C$289+C$5:C$288+C$4:C$287)/O$3)</f>
        <v>558.33333333333337</v>
      </c>
      <c r="P13" s="258">
        <f t="array" ref="P13">SUM(IF(D$6:D$289=$N13,1,0)*(E$6:E$289+E$5:E$288+E$4:E$287)/P$3)</f>
        <v>526.66666666666663</v>
      </c>
      <c r="Q13" s="258">
        <f t="array" ref="Q13">SUM(IF(F$6:F$289=$N13,1,0)*(G$6:G$289+G$5:G$288+G$4:G$287)/Q$3)</f>
        <v>413.33333333333331</v>
      </c>
      <c r="R13" s="258">
        <f t="array" ref="R13">SUM(IF(H$6:H$289=$N13,1,0)*(I$6:I$289+I$5:I$288+I$4:I$287)/R$3)</f>
        <v>821.66666666666674</v>
      </c>
      <c r="S13" s="259">
        <f t="array" ref="S13">SUM(IF(J$6:J$289=$N13,1,0)*(K$6:K$289+K$5:K$288+K$4:K$287)/S$3)</f>
        <v>400</v>
      </c>
      <c r="U13" s="1" t="str">
        <f t="shared" si="3"/>
        <v>A</v>
      </c>
      <c r="W13" s="23">
        <f t="shared" si="4"/>
        <v>1.052838364783207E-2</v>
      </c>
      <c r="X13" s="23">
        <f t="shared" si="5"/>
        <v>1.685387163057964E-3</v>
      </c>
      <c r="Y13" s="23">
        <f t="shared" si="6"/>
        <v>2.4097080119535959E-4</v>
      </c>
      <c r="Z13" s="23">
        <f t="shared" si="7"/>
        <v>3.4577866429537529E-5</v>
      </c>
      <c r="BB13" s="59" t="str">
        <f>IFERROR($BC$3&amp;VLOOKUP(B15,'Pay Table'!$M$3:$N$18,2,FALSE)&amp;$BB$3&amp;C15&amp;$BD$3,"")</f>
        <v>[0,100]</v>
      </c>
      <c r="BC13" s="49" t="str">
        <f>IFERROR($BC$3&amp;VLOOKUP(D15,'Pay Table'!$M$3:$N$18,2,FALSE)&amp;$BB$3&amp;E15&amp;$BD$3,"")</f>
        <v>[6,100]</v>
      </c>
      <c r="BD13" s="49" t="str">
        <f>IFERROR($BC$3&amp;VLOOKUP(F15,'Pay Table'!$M$3:$N$18,2,FALSE)&amp;$BB$3&amp;G15&amp;$BD$3,"")</f>
        <v>[0,100]</v>
      </c>
      <c r="BE13" s="49" t="str">
        <f>IFERROR($BC$3&amp;VLOOKUP(H15,'Pay Table'!$M$3:$N$18,2,FALSE)&amp;$BB$3&amp;I15&amp;$BD$3,"")</f>
        <v>[0,100]</v>
      </c>
      <c r="BF13" s="60" t="str">
        <f>IFERROR($BC$3&amp;VLOOKUP(J15,'Pay Table'!$M$3:$N$18,2,FALSE)&amp;$BB$3&amp;K15&amp;$BD$3,"")</f>
        <v>[1,100]</v>
      </c>
    </row>
    <row r="14" spans="1:64" ht="17.100000000000001" customHeight="1" x14ac:dyDescent="0.15">
      <c r="A14" s="14">
        <v>9</v>
      </c>
      <c r="B14" s="10" t="s">
        <v>172</v>
      </c>
      <c r="C14" s="10">
        <v>100</v>
      </c>
      <c r="D14" s="10" t="s">
        <v>151</v>
      </c>
      <c r="E14" s="10">
        <v>100</v>
      </c>
      <c r="F14" s="10" t="s">
        <v>153</v>
      </c>
      <c r="G14" s="10">
        <v>100</v>
      </c>
      <c r="H14" s="10" t="s">
        <v>148</v>
      </c>
      <c r="I14" s="10">
        <v>100</v>
      </c>
      <c r="J14" s="10" t="s">
        <v>121</v>
      </c>
      <c r="K14" s="10">
        <v>100</v>
      </c>
      <c r="L14" s="31"/>
      <c r="N14" s="4" t="str">
        <f>'Pay Table'!B13</f>
        <v>K</v>
      </c>
      <c r="O14" s="257">
        <f t="array" ref="O14">SUM(IF(B$6:B$289=$N14,1,0)*(C$6:C$289+C$5:C$288+C$4:C$287)/O$3)</f>
        <v>700</v>
      </c>
      <c r="P14" s="258">
        <f t="array" ref="P14">SUM(IF(D$6:D$289=$N14,1,0)*(E$6:E$289+E$5:E$288+E$4:E$287)/P$3)</f>
        <v>591.33333333333337</v>
      </c>
      <c r="Q14" s="258">
        <f t="array" ref="Q14">SUM(IF(F$6:F$289=$N14,1,0)*(G$6:G$289+G$5:G$288+G$4:G$287)/Q$3)</f>
        <v>585</v>
      </c>
      <c r="R14" s="258">
        <f t="array" ref="R14">SUM(IF(H$6:H$289=$N14,1,0)*(I$6:I$289+I$5:I$288+I$4:I$287)/R$3)</f>
        <v>916.66666666666674</v>
      </c>
      <c r="S14" s="259">
        <f t="array" ref="S14">SUM(IF(J$6:J$289=$N14,1,0)*(K$6:K$289+K$5:K$288+K$4:K$287)/S$3)</f>
        <v>900</v>
      </c>
      <c r="U14" s="1" t="str">
        <f t="shared" si="3"/>
        <v>K</v>
      </c>
      <c r="W14" s="23">
        <f t="shared" si="4"/>
        <v>4.132378620208035E-3</v>
      </c>
      <c r="X14" s="23">
        <f t="shared" si="5"/>
        <v>5.6393689394032163E-4</v>
      </c>
      <c r="Y14" s="23">
        <f t="shared" si="6"/>
        <v>7.8470869966493442E-5</v>
      </c>
      <c r="Z14" s="23">
        <f t="shared" si="7"/>
        <v>1.0393492710793835E-5</v>
      </c>
      <c r="BB14" s="59" t="str">
        <f>IFERROR($BC$3&amp;VLOOKUP(B16,'Pay Table'!$M$3:$N$18,2,FALSE)&amp;$BB$3&amp;C16&amp;$BD$3,"")</f>
        <v>[0,100]</v>
      </c>
      <c r="BC14" s="49" t="str">
        <f>IFERROR($BC$3&amp;VLOOKUP(D16,'Pay Table'!$M$3:$N$18,2,FALSE)&amp;$BB$3&amp;E16&amp;$BD$3,"")</f>
        <v>[5,100]</v>
      </c>
      <c r="BD14" s="49" t="str">
        <f>IFERROR($BC$3&amp;VLOOKUP(F16,'Pay Table'!$M$3:$N$18,2,FALSE)&amp;$BB$3&amp;G16&amp;$BD$3,"")</f>
        <v>[7,100]</v>
      </c>
      <c r="BE14" s="49" t="str">
        <f>IFERROR($BC$3&amp;VLOOKUP(H16,'Pay Table'!$M$3:$N$18,2,FALSE)&amp;$BB$3&amp;I16&amp;$BD$3,"")</f>
        <v>[4,100]</v>
      </c>
      <c r="BF14" s="60" t="str">
        <f>IFERROR($BC$3&amp;VLOOKUP(J16,'Pay Table'!$M$3:$N$18,2,FALSE)&amp;$BB$3&amp;K16&amp;$BD$3,"")</f>
        <v>[1,100]</v>
      </c>
    </row>
    <row r="15" spans="1:64" ht="17.100000000000001" customHeight="1" x14ac:dyDescent="0.15">
      <c r="A15" s="14">
        <v>10</v>
      </c>
      <c r="B15" s="10" t="s">
        <v>153</v>
      </c>
      <c r="C15" s="10">
        <v>100</v>
      </c>
      <c r="D15" s="10" t="s">
        <v>121</v>
      </c>
      <c r="E15" s="10">
        <v>100</v>
      </c>
      <c r="F15" s="10" t="s">
        <v>153</v>
      </c>
      <c r="G15" s="10">
        <v>100</v>
      </c>
      <c r="H15" s="10" t="s">
        <v>153</v>
      </c>
      <c r="I15" s="10">
        <v>100</v>
      </c>
      <c r="J15" s="10" t="s">
        <v>152</v>
      </c>
      <c r="K15" s="10">
        <v>100</v>
      </c>
      <c r="L15" s="31"/>
      <c r="N15" s="4" t="str">
        <f>'Pay Table'!B14</f>
        <v>Q</v>
      </c>
      <c r="O15" s="257">
        <f t="array" ref="O15">SUM(IF(B$6:B$289=$N15,1,0)*(C$6:C$289+C$5:C$288+C$4:C$287)/O$3)</f>
        <v>483.33333333333331</v>
      </c>
      <c r="P15" s="258">
        <f t="array" ref="P15">SUM(IF(D$6:D$289=$N15,1,0)*(E$6:E$289+E$5:E$288+E$4:E$287)/P$3)</f>
        <v>566.66666666666674</v>
      </c>
      <c r="Q15" s="258">
        <f t="array" ref="Q15">SUM(IF(F$6:F$289=$N15,1,0)*(G$6:G$289+G$5:G$288+G$4:G$287)/Q$3)</f>
        <v>605</v>
      </c>
      <c r="R15" s="258">
        <f t="array" ref="R15">SUM(IF(H$6:H$289=$N15,1,0)*(I$6:I$289+I$5:I$288+I$4:I$287)/R$3)</f>
        <v>873.33333333333337</v>
      </c>
      <c r="S15" s="259">
        <f t="array" ref="S15">SUM(IF(J$6:J$289=$N15,1,0)*(K$6:K$289+K$5:K$288+K$4:K$287)/S$3)</f>
        <v>558.33333333333337</v>
      </c>
      <c r="U15" s="1" t="str">
        <f t="shared" si="3"/>
        <v>Q</v>
      </c>
      <c r="W15" s="23">
        <f t="shared" si="4"/>
        <v>0</v>
      </c>
      <c r="X15" s="23">
        <f t="shared" si="5"/>
        <v>0</v>
      </c>
      <c r="Y15" s="23">
        <f t="shared" si="6"/>
        <v>0</v>
      </c>
      <c r="Z15" s="23">
        <f t="shared" si="7"/>
        <v>0</v>
      </c>
      <c r="BB15" s="59" t="str">
        <f>IFERROR($BC$3&amp;VLOOKUP(B17,'Pay Table'!$M$3:$N$18,2,FALSE)&amp;$BB$3&amp;C17&amp;$BD$3,"")</f>
        <v>[0,100]</v>
      </c>
      <c r="BC15" s="49" t="str">
        <f>IFERROR($BC$3&amp;VLOOKUP(D17,'Pay Table'!$M$3:$N$18,2,FALSE)&amp;$BB$3&amp;E17&amp;$BD$3,"")</f>
        <v>[2,100]</v>
      </c>
      <c r="BD15" s="49" t="str">
        <f>IFERROR($BC$3&amp;VLOOKUP(F17,'Pay Table'!$M$3:$N$18,2,FALSE)&amp;$BB$3&amp;G17&amp;$BD$3,"")</f>
        <v>[3,100]</v>
      </c>
      <c r="BE15" s="49" t="str">
        <f>IFERROR($BC$3&amp;VLOOKUP(H17,'Pay Table'!$M$3:$N$18,2,FALSE)&amp;$BB$3&amp;I17&amp;$BD$3,"")</f>
        <v>[2,100]</v>
      </c>
      <c r="BF15" s="60" t="str">
        <f>IFERROR($BC$3&amp;VLOOKUP(J17,'Pay Table'!$M$3:$N$18,2,FALSE)&amp;$BB$3&amp;K17&amp;$BD$3,"")</f>
        <v>[1,100]</v>
      </c>
    </row>
    <row r="16" spans="1:64" ht="17.100000000000001" customHeight="1" x14ac:dyDescent="0.15">
      <c r="A16" s="14">
        <v>11</v>
      </c>
      <c r="B16" s="10" t="s">
        <v>153</v>
      </c>
      <c r="C16" s="10">
        <v>100</v>
      </c>
      <c r="D16" s="10" t="s">
        <v>123</v>
      </c>
      <c r="E16" s="10">
        <v>100</v>
      </c>
      <c r="F16" s="10" t="s">
        <v>119</v>
      </c>
      <c r="G16" s="10">
        <v>100</v>
      </c>
      <c r="H16" s="10" t="s">
        <v>148</v>
      </c>
      <c r="I16" s="10">
        <v>100</v>
      </c>
      <c r="J16" s="10" t="s">
        <v>152</v>
      </c>
      <c r="K16" s="10">
        <v>100</v>
      </c>
      <c r="L16" s="31"/>
      <c r="N16" s="4" t="str">
        <f>'Pay Table'!B15</f>
        <v>J</v>
      </c>
      <c r="O16" s="257">
        <f t="array" ref="O16">SUM(IF(B$6:B$289=$N16,1,0)*(C$6:C$289+C$5:C$288+C$4:C$287)/O$3)</f>
        <v>200</v>
      </c>
      <c r="P16" s="258">
        <f t="array" ref="P16">SUM(IF(D$6:D$289=$N16,1,0)*(E$6:E$289+E$5:E$288+E$4:E$287)/P$3)</f>
        <v>500</v>
      </c>
      <c r="Q16" s="258">
        <f t="array" ref="Q16">SUM(IF(F$6:F$289=$N16,1,0)*(G$6:G$289+G$5:G$288+G$4:G$287)/Q$3)</f>
        <v>486.33333333333337</v>
      </c>
      <c r="R16" s="258">
        <f t="array" ref="R16">SUM(IF(H$6:H$289=$N16,1,0)*(I$6:I$289+I$5:I$288+I$4:I$287)/R$3)</f>
        <v>836.66666666666663</v>
      </c>
      <c r="S16" s="259">
        <f t="array" ref="S16">SUM(IF(J$6:J$289=$N16,1,0)*(K$6:K$289+K$5:K$288+K$4:K$287)/S$3)</f>
        <v>500</v>
      </c>
      <c r="U16" s="1" t="str">
        <f t="shared" si="3"/>
        <v>J</v>
      </c>
      <c r="W16" s="23">
        <f t="shared" si="4"/>
        <v>0</v>
      </c>
      <c r="X16" s="23">
        <f t="shared" si="5"/>
        <v>0</v>
      </c>
      <c r="Y16" s="23">
        <f t="shared" si="6"/>
        <v>0</v>
      </c>
      <c r="Z16" s="23">
        <f t="shared" si="7"/>
        <v>0</v>
      </c>
      <c r="BB16" s="59" t="str">
        <f>IFERROR($BC$3&amp;VLOOKUP(B18,'Pay Table'!$M$3:$N$18,2,FALSE)&amp;$BB$3&amp;C18&amp;$BD$3,"")</f>
        <v>[7,100]</v>
      </c>
      <c r="BC16" s="49" t="str">
        <f>IFERROR($BC$3&amp;VLOOKUP(D18,'Pay Table'!$M$3:$N$18,2,FALSE)&amp;$BB$3&amp;E18&amp;$BD$3,"")</f>
        <v>[2,100]</v>
      </c>
      <c r="BD16" s="49" t="str">
        <f>IFERROR($BC$3&amp;VLOOKUP(F18,'Pay Table'!$M$3:$N$18,2,FALSE)&amp;$BB$3&amp;G18&amp;$BD$3,"")</f>
        <v>[7,100]</v>
      </c>
      <c r="BE16" s="49" t="str">
        <f>IFERROR($BC$3&amp;VLOOKUP(H18,'Pay Table'!$M$3:$N$18,2,FALSE)&amp;$BB$3&amp;I18&amp;$BD$3,"")</f>
        <v>[5,100]</v>
      </c>
      <c r="BF16" s="60" t="str">
        <f>IFERROR($BC$3&amp;VLOOKUP(J18,'Pay Table'!$M$3:$N$18,2,FALSE)&amp;$BB$3&amp;K18&amp;$BD$3,"")</f>
        <v>[6,100]</v>
      </c>
    </row>
    <row r="17" spans="1:58" ht="17.100000000000001" customHeight="1" x14ac:dyDescent="0.15">
      <c r="A17" s="14">
        <v>12</v>
      </c>
      <c r="B17" s="10" t="s">
        <v>153</v>
      </c>
      <c r="C17" s="10">
        <v>100</v>
      </c>
      <c r="D17" s="10" t="s">
        <v>151</v>
      </c>
      <c r="E17" s="10">
        <v>100</v>
      </c>
      <c r="F17" s="10" t="s">
        <v>127</v>
      </c>
      <c r="G17" s="10">
        <v>100</v>
      </c>
      <c r="H17" s="10" t="s">
        <v>151</v>
      </c>
      <c r="I17" s="10">
        <v>100</v>
      </c>
      <c r="J17" s="10" t="s">
        <v>152</v>
      </c>
      <c r="K17" s="10">
        <v>100</v>
      </c>
      <c r="N17" s="4" t="str">
        <f>'Pay Table'!B16</f>
        <v>SCATTER</v>
      </c>
      <c r="O17" s="257">
        <f t="array" ref="O17">SUM(IF(B$6:B$289=$N17,1,0)*(C$6:C$289+C$5:C$288+C$4:C$287)/O$3)</f>
        <v>0</v>
      </c>
      <c r="P17" s="258">
        <f t="array" ref="P17">SUM(IF(D$6:D$289=$N17,1,0)*(E$6:E$289+E$5:E$288+E$4:E$287)/P$3)</f>
        <v>408</v>
      </c>
      <c r="Q17" s="258">
        <f t="array" ref="Q17">SUM(IF(F$6:F$289=$N17,1,0)*(G$6:G$289+G$5:G$288+G$4:G$287)/Q$3)</f>
        <v>408</v>
      </c>
      <c r="R17" s="258">
        <f t="array" ref="R17">SUM(IF(H$6:H$289=$N17,1,0)*(I$6:I$289+I$5:I$288+I$4:I$287)/R$3)</f>
        <v>403.33333333333331</v>
      </c>
      <c r="S17" s="259">
        <f t="array" ref="S17">SUM(IF(J$6:J$289=$N17,1,0)*(K$6:K$289+K$5:K$288+K$4:K$287)/S$3)</f>
        <v>0</v>
      </c>
      <c r="U17" s="1" t="str">
        <f t="shared" si="3"/>
        <v>SCATTER</v>
      </c>
      <c r="BB17" s="59" t="str">
        <f>IFERROR($BC$3&amp;VLOOKUP(B19,'Pay Table'!$M$3:$N$18,2,FALSE)&amp;$BB$3&amp;C19&amp;$BD$3,"")</f>
        <v>[6,100]</v>
      </c>
      <c r="BC17" s="49" t="str">
        <f>IFERROR($BC$3&amp;VLOOKUP(D19,'Pay Table'!$M$3:$N$18,2,FALSE)&amp;$BB$3&amp;E19&amp;$BD$3,"")</f>
        <v>[8,100]</v>
      </c>
      <c r="BD17" s="49" t="str">
        <f>IFERROR($BC$3&amp;VLOOKUP(F19,'Pay Table'!$M$3:$N$18,2,FALSE)&amp;$BB$3&amp;G19&amp;$BD$3,"")</f>
        <v>[8,100]</v>
      </c>
      <c r="BE17" s="49" t="str">
        <f>IFERROR($BC$3&amp;VLOOKUP(H19,'Pay Table'!$M$3:$N$18,2,FALSE)&amp;$BB$3&amp;I19&amp;$BD$3,"")</f>
        <v>[92,100]</v>
      </c>
      <c r="BF17" s="60" t="str">
        <f>IFERROR($BC$3&amp;VLOOKUP(J19,'Pay Table'!$M$3:$N$18,2,FALSE)&amp;$BB$3&amp;K19&amp;$BD$3,"")</f>
        <v>[8,100]</v>
      </c>
    </row>
    <row r="18" spans="1:58" ht="17.100000000000001" customHeight="1" x14ac:dyDescent="0.15">
      <c r="A18" s="14">
        <v>13</v>
      </c>
      <c r="B18" s="10" t="s">
        <v>119</v>
      </c>
      <c r="C18" s="10">
        <v>100</v>
      </c>
      <c r="D18" s="10" t="s">
        <v>126</v>
      </c>
      <c r="E18" s="10">
        <v>100</v>
      </c>
      <c r="F18" s="10" t="s">
        <v>119</v>
      </c>
      <c r="G18" s="10">
        <v>100</v>
      </c>
      <c r="H18" s="10" t="s">
        <v>123</v>
      </c>
      <c r="I18" s="10">
        <v>100</v>
      </c>
      <c r="J18" s="10" t="s">
        <v>121</v>
      </c>
      <c r="K18" s="10">
        <v>100</v>
      </c>
      <c r="N18" s="4"/>
      <c r="O18" s="248"/>
      <c r="P18" s="249"/>
      <c r="Q18" s="249"/>
      <c r="R18" s="249"/>
      <c r="S18" s="250"/>
      <c r="U18"/>
      <c r="BB18" s="59" t="str">
        <f>IFERROR($BC$3&amp;VLOOKUP(B20,'Pay Table'!$M$3:$N$18,2,FALSE)&amp;$BB$3&amp;C20&amp;$BD$3,"")</f>
        <v>[4,100]</v>
      </c>
      <c r="BC18" s="49" t="str">
        <f>IFERROR($BC$3&amp;VLOOKUP(D20,'Pay Table'!$M$3:$N$18,2,FALSE)&amp;$BB$3&amp;E20&amp;$BD$3,"")</f>
        <v>[5,100]</v>
      </c>
      <c r="BD18" s="49" t="str">
        <f>IFERROR($BC$3&amp;VLOOKUP(F20,'Pay Table'!$M$3:$N$18,2,FALSE)&amp;$BB$3&amp;G20&amp;$BD$3,"")</f>
        <v>[7,100]</v>
      </c>
      <c r="BE18" s="49" t="str">
        <f>IFERROR($BC$3&amp;VLOOKUP(H20,'Pay Table'!$M$3:$N$18,2,FALSE)&amp;$BB$3&amp;I20&amp;$BD$3,"")</f>
        <v>[4,100]</v>
      </c>
      <c r="BF18" s="60" t="str">
        <f>IFERROR($BC$3&amp;VLOOKUP(J20,'Pay Table'!$M$3:$N$18,2,FALSE)&amp;$BB$3&amp;K20&amp;$BD$3,"")</f>
        <v>[2,100]</v>
      </c>
    </row>
    <row r="19" spans="1:58" ht="17.100000000000001" customHeight="1" x14ac:dyDescent="0.15">
      <c r="A19" s="14">
        <v>14</v>
      </c>
      <c r="B19" s="10" t="s">
        <v>121</v>
      </c>
      <c r="C19" s="10">
        <v>100</v>
      </c>
      <c r="D19" s="10" t="s">
        <v>120</v>
      </c>
      <c r="E19" s="10">
        <v>100</v>
      </c>
      <c r="F19" s="10" t="s">
        <v>120</v>
      </c>
      <c r="G19" s="10">
        <v>100</v>
      </c>
      <c r="H19" s="10" t="s">
        <v>122</v>
      </c>
      <c r="I19" s="10">
        <v>100</v>
      </c>
      <c r="J19" s="10" t="s">
        <v>120</v>
      </c>
      <c r="K19" s="10">
        <v>100</v>
      </c>
      <c r="N19" s="4"/>
      <c r="O19" s="248"/>
      <c r="P19" s="249"/>
      <c r="Q19" s="249"/>
      <c r="R19" s="249"/>
      <c r="S19" s="250"/>
      <c r="U19"/>
      <c r="BB19" s="59" t="str">
        <f>IFERROR($BC$3&amp;VLOOKUP(B21,'Pay Table'!$M$3:$N$18,2,FALSE)&amp;$BB$3&amp;C21&amp;$BD$3,"")</f>
        <v>[6,100]</v>
      </c>
      <c r="BC19" s="49" t="str">
        <f>IFERROR($BC$3&amp;VLOOKUP(D21,'Pay Table'!$M$3:$N$18,2,FALSE)&amp;$BB$3&amp;E21&amp;$BD$3,"")</f>
        <v>[7,100]</v>
      </c>
      <c r="BD19" s="49" t="str">
        <f>IFERROR($BC$3&amp;VLOOKUP(F21,'Pay Table'!$M$3:$N$18,2,FALSE)&amp;$BB$3&amp;G21&amp;$BD$3,"")</f>
        <v>[92,100]</v>
      </c>
      <c r="BE19" s="49" t="str">
        <f>IFERROR($BC$3&amp;VLOOKUP(H21,'Pay Table'!$M$3:$N$18,2,FALSE)&amp;$BB$3&amp;I21&amp;$BD$3,"")</f>
        <v>[8,100]</v>
      </c>
      <c r="BF19" s="60" t="str">
        <f>IFERROR($BC$3&amp;VLOOKUP(J21,'Pay Table'!$M$3:$N$18,2,FALSE)&amp;$BB$3&amp;K21&amp;$BD$3,"")</f>
        <v>[2,100]</v>
      </c>
    </row>
    <row r="20" spans="1:58" ht="17.100000000000001" customHeight="1" x14ac:dyDescent="0.15">
      <c r="A20" s="14">
        <v>15</v>
      </c>
      <c r="B20" s="10" t="s">
        <v>148</v>
      </c>
      <c r="C20" s="10">
        <v>100</v>
      </c>
      <c r="D20" s="10" t="s">
        <v>123</v>
      </c>
      <c r="E20" s="10">
        <v>100</v>
      </c>
      <c r="F20" s="10" t="s">
        <v>119</v>
      </c>
      <c r="G20" s="10">
        <v>100</v>
      </c>
      <c r="H20" s="10" t="s">
        <v>148</v>
      </c>
      <c r="I20" s="10">
        <v>100</v>
      </c>
      <c r="J20" s="10" t="s">
        <v>151</v>
      </c>
      <c r="K20" s="10">
        <v>100</v>
      </c>
      <c r="N20" s="4"/>
      <c r="O20" s="248"/>
      <c r="P20" s="249"/>
      <c r="Q20" s="249"/>
      <c r="R20" s="249"/>
      <c r="S20" s="250"/>
      <c r="U20"/>
      <c r="BB20" s="59" t="str">
        <f>IFERROR($BC$3&amp;VLOOKUP(B22,'Pay Table'!$M$3:$N$18,2,FALSE)&amp;$BB$3&amp;C22&amp;$BD$3,"")</f>
        <v>[4,100]</v>
      </c>
      <c r="BC20" s="49" t="str">
        <f>IFERROR($BC$3&amp;VLOOKUP(D22,'Pay Table'!$M$3:$N$18,2,FALSE)&amp;$BB$3&amp;E22&amp;$BD$3,"")</f>
        <v>[4,100]</v>
      </c>
      <c r="BD20" s="49" t="str">
        <f>IFERROR($BC$3&amp;VLOOKUP(F22,'Pay Table'!$M$3:$N$18,2,FALSE)&amp;$BB$3&amp;G22&amp;$BD$3,"")</f>
        <v>[7,100]</v>
      </c>
      <c r="BE20" s="49" t="str">
        <f>IFERROR($BC$3&amp;VLOOKUP(H22,'Pay Table'!$M$3:$N$18,2,FALSE)&amp;$BB$3&amp;I22&amp;$BD$3,"")</f>
        <v>[5,100]</v>
      </c>
      <c r="BF20" s="60" t="str">
        <f>IFERROR($BC$3&amp;VLOOKUP(J22,'Pay Table'!$M$3:$N$18,2,FALSE)&amp;$BB$3&amp;K22&amp;$BD$3,"")</f>
        <v>[3,100]</v>
      </c>
    </row>
    <row r="21" spans="1:58" ht="17.100000000000001" customHeight="1" x14ac:dyDescent="0.15">
      <c r="A21" s="14">
        <v>16</v>
      </c>
      <c r="B21" s="10" t="s">
        <v>121</v>
      </c>
      <c r="C21" s="10">
        <v>100</v>
      </c>
      <c r="D21" s="10" t="s">
        <v>119</v>
      </c>
      <c r="E21" s="10">
        <v>100</v>
      </c>
      <c r="F21" s="10" t="s">
        <v>122</v>
      </c>
      <c r="G21" s="10">
        <v>100</v>
      </c>
      <c r="H21" s="10" t="s">
        <v>120</v>
      </c>
      <c r="I21" s="10">
        <v>100</v>
      </c>
      <c r="J21" s="10" t="s">
        <v>151</v>
      </c>
      <c r="K21" s="10">
        <v>100</v>
      </c>
      <c r="N21" s="4"/>
      <c r="O21" s="251"/>
      <c r="P21" s="252"/>
      <c r="Q21" s="252"/>
      <c r="R21" s="252"/>
      <c r="S21" s="253"/>
      <c r="U21"/>
      <c r="BB21" s="59" t="str">
        <f>IFERROR($BC$3&amp;VLOOKUP(B23,'Pay Table'!$M$3:$N$18,2,FALSE)&amp;$BB$3&amp;C23&amp;$BD$3,"")</f>
        <v>[4,100]</v>
      </c>
      <c r="BC21" s="49" t="str">
        <f>IFERROR($BC$3&amp;VLOOKUP(D23,'Pay Table'!$M$3:$N$18,2,FALSE)&amp;$BB$3&amp;E23&amp;$BD$3,"")</f>
        <v>[8,100]</v>
      </c>
      <c r="BD21" s="49" t="str">
        <f>IFERROR($BC$3&amp;VLOOKUP(F23,'Pay Table'!$M$3:$N$18,2,FALSE)&amp;$BB$3&amp;G23&amp;$BD$3,"")</f>
        <v>[0,100]</v>
      </c>
      <c r="BE21" s="49" t="str">
        <f>IFERROR($BC$3&amp;VLOOKUP(H23,'Pay Table'!$M$3:$N$18,2,FALSE)&amp;$BB$3&amp;I23&amp;$BD$3,"")</f>
        <v>[4,100]</v>
      </c>
      <c r="BF21" s="60" t="str">
        <f>IFERROR($BC$3&amp;VLOOKUP(J23,'Pay Table'!$M$3:$N$18,2,FALSE)&amp;$BB$3&amp;K23&amp;$BD$3,"")</f>
        <v>[92,100]</v>
      </c>
    </row>
    <row r="22" spans="1:58" ht="17.100000000000001" customHeight="1" x14ac:dyDescent="0.15">
      <c r="A22" s="14">
        <v>17</v>
      </c>
      <c r="B22" s="10" t="s">
        <v>137</v>
      </c>
      <c r="C22" s="10">
        <v>100</v>
      </c>
      <c r="D22" s="10" t="s">
        <v>148</v>
      </c>
      <c r="E22" s="10">
        <v>100</v>
      </c>
      <c r="F22" s="10" t="s">
        <v>119</v>
      </c>
      <c r="G22" s="10">
        <v>100</v>
      </c>
      <c r="H22" s="10" t="s">
        <v>123</v>
      </c>
      <c r="I22" s="10">
        <v>100</v>
      </c>
      <c r="J22" s="10" t="s">
        <v>127</v>
      </c>
      <c r="K22" s="10">
        <v>100</v>
      </c>
      <c r="N22" s="6" t="s">
        <v>15</v>
      </c>
      <c r="O22" s="18">
        <f>SUM(O6:O21)</f>
        <v>5839.9999999999991</v>
      </c>
      <c r="P22" s="18">
        <f>SUM(P6:P21)</f>
        <v>5964</v>
      </c>
      <c r="Q22" s="18">
        <f>SUM(Q6:Q21)</f>
        <v>5764</v>
      </c>
      <c r="R22" s="18">
        <f>SUM(R6:R21)</f>
        <v>8350</v>
      </c>
      <c r="S22" s="36">
        <f>SUM(S6:S21)</f>
        <v>6839.9999999999991</v>
      </c>
      <c r="U22" s="1">
        <f>(O8+O9)/O22</f>
        <v>0.20547945205479456</v>
      </c>
      <c r="V22" s="1">
        <f t="shared" ref="V22:Y22" si="8">(P8+P9)/P22</f>
        <v>0.19282360831656606</v>
      </c>
      <c r="W22" s="1">
        <f t="shared" si="8"/>
        <v>0.28221142724959514</v>
      </c>
      <c r="X22" s="1">
        <f t="shared" si="8"/>
        <v>0.25548902195608786</v>
      </c>
      <c r="Y22" s="1">
        <f t="shared" si="8"/>
        <v>0.34844054580896688</v>
      </c>
      <c r="BB22" s="59" t="str">
        <f>IFERROR($BC$3&amp;VLOOKUP(B24,'Pay Table'!$M$3:$N$18,2,FALSE)&amp;$BB$3&amp;C24&amp;$BD$3,"")</f>
        <v>[0,100]</v>
      </c>
      <c r="BC22" s="49" t="str">
        <f>IFERROR($BC$3&amp;VLOOKUP(D24,'Pay Table'!$M$3:$N$18,2,FALSE)&amp;$BB$3&amp;E24&amp;$BD$3,"")</f>
        <v>[92,100]</v>
      </c>
      <c r="BD22" s="49" t="str">
        <f>IFERROR($BC$3&amp;VLOOKUP(F24,'Pay Table'!$M$3:$N$18,2,FALSE)&amp;$BB$3&amp;G24&amp;$BD$3,"")</f>
        <v>[0,100]</v>
      </c>
      <c r="BE22" s="49" t="str">
        <f>IFERROR($BC$3&amp;VLOOKUP(H24,'Pay Table'!$M$3:$N$18,2,FALSE)&amp;$BB$3&amp;I24&amp;$BD$3,"")</f>
        <v>[0,100]</v>
      </c>
      <c r="BF22" s="60" t="str">
        <f>IFERROR($BC$3&amp;VLOOKUP(J24,'Pay Table'!$M$3:$N$18,2,FALSE)&amp;$BB$3&amp;K24&amp;$BD$3,"")</f>
        <v>[6,100]</v>
      </c>
    </row>
    <row r="23" spans="1:58" ht="17.100000000000001" customHeight="1" x14ac:dyDescent="0.15">
      <c r="A23" s="14">
        <v>18</v>
      </c>
      <c r="B23" s="10" t="s">
        <v>148</v>
      </c>
      <c r="C23" s="10">
        <v>100</v>
      </c>
      <c r="D23" s="10" t="s">
        <v>120</v>
      </c>
      <c r="E23" s="10">
        <v>100</v>
      </c>
      <c r="F23" s="10" t="s">
        <v>153</v>
      </c>
      <c r="G23" s="10">
        <v>100</v>
      </c>
      <c r="H23" s="10" t="s">
        <v>137</v>
      </c>
      <c r="I23" s="10">
        <v>100</v>
      </c>
      <c r="J23" s="10" t="s">
        <v>122</v>
      </c>
      <c r="K23" s="10">
        <v>100</v>
      </c>
      <c r="N23" s="1" t="s">
        <v>11</v>
      </c>
      <c r="O23" s="1">
        <f>O22*P22*Q22*R22*S22</f>
        <v>1.1466134484456956E+19</v>
      </c>
      <c r="BB23" s="59" t="str">
        <f>IFERROR($BC$3&amp;VLOOKUP(B25,'Pay Table'!$M$3:$N$18,2,FALSE)&amp;$BB$3&amp;C25&amp;$BD$3,"")</f>
        <v>[0,100]</v>
      </c>
      <c r="BC23" s="49" t="str">
        <f>IFERROR($BC$3&amp;VLOOKUP(D25,'Pay Table'!$M$3:$N$18,2,FALSE)&amp;$BB$3&amp;E25&amp;$BD$3,"")</f>
        <v>[2,100]</v>
      </c>
      <c r="BD23" s="49" t="str">
        <f>IFERROR($BC$3&amp;VLOOKUP(F25,'Pay Table'!$M$3:$N$18,2,FALSE)&amp;$BB$3&amp;G25&amp;$BD$3,"")</f>
        <v>[0,100]</v>
      </c>
      <c r="BE23" s="49" t="str">
        <f>IFERROR($BC$3&amp;VLOOKUP(H25,'Pay Table'!$M$3:$N$18,2,FALSE)&amp;$BB$3&amp;I25&amp;$BD$3,"")</f>
        <v>[0,100]</v>
      </c>
      <c r="BF23" s="60" t="str">
        <f>IFERROR($BC$3&amp;VLOOKUP(J25,'Pay Table'!$M$3:$N$18,2,FALSE)&amp;$BB$3&amp;K25&amp;$BD$3,"")</f>
        <v>[8,100]</v>
      </c>
    </row>
    <row r="24" spans="1:58" ht="17.100000000000001" customHeight="1" x14ac:dyDescent="0.15">
      <c r="A24" s="14">
        <v>19</v>
      </c>
      <c r="B24" s="10" t="s">
        <v>153</v>
      </c>
      <c r="C24" s="10">
        <v>100</v>
      </c>
      <c r="D24" s="10" t="s">
        <v>122</v>
      </c>
      <c r="E24" s="10">
        <v>100</v>
      </c>
      <c r="F24" s="10" t="s">
        <v>153</v>
      </c>
      <c r="G24" s="10">
        <v>100</v>
      </c>
      <c r="H24" s="10" t="s">
        <v>153</v>
      </c>
      <c r="I24" s="10">
        <v>100</v>
      </c>
      <c r="J24" s="10" t="s">
        <v>121</v>
      </c>
      <c r="K24" s="10">
        <v>100</v>
      </c>
      <c r="BB24" s="59" t="str">
        <f>IFERROR($BC$3&amp;VLOOKUP(B26,'Pay Table'!$M$3:$N$18,2,FALSE)&amp;$BB$3&amp;C26&amp;$BD$3,"")</f>
        <v>[0,100]</v>
      </c>
      <c r="BC24" s="49" t="str">
        <f>IFERROR($BC$3&amp;VLOOKUP(D26,'Pay Table'!$M$3:$N$18,2,FALSE)&amp;$BB$3&amp;E26&amp;$BD$3,"")</f>
        <v>[4,100]</v>
      </c>
      <c r="BD24" s="49" t="str">
        <f>IFERROR($BC$3&amp;VLOOKUP(F26,'Pay Table'!$M$3:$N$18,2,FALSE)&amp;$BB$3&amp;G26&amp;$BD$3,"")</f>
        <v>[5,100]</v>
      </c>
      <c r="BE24" s="49" t="str">
        <f>IFERROR($BC$3&amp;VLOOKUP(H26,'Pay Table'!$M$3:$N$18,2,FALSE)&amp;$BB$3&amp;I26&amp;$BD$3,"")</f>
        <v>[0,100]</v>
      </c>
      <c r="BF24" s="60" t="str">
        <f>IFERROR($BC$3&amp;VLOOKUP(J26,'Pay Table'!$M$3:$N$18,2,FALSE)&amp;$BB$3&amp;K26&amp;$BD$3,"")</f>
        <v>[94,50]</v>
      </c>
    </row>
    <row r="25" spans="1:58" ht="17.100000000000001" customHeight="1" x14ac:dyDescent="0.15">
      <c r="A25" s="14">
        <v>20</v>
      </c>
      <c r="B25" s="10" t="s">
        <v>153</v>
      </c>
      <c r="C25" s="10">
        <v>100</v>
      </c>
      <c r="D25" s="10" t="s">
        <v>151</v>
      </c>
      <c r="E25" s="10">
        <v>100</v>
      </c>
      <c r="F25" s="10" t="s">
        <v>153</v>
      </c>
      <c r="G25" s="10">
        <v>100</v>
      </c>
      <c r="H25" s="10" t="s">
        <v>153</v>
      </c>
      <c r="I25" s="10">
        <v>100</v>
      </c>
      <c r="J25" s="10" t="s">
        <v>120</v>
      </c>
      <c r="K25" s="10">
        <v>100</v>
      </c>
      <c r="N25" s="37"/>
      <c r="O25" s="1" t="s">
        <v>27</v>
      </c>
      <c r="T25" s="1" t="s">
        <v>28</v>
      </c>
      <c r="AA25" s="1" t="s">
        <v>28</v>
      </c>
      <c r="AB25" s="1" t="s">
        <v>41</v>
      </c>
      <c r="AG25" s="1" t="s">
        <v>28</v>
      </c>
      <c r="AH25" s="1" t="s">
        <v>42</v>
      </c>
      <c r="AM25" s="1" t="s">
        <v>28</v>
      </c>
      <c r="AN25" s="1" t="s">
        <v>43</v>
      </c>
      <c r="AR25" s="1" t="s">
        <v>28</v>
      </c>
      <c r="AS25" s="1" t="s">
        <v>44</v>
      </c>
      <c r="AV25" s="1" t="s">
        <v>28</v>
      </c>
      <c r="AW25" s="1" t="s">
        <v>113</v>
      </c>
      <c r="BB25" s="59" t="str">
        <f>IFERROR($BC$3&amp;VLOOKUP(B27,'Pay Table'!$M$3:$N$18,2,FALSE)&amp;$BB$3&amp;C27&amp;$BD$3,"")</f>
        <v>[6,100]</v>
      </c>
      <c r="BC25" s="49" t="str">
        <f>IFERROR($BC$3&amp;VLOOKUP(D27,'Pay Table'!$M$3:$N$18,2,FALSE)&amp;$BB$3&amp;E27&amp;$BD$3,"")</f>
        <v>[8,100]</v>
      </c>
      <c r="BD25" s="49" t="str">
        <f>IFERROR($BC$3&amp;VLOOKUP(F27,'Pay Table'!$M$3:$N$18,2,FALSE)&amp;$BB$3&amp;G27&amp;$BD$3,"")</f>
        <v>[1,100]</v>
      </c>
      <c r="BE25" s="49" t="str">
        <f>IFERROR($BC$3&amp;VLOOKUP(H27,'Pay Table'!$M$3:$N$18,2,FALSE)&amp;$BB$3&amp;I27&amp;$BD$3,"")</f>
        <v>[5,100]</v>
      </c>
      <c r="BF25" s="60" t="str">
        <f>IFERROR($BC$3&amp;VLOOKUP(J27,'Pay Table'!$M$3:$N$18,2,FALSE)&amp;$BB$3&amp;K27&amp;$BD$3,"")</f>
        <v>[3,100]</v>
      </c>
    </row>
    <row r="26" spans="1:58" ht="17.100000000000001" customHeight="1" x14ac:dyDescent="0.15">
      <c r="A26" s="14">
        <v>21</v>
      </c>
      <c r="B26" s="10" t="s">
        <v>153</v>
      </c>
      <c r="C26" s="10">
        <v>100</v>
      </c>
      <c r="D26" s="10" t="s">
        <v>148</v>
      </c>
      <c r="E26" s="10">
        <v>100</v>
      </c>
      <c r="F26" s="10" t="s">
        <v>123</v>
      </c>
      <c r="G26" s="10">
        <v>100</v>
      </c>
      <c r="H26" s="10" t="s">
        <v>124</v>
      </c>
      <c r="I26" s="10">
        <v>100</v>
      </c>
      <c r="J26" s="10" t="s">
        <v>47</v>
      </c>
      <c r="K26" s="10">
        <v>50</v>
      </c>
      <c r="N26" s="6" t="s">
        <v>4</v>
      </c>
      <c r="O26" s="18">
        <v>2</v>
      </c>
      <c r="P26" s="18">
        <v>3</v>
      </c>
      <c r="Q26" s="18">
        <v>4</v>
      </c>
      <c r="R26" s="36">
        <v>5</v>
      </c>
      <c r="T26" s="17" t="str">
        <f t="shared" ref="T26:U41" si="9">N26</f>
        <v>Symbol</v>
      </c>
      <c r="U26" s="18">
        <f>O26</f>
        <v>2</v>
      </c>
      <c r="V26" s="18">
        <f>P26</f>
        <v>3</v>
      </c>
      <c r="W26" s="18">
        <f>Q26</f>
        <v>4</v>
      </c>
      <c r="X26" s="36">
        <f>R26</f>
        <v>5</v>
      </c>
      <c r="Y26" s="1" t="s">
        <v>12</v>
      </c>
      <c r="AA26" s="6" t="s">
        <v>4</v>
      </c>
      <c r="AB26" s="18">
        <v>2</v>
      </c>
      <c r="AC26" s="18">
        <v>3</v>
      </c>
      <c r="AD26" s="18">
        <v>4</v>
      </c>
      <c r="AE26" s="36">
        <v>5</v>
      </c>
      <c r="AG26" s="6" t="s">
        <v>4</v>
      </c>
      <c r="AH26" s="18">
        <v>2</v>
      </c>
      <c r="AI26" s="18">
        <v>3</v>
      </c>
      <c r="AJ26" s="18">
        <v>4</v>
      </c>
      <c r="AK26" s="36">
        <v>5</v>
      </c>
      <c r="AM26" s="6" t="s">
        <v>4</v>
      </c>
      <c r="AN26" s="18">
        <v>3</v>
      </c>
      <c r="AO26" s="18">
        <v>4</v>
      </c>
      <c r="AP26" s="36">
        <v>5</v>
      </c>
      <c r="AR26" s="6" t="s">
        <v>4</v>
      </c>
      <c r="AS26" s="18">
        <v>4</v>
      </c>
      <c r="AT26" s="36">
        <v>5</v>
      </c>
      <c r="AV26" s="6" t="s">
        <v>4</v>
      </c>
      <c r="AW26" s="36">
        <v>5</v>
      </c>
      <c r="BB26" s="59" t="str">
        <f>IFERROR($BC$3&amp;VLOOKUP(B28,'Pay Table'!$M$3:$N$18,2,FALSE)&amp;$BB$3&amp;C28&amp;$BD$3,"")</f>
        <v>[3,100]</v>
      </c>
      <c r="BC26" s="49" t="str">
        <f>IFERROR($BC$3&amp;VLOOKUP(D28,'Pay Table'!$M$3:$N$18,2,FALSE)&amp;$BB$3&amp;E28&amp;$BD$3,"")</f>
        <v>[7,100]</v>
      </c>
      <c r="BD26" s="49" t="str">
        <f>IFERROR($BC$3&amp;VLOOKUP(F28,'Pay Table'!$M$3:$N$18,2,FALSE)&amp;$BB$3&amp;G28&amp;$BD$3,"")</f>
        <v>[4,100]</v>
      </c>
      <c r="BE26" s="49" t="str">
        <f>IFERROR($BC$3&amp;VLOOKUP(H28,'Pay Table'!$M$3:$N$18,2,FALSE)&amp;$BB$3&amp;I28&amp;$BD$3,"")</f>
        <v>[1,100]</v>
      </c>
      <c r="BF26" s="60" t="str">
        <f>IFERROR($BC$3&amp;VLOOKUP(J28,'Pay Table'!$M$3:$N$18,2,FALSE)&amp;$BB$3&amp;K28&amp;$BD$3,"")</f>
        <v>[94,100]</v>
      </c>
    </row>
    <row r="27" spans="1:58" ht="17.100000000000001" customHeight="1" x14ac:dyDescent="0.15">
      <c r="A27" s="14">
        <v>22</v>
      </c>
      <c r="B27" s="10" t="s">
        <v>121</v>
      </c>
      <c r="C27" s="10">
        <v>100</v>
      </c>
      <c r="D27" s="10" t="s">
        <v>120</v>
      </c>
      <c r="E27" s="10">
        <v>100</v>
      </c>
      <c r="F27" s="10" t="s">
        <v>125</v>
      </c>
      <c r="G27" s="10">
        <v>100</v>
      </c>
      <c r="H27" s="10" t="s">
        <v>123</v>
      </c>
      <c r="I27" s="10">
        <v>100</v>
      </c>
      <c r="J27" s="10" t="s">
        <v>127</v>
      </c>
      <c r="K27" s="10">
        <v>100</v>
      </c>
      <c r="N27" s="3" t="str">
        <f t="shared" ref="N27:N42" si="10">N6</f>
        <v>LINK</v>
      </c>
      <c r="O27" s="21"/>
      <c r="P27" s="21"/>
      <c r="Q27" s="21"/>
      <c r="R27" s="20"/>
      <c r="T27" s="7" t="str">
        <f t="shared" si="9"/>
        <v>LINK</v>
      </c>
      <c r="U27" s="21"/>
      <c r="V27" s="21"/>
      <c r="W27" s="21"/>
      <c r="X27" s="20"/>
      <c r="AA27" s="3" t="str">
        <f t="shared" ref="AA27:AA42" si="11">N6</f>
        <v>LINK</v>
      </c>
      <c r="AB27" s="7"/>
      <c r="AC27" s="21"/>
      <c r="AD27" s="21"/>
      <c r="AE27" s="20"/>
      <c r="AG27" s="3" t="str">
        <f>AA27</f>
        <v>LINK</v>
      </c>
      <c r="AH27" s="7"/>
      <c r="AI27" s="21"/>
      <c r="AJ27" s="21"/>
      <c r="AK27" s="20"/>
      <c r="AM27" s="3" t="str">
        <f>AG27</f>
        <v>LINK</v>
      </c>
      <c r="AN27" s="21"/>
      <c r="AO27" s="21"/>
      <c r="AP27" s="20"/>
      <c r="AR27" s="3" t="str">
        <f t="shared" ref="AR27:AR42" si="12">AM27</f>
        <v>LINK</v>
      </c>
      <c r="AS27" s="21"/>
      <c r="AT27" s="20"/>
      <c r="AV27" s="3" t="str">
        <f>AR27</f>
        <v>LINK</v>
      </c>
      <c r="AW27" s="20"/>
      <c r="BB27" s="59" t="str">
        <f>IFERROR($BC$3&amp;VLOOKUP(B29,'Pay Table'!$M$3:$N$18,2,FALSE)&amp;$BB$3&amp;C29&amp;$BD$3,"")</f>
        <v>[6,100]</v>
      </c>
      <c r="BC27" s="49" t="str">
        <f>IFERROR($BC$3&amp;VLOOKUP(D29,'Pay Table'!$M$3:$N$18,2,FALSE)&amp;$BB$3&amp;E29&amp;$BD$3,"")</f>
        <v>[1,100]</v>
      </c>
      <c r="BD27" s="49" t="str">
        <f>IFERROR($BC$3&amp;VLOOKUP(F29,'Pay Table'!$M$3:$N$18,2,FALSE)&amp;$BB$3&amp;G29&amp;$BD$3,"")</f>
        <v>[4,100]</v>
      </c>
      <c r="BE27" s="49" t="str">
        <f>IFERROR($BC$3&amp;VLOOKUP(H29,'Pay Table'!$M$3:$N$18,2,FALSE)&amp;$BB$3&amp;I29&amp;$BD$3,"")</f>
        <v>[1,100]</v>
      </c>
      <c r="BF27" s="60" t="str">
        <f>IFERROR($BC$3&amp;VLOOKUP(J29,'Pay Table'!$M$3:$N$18,2,FALSE)&amp;$BB$3&amp;K29&amp;$BD$3,"")</f>
        <v>[8,100]</v>
      </c>
    </row>
    <row r="28" spans="1:58" ht="17.100000000000001" customHeight="1" x14ac:dyDescent="0.15">
      <c r="A28" s="14">
        <v>23</v>
      </c>
      <c r="B28" s="10" t="s">
        <v>172</v>
      </c>
      <c r="C28" s="10">
        <v>100</v>
      </c>
      <c r="D28" s="10" t="s">
        <v>119</v>
      </c>
      <c r="E28" s="10">
        <v>100</v>
      </c>
      <c r="F28" s="10" t="s">
        <v>148</v>
      </c>
      <c r="G28" s="10">
        <v>100</v>
      </c>
      <c r="H28" s="10" t="s">
        <v>125</v>
      </c>
      <c r="I28" s="10">
        <v>100</v>
      </c>
      <c r="J28" s="10" t="s">
        <v>47</v>
      </c>
      <c r="K28" s="10">
        <v>100</v>
      </c>
      <c r="N28" s="4" t="str">
        <f t="shared" si="10"/>
        <v>WILD</v>
      </c>
      <c r="R28" s="5"/>
      <c r="T28" s="2" t="str">
        <f t="shared" si="9"/>
        <v>WILD</v>
      </c>
      <c r="V28" s="1">
        <f t="shared" ref="V28:X29" si="13">P28</f>
        <v>0</v>
      </c>
      <c r="W28" s="1">
        <f t="shared" si="13"/>
        <v>0</v>
      </c>
      <c r="X28" s="5">
        <f t="shared" si="13"/>
        <v>0</v>
      </c>
      <c r="Y28" s="1">
        <f>SUM(U28:X28)</f>
        <v>0</v>
      </c>
      <c r="AA28" s="4" t="str">
        <f t="shared" si="11"/>
        <v>WILD</v>
      </c>
      <c r="AB28" s="2"/>
      <c r="AE28" s="5"/>
      <c r="AG28" s="4" t="str">
        <f t="shared" ref="AG28:AG42" si="14">AA28</f>
        <v>WILD</v>
      </c>
      <c r="AH28" s="2"/>
      <c r="AK28" s="5"/>
      <c r="AM28" s="4" t="str">
        <f t="shared" ref="AM28:AM42" si="15">AG28</f>
        <v>WILD</v>
      </c>
      <c r="AP28" s="5"/>
      <c r="AR28" s="4" t="str">
        <f t="shared" si="12"/>
        <v>WILD</v>
      </c>
      <c r="AT28" s="5"/>
      <c r="AV28" s="4" t="str">
        <f t="shared" ref="AV28:AV42" si="16">AR28</f>
        <v>WILD</v>
      </c>
      <c r="AW28" s="5"/>
      <c r="BB28" s="59" t="str">
        <f>IFERROR($BC$3&amp;VLOOKUP(B30,'Pay Table'!$M$3:$N$18,2,FALSE)&amp;$BB$3&amp;C30&amp;$BD$3,"")</f>
        <v>[2,100]</v>
      </c>
      <c r="BC28" s="49" t="str">
        <f>IFERROR($BC$3&amp;VLOOKUP(D30,'Pay Table'!$M$3:$N$18,2,FALSE)&amp;$BB$3&amp;E30&amp;$BD$3,"")</f>
        <v>[1,100]</v>
      </c>
      <c r="BD28" s="49" t="str">
        <f>IFERROR($BC$3&amp;VLOOKUP(F30,'Pay Table'!$M$3:$N$18,2,FALSE)&amp;$BB$3&amp;G30&amp;$BD$3,"")</f>
        <v>[2,130]</v>
      </c>
      <c r="BE28" s="49" t="str">
        <f>IFERROR($BC$3&amp;VLOOKUP(H30,'Pay Table'!$M$3:$N$18,2,FALSE)&amp;$BB$3&amp;I30&amp;$BD$3,"")</f>
        <v>[1,200]</v>
      </c>
      <c r="BF28" s="60" t="str">
        <f>IFERROR($BC$3&amp;VLOOKUP(J30,'Pay Table'!$M$3:$N$18,2,FALSE)&amp;$BB$3&amp;K30&amp;$BD$3,"")</f>
        <v>[7,100]</v>
      </c>
    </row>
    <row r="29" spans="1:58" ht="17.100000000000001" customHeight="1" x14ac:dyDescent="0.15">
      <c r="A29" s="14">
        <v>24</v>
      </c>
      <c r="B29" s="10" t="s">
        <v>121</v>
      </c>
      <c r="C29" s="10">
        <v>100</v>
      </c>
      <c r="D29" s="10" t="s">
        <v>152</v>
      </c>
      <c r="E29" s="10">
        <v>100</v>
      </c>
      <c r="F29" s="10" t="s">
        <v>148</v>
      </c>
      <c r="G29" s="10">
        <v>100</v>
      </c>
      <c r="H29" s="10" t="s">
        <v>152</v>
      </c>
      <c r="I29" s="10">
        <v>100</v>
      </c>
      <c r="J29" s="10" t="s">
        <v>120</v>
      </c>
      <c r="K29" s="10">
        <v>100</v>
      </c>
      <c r="N29" s="4" t="str">
        <f t="shared" si="10"/>
        <v>M1</v>
      </c>
      <c r="O29" s="1">
        <f>O8*($P$7+P8)*($Q$22-Q8-$Q$7)*$R$22*$S$22</f>
        <v>1.3943221781999998E+17</v>
      </c>
      <c r="P29" s="1">
        <f>O8*($P$7+P8)*($Q$7+Q8)*($R$22-R8-$R$7)*$S$22</f>
        <v>3.1443155100000004E+16</v>
      </c>
      <c r="Q29" s="1">
        <f>O8*($P$7+P8)*($Q$7+Q8)*($R$7+R8)*($S$22-S8-$S$7)</f>
        <v>4455892350000000</v>
      </c>
      <c r="R29" s="5">
        <f>O8*($P$7+P8)*($Q$7+Q8)*($R$7+R8)*($S$7+S8)</f>
        <v>1342136250000000.3</v>
      </c>
      <c r="S29" s="1">
        <f>SUM(O29:R29)</f>
        <v>1.7667340152E+17</v>
      </c>
      <c r="T29" s="2" t="str">
        <f t="shared" si="9"/>
        <v>M1</v>
      </c>
      <c r="U29" s="1">
        <f>O29</f>
        <v>1.3943221781999998E+17</v>
      </c>
      <c r="V29" s="1">
        <f t="shared" si="13"/>
        <v>3.1443155100000004E+16</v>
      </c>
      <c r="W29" s="1">
        <f t="shared" si="13"/>
        <v>4455892350000000</v>
      </c>
      <c r="X29" s="5">
        <f t="shared" si="13"/>
        <v>1342136250000000.3</v>
      </c>
      <c r="Y29" s="1">
        <f t="shared" ref="Y29:Y39" si="17">SUM(U29:X29)</f>
        <v>1.7667340152E+17</v>
      </c>
      <c r="AA29" s="4" t="str">
        <f t="shared" si="11"/>
        <v>M1</v>
      </c>
      <c r="AB29" s="2">
        <f t="shared" ref="AB29:AB41" si="18">O8*P8*($Q$22-Q8-$Q$7)*$R$22*$S$22</f>
        <v>7.880951442E+16</v>
      </c>
      <c r="AC29" s="1">
        <f t="shared" ref="AC29:AC41" si="19">O8*P8*Q8*($R$22-R8-$R$7)*$S$22</f>
        <v>1.3384016099999998E+16</v>
      </c>
      <c r="AD29" s="1">
        <f t="shared" ref="AD29:AD41" si="20">O8*P8*Q8*R8*($S$22-S8-$S$7)</f>
        <v>1458987833333333.3</v>
      </c>
      <c r="AE29" s="5">
        <f>O8*P8*Q8*R8*S8</f>
        <v>356189166666666.63</v>
      </c>
      <c r="AG29" s="4" t="str">
        <f t="shared" si="14"/>
        <v>M1</v>
      </c>
      <c r="AH29" s="2">
        <f t="shared" ref="AH29:AH41" si="21">O8*$P$7*($Q$22-Q8-$Q$7)*$R$22*$S$22</f>
        <v>6.06227034E+16</v>
      </c>
      <c r="AI29" s="1">
        <f t="shared" ref="AI29:AI41" si="22">O8*$P$7*Q8*($R$22-R8-$R$7)*$S$22+
O8*P8*$Q$7*($R$22-R8-$R$7)*$S$22</f>
        <v>1.4683598999999998E+16</v>
      </c>
      <c r="AJ29" s="1">
        <f t="shared" ref="AJ29:AJ41" si="23">O8*$P$7*Q8*R8*($S$22-S8-$S$7)+
O8*P8*$Q$7*R8*($S$22-S8-$S$7)+
O8*P8*Q8*$R$7*($S$22-S8-$S$7)</f>
        <v>2038351350000000</v>
      </c>
      <c r="AK29" s="5">
        <f t="array" ref="AK29">O8*$P$7*Q8*R8*S8+
O8*P8*$Q$7*R8*S8+
O8*P8*Q8*$R$7*S8+
O8*P8*Q8*R8*$S$7</f>
        <v>580896750000000</v>
      </c>
      <c r="AM29" s="4" t="str">
        <f t="shared" si="15"/>
        <v>M1</v>
      </c>
      <c r="AN29" s="1">
        <f t="shared" ref="AN29:AN41" si="24">O8*$P$7*$Q$7*($R$22-R8-$R$7)*$S$22</f>
        <v>3375540000000000.5</v>
      </c>
      <c r="AO29" s="1">
        <f t="shared" ref="AO29:AO41" si="25">O8*$P$7*$Q$7*R8*($S$22-S8-$S$7)+
O8*$P$7*Q8*$R$7*($S$22-S8-$S$7)+
O8*P8*$Q$7*$R$7*($S$22-S8-$S$7)</f>
        <v>848163166666666.63</v>
      </c>
      <c r="AP29" s="5">
        <f t="array" ref="AP29">O8*$P$7*$Q$7*R8*S8+
O8*$P$7*Q8*$R$7*S8+
O8*P8*$Q$7*$R$7*S8+
O8*P8*$Q$7*R8*$S$7+
O8*P8*Q8*$R$7*$S$7+
O8*$P$7*Q8*R8*$S$7</f>
        <v>323395333333333.38</v>
      </c>
      <c r="AR29" s="4" t="str">
        <f t="shared" si="12"/>
        <v>M1</v>
      </c>
      <c r="AS29" s="1">
        <f t="shared" ref="AS29:AS42" si="26">O8*$P$7*$Q$7*$R$7*($S$22-S8-$S$7)</f>
        <v>110390000000000</v>
      </c>
      <c r="AT29" s="5">
        <f>O8*$P$7*$Q$7*$R$7*S8+
O8*$P$7*$Q$7*R8*$S$7+
O8*$P$7*Q8*$R$7*$S$7+
O8*P8*$Q$7*$R$7*$S$7</f>
        <v>75355000000000.016</v>
      </c>
      <c r="AV29" s="4" t="str">
        <f t="shared" si="16"/>
        <v>M1</v>
      </c>
      <c r="AW29" s="5">
        <f>O8*$P$7*$Q$7*$R$7*$S$7</f>
        <v>6300000000000.001</v>
      </c>
      <c r="BB29" s="59" t="str">
        <f>IFERROR($BC$3&amp;VLOOKUP(B31,'Pay Table'!$M$3:$N$18,2,FALSE)&amp;$BB$3&amp;C31&amp;$BD$3,"")</f>
        <v>[2,100]</v>
      </c>
      <c r="BC29" s="49" t="str">
        <f>IFERROR($BC$3&amp;VLOOKUP(D31,'Pay Table'!$M$3:$N$18,2,FALSE)&amp;$BB$3&amp;E31&amp;$BD$3,"")</f>
        <v>[1,100]</v>
      </c>
      <c r="BD29" s="49" t="str">
        <f>IFERROR($BC$3&amp;VLOOKUP(F31,'Pay Table'!$M$3:$N$18,2,FALSE)&amp;$BB$3&amp;G31&amp;$BD$3,"")</f>
        <v>[90,135]</v>
      </c>
      <c r="BE29" s="49" t="str">
        <f>IFERROR($BC$3&amp;VLOOKUP(H31,'Pay Table'!$M$3:$N$18,2,FALSE)&amp;$BB$3&amp;I31&amp;$BD$3,"")</f>
        <v>[6,190]</v>
      </c>
      <c r="BF29" s="60" t="str">
        <f>IFERROR($BC$3&amp;VLOOKUP(J31,'Pay Table'!$M$3:$N$18,2,FALSE)&amp;$BB$3&amp;K31&amp;$BD$3,"")</f>
        <v>[1,100]</v>
      </c>
    </row>
    <row r="30" spans="1:58" ht="17.100000000000001" customHeight="1" x14ac:dyDescent="0.15">
      <c r="A30" s="14">
        <v>25</v>
      </c>
      <c r="B30" s="10" t="s">
        <v>151</v>
      </c>
      <c r="C30" s="10">
        <v>100</v>
      </c>
      <c r="D30" s="10" t="s">
        <v>152</v>
      </c>
      <c r="E30" s="10">
        <v>100</v>
      </c>
      <c r="F30" s="10" t="s">
        <v>151</v>
      </c>
      <c r="G30" s="10">
        <v>130</v>
      </c>
      <c r="H30" s="10" t="s">
        <v>152</v>
      </c>
      <c r="I30" s="10">
        <v>200</v>
      </c>
      <c r="J30" s="10" t="s">
        <v>119</v>
      </c>
      <c r="K30" s="10">
        <v>100</v>
      </c>
      <c r="N30" s="4" t="str">
        <f t="shared" si="10"/>
        <v>M2</v>
      </c>
      <c r="O30" s="1">
        <f t="shared" ref="O30:O41" si="27">O9*($P$7+P9)*($Q$22-Q9-$Q$7)*$R$22*$S$22</f>
        <v>1.4249800214999998E+17</v>
      </c>
      <c r="P30" s="1">
        <f t="shared" ref="P30:P41" si="28">O9*($P$7+P9)*($Q$7+Q9)*($R$22-R9-$R$7)*$S$22</f>
        <v>2.5127523749999996E+16</v>
      </c>
      <c r="Q30" s="1">
        <f t="shared" ref="Q30:Q41" si="29">O9*($P$7+P9)*($Q$7+Q9)*($R$7+R9)*($S$22-S9-$S$7)</f>
        <v>4141358666666667</v>
      </c>
      <c r="R30" s="5">
        <f t="shared" ref="R30:R41" si="30">O9*($P$7+P9)*($Q$7+Q9)*($R$7+R9)*($S$7+S9)</f>
        <v>1065790833333333.6</v>
      </c>
      <c r="S30" s="1">
        <f t="shared" ref="S30:S37" si="31">SUM(O30:R30)</f>
        <v>1.7283267539999997E+17</v>
      </c>
      <c r="T30" s="2" t="str">
        <f t="shared" si="9"/>
        <v>M2</v>
      </c>
      <c r="U30" s="1">
        <f t="shared" si="9"/>
        <v>1.4249800214999998E+17</v>
      </c>
      <c r="V30" s="1">
        <f t="shared" ref="V30:X41" si="32">P30</f>
        <v>2.5127523749999996E+16</v>
      </c>
      <c r="W30" s="1">
        <f t="shared" si="32"/>
        <v>4141358666666667</v>
      </c>
      <c r="X30" s="5">
        <f t="shared" si="32"/>
        <v>1065790833333333.6</v>
      </c>
      <c r="Y30" s="1">
        <f t="shared" si="17"/>
        <v>1.7283267539999997E+17</v>
      </c>
      <c r="AA30" s="4" t="str">
        <f t="shared" si="11"/>
        <v>M2</v>
      </c>
      <c r="AB30" s="2">
        <f t="shared" si="18"/>
        <v>9.7260541149999968E+16</v>
      </c>
      <c r="AC30" s="1">
        <f t="shared" si="19"/>
        <v>1.206470708333333E+16</v>
      </c>
      <c r="AD30" s="1">
        <f t="shared" si="20"/>
        <v>1572245629629629.5</v>
      </c>
      <c r="AE30" s="5">
        <f t="shared" ref="AE30:AE41" si="33">O9*P9*Q9*R9*S9</f>
        <v>317917314814814.88</v>
      </c>
      <c r="AG30" s="4" t="str">
        <f t="shared" si="14"/>
        <v>M2</v>
      </c>
      <c r="AH30" s="2">
        <f t="shared" si="21"/>
        <v>4.5237460999999992E+16</v>
      </c>
      <c r="AI30" s="1">
        <f t="shared" si="22"/>
        <v>1.0697316666666664E+16</v>
      </c>
      <c r="AJ30" s="1">
        <f t="shared" si="23"/>
        <v>1810233037037037</v>
      </c>
      <c r="AK30" s="5">
        <f t="array" ref="AK30">O9*$P$7*Q9*R9*S9+
O9*P9*$Q$7*R9*S9+
O9*P9*Q9*$R$7*S9+
O9*P9*Q9*R9*$S$7</f>
        <v>452744490740740.88</v>
      </c>
      <c r="AM30" s="4" t="str">
        <f t="shared" si="15"/>
        <v>M2</v>
      </c>
      <c r="AN30" s="1">
        <f t="shared" si="24"/>
        <v>2365500000000000</v>
      </c>
      <c r="AO30" s="1">
        <f t="shared" si="25"/>
        <v>677280000000000</v>
      </c>
      <c r="AP30" s="5">
        <f t="array" ref="AP30">O9*$P$7*$Q$7*R9*S9+
O9*$P$7*Q9*$R$7*S9+
O9*P9*$Q$7*$R$7*S9+
O9*P9*$Q$7*R9*$S$7+
O9*P9*Q9*$R$7*$S$7+
O9*$P$7*Q9*R9*$S$7</f>
        <v>236779027777777.81</v>
      </c>
      <c r="AR30" s="4" t="str">
        <f t="shared" si="12"/>
        <v>M2</v>
      </c>
      <c r="AS30" s="1">
        <f t="shared" si="26"/>
        <v>81600000000000</v>
      </c>
      <c r="AT30" s="5">
        <f t="array" ref="AT30">O9*$P$7*$Q$7*$R$7*S9+
O9*$P$7*$Q$7*R9*$S$7+
O9*$P$7*Q9*$R$7*$S$7+
O9*P9*$Q$7*$R$7*$S$7</f>
        <v>53850000000000.016</v>
      </c>
      <c r="AV30" s="4" t="str">
        <f t="shared" si="16"/>
        <v>M2</v>
      </c>
      <c r="AW30" s="5">
        <f t="shared" ref="AW30:AW42" si="34">O9*$P$7*$Q$7*$R$7*$S$7</f>
        <v>4500000000000.001</v>
      </c>
      <c r="BB30" s="59" t="str">
        <f>IFERROR($BC$3&amp;VLOOKUP(B32,'Pay Table'!$M$3:$N$18,2,FALSE)&amp;$BB$3&amp;C32&amp;$BD$3,"")</f>
        <v>[3,100]</v>
      </c>
      <c r="BC30" s="49" t="str">
        <f>IFERROR($BC$3&amp;VLOOKUP(D32,'Pay Table'!$M$3:$N$18,2,FALSE)&amp;$BB$3&amp;E32&amp;$BD$3,"")</f>
        <v>[3,100]</v>
      </c>
      <c r="BD30" s="49" t="str">
        <f>IFERROR($BC$3&amp;VLOOKUP(F32,'Pay Table'!$M$3:$N$18,2,FALSE)&amp;$BB$3&amp;G32&amp;$BD$3,"")</f>
        <v>[7,100]</v>
      </c>
      <c r="BE30" s="49" t="str">
        <f>IFERROR($BC$3&amp;VLOOKUP(H32,'Pay Table'!$M$3:$N$18,2,FALSE)&amp;$BB$3&amp;I32&amp;$BD$3,"")</f>
        <v>[90,200]</v>
      </c>
      <c r="BF30" s="60" t="str">
        <f>IFERROR($BC$3&amp;VLOOKUP(J32,'Pay Table'!$M$3:$N$18,2,FALSE)&amp;$BB$3&amp;K32&amp;$BD$3,"")</f>
        <v>[1,100]</v>
      </c>
    </row>
    <row r="31" spans="1:58" ht="17.100000000000001" customHeight="1" x14ac:dyDescent="0.15">
      <c r="A31" s="14">
        <v>26</v>
      </c>
      <c r="B31" s="10" t="s">
        <v>151</v>
      </c>
      <c r="C31" s="10">
        <v>100</v>
      </c>
      <c r="D31" s="10" t="s">
        <v>152</v>
      </c>
      <c r="E31" s="10">
        <v>100</v>
      </c>
      <c r="F31" s="10" t="s">
        <v>14</v>
      </c>
      <c r="G31" s="10">
        <v>135</v>
      </c>
      <c r="H31" s="10" t="s">
        <v>121</v>
      </c>
      <c r="I31" s="10">
        <v>190</v>
      </c>
      <c r="J31" s="10" t="s">
        <v>125</v>
      </c>
      <c r="K31" s="10">
        <v>100</v>
      </c>
      <c r="N31" s="4" t="str">
        <f t="shared" si="10"/>
        <v>M3</v>
      </c>
      <c r="O31" s="1">
        <f t="shared" si="27"/>
        <v>2.4687240929999997E+17</v>
      </c>
      <c r="P31" s="1">
        <f t="shared" si="28"/>
        <v>2.26493091E+16</v>
      </c>
      <c r="Q31" s="1">
        <f t="shared" si="29"/>
        <v>1830089800000000</v>
      </c>
      <c r="R31" s="5">
        <f t="shared" si="30"/>
        <v>242396000000000.06</v>
      </c>
      <c r="S31" s="1">
        <f t="shared" si="31"/>
        <v>2.7159420419999997E+17</v>
      </c>
      <c r="T31" s="2" t="str">
        <f t="shared" si="9"/>
        <v>M3</v>
      </c>
      <c r="U31" s="1">
        <f t="shared" si="9"/>
        <v>2.4687240929999997E+17</v>
      </c>
      <c r="V31" s="1">
        <f t="shared" si="32"/>
        <v>2.26493091E+16</v>
      </c>
      <c r="W31" s="1">
        <f t="shared" si="32"/>
        <v>1830089800000000</v>
      </c>
      <c r="X31" s="5">
        <f t="shared" si="32"/>
        <v>242396000000000.06</v>
      </c>
      <c r="Y31" s="1">
        <f t="shared" si="17"/>
        <v>2.7159420419999997E+17</v>
      </c>
      <c r="AA31" s="4" t="str">
        <f t="shared" si="11"/>
        <v>M3</v>
      </c>
      <c r="AB31" s="2">
        <f t="shared" si="18"/>
        <v>1.5710062409999994E+17</v>
      </c>
      <c r="AC31" s="1">
        <f t="shared" si="19"/>
        <v>6171851699999998</v>
      </c>
      <c r="AD31" s="1">
        <f t="shared" si="20"/>
        <v>284967199999999.94</v>
      </c>
      <c r="AE31" s="5">
        <f t="shared" si="33"/>
        <v>23589999999999.996</v>
      </c>
      <c r="AG31" s="4" t="str">
        <f t="shared" si="14"/>
        <v>M3</v>
      </c>
      <c r="AH31" s="2">
        <f t="shared" si="21"/>
        <v>8.97717852E+16</v>
      </c>
      <c r="AI31" s="1">
        <f t="shared" si="22"/>
        <v>1.1768117399999998E+16</v>
      </c>
      <c r="AJ31" s="1">
        <f t="shared" si="23"/>
        <v>757083799999999.75</v>
      </c>
      <c r="AK31" s="5">
        <f t="array" ref="AK31">O10*$P$7*Q10*R10*S10+
O10*P10*$Q$7*R10*S10+
O10*P10*Q10*$R$7*S10+
O10*P10*Q10*R10*$S$7</f>
        <v>76826500000000</v>
      </c>
      <c r="AM31" s="4" t="str">
        <f t="shared" si="15"/>
        <v>M3</v>
      </c>
      <c r="AN31" s="1">
        <f t="shared" si="24"/>
        <v>4709340000000000</v>
      </c>
      <c r="AO31" s="1">
        <f t="shared" si="25"/>
        <v>624958800000000</v>
      </c>
      <c r="AP31" s="5">
        <f t="array" ref="AP31">O10*$P$7*$Q$7*R10*S10+
O10*$P$7*Q10*$R$7*S10+
O10*P10*$Q$7*$R$7*S10+
O10*P10*$Q$7*R10*$S$7+
O10*P10*Q10*$R$7*$S$7+
O10*$P$7*Q10*R10*$S$7</f>
        <v>89338500000000</v>
      </c>
      <c r="AR31" s="4" t="str">
        <f t="shared" si="12"/>
        <v>M3</v>
      </c>
      <c r="AS31" s="1">
        <f t="shared" si="26"/>
        <v>163080000000000</v>
      </c>
      <c r="AT31" s="5">
        <f t="array" ref="AT31">O10*$P$7*$Q$7*$R$7*S10+
O10*$P$7*$Q$7*R10*$S$7+
O10*$P$7*Q10*$R$7*$S$7+
O10*P10*$Q$7*$R$7*$S$7</f>
        <v>44541000000000</v>
      </c>
      <c r="AV31" s="4" t="str">
        <f t="shared" si="16"/>
        <v>M3</v>
      </c>
      <c r="AW31" s="5">
        <f t="shared" si="34"/>
        <v>8100000000000.001</v>
      </c>
      <c r="BB31" s="59" t="str">
        <f>IFERROR($BC$3&amp;VLOOKUP(B33,'Pay Table'!$M$3:$N$18,2,FALSE)&amp;$BB$3&amp;C33&amp;$BD$3,"")</f>
        <v>[8,100]</v>
      </c>
      <c r="BC31" s="49" t="str">
        <f>IFERROR($BC$3&amp;VLOOKUP(D33,'Pay Table'!$M$3:$N$18,2,FALSE)&amp;$BB$3&amp;E33&amp;$BD$3,"")</f>
        <v>[5,140]</v>
      </c>
      <c r="BD31" s="49" t="str">
        <f>IFERROR($BC$3&amp;VLOOKUP(F33,'Pay Table'!$M$3:$N$18,2,FALSE)&amp;$BB$3&amp;G33&amp;$BD$3,"")</f>
        <v>[1,100]</v>
      </c>
      <c r="BE31" s="49" t="str">
        <f>IFERROR($BC$3&amp;VLOOKUP(H33,'Pay Table'!$M$3:$N$18,2,FALSE)&amp;$BB$3&amp;I33&amp;$BD$3,"")</f>
        <v>[5,100]</v>
      </c>
      <c r="BF31" s="60" t="str">
        <f>IFERROR($BC$3&amp;VLOOKUP(J33,'Pay Table'!$M$3:$N$18,2,FALSE)&amp;$BB$3&amp;K33&amp;$BD$3,"")</f>
        <v>[1,100]</v>
      </c>
    </row>
    <row r="32" spans="1:58" ht="17.100000000000001" customHeight="1" x14ac:dyDescent="0.15">
      <c r="A32" s="14">
        <v>27</v>
      </c>
      <c r="B32" s="10" t="s">
        <v>172</v>
      </c>
      <c r="C32" s="10">
        <v>100</v>
      </c>
      <c r="D32" s="10" t="s">
        <v>127</v>
      </c>
      <c r="E32" s="10">
        <v>100</v>
      </c>
      <c r="F32" s="10" t="s">
        <v>119</v>
      </c>
      <c r="G32" s="10">
        <v>100</v>
      </c>
      <c r="H32" s="10" t="s">
        <v>14</v>
      </c>
      <c r="I32" s="10">
        <v>200</v>
      </c>
      <c r="J32" s="10" t="s">
        <v>152</v>
      </c>
      <c r="K32" s="10">
        <v>100</v>
      </c>
      <c r="N32" s="4" t="str">
        <f t="shared" si="10"/>
        <v>M4</v>
      </c>
      <c r="O32" s="1">
        <f t="shared" si="27"/>
        <v>1.2769938398999997E+17</v>
      </c>
      <c r="P32" s="1">
        <f t="shared" si="28"/>
        <v>1.8320787999999996E+16</v>
      </c>
      <c r="Q32" s="1">
        <f t="shared" si="29"/>
        <v>1967520092592592.3</v>
      </c>
      <c r="R32" s="5">
        <f t="shared" si="30"/>
        <v>291769907407407.38</v>
      </c>
      <c r="S32" s="1">
        <f t="shared" si="31"/>
        <v>1.4827946198999997E+17</v>
      </c>
      <c r="T32" s="2" t="str">
        <f t="shared" si="9"/>
        <v>M4</v>
      </c>
      <c r="U32" s="1">
        <f t="shared" si="9"/>
        <v>1.2769938398999997E+17</v>
      </c>
      <c r="V32" s="1">
        <f t="shared" si="32"/>
        <v>1.8320787999999996E+16</v>
      </c>
      <c r="W32" s="1">
        <f t="shared" si="32"/>
        <v>1967520092592592.3</v>
      </c>
      <c r="X32" s="5">
        <f t="shared" si="32"/>
        <v>291769907407407.38</v>
      </c>
      <c r="Y32" s="1">
        <f t="shared" si="17"/>
        <v>1.4827946198999997E+17</v>
      </c>
      <c r="AA32" s="4" t="str">
        <f t="shared" si="11"/>
        <v>M4</v>
      </c>
      <c r="AB32" s="2">
        <f t="shared" si="18"/>
        <v>5.3670755589999992E+16</v>
      </c>
      <c r="AC32" s="1">
        <f t="shared" si="19"/>
        <v>4812525833333332</v>
      </c>
      <c r="AD32" s="1">
        <f t="shared" si="20"/>
        <v>347685945216049.38</v>
      </c>
      <c r="AE32" s="5">
        <f t="shared" si="33"/>
        <v>34048707561728.395</v>
      </c>
      <c r="AG32" s="4" t="str">
        <f t="shared" si="14"/>
        <v>M4</v>
      </c>
      <c r="AH32" s="2">
        <f t="shared" si="21"/>
        <v>7.4028628399999984E+16</v>
      </c>
      <c r="AI32" s="1">
        <f t="shared" si="22"/>
        <v>9525482166666666</v>
      </c>
      <c r="AJ32" s="1">
        <f t="shared" si="23"/>
        <v>857322902006172.88</v>
      </c>
      <c r="AK32" s="5">
        <f t="array" ref="AK32">O11*$P$7*Q11*R11*S11+
O11*P11*$Q$7*R11*S11+
O11*P11*Q11*$R$7*S11+
O11*P11*Q11*R11*$S$7</f>
        <v>101467959104938.28</v>
      </c>
      <c r="AM32" s="4" t="str">
        <f t="shared" si="15"/>
        <v>M4</v>
      </c>
      <c r="AN32" s="1">
        <f t="shared" si="24"/>
        <v>3982780000000000</v>
      </c>
      <c r="AO32" s="1">
        <f t="shared" si="25"/>
        <v>622529578703703.75</v>
      </c>
      <c r="AP32" s="5">
        <f t="array" ref="AP32">O11*$P$7*$Q$7*R11*S11+
O11*$P$7*Q11*$R$7*S11+
O11*P11*$Q$7*$R$7*S11+
O11*P11*$Q$7*R11*$S$7+
O11*P11*Q11*$R$7*$S$7+
O11*$P$7*Q11*R11*$S$7</f>
        <v>104141990740740.75</v>
      </c>
      <c r="AR32" s="4" t="str">
        <f t="shared" si="12"/>
        <v>M4</v>
      </c>
      <c r="AS32" s="1">
        <f t="shared" si="26"/>
        <v>139981666666666.67</v>
      </c>
      <c r="AT32" s="5">
        <f t="array" ref="AT32">O11*$P$7*$Q$7*$R$7*S11+
O11*$P$7*$Q$7*R11*$S$7+
O11*$P$7*Q11*$R$7*$S$7+
O11*P11*$Q$7*$R$7*$S$7</f>
        <v>45061250000000.008</v>
      </c>
      <c r="AV32" s="4" t="str">
        <f t="shared" si="16"/>
        <v>M4</v>
      </c>
      <c r="AW32" s="5">
        <f t="shared" si="34"/>
        <v>7050000000000.001</v>
      </c>
      <c r="BB32" s="59" t="str">
        <f>IFERROR($BC$3&amp;VLOOKUP(B34,'Pay Table'!$M$3:$N$18,2,FALSE)&amp;$BB$3&amp;C34&amp;$BD$3,"")</f>
        <v>[2,100]</v>
      </c>
      <c r="BC32" s="49" t="str">
        <f>IFERROR($BC$3&amp;VLOOKUP(D34,'Pay Table'!$M$3:$N$18,2,FALSE)&amp;$BB$3&amp;E34&amp;$BD$3,"")</f>
        <v>[90,150]</v>
      </c>
      <c r="BD32" s="49" t="str">
        <f>IFERROR($BC$3&amp;VLOOKUP(F34,'Pay Table'!$M$3:$N$18,2,FALSE)&amp;$BB$3&amp;G34&amp;$BD$3,"")</f>
        <v>[1,100]</v>
      </c>
      <c r="BE32" s="49" t="str">
        <f>IFERROR($BC$3&amp;VLOOKUP(H34,'Pay Table'!$M$3:$N$18,2,FALSE)&amp;$BB$3&amp;I34&amp;$BD$3,"")</f>
        <v>[4,100]</v>
      </c>
      <c r="BF32" s="60" t="str">
        <f>IFERROR($BC$3&amp;VLOOKUP(J34,'Pay Table'!$M$3:$N$18,2,FALSE)&amp;$BB$3&amp;K34&amp;$BD$3,"")</f>
        <v>[2,100]</v>
      </c>
    </row>
    <row r="33" spans="1:58" ht="17.100000000000001" customHeight="1" x14ac:dyDescent="0.15">
      <c r="A33" s="14">
        <v>28</v>
      </c>
      <c r="B33" s="10" t="s">
        <v>120</v>
      </c>
      <c r="C33" s="10">
        <v>100</v>
      </c>
      <c r="D33" s="10" t="s">
        <v>123</v>
      </c>
      <c r="E33" s="10">
        <v>140</v>
      </c>
      <c r="F33" s="10" t="s">
        <v>152</v>
      </c>
      <c r="G33" s="10">
        <v>100</v>
      </c>
      <c r="H33" s="10" t="s">
        <v>123</v>
      </c>
      <c r="I33" s="10">
        <v>100</v>
      </c>
      <c r="J33" s="10" t="s">
        <v>152</v>
      </c>
      <c r="K33" s="10">
        <v>100</v>
      </c>
      <c r="N33" s="4" t="str">
        <f t="shared" si="10"/>
        <v>M5</v>
      </c>
      <c r="O33" s="1">
        <f t="shared" si="27"/>
        <v>2.232474164256E+17</v>
      </c>
      <c r="P33" s="1">
        <f t="shared" si="28"/>
        <v>2.2728891360000004E+16</v>
      </c>
      <c r="Q33" s="1">
        <f t="shared" si="29"/>
        <v>2881493813333334</v>
      </c>
      <c r="R33" s="5">
        <f t="shared" si="30"/>
        <v>328509066666666.81</v>
      </c>
      <c r="S33" s="1">
        <f t="shared" si="31"/>
        <v>2.491863106656E+17</v>
      </c>
      <c r="T33" s="2" t="str">
        <f t="shared" si="9"/>
        <v>M5</v>
      </c>
      <c r="U33" s="1">
        <f t="shared" si="9"/>
        <v>2.232474164256E+17</v>
      </c>
      <c r="V33" s="1">
        <f t="shared" si="32"/>
        <v>2.2728891360000004E+16</v>
      </c>
      <c r="W33" s="1">
        <f t="shared" si="32"/>
        <v>2881493813333334</v>
      </c>
      <c r="X33" s="5">
        <f t="shared" si="32"/>
        <v>328509066666666.81</v>
      </c>
      <c r="Y33" s="1">
        <f t="shared" si="17"/>
        <v>2.491863106656E+17</v>
      </c>
      <c r="AA33" s="4" t="str">
        <f t="shared" si="11"/>
        <v>M5</v>
      </c>
      <c r="AB33" s="2">
        <f t="shared" si="18"/>
        <v>1.544288540256E+17</v>
      </c>
      <c r="AC33" s="1">
        <f t="shared" si="19"/>
        <v>7861225680000001</v>
      </c>
      <c r="AD33" s="1">
        <f t="shared" si="20"/>
        <v>707278880000000.13</v>
      </c>
      <c r="AE33" s="5">
        <f t="shared" si="33"/>
        <v>46076800000000.016</v>
      </c>
      <c r="AG33" s="4" t="str">
        <f t="shared" si="14"/>
        <v>M5</v>
      </c>
      <c r="AH33" s="2">
        <f t="shared" si="21"/>
        <v>6.8818562399999992E+16</v>
      </c>
      <c r="AI33" s="1">
        <f t="shared" si="22"/>
        <v>1.1364445680000002E+16</v>
      </c>
      <c r="AJ33" s="1">
        <f t="shared" si="23"/>
        <v>1311806906666666.8</v>
      </c>
      <c r="AK33" s="5">
        <f t="array" ref="AK33">O12*$P$7*Q12*R12*S12+
O12*P12*$Q$7*R12*S12+
O12*P12*Q12*$R$7*S12+
O12*P12*Q12*R12*$S$7</f>
        <v>120017333333333.38</v>
      </c>
      <c r="AM33" s="4" t="str">
        <f t="shared" si="15"/>
        <v>M5</v>
      </c>
      <c r="AN33" s="1">
        <f t="shared" si="24"/>
        <v>3503220000000000.5</v>
      </c>
      <c r="AO33" s="1">
        <f t="shared" si="25"/>
        <v>733468026666666.75</v>
      </c>
      <c r="AP33" s="5">
        <f t="array" ref="AP33">O12*$P$7*$Q$7*R12*S12+
O12*$P$7*Q12*$R$7*S12+
O12*P12*$Q$7*$R$7*S12+
O12*P12*$Q$7*R12*$S$7+
O12*P12*Q12*$R$7*$S$7+
O12*$P$7*Q12*R12*$S$7</f>
        <v>111877733333333.34</v>
      </c>
      <c r="AR33" s="4" t="str">
        <f t="shared" si="12"/>
        <v>M5</v>
      </c>
      <c r="AS33" s="1">
        <f t="shared" si="26"/>
        <v>128940000000000</v>
      </c>
      <c r="AT33" s="5">
        <f t="array" ref="AT33">O12*$P$7*$Q$7*$R$7*S12+
O12*$P$7*$Q$7*R12*$S$7+
O12*$P$7*Q12*$R$7*$S$7+
O12*P12*$Q$7*$R$7*$S$7</f>
        <v>44237200000000.008</v>
      </c>
      <c r="AV33" s="4" t="str">
        <f t="shared" si="16"/>
        <v>M5</v>
      </c>
      <c r="AW33" s="5">
        <f t="shared" si="34"/>
        <v>6300000000000.001</v>
      </c>
      <c r="BB33" s="59" t="str">
        <f>IFERROR($BC$3&amp;VLOOKUP(B35,'Pay Table'!$M$3:$N$18,2,FALSE)&amp;$BB$3&amp;C35&amp;$BD$3,"")</f>
        <v>[4,100]</v>
      </c>
      <c r="BC33" s="49" t="str">
        <f>IFERROR($BC$3&amp;VLOOKUP(D35,'Pay Table'!$M$3:$N$18,2,FALSE)&amp;$BB$3&amp;E35&amp;$BD$3,"")</f>
        <v>[6,100]</v>
      </c>
      <c r="BD33" s="49" t="str">
        <f>IFERROR($BC$3&amp;VLOOKUP(F35,'Pay Table'!$M$3:$N$18,2,FALSE)&amp;$BB$3&amp;G35&amp;$BD$3,"")</f>
        <v>[1,100]</v>
      </c>
      <c r="BE33" s="49" t="str">
        <f>IFERROR($BC$3&amp;VLOOKUP(H35,'Pay Table'!$M$3:$N$18,2,FALSE)&amp;$BB$3&amp;I35&amp;$BD$3,"")</f>
        <v>[2,100]</v>
      </c>
      <c r="BF33" s="60" t="str">
        <f>IFERROR($BC$3&amp;VLOOKUP(J35,'Pay Table'!$M$3:$N$18,2,FALSE)&amp;$BB$3&amp;K35&amp;$BD$3,"")</f>
        <v>[2,100]</v>
      </c>
    </row>
    <row r="34" spans="1:58" ht="17.100000000000001" customHeight="1" x14ac:dyDescent="0.15">
      <c r="A34" s="14">
        <v>29</v>
      </c>
      <c r="B34" s="10" t="s">
        <v>151</v>
      </c>
      <c r="C34" s="10">
        <v>100</v>
      </c>
      <c r="D34" s="10" t="s">
        <v>14</v>
      </c>
      <c r="E34" s="10">
        <v>150</v>
      </c>
      <c r="F34" s="10" t="s">
        <v>152</v>
      </c>
      <c r="G34" s="10">
        <v>100</v>
      </c>
      <c r="H34" s="10" t="s">
        <v>128</v>
      </c>
      <c r="I34" s="10">
        <v>100</v>
      </c>
      <c r="J34" s="10" t="s">
        <v>126</v>
      </c>
      <c r="K34" s="10">
        <v>100</v>
      </c>
      <c r="N34" s="4" t="str">
        <f t="shared" si="10"/>
        <v>A</v>
      </c>
      <c r="O34" s="1">
        <f t="shared" si="27"/>
        <v>1.3851068977600002E+17</v>
      </c>
      <c r="P34" s="1">
        <f t="shared" si="28"/>
        <v>1.6934750400666662E+16</v>
      </c>
      <c r="Q34" s="1">
        <f t="shared" si="29"/>
        <v>2358939005074074</v>
      </c>
      <c r="R34" s="5">
        <f t="shared" si="30"/>
        <v>268934414259259.28</v>
      </c>
      <c r="S34" s="1">
        <f t="shared" si="31"/>
        <v>1.5807331359600003E+17</v>
      </c>
      <c r="T34" s="2" t="str">
        <f t="shared" si="9"/>
        <v>A</v>
      </c>
      <c r="U34" s="1">
        <f t="shared" si="9"/>
        <v>1.3851068977600002E+17</v>
      </c>
      <c r="V34" s="1">
        <f t="shared" si="32"/>
        <v>1.6934750400666662E+16</v>
      </c>
      <c r="W34" s="1">
        <f t="shared" si="32"/>
        <v>2358939005074074</v>
      </c>
      <c r="X34" s="5">
        <f t="shared" si="32"/>
        <v>268934414259259.28</v>
      </c>
      <c r="Y34" s="1">
        <f t="shared" si="17"/>
        <v>1.5807331359600003E+17</v>
      </c>
      <c r="AA34" s="4" t="str">
        <f t="shared" si="11"/>
        <v>A</v>
      </c>
      <c r="AB34" s="2">
        <f t="shared" si="18"/>
        <v>8.4824375909333328E+16</v>
      </c>
      <c r="AC34" s="1">
        <f t="shared" si="19"/>
        <v>6009302866222220</v>
      </c>
      <c r="AD34" s="1">
        <f t="shared" si="20"/>
        <v>613188299580246.88</v>
      </c>
      <c r="AE34" s="5">
        <f t="shared" si="33"/>
        <v>39947120493827.164</v>
      </c>
      <c r="AG34" s="4" t="str">
        <f t="shared" si="14"/>
        <v>A</v>
      </c>
      <c r="AH34" s="2">
        <f t="shared" si="21"/>
        <v>5.368631386666668E+16</v>
      </c>
      <c r="AI34" s="1">
        <f t="shared" si="22"/>
        <v>8164947034444445</v>
      </c>
      <c r="AJ34" s="1">
        <f t="shared" si="23"/>
        <v>1057032022160493.9</v>
      </c>
      <c r="AK34" s="5">
        <f t="array" ref="AK34">O13*$P$7*Q13*R13*S13+
O13*P13*$Q$7*R13*S13+
O13*P13*Q13*$R$7*S13+
O13*P13*Q13*R13*$S$7</f>
        <v>98822361358024.703</v>
      </c>
      <c r="AM34" s="4" t="str">
        <f t="shared" si="15"/>
        <v>A</v>
      </c>
      <c r="AN34" s="1">
        <f t="shared" si="24"/>
        <v>2760500500000000</v>
      </c>
      <c r="AO34" s="1">
        <f t="shared" si="25"/>
        <v>585873683333333.38</v>
      </c>
      <c r="AP34" s="5">
        <f t="array" ref="AP34">O13*$P$7*$Q$7*R13*S13+
O13*$P$7*Q13*$R$7*S13+
O13*P13*$Q$7*$R$7*S13+
O13*P13*$Q$7*R13*$S$7+
O13*P13*Q13*$R$7*$S$7+
O13*$P$7*Q13*R13*$S$7</f>
        <v>89814182407407.422</v>
      </c>
      <c r="AR34" s="4" t="str">
        <f t="shared" si="12"/>
        <v>A</v>
      </c>
      <c r="AS34" s="1">
        <f t="shared" si="26"/>
        <v>102845000000000.02</v>
      </c>
      <c r="AT34" s="5">
        <f t="array" ref="AT34">O13*$P$7*$Q$7*$R$7*S13+
O13*$P$7*$Q$7*R13*$S$7+
O13*$P$7*Q13*$R$7*$S$7+
O13*P13*$Q$7*$R$7*$S$7</f>
        <v>35325750000000.008</v>
      </c>
      <c r="AV34" s="4" t="str">
        <f t="shared" si="16"/>
        <v>A</v>
      </c>
      <c r="AW34" s="5">
        <f t="shared" si="34"/>
        <v>5025000000000.001</v>
      </c>
      <c r="BB34" s="59" t="str">
        <f>IFERROR($BC$3&amp;VLOOKUP(B36,'Pay Table'!$M$3:$N$18,2,FALSE)&amp;$BB$3&amp;C36&amp;$BD$3,"")</f>
        <v>[4,100]</v>
      </c>
      <c r="BC34" s="49" t="str">
        <f>IFERROR($BC$3&amp;VLOOKUP(D36,'Pay Table'!$M$3:$N$18,2,FALSE)&amp;$BB$3&amp;E36&amp;$BD$3,"")</f>
        <v>[1,100]</v>
      </c>
      <c r="BD34" s="49" t="str">
        <f>IFERROR($BC$3&amp;VLOOKUP(F36,'Pay Table'!$M$3:$N$18,2,FALSE)&amp;$BB$3&amp;G36&amp;$BD$3,"")</f>
        <v>[6,100]</v>
      </c>
      <c r="BE34" s="49" t="str">
        <f>IFERROR($BC$3&amp;VLOOKUP(H36,'Pay Table'!$M$3:$N$18,2,FALSE)&amp;$BB$3&amp;I36&amp;$BD$3,"")</f>
        <v>[92,100]</v>
      </c>
      <c r="BF34" s="60" t="str">
        <f>IFERROR($BC$3&amp;VLOOKUP(J36,'Pay Table'!$M$3:$N$18,2,FALSE)&amp;$BB$3&amp;K36&amp;$BD$3,"")</f>
        <v>[5,100]</v>
      </c>
    </row>
    <row r="35" spans="1:58" ht="17.100000000000001" customHeight="1" x14ac:dyDescent="0.15">
      <c r="A35" s="14">
        <v>30</v>
      </c>
      <c r="B35" s="282" t="s">
        <v>148</v>
      </c>
      <c r="C35" s="10">
        <v>100</v>
      </c>
      <c r="D35" s="10" t="s">
        <v>121</v>
      </c>
      <c r="E35" s="10">
        <v>100</v>
      </c>
      <c r="F35" s="10" t="s">
        <v>152</v>
      </c>
      <c r="G35" s="10">
        <v>100</v>
      </c>
      <c r="H35" s="10" t="s">
        <v>126</v>
      </c>
      <c r="I35" s="10">
        <v>100</v>
      </c>
      <c r="J35" s="10" t="s">
        <v>151</v>
      </c>
      <c r="K35" s="10">
        <v>100</v>
      </c>
      <c r="N35" s="4" t="str">
        <f t="shared" si="10"/>
        <v>K</v>
      </c>
      <c r="O35" s="1">
        <f t="shared" si="27"/>
        <v>1.803668154036E+17</v>
      </c>
      <c r="P35" s="1">
        <f t="shared" si="28"/>
        <v>2.7949570152E+16</v>
      </c>
      <c r="Q35" s="1">
        <f t="shared" si="29"/>
        <v>3930766322000000.5</v>
      </c>
      <c r="R35" s="5">
        <f t="shared" si="30"/>
        <v>836333260000000.25</v>
      </c>
      <c r="S35" s="1">
        <f t="shared" si="31"/>
        <v>2.130834851376E+17</v>
      </c>
      <c r="T35" s="2" t="str">
        <f t="shared" si="9"/>
        <v>K</v>
      </c>
      <c r="U35" s="1">
        <f t="shared" si="9"/>
        <v>1.803668154036E+17</v>
      </c>
      <c r="V35" s="1">
        <f t="shared" si="32"/>
        <v>2.7949570152E+16</v>
      </c>
      <c r="W35" s="1">
        <f t="shared" si="32"/>
        <v>3930766322000000.5</v>
      </c>
      <c r="X35" s="5">
        <f t="shared" si="32"/>
        <v>836333260000000.25</v>
      </c>
      <c r="Y35" s="1">
        <f t="shared" si="17"/>
        <v>2.130834851376E+17</v>
      </c>
      <c r="AA35" s="4" t="str">
        <f t="shared" si="11"/>
        <v>K</v>
      </c>
      <c r="AB35" s="2">
        <f t="shared" si="18"/>
        <v>1.1534633400359998E+17</v>
      </c>
      <c r="AC35" s="1">
        <f t="shared" si="19"/>
        <v>1.1815031592E+16</v>
      </c>
      <c r="AD35" s="1">
        <f t="shared" si="20"/>
        <v>1251920670000000</v>
      </c>
      <c r="AE35" s="5">
        <f t="shared" si="33"/>
        <v>199774575000000.03</v>
      </c>
      <c r="AG35" s="4" t="str">
        <f t="shared" si="14"/>
        <v>K</v>
      </c>
      <c r="AH35" s="2">
        <f t="shared" si="21"/>
        <v>6.5020481399999992E+16</v>
      </c>
      <c r="AI35" s="1">
        <f t="shared" si="22"/>
        <v>1.271909856E+16</v>
      </c>
      <c r="AJ35" s="1">
        <f t="shared" si="23"/>
        <v>1757435092000000</v>
      </c>
      <c r="AK35" s="5">
        <f t="array" ref="AK35">O14*$P$7*Q14*R14*S14+
O14*P14*$Q$7*R14*S14+
O14*P14*Q14*$R$7*S14+
O14*P14*Q14*R14*$S$7</f>
        <v>347033295000000.06</v>
      </c>
      <c r="AM35" s="4" t="str">
        <f t="shared" si="15"/>
        <v>K</v>
      </c>
      <c r="AN35" s="1">
        <f t="shared" si="24"/>
        <v>3415440000000000</v>
      </c>
      <c r="AO35" s="1">
        <f t="shared" si="25"/>
        <v>802970560000000</v>
      </c>
      <c r="AP35" s="5">
        <f t="array" ref="AP35">O14*$P$7*$Q$7*R14*S14+
O14*$P$7*Q14*$R$7*S14+
O14*P14*$Q$7*$R$7*S14+
O14*P14*$Q$7*R14*$S$7+
O14*P14*Q14*$R$7*$S$7+
O14*$P$7*Q14*R14*$S$7</f>
        <v>221614190000000.03</v>
      </c>
      <c r="AR35" s="4" t="str">
        <f t="shared" si="12"/>
        <v>K</v>
      </c>
      <c r="AS35" s="1">
        <f t="shared" si="26"/>
        <v>118440000000000</v>
      </c>
      <c r="AT35" s="5">
        <f t="array" ref="AT35">O14*$P$7*$Q$7*$R$7*S14+
O14*$P$7*$Q$7*R14*$S$7+
O14*$P$7*Q14*$R$7*$S$7+
O14*P14*$Q$7*$R$7*$S$7</f>
        <v>61611200000000.016</v>
      </c>
      <c r="AV35" s="4" t="str">
        <f t="shared" si="16"/>
        <v>K</v>
      </c>
      <c r="AW35" s="5">
        <f t="shared" si="34"/>
        <v>6300000000000.001</v>
      </c>
      <c r="BB35" s="59" t="str">
        <f>IFERROR($BC$3&amp;VLOOKUP(B37,'Pay Table'!$M$3:$N$18,2,FALSE)&amp;$BB$3&amp;C37&amp;$BD$3,"")</f>
        <v>[5,100]</v>
      </c>
      <c r="BC35" s="49" t="str">
        <f>IFERROR($BC$3&amp;VLOOKUP(D37,'Pay Table'!$M$3:$N$18,2,FALSE)&amp;$BB$3&amp;E37&amp;$BD$3,"")</f>
        <v>[1,100]</v>
      </c>
      <c r="BD35" s="49" t="str">
        <f>IFERROR($BC$3&amp;VLOOKUP(F37,'Pay Table'!$M$3:$N$18,2,FALSE)&amp;$BB$3&amp;G37&amp;$BD$3,"")</f>
        <v>[5,100]</v>
      </c>
      <c r="BE35" s="49" t="str">
        <f>IFERROR($BC$3&amp;VLOOKUP(H37,'Pay Table'!$M$3:$N$18,2,FALSE)&amp;$BB$3&amp;I37&amp;$BD$3,"")</f>
        <v>[3,100]</v>
      </c>
      <c r="BF35" s="60" t="str">
        <f>IFERROR($BC$3&amp;VLOOKUP(J37,'Pay Table'!$M$3:$N$18,2,FALSE)&amp;$BB$3&amp;K37&amp;$BD$3,"")</f>
        <v>[7,100]</v>
      </c>
    </row>
    <row r="36" spans="1:58" ht="17.100000000000001" customHeight="1" x14ac:dyDescent="0.15">
      <c r="A36" s="14">
        <v>31</v>
      </c>
      <c r="B36" s="10" t="s">
        <v>148</v>
      </c>
      <c r="C36" s="10">
        <v>100</v>
      </c>
      <c r="D36" s="10" t="s">
        <v>152</v>
      </c>
      <c r="E36" s="10">
        <v>100</v>
      </c>
      <c r="F36" s="10" t="s">
        <v>121</v>
      </c>
      <c r="G36" s="10">
        <v>100</v>
      </c>
      <c r="H36" s="10" t="s">
        <v>122</v>
      </c>
      <c r="I36" s="10">
        <v>100</v>
      </c>
      <c r="J36" s="10" t="s">
        <v>123</v>
      </c>
      <c r="K36" s="10">
        <v>100</v>
      </c>
      <c r="N36" s="4" t="str">
        <f t="shared" si="10"/>
        <v>Q</v>
      </c>
      <c r="O36" s="1">
        <f t="shared" si="27"/>
        <v>1.2071986281000002E+17</v>
      </c>
      <c r="P36" s="1">
        <f t="shared" si="28"/>
        <v>1.932487587E+16</v>
      </c>
      <c r="Q36" s="1">
        <f t="shared" si="29"/>
        <v>2763003613333334</v>
      </c>
      <c r="R36" s="5">
        <f t="shared" si="30"/>
        <v>396474466666666.81</v>
      </c>
      <c r="S36" s="1">
        <f t="shared" si="31"/>
        <v>1.4320421676000002E+17</v>
      </c>
      <c r="T36" s="2" t="str">
        <f t="shared" si="9"/>
        <v>Q</v>
      </c>
      <c r="U36" s="1">
        <f t="shared" si="9"/>
        <v>1.2071986281000002E+17</v>
      </c>
      <c r="V36" s="1">
        <f t="shared" si="32"/>
        <v>1.932487587E+16</v>
      </c>
      <c r="W36" s="1">
        <f t="shared" si="32"/>
        <v>2763003613333334</v>
      </c>
      <c r="X36" s="5">
        <f t="shared" si="32"/>
        <v>396474466666666.81</v>
      </c>
      <c r="Y36" s="1">
        <f t="shared" si="17"/>
        <v>1.4320421676000002E+17</v>
      </c>
      <c r="AA36" s="4" t="str">
        <f t="shared" si="11"/>
        <v>Q</v>
      </c>
      <c r="AB36" s="2">
        <f t="shared" si="18"/>
        <v>7.600880251E+16</v>
      </c>
      <c r="AC36" s="1">
        <f t="shared" si="19"/>
        <v>8134084236666667</v>
      </c>
      <c r="AD36" s="1">
        <f t="shared" si="20"/>
        <v>865629469969135.88</v>
      </c>
      <c r="AE36" s="5">
        <f t="shared" si="33"/>
        <v>80798515586419.766</v>
      </c>
      <c r="AG36" s="4" t="str">
        <f t="shared" si="14"/>
        <v>Q</v>
      </c>
      <c r="AH36" s="2">
        <f t="shared" si="21"/>
        <v>4.47110603E+16</v>
      </c>
      <c r="AI36" s="1">
        <f t="shared" si="22"/>
        <v>8818185633333334</v>
      </c>
      <c r="AJ36" s="1">
        <f t="shared" si="23"/>
        <v>1235785194290123.5</v>
      </c>
      <c r="AK36" s="5">
        <f t="array" ref="AK36">O15*$P$7*Q15*R15*S15+
O15*P15*$Q$7*R15*S15+
O15*P15*Q15*$R$7*S15+
O15*P15*Q15*R15*$S$7</f>
        <v>158763261265432.13</v>
      </c>
      <c r="AM36" s="4" t="str">
        <f t="shared" si="15"/>
        <v>Q</v>
      </c>
      <c r="AN36" s="1">
        <f t="shared" si="24"/>
        <v>2372605999999999.5</v>
      </c>
      <c r="AO36" s="1">
        <f t="shared" si="25"/>
        <v>574854782407407.5</v>
      </c>
      <c r="AP36" s="5">
        <f t="array" ref="AP36">O15*$P$7*$Q$7*R15*S15+
O15*$P$7*Q15*$R$7*S15+
O15*P15*$Q$7*$R$7*S15+
O15*P15*$Q$7*R15*$S$7+
O15*P15*Q15*$R$7*$S$7+
O15*$P$7*Q15*R15*$S$7</f>
        <v>115636023148148.19</v>
      </c>
      <c r="AR36" s="4" t="str">
        <f t="shared" si="12"/>
        <v>Q</v>
      </c>
      <c r="AS36" s="1">
        <f t="shared" si="26"/>
        <v>86734166666666.656</v>
      </c>
      <c r="AT36" s="5">
        <f t="array" ref="AT36">O15*$P$7*$Q$7*$R$7*S15+
O15*$P$7*$Q$7*R15*$S$7+
O15*$P$7*Q15*$R$7*$S$7+
O15*P15*$Q$7*$R$7*$S$7</f>
        <v>36926666666666.672</v>
      </c>
      <c r="AV36" s="4" t="str">
        <f t="shared" si="16"/>
        <v>Q</v>
      </c>
      <c r="AW36" s="5">
        <f t="shared" si="34"/>
        <v>4350000000000</v>
      </c>
      <c r="BB36" s="59" t="str">
        <f>IFERROR($BC$3&amp;VLOOKUP(B38,'Pay Table'!$M$3:$N$18,2,FALSE)&amp;$BB$3&amp;C38&amp;$BD$3,"")</f>
        <v>[6,100]</v>
      </c>
      <c r="BC36" s="49" t="str">
        <f>IFERROR($BC$3&amp;VLOOKUP(D38,'Pay Table'!$M$3:$N$18,2,FALSE)&amp;$BB$3&amp;E38&amp;$BD$3,"")</f>
        <v>[1,100]</v>
      </c>
      <c r="BD36" s="49" t="str">
        <f>IFERROR($BC$3&amp;VLOOKUP(F38,'Pay Table'!$M$3:$N$18,2,FALSE)&amp;$BB$3&amp;G38&amp;$BD$3,"")</f>
        <v>[94,50]</v>
      </c>
      <c r="BE36" s="49" t="str">
        <f>IFERROR($BC$3&amp;VLOOKUP(H38,'Pay Table'!$M$3:$N$18,2,FALSE)&amp;$BB$3&amp;I38&amp;$BD$3,"")</f>
        <v>[7,100]</v>
      </c>
      <c r="BF36" s="60" t="str">
        <f>IFERROR($BC$3&amp;VLOOKUP(J38,'Pay Table'!$M$3:$N$18,2,FALSE)&amp;$BB$3&amp;K38&amp;$BD$3,"")</f>
        <v>[6,100]</v>
      </c>
    </row>
    <row r="37" spans="1:58" ht="17.100000000000001" customHeight="1" x14ac:dyDescent="0.15">
      <c r="A37" s="14">
        <v>32</v>
      </c>
      <c r="B37" s="10" t="s">
        <v>123</v>
      </c>
      <c r="C37" s="10">
        <v>100</v>
      </c>
      <c r="D37" s="10" t="s">
        <v>125</v>
      </c>
      <c r="E37" s="10">
        <v>100</v>
      </c>
      <c r="F37" s="10" t="s">
        <v>123</v>
      </c>
      <c r="G37" s="10">
        <v>100</v>
      </c>
      <c r="H37" s="10" t="s">
        <v>127</v>
      </c>
      <c r="I37" s="10">
        <v>100</v>
      </c>
      <c r="J37" s="10" t="s">
        <v>119</v>
      </c>
      <c r="K37" s="10">
        <v>100</v>
      </c>
      <c r="N37" s="4" t="str">
        <f t="shared" si="10"/>
        <v>J</v>
      </c>
      <c r="O37" s="1">
        <f t="shared" si="27"/>
        <v>4.7382409000000008E+16</v>
      </c>
      <c r="P37" s="1">
        <f t="shared" si="28"/>
        <v>6466176266666667</v>
      </c>
      <c r="Q37" s="1">
        <f t="shared" si="29"/>
        <v>899757548148148.13</v>
      </c>
      <c r="R37" s="5">
        <f t="shared" si="30"/>
        <v>119173185185185.2</v>
      </c>
      <c r="S37" s="1">
        <f t="shared" si="31"/>
        <v>5.4867516000000008E+16</v>
      </c>
      <c r="T37" s="2" t="str">
        <f t="shared" si="9"/>
        <v>J</v>
      </c>
      <c r="U37" s="1">
        <f t="shared" si="9"/>
        <v>4.7382409000000008E+16</v>
      </c>
      <c r="V37" s="1">
        <f t="shared" si="32"/>
        <v>6466176266666667</v>
      </c>
      <c r="W37" s="1">
        <f t="shared" si="32"/>
        <v>899757548148148.13</v>
      </c>
      <c r="X37" s="5">
        <f t="shared" si="32"/>
        <v>119173185185185.2</v>
      </c>
      <c r="Y37" s="1">
        <f t="shared" si="17"/>
        <v>5.4867516000000008E+16</v>
      </c>
      <c r="AA37" s="4" t="str">
        <f t="shared" si="11"/>
        <v>J</v>
      </c>
      <c r="AB37" s="2">
        <f t="shared" si="18"/>
        <v>2.84294454E+16</v>
      </c>
      <c r="AC37" s="1">
        <f t="shared" si="19"/>
        <v>2399529760000000</v>
      </c>
      <c r="AD37" s="1">
        <f t="shared" si="20"/>
        <v>245766928888888.84</v>
      </c>
      <c r="AE37" s="5">
        <f t="shared" si="33"/>
        <v>20344944444444.441</v>
      </c>
      <c r="AG37" s="4" t="str">
        <f t="shared" si="14"/>
        <v>J</v>
      </c>
      <c r="AH37" s="2">
        <f t="shared" si="21"/>
        <v>1.89529636E+16</v>
      </c>
      <c r="AI37" s="1">
        <f t="shared" si="22"/>
        <v>3079862506666666.5</v>
      </c>
      <c r="AJ37" s="1">
        <f t="shared" si="23"/>
        <v>403572219259259.25</v>
      </c>
      <c r="AK37" s="5">
        <f t="array" ref="AK37">O16*$P$7*Q16*R16*S16+
O16*P16*$Q$7*R16*S16+
O16*P16*Q16*$R$7*S16+
O16*P16*Q16*R16*$S$7</f>
        <v>45615262962962.961</v>
      </c>
      <c r="AM37" s="4" t="str">
        <f t="shared" si="15"/>
        <v>J</v>
      </c>
      <c r="AN37" s="1">
        <f t="shared" si="24"/>
        <v>986783999999999.75</v>
      </c>
      <c r="AO37" s="1">
        <f t="shared" si="25"/>
        <v>214178399999999.97</v>
      </c>
      <c r="AP37" s="5">
        <f t="array" ref="AP37">O16*$P$7*$Q$7*R16*S16+
O16*$P$7*Q16*$R$7*S16+
O16*P16*$Q$7*$R$7*S16+
O16*P16*$Q$7*R16*$S$7+
O16*P16*Q16*$R$7*$S$7+
O16*$P$7*Q16*R16*$S$7</f>
        <v>37774977777777.781</v>
      </c>
      <c r="AR37" s="4" t="str">
        <f t="shared" si="12"/>
        <v>J</v>
      </c>
      <c r="AS37" s="1">
        <f t="shared" si="26"/>
        <v>36239999999999.992</v>
      </c>
      <c r="AT37" s="5">
        <f t="array" ref="AT37">O16*$P$7*$Q$7*$R$7*S16+
O16*$P$7*$Q$7*R16*$S$7+
O16*$P$7*Q16*$R$7*$S$7+
O16*P16*$Q$7*$R$7*$S$7</f>
        <v>13638000000000</v>
      </c>
      <c r="AV37" s="4" t="str">
        <f t="shared" si="16"/>
        <v>J</v>
      </c>
      <c r="AW37" s="5">
        <f t="shared" si="34"/>
        <v>1800000000000</v>
      </c>
      <c r="BB37" s="59" t="str">
        <f>IFERROR($BC$3&amp;VLOOKUP(B39,'Pay Table'!$M$3:$N$18,2,FALSE)&amp;$BB$3&amp;C39&amp;$BD$3,"")</f>
        <v>[2,100]</v>
      </c>
      <c r="BC37" s="49" t="str">
        <f>IFERROR($BC$3&amp;VLOOKUP(D39,'Pay Table'!$M$3:$N$18,2,FALSE)&amp;$BB$3&amp;E39&amp;$BD$3,"")</f>
        <v>[6,100]</v>
      </c>
      <c r="BD37" s="49" t="str">
        <f>IFERROR($BC$3&amp;VLOOKUP(F39,'Pay Table'!$M$3:$N$18,2,FALSE)&amp;$BB$3&amp;G39&amp;$BD$3,"")</f>
        <v>[7,100]</v>
      </c>
      <c r="BE37" s="49" t="str">
        <f>IFERROR($BC$3&amp;VLOOKUP(H39,'Pay Table'!$M$3:$N$18,2,FALSE)&amp;$BB$3&amp;I39&amp;$BD$3,"")</f>
        <v>[0,100]</v>
      </c>
      <c r="BF37" s="60" t="str">
        <f>IFERROR($BC$3&amp;VLOOKUP(J39,'Pay Table'!$M$3:$N$18,2,FALSE)&amp;$BB$3&amp;K39&amp;$BD$3,"")</f>
        <v>[0,100]</v>
      </c>
    </row>
    <row r="38" spans="1:58" ht="17.100000000000001" customHeight="1" x14ac:dyDescent="0.15">
      <c r="A38" s="14">
        <v>33</v>
      </c>
      <c r="B38" s="10" t="s">
        <v>121</v>
      </c>
      <c r="C38" s="10">
        <v>100</v>
      </c>
      <c r="D38" s="10" t="s">
        <v>152</v>
      </c>
      <c r="E38" s="10">
        <v>100</v>
      </c>
      <c r="F38" s="10" t="s">
        <v>47</v>
      </c>
      <c r="G38" s="10">
        <v>50</v>
      </c>
      <c r="H38" s="10" t="s">
        <v>119</v>
      </c>
      <c r="I38" s="10">
        <v>100</v>
      </c>
      <c r="J38" s="10" t="s">
        <v>121</v>
      </c>
      <c r="K38" s="10">
        <v>100</v>
      </c>
      <c r="N38" s="4" t="str">
        <f t="shared" si="10"/>
        <v>SCATTER</v>
      </c>
      <c r="O38" s="1">
        <f t="shared" si="27"/>
        <v>0</v>
      </c>
      <c r="P38" s="1">
        <f t="shared" si="28"/>
        <v>0</v>
      </c>
      <c r="Q38" s="1">
        <f t="shared" si="29"/>
        <v>0</v>
      </c>
      <c r="R38" s="5">
        <f t="shared" si="30"/>
        <v>0</v>
      </c>
      <c r="T38" s="2" t="str">
        <f t="shared" si="9"/>
        <v>SCATTER</v>
      </c>
      <c r="U38" s="1">
        <f t="shared" si="9"/>
        <v>0</v>
      </c>
      <c r="V38" s="1">
        <f t="shared" si="32"/>
        <v>0</v>
      </c>
      <c r="W38" s="1">
        <f t="shared" si="32"/>
        <v>0</v>
      </c>
      <c r="X38" s="5">
        <f t="shared" si="32"/>
        <v>0</v>
      </c>
      <c r="Y38" s="1">
        <f t="shared" si="17"/>
        <v>0</v>
      </c>
      <c r="AA38" s="4" t="str">
        <f t="shared" si="11"/>
        <v>SCATTER</v>
      </c>
      <c r="AB38" s="2">
        <f t="shared" si="18"/>
        <v>0</v>
      </c>
      <c r="AC38" s="1">
        <f t="shared" si="19"/>
        <v>0</v>
      </c>
      <c r="AD38" s="1">
        <f t="shared" si="20"/>
        <v>0</v>
      </c>
      <c r="AE38" s="5">
        <f t="shared" si="33"/>
        <v>0</v>
      </c>
      <c r="AG38" s="4" t="str">
        <f t="shared" si="14"/>
        <v>SCATTER</v>
      </c>
      <c r="AH38" s="2">
        <f t="shared" si="21"/>
        <v>0</v>
      </c>
      <c r="AI38" s="1">
        <f t="shared" si="22"/>
        <v>0</v>
      </c>
      <c r="AJ38" s="1">
        <f t="shared" si="23"/>
        <v>0</v>
      </c>
      <c r="AK38" s="5">
        <f t="array" ref="AK38">O17*$P$7*Q17*R17*S17+
O17*P17*$Q$7*R17*S17+
O17*P17*Q17*$R$7*S17+
O17*P17*Q17*R17*$S$7</f>
        <v>0</v>
      </c>
      <c r="AM38" s="4" t="str">
        <f t="shared" si="15"/>
        <v>SCATTER</v>
      </c>
      <c r="AN38" s="1">
        <f t="shared" si="24"/>
        <v>0</v>
      </c>
      <c r="AO38" s="1">
        <f t="shared" si="25"/>
        <v>0</v>
      </c>
      <c r="AP38" s="5">
        <f t="array" ref="AP38">O17*$P$7*$Q$7*R17*S17+
O17*$P$7*Q17*$R$7*S17+
O17*P17*$Q$7*$R$7*S17+
O17*P17*$Q$7*R17*$S$7+
O17*P17*Q17*$R$7*$S$7+
O17*$P$7*Q17*R17*$S$7</f>
        <v>0</v>
      </c>
      <c r="AR38" s="4" t="str">
        <f t="shared" si="12"/>
        <v>SCATTER</v>
      </c>
      <c r="AS38" s="1">
        <f t="shared" si="26"/>
        <v>0</v>
      </c>
      <c r="AT38" s="5">
        <f t="array" ref="AT38">O17*$P$7*$Q$7*$R$7*S17+
O17*$P$7*$Q$7*R17*$S$7+
O17*$P$7*Q17*$R$7*$S$7+
O17*P17*$Q$7*$R$7*$S$7</f>
        <v>0</v>
      </c>
      <c r="AV38" s="4" t="str">
        <f t="shared" si="16"/>
        <v>SCATTER</v>
      </c>
      <c r="AW38" s="5">
        <f t="shared" si="34"/>
        <v>0</v>
      </c>
      <c r="BB38" s="59" t="str">
        <f>IFERROR($BC$3&amp;VLOOKUP(B40,'Pay Table'!$M$3:$N$18,2,FALSE)&amp;$BB$3&amp;C40&amp;$BD$3,"")</f>
        <v>[7,100]</v>
      </c>
      <c r="BC38" s="49" t="str">
        <f>IFERROR($BC$3&amp;VLOOKUP(D40,'Pay Table'!$M$3:$N$18,2,FALSE)&amp;$BB$3&amp;E40&amp;$BD$3,"")</f>
        <v>[94,15]</v>
      </c>
      <c r="BD38" s="49" t="str">
        <f>IFERROR($BC$3&amp;VLOOKUP(F40,'Pay Table'!$M$3:$N$18,2,FALSE)&amp;$BB$3&amp;G40&amp;$BD$3,"")</f>
        <v>[94,100]</v>
      </c>
      <c r="BE38" s="49" t="str">
        <f>IFERROR($BC$3&amp;VLOOKUP(H40,'Pay Table'!$M$3:$N$18,2,FALSE)&amp;$BB$3&amp;I40&amp;$BD$3,"")</f>
        <v>[0,100]</v>
      </c>
      <c r="BF38" s="60" t="str">
        <f>IFERROR($BC$3&amp;VLOOKUP(J40,'Pay Table'!$M$3:$N$18,2,FALSE)&amp;$BB$3&amp;K40&amp;$BD$3,"")</f>
        <v>[0,100]</v>
      </c>
    </row>
    <row r="39" spans="1:58" ht="17.100000000000001" customHeight="1" x14ac:dyDescent="0.15">
      <c r="A39" s="14">
        <v>34</v>
      </c>
      <c r="B39" s="10" t="s">
        <v>151</v>
      </c>
      <c r="C39" s="10">
        <v>100</v>
      </c>
      <c r="D39" s="10" t="s">
        <v>121</v>
      </c>
      <c r="E39" s="10">
        <v>100</v>
      </c>
      <c r="F39" s="10" t="s">
        <v>119</v>
      </c>
      <c r="G39" s="10">
        <v>100</v>
      </c>
      <c r="H39" s="10" t="s">
        <v>153</v>
      </c>
      <c r="I39" s="10">
        <v>100</v>
      </c>
      <c r="J39" s="10" t="s">
        <v>124</v>
      </c>
      <c r="K39" s="10">
        <v>100</v>
      </c>
      <c r="N39" s="4">
        <f t="shared" si="10"/>
        <v>0</v>
      </c>
      <c r="O39" s="1">
        <f t="shared" si="27"/>
        <v>0</v>
      </c>
      <c r="P39" s="1">
        <f t="shared" si="28"/>
        <v>0</v>
      </c>
      <c r="Q39" s="1">
        <f t="shared" si="29"/>
        <v>0</v>
      </c>
      <c r="R39" s="5">
        <f t="shared" si="30"/>
        <v>0</v>
      </c>
      <c r="T39" s="2">
        <f t="shared" si="9"/>
        <v>0</v>
      </c>
      <c r="U39" s="1">
        <f t="shared" si="9"/>
        <v>0</v>
      </c>
      <c r="V39" s="1">
        <f t="shared" si="32"/>
        <v>0</v>
      </c>
      <c r="W39" s="1">
        <f t="shared" si="32"/>
        <v>0</v>
      </c>
      <c r="X39" s="5">
        <f t="shared" si="32"/>
        <v>0</v>
      </c>
      <c r="Y39" s="1">
        <f t="shared" si="17"/>
        <v>0</v>
      </c>
      <c r="AA39" s="4">
        <f t="shared" si="11"/>
        <v>0</v>
      </c>
      <c r="AB39" s="2">
        <f t="shared" si="18"/>
        <v>0</v>
      </c>
      <c r="AC39" s="40">
        <f t="shared" si="19"/>
        <v>0</v>
      </c>
      <c r="AD39" s="1">
        <f t="shared" si="20"/>
        <v>0</v>
      </c>
      <c r="AE39" s="5">
        <f t="shared" si="33"/>
        <v>0</v>
      </c>
      <c r="AG39" s="4">
        <f t="shared" si="14"/>
        <v>0</v>
      </c>
      <c r="AH39" s="2">
        <f t="shared" si="21"/>
        <v>0</v>
      </c>
      <c r="AI39" s="40">
        <f t="shared" si="22"/>
        <v>0</v>
      </c>
      <c r="AJ39" s="1">
        <f t="shared" si="23"/>
        <v>0</v>
      </c>
      <c r="AK39" s="5">
        <f t="array" ref="AK39">O18*$P$7*Q18*R18*S18+
O18*P18*$Q$7*R18*S18+
O18*P18*Q18*$R$7*S18+
O18*P18*Q18*R18*$S$7</f>
        <v>0</v>
      </c>
      <c r="AM39" s="4">
        <f t="shared" si="15"/>
        <v>0</v>
      </c>
      <c r="AN39" s="40">
        <f t="shared" si="24"/>
        <v>0</v>
      </c>
      <c r="AO39" s="1">
        <f t="shared" si="25"/>
        <v>0</v>
      </c>
      <c r="AP39" s="5">
        <f t="array" ref="AP39">O18*$P$7*$Q$7*R18*S18+
O18*$P$7*Q18*$R$7*S18+
O18*P18*$Q$7*$R$7*S18+
O18*P18*$Q$7*R18*$S$7+
O18*P18*Q18*$R$7*$S$7+
O18*$P$7*Q18*R18*$S$7</f>
        <v>0</v>
      </c>
      <c r="AR39" s="4">
        <f t="shared" si="12"/>
        <v>0</v>
      </c>
      <c r="AS39" s="1">
        <f t="shared" si="26"/>
        <v>0</v>
      </c>
      <c r="AT39" s="5">
        <f t="array" ref="AT39">O18*$P$7*$Q$7*$R$7*S18+
O18*$P$7*$Q$7*R18*$S$7+
O18*$P$7*Q18*$R$7*$S$7+
O18*P18*$Q$7*$R$7*$S$7</f>
        <v>0</v>
      </c>
      <c r="AV39" s="4">
        <f t="shared" si="16"/>
        <v>0</v>
      </c>
      <c r="AW39" s="5">
        <f t="shared" si="34"/>
        <v>0</v>
      </c>
      <c r="BB39" s="59" t="str">
        <f>IFERROR($BC$3&amp;VLOOKUP(B41,'Pay Table'!$M$3:$N$18,2,FALSE)&amp;$BB$3&amp;C41&amp;$BD$3,"")</f>
        <v>[1,100]</v>
      </c>
      <c r="BC39" s="49" t="str">
        <f>IFERROR($BC$3&amp;VLOOKUP(D41,'Pay Table'!$M$3:$N$18,2,FALSE)&amp;$BB$3&amp;E41&amp;$BD$3,"")</f>
        <v>[94,25]</v>
      </c>
      <c r="BD39" s="49" t="str">
        <f>IFERROR($BC$3&amp;VLOOKUP(F41,'Pay Table'!$M$3:$N$18,2,FALSE)&amp;$BB$3&amp;G41&amp;$BD$3,"")</f>
        <v>[6,100]</v>
      </c>
      <c r="BE39" s="49" t="str">
        <f>IFERROR($BC$3&amp;VLOOKUP(H41,'Pay Table'!$M$3:$N$18,2,FALSE)&amp;$BB$3&amp;I41&amp;$BD$3,"")</f>
        <v>[0,100]</v>
      </c>
      <c r="BF39" s="60" t="str">
        <f>IFERROR($BC$3&amp;VLOOKUP(J41,'Pay Table'!$M$3:$N$18,2,FALSE)&amp;$BB$3&amp;K41&amp;$BD$3,"")</f>
        <v>[0,100]</v>
      </c>
    </row>
    <row r="40" spans="1:58" ht="17.100000000000001" customHeight="1" x14ac:dyDescent="0.15">
      <c r="A40" s="14">
        <v>35</v>
      </c>
      <c r="B40" s="10" t="s">
        <v>119</v>
      </c>
      <c r="C40" s="10">
        <v>100</v>
      </c>
      <c r="D40" s="10" t="s">
        <v>47</v>
      </c>
      <c r="E40" s="10">
        <v>15</v>
      </c>
      <c r="F40" s="10" t="s">
        <v>47</v>
      </c>
      <c r="G40" s="10">
        <v>100</v>
      </c>
      <c r="H40" s="10" t="s">
        <v>153</v>
      </c>
      <c r="I40" s="10">
        <v>100</v>
      </c>
      <c r="J40" s="10" t="s">
        <v>124</v>
      </c>
      <c r="K40" s="10">
        <v>100</v>
      </c>
      <c r="N40" s="4">
        <f t="shared" si="10"/>
        <v>0</v>
      </c>
      <c r="O40" s="1">
        <f t="shared" si="27"/>
        <v>0</v>
      </c>
      <c r="P40" s="1">
        <f t="shared" si="28"/>
        <v>0</v>
      </c>
      <c r="Q40" s="1">
        <f t="shared" si="29"/>
        <v>0</v>
      </c>
      <c r="R40" s="5">
        <f t="shared" si="30"/>
        <v>0</v>
      </c>
      <c r="T40" s="2">
        <f t="shared" si="9"/>
        <v>0</v>
      </c>
      <c r="U40" s="1">
        <f t="shared" si="9"/>
        <v>0</v>
      </c>
      <c r="V40" s="1">
        <f t="shared" si="32"/>
        <v>0</v>
      </c>
      <c r="W40" s="1">
        <f t="shared" si="32"/>
        <v>0</v>
      </c>
      <c r="X40" s="5">
        <f t="shared" si="32"/>
        <v>0</v>
      </c>
      <c r="Y40" s="1">
        <f>SUM(U40:X40)</f>
        <v>0</v>
      </c>
      <c r="AA40" s="4">
        <f t="shared" si="11"/>
        <v>0</v>
      </c>
      <c r="AB40" s="2">
        <f t="shared" si="18"/>
        <v>0</v>
      </c>
      <c r="AC40" s="40">
        <f t="shared" si="19"/>
        <v>0</v>
      </c>
      <c r="AD40" s="1">
        <f t="shared" si="20"/>
        <v>0</v>
      </c>
      <c r="AE40" s="5">
        <f t="shared" si="33"/>
        <v>0</v>
      </c>
      <c r="AG40" s="4">
        <f t="shared" si="14"/>
        <v>0</v>
      </c>
      <c r="AH40" s="2">
        <f t="shared" si="21"/>
        <v>0</v>
      </c>
      <c r="AI40" s="1">
        <f t="shared" si="22"/>
        <v>0</v>
      </c>
      <c r="AJ40" s="1">
        <f t="shared" si="23"/>
        <v>0</v>
      </c>
      <c r="AK40" s="5">
        <f t="array" ref="AK40">O19*$P$7*Q19*R19*S19+
O19*P19*$Q$7*R19*S19+
O19*P19*Q19*$R$7*S19+
O19*P19*Q19*R19*$S$7</f>
        <v>0</v>
      </c>
      <c r="AM40" s="4">
        <f t="shared" si="15"/>
        <v>0</v>
      </c>
      <c r="AN40" s="1">
        <f t="shared" si="24"/>
        <v>0</v>
      </c>
      <c r="AO40" s="1">
        <f t="shared" si="25"/>
        <v>0</v>
      </c>
      <c r="AP40" s="5">
        <f t="array" ref="AP40">O19*$P$7*$Q$7*R19*S19+
O19*$P$7*Q19*$R$7*S19+
O19*P19*$Q$7*$R$7*S19+
O19*P19*$Q$7*R19*$S$7+
O19*P19*Q19*$R$7*$S$7+
O19*$P$7*Q19*R19*$S$7</f>
        <v>0</v>
      </c>
      <c r="AR40" s="4">
        <f t="shared" si="12"/>
        <v>0</v>
      </c>
      <c r="AS40" s="1">
        <f t="shared" si="26"/>
        <v>0</v>
      </c>
      <c r="AT40" s="5">
        <f t="array" ref="AT40">O19*$P$7*$Q$7*$R$7*S19+
O19*$P$7*$Q$7*R19*$S$7+
O19*$P$7*Q19*$R$7*$S$7+
O19*P19*$Q$7*$R$7*$S$7</f>
        <v>0</v>
      </c>
      <c r="AV40" s="4">
        <f t="shared" si="16"/>
        <v>0</v>
      </c>
      <c r="AW40" s="5">
        <f t="shared" si="34"/>
        <v>0</v>
      </c>
      <c r="BB40" s="59" t="str">
        <f>IFERROR($BC$3&amp;VLOOKUP(B42,'Pay Table'!$M$3:$N$18,2,FALSE)&amp;$BB$3&amp;C42&amp;$BD$3,"")</f>
        <v>[1,100]</v>
      </c>
      <c r="BC40" s="49" t="str">
        <f>IFERROR($BC$3&amp;VLOOKUP(D42,'Pay Table'!$M$3:$N$18,2,FALSE)&amp;$BB$3&amp;E42&amp;$BD$3,"")</f>
        <v>[94,50]</v>
      </c>
      <c r="BD40" s="49" t="str">
        <f>IFERROR($BC$3&amp;VLOOKUP(F42,'Pay Table'!$M$3:$N$18,2,FALSE)&amp;$BB$3&amp;G42&amp;$BD$3,"")</f>
        <v>[3,100]</v>
      </c>
      <c r="BE40" s="49" t="str">
        <f>IFERROR($BC$3&amp;VLOOKUP(H42,'Pay Table'!$M$3:$N$18,2,FALSE)&amp;$BB$3&amp;I42&amp;$BD$3,"")</f>
        <v>[8,100]</v>
      </c>
      <c r="BF40" s="60" t="str">
        <f>IFERROR($BC$3&amp;VLOOKUP(J42,'Pay Table'!$M$3:$N$18,2,FALSE)&amp;$BB$3&amp;K42&amp;$BD$3,"")</f>
        <v>[4,100]</v>
      </c>
    </row>
    <row r="41" spans="1:58" ht="17.100000000000001" customHeight="1" x14ac:dyDescent="0.15">
      <c r="A41" s="14">
        <v>36</v>
      </c>
      <c r="B41" s="10" t="s">
        <v>152</v>
      </c>
      <c r="C41" s="10">
        <v>100</v>
      </c>
      <c r="D41" s="10" t="s">
        <v>47</v>
      </c>
      <c r="E41" s="10">
        <v>25</v>
      </c>
      <c r="F41" s="10" t="s">
        <v>121</v>
      </c>
      <c r="G41" s="10">
        <v>100</v>
      </c>
      <c r="H41" s="10" t="s">
        <v>153</v>
      </c>
      <c r="I41" s="10">
        <v>100</v>
      </c>
      <c r="J41" s="10" t="s">
        <v>124</v>
      </c>
      <c r="K41" s="10">
        <v>100</v>
      </c>
      <c r="N41" s="4">
        <f t="shared" si="10"/>
        <v>0</v>
      </c>
      <c r="O41" s="1">
        <f t="shared" si="27"/>
        <v>0</v>
      </c>
      <c r="P41" s="1">
        <f t="shared" si="28"/>
        <v>0</v>
      </c>
      <c r="Q41" s="1">
        <f t="shared" si="29"/>
        <v>0</v>
      </c>
      <c r="R41" s="5">
        <f t="shared" si="30"/>
        <v>0</v>
      </c>
      <c r="S41" s="22"/>
      <c r="T41" s="2">
        <f t="shared" si="9"/>
        <v>0</v>
      </c>
      <c r="U41" s="1">
        <f t="shared" si="9"/>
        <v>0</v>
      </c>
      <c r="V41" s="40">
        <f t="shared" si="32"/>
        <v>0</v>
      </c>
      <c r="W41" s="1">
        <f t="shared" si="32"/>
        <v>0</v>
      </c>
      <c r="X41" s="5">
        <f t="shared" si="32"/>
        <v>0</v>
      </c>
      <c r="Y41" s="1">
        <f>SUM(U41:X41)</f>
        <v>0</v>
      </c>
      <c r="AA41" s="4">
        <f t="shared" si="11"/>
        <v>0</v>
      </c>
      <c r="AB41" s="2">
        <f t="shared" si="18"/>
        <v>0</v>
      </c>
      <c r="AC41" s="40">
        <f t="shared" si="19"/>
        <v>0</v>
      </c>
      <c r="AD41" s="1">
        <f t="shared" si="20"/>
        <v>0</v>
      </c>
      <c r="AE41" s="5">
        <f t="shared" si="33"/>
        <v>0</v>
      </c>
      <c r="AG41" s="4">
        <f t="shared" si="14"/>
        <v>0</v>
      </c>
      <c r="AH41" s="2">
        <f t="shared" si="21"/>
        <v>0</v>
      </c>
      <c r="AI41" s="1">
        <f t="shared" si="22"/>
        <v>0</v>
      </c>
      <c r="AJ41" s="1">
        <f t="shared" si="23"/>
        <v>0</v>
      </c>
      <c r="AK41" s="5">
        <f>O20*$P$7*Q20*R20*S20+
O20*P20*$Q$7*R20*S20+
O20*P20*Q20*$R$7*S20</f>
        <v>0</v>
      </c>
      <c r="AM41" s="4">
        <f t="shared" si="15"/>
        <v>0</v>
      </c>
      <c r="AN41" s="1">
        <f t="shared" si="24"/>
        <v>0</v>
      </c>
      <c r="AO41" s="1">
        <f t="shared" si="25"/>
        <v>0</v>
      </c>
      <c r="AP41" s="5">
        <f t="array" ref="AP41">O20*$P$7*$Q$7*R20*S20+
O20*$P$7*Q20*$R$7*S20+
O20*P20*$Q$7*$R$7*S20+
O20*P20*$Q$7*R20*$S$7+
O20*P20*Q20*$R$7*$S$7+
O20*$P$7*Q20*R20*$S$7</f>
        <v>0</v>
      </c>
      <c r="AR41" s="4">
        <f t="shared" si="12"/>
        <v>0</v>
      </c>
      <c r="AS41" s="1">
        <f t="shared" si="26"/>
        <v>0</v>
      </c>
      <c r="AT41" s="5">
        <f t="array" ref="AT41">O20*$P$7*$Q$7*$R$7*S20+
O20*$P$7*$Q$7*R20*$S$7+
O20*$P$7*Q20*$R$7*$S$7+
O20*P20*$Q$7*$R$7*$S$7</f>
        <v>0</v>
      </c>
      <c r="AV41" s="4">
        <f t="shared" si="16"/>
        <v>0</v>
      </c>
      <c r="AW41" s="5">
        <f t="shared" si="34"/>
        <v>0</v>
      </c>
      <c r="BB41" s="59" t="str">
        <f>IFERROR($BC$3&amp;VLOOKUP(B43,'Pay Table'!$M$3:$N$18,2,FALSE)&amp;$BB$3&amp;C43&amp;$BD$3,"")</f>
        <v>[1,100]</v>
      </c>
      <c r="BC41" s="49" t="str">
        <f>IFERROR($BC$3&amp;VLOOKUP(D43,'Pay Table'!$M$3:$N$18,2,FALSE)&amp;$BB$3&amp;E43&amp;$BD$3,"")</f>
        <v>[3,100]</v>
      </c>
      <c r="BD41" s="49" t="str">
        <f>IFERROR($BC$3&amp;VLOOKUP(F43,'Pay Table'!$M$3:$N$18,2,FALSE)&amp;$BB$3&amp;G43&amp;$BD$3,"")</f>
        <v>[92,100]</v>
      </c>
      <c r="BE41" s="49" t="str">
        <f>IFERROR($BC$3&amp;VLOOKUP(H43,'Pay Table'!$M$3:$N$18,2,FALSE)&amp;$BB$3&amp;I43&amp;$BD$3,"")</f>
        <v>[94,50]</v>
      </c>
      <c r="BF41" s="60" t="str">
        <f>IFERROR($BC$3&amp;VLOOKUP(J43,'Pay Table'!$M$3:$N$18,2,FALSE)&amp;$BB$3&amp;K43&amp;$BD$3,"")</f>
        <v>[1,100]</v>
      </c>
    </row>
    <row r="42" spans="1:58" ht="17.100000000000001" customHeight="1" x14ac:dyDescent="0.15">
      <c r="A42" s="14">
        <v>37</v>
      </c>
      <c r="B42" s="10" t="s">
        <v>152</v>
      </c>
      <c r="C42" s="10">
        <v>100</v>
      </c>
      <c r="D42" s="10" t="s">
        <v>47</v>
      </c>
      <c r="E42" s="10">
        <v>50</v>
      </c>
      <c r="F42" s="10" t="s">
        <v>127</v>
      </c>
      <c r="G42" s="10">
        <v>100</v>
      </c>
      <c r="H42" s="10" t="s">
        <v>120</v>
      </c>
      <c r="I42" s="10">
        <v>100</v>
      </c>
      <c r="J42" s="10" t="s">
        <v>128</v>
      </c>
      <c r="K42" s="10">
        <v>100</v>
      </c>
      <c r="N42" s="19">
        <f t="shared" si="10"/>
        <v>0</v>
      </c>
      <c r="O42" s="15"/>
      <c r="P42" s="15"/>
      <c r="Q42" s="15"/>
      <c r="R42" s="16"/>
      <c r="T42" s="8">
        <f>N42</f>
        <v>0</v>
      </c>
      <c r="U42" s="15"/>
      <c r="V42" s="15"/>
      <c r="W42" s="15"/>
      <c r="X42" s="16"/>
      <c r="AA42" s="19">
        <f t="shared" si="11"/>
        <v>0</v>
      </c>
      <c r="AB42" s="8"/>
      <c r="AC42" s="38"/>
      <c r="AD42" s="15"/>
      <c r="AE42" s="16"/>
      <c r="AG42" s="19">
        <f t="shared" si="14"/>
        <v>0</v>
      </c>
      <c r="AH42" s="8"/>
      <c r="AI42" s="15"/>
      <c r="AJ42" s="15"/>
      <c r="AK42" s="16"/>
      <c r="AM42" s="19">
        <f t="shared" si="15"/>
        <v>0</v>
      </c>
      <c r="AN42" s="15"/>
      <c r="AO42" s="15"/>
      <c r="AP42" s="16"/>
      <c r="AR42" s="19">
        <f t="shared" si="12"/>
        <v>0</v>
      </c>
      <c r="AS42" s="15">
        <f t="shared" si="26"/>
        <v>0</v>
      </c>
      <c r="AT42" s="16">
        <f t="array" ref="AT42">O21*$P$7*$Q$7*$R$7*S21+
O21*$P$7*$Q$7*R21*$S$7+
O21*$P$7*Q21*$R$7*$S$7+
O21*P21*$Q$7*$R$7*$S$7</f>
        <v>0</v>
      </c>
      <c r="AV42" s="19">
        <f t="shared" si="16"/>
        <v>0</v>
      </c>
      <c r="AW42" s="16">
        <f t="shared" si="34"/>
        <v>0</v>
      </c>
      <c r="BB42" s="59" t="str">
        <f>IFERROR($BC$3&amp;VLOOKUP(B44,'Pay Table'!$M$3:$N$18,2,FALSE)&amp;$BB$3&amp;C44&amp;$BD$3,"")</f>
        <v>[5,100]</v>
      </c>
      <c r="BC42" s="49" t="str">
        <f>IFERROR($BC$3&amp;VLOOKUP(D44,'Pay Table'!$M$3:$N$18,2,FALSE)&amp;$BB$3&amp;E44&amp;$BD$3,"")</f>
        <v>[3,100]</v>
      </c>
      <c r="BD42" s="49" t="str">
        <f>IFERROR($BC$3&amp;VLOOKUP(F44,'Pay Table'!$M$3:$N$18,2,FALSE)&amp;$BB$3&amp;G44&amp;$BD$3,"")</f>
        <v>[6,100]</v>
      </c>
      <c r="BE42" s="49" t="str">
        <f>IFERROR($BC$3&amp;VLOOKUP(H44,'Pay Table'!$M$3:$N$18,2,FALSE)&amp;$BB$3&amp;I44&amp;$BD$3,"")</f>
        <v>[6,100]</v>
      </c>
      <c r="BF42" s="60" t="str">
        <f>IFERROR($BC$3&amp;VLOOKUP(J44,'Pay Table'!$M$3:$N$18,2,FALSE)&amp;$BB$3&amp;K44&amp;$BD$3,"")</f>
        <v>[8,100]</v>
      </c>
    </row>
    <row r="43" spans="1:58" ht="17.100000000000001" customHeight="1" x14ac:dyDescent="0.15">
      <c r="A43" s="14">
        <v>38</v>
      </c>
      <c r="B43" s="10" t="s">
        <v>125</v>
      </c>
      <c r="C43" s="10">
        <v>100</v>
      </c>
      <c r="D43" s="10" t="s">
        <v>172</v>
      </c>
      <c r="E43" s="10">
        <v>100</v>
      </c>
      <c r="F43" s="10" t="s">
        <v>122</v>
      </c>
      <c r="G43" s="10">
        <v>100</v>
      </c>
      <c r="H43" s="10" t="s">
        <v>47</v>
      </c>
      <c r="I43" s="10">
        <v>50</v>
      </c>
      <c r="J43" s="10" t="s">
        <v>125</v>
      </c>
      <c r="K43" s="10">
        <v>100</v>
      </c>
      <c r="BB43" s="59" t="str">
        <f>IFERROR($BC$3&amp;VLOOKUP(B45,'Pay Table'!$M$3:$N$18,2,FALSE)&amp;$BB$3&amp;C45&amp;$BD$3,"")</f>
        <v>[6,100]</v>
      </c>
      <c r="BC43" s="49" t="str">
        <f>IFERROR($BC$3&amp;VLOOKUP(D45,'Pay Table'!$M$3:$N$18,2,FALSE)&amp;$BB$3&amp;E45&amp;$BD$3,"")</f>
        <v>[7,150]</v>
      </c>
      <c r="BD43" s="49" t="str">
        <f>IFERROR($BC$3&amp;VLOOKUP(F45,'Pay Table'!$M$3:$N$18,2,FALSE)&amp;$BB$3&amp;G45&amp;$BD$3,"")</f>
        <v>[1,100]</v>
      </c>
      <c r="BE43" s="49" t="str">
        <f>IFERROR($BC$3&amp;VLOOKUP(H45,'Pay Table'!$M$3:$N$18,2,FALSE)&amp;$BB$3&amp;I45&amp;$BD$3,"")</f>
        <v>[94,100]</v>
      </c>
      <c r="BF43" s="60" t="str">
        <f>IFERROR($BC$3&amp;VLOOKUP(J45,'Pay Table'!$M$3:$N$18,2,FALSE)&amp;$BB$3&amp;K45&amp;$BD$3,"")</f>
        <v>[2,100]</v>
      </c>
    </row>
    <row r="44" spans="1:58" ht="17.100000000000001" customHeight="1" x14ac:dyDescent="0.15">
      <c r="A44" s="14">
        <v>39</v>
      </c>
      <c r="B44" s="10" t="s">
        <v>123</v>
      </c>
      <c r="C44" s="10">
        <v>100</v>
      </c>
      <c r="D44" s="10" t="s">
        <v>172</v>
      </c>
      <c r="E44" s="10">
        <v>100</v>
      </c>
      <c r="F44" s="10" t="s">
        <v>121</v>
      </c>
      <c r="G44" s="10">
        <v>100</v>
      </c>
      <c r="H44" s="10" t="s">
        <v>121</v>
      </c>
      <c r="I44" s="10">
        <v>100</v>
      </c>
      <c r="J44" s="10" t="s">
        <v>120</v>
      </c>
      <c r="K44" s="10">
        <v>100</v>
      </c>
      <c r="N44" s="37"/>
      <c r="O44" s="1" t="s">
        <v>29</v>
      </c>
      <c r="S44" s="1" t="s">
        <v>30</v>
      </c>
      <c r="W44" s="1" t="s">
        <v>31</v>
      </c>
      <c r="Z44" s="1" t="s">
        <v>32</v>
      </c>
      <c r="AB44" s="1" t="s">
        <v>33</v>
      </c>
      <c r="AD44" s="1" t="s">
        <v>28</v>
      </c>
      <c r="BB44" s="59" t="str">
        <f>IFERROR($BC$3&amp;VLOOKUP(B46,'Pay Table'!$M$3:$N$18,2,FALSE)&amp;$BB$3&amp;C46&amp;$BD$3,"")</f>
        <v>[94,50]</v>
      </c>
      <c r="BC44" s="49" t="str">
        <f>IFERROR($BC$3&amp;VLOOKUP(D46,'Pay Table'!$M$3:$N$18,2,FALSE)&amp;$BB$3&amp;E46&amp;$BD$3,"")</f>
        <v>[90,200]</v>
      </c>
      <c r="BD44" s="49" t="str">
        <f>IFERROR($BC$3&amp;VLOOKUP(F46,'Pay Table'!$M$3:$N$18,2,FALSE)&amp;$BB$3&amp;G46&amp;$BD$3,"")</f>
        <v>[1,100]</v>
      </c>
      <c r="BE44" s="49" t="str">
        <f>IFERROR($BC$3&amp;VLOOKUP(H46,'Pay Table'!$M$3:$N$18,2,FALSE)&amp;$BB$3&amp;I46&amp;$BD$3,"")</f>
        <v>[6,100]</v>
      </c>
      <c r="BF44" s="60" t="str">
        <f>IFERROR($BC$3&amp;VLOOKUP(J46,'Pay Table'!$M$3:$N$18,2,FALSE)&amp;$BB$3&amp;K46&amp;$BD$3,"")</f>
        <v>[6,100]</v>
      </c>
    </row>
    <row r="45" spans="1:58" ht="17.100000000000001" customHeight="1" x14ac:dyDescent="0.15">
      <c r="A45" s="14">
        <v>40</v>
      </c>
      <c r="B45" s="10" t="s">
        <v>121</v>
      </c>
      <c r="C45" s="10">
        <v>100</v>
      </c>
      <c r="D45" s="10" t="s">
        <v>119</v>
      </c>
      <c r="E45" s="10">
        <v>150</v>
      </c>
      <c r="F45" s="10" t="s">
        <v>152</v>
      </c>
      <c r="G45" s="10">
        <v>100</v>
      </c>
      <c r="H45" s="10" t="s">
        <v>47</v>
      </c>
      <c r="I45" s="10">
        <v>100</v>
      </c>
      <c r="J45" s="10" t="s">
        <v>151</v>
      </c>
      <c r="K45" s="10">
        <v>100</v>
      </c>
      <c r="N45" s="6" t="s">
        <v>4</v>
      </c>
      <c r="O45" s="18">
        <v>2</v>
      </c>
      <c r="P45" s="18">
        <v>3</v>
      </c>
      <c r="Q45" s="18">
        <v>4</v>
      </c>
      <c r="R45" s="36">
        <v>5</v>
      </c>
      <c r="S45" s="18">
        <v>2</v>
      </c>
      <c r="T45" s="18">
        <v>3</v>
      </c>
      <c r="U45" s="18">
        <v>4</v>
      </c>
      <c r="V45" s="36">
        <v>5</v>
      </c>
      <c r="W45" s="18">
        <v>3</v>
      </c>
      <c r="X45" s="18">
        <v>4</v>
      </c>
      <c r="Y45" s="36">
        <v>5</v>
      </c>
      <c r="Z45" s="18">
        <v>4</v>
      </c>
      <c r="AA45" s="36">
        <v>5</v>
      </c>
      <c r="AB45" s="6">
        <v>5</v>
      </c>
      <c r="AD45" s="17" t="str">
        <f t="shared" ref="AD45:AD61" si="35">N26</f>
        <v>Symbol</v>
      </c>
      <c r="AE45" s="18">
        <v>2</v>
      </c>
      <c r="AF45" s="18">
        <f>P26</f>
        <v>3</v>
      </c>
      <c r="AG45" s="18">
        <f>Q26</f>
        <v>4</v>
      </c>
      <c r="AH45" s="36">
        <f>R26</f>
        <v>5</v>
      </c>
      <c r="AI45" s="1" t="s">
        <v>12</v>
      </c>
      <c r="BB45" s="59" t="str">
        <f>IFERROR($BC$3&amp;VLOOKUP(B47,'Pay Table'!$M$3:$N$18,2,FALSE)&amp;$BB$3&amp;C47&amp;$BD$3,"")</f>
        <v>[3,100]</v>
      </c>
      <c r="BC45" s="49" t="str">
        <f>IFERROR($BC$3&amp;VLOOKUP(D47,'Pay Table'!$M$3:$N$18,2,FALSE)&amp;$BB$3&amp;E47&amp;$BD$3,"")</f>
        <v>[7,100]</v>
      </c>
      <c r="BD45" s="49" t="str">
        <f>IFERROR($BC$3&amp;VLOOKUP(F47,'Pay Table'!$M$3:$N$18,2,FALSE)&amp;$BB$3&amp;G47&amp;$BD$3,"")</f>
        <v>[1,100]</v>
      </c>
      <c r="BE45" s="49" t="str">
        <f>IFERROR($BC$3&amp;VLOOKUP(H47,'Pay Table'!$M$3:$N$18,2,FALSE)&amp;$BB$3&amp;I47&amp;$BD$3,"")</f>
        <v>[3,100]</v>
      </c>
      <c r="BF45" s="60" t="str">
        <f>IFERROR($BC$3&amp;VLOOKUP(J47,'Pay Table'!$M$3:$N$18,2,FALSE)&amp;$BB$3&amp;K47&amp;$BD$3,"")</f>
        <v>[5,100]</v>
      </c>
    </row>
    <row r="46" spans="1:58" ht="17.100000000000001" customHeight="1" x14ac:dyDescent="0.15">
      <c r="A46" s="14">
        <v>41</v>
      </c>
      <c r="B46" s="10" t="s">
        <v>47</v>
      </c>
      <c r="C46" s="10">
        <v>50</v>
      </c>
      <c r="D46" s="10" t="s">
        <v>14</v>
      </c>
      <c r="E46" s="10">
        <v>200</v>
      </c>
      <c r="F46" s="10" t="s">
        <v>125</v>
      </c>
      <c r="G46" s="10">
        <v>100</v>
      </c>
      <c r="H46" s="10" t="s">
        <v>121</v>
      </c>
      <c r="I46" s="10">
        <v>100</v>
      </c>
      <c r="J46" s="10" t="s">
        <v>121</v>
      </c>
      <c r="K46" s="10">
        <v>100</v>
      </c>
      <c r="N46" s="4" t="str">
        <f>N27</f>
        <v>LINK</v>
      </c>
      <c r="R46" s="5"/>
      <c r="V46" s="5"/>
      <c r="W46" s="7"/>
      <c r="X46" s="21"/>
      <c r="Y46" s="20"/>
      <c r="Z46" s="7"/>
      <c r="AA46" s="20"/>
      <c r="AB46" s="3"/>
      <c r="AD46" s="7" t="str">
        <f t="shared" si="35"/>
        <v>LINK</v>
      </c>
      <c r="AE46" s="21"/>
      <c r="AF46" s="21"/>
      <c r="AG46" s="21"/>
      <c r="AH46" s="20"/>
      <c r="BB46" s="59" t="str">
        <f>IFERROR($BC$3&amp;VLOOKUP(B48,'Pay Table'!$M$3:$N$18,2,FALSE)&amp;$BB$3&amp;C48&amp;$BD$3,"")</f>
        <v>[94,100]</v>
      </c>
      <c r="BC46" s="49" t="str">
        <f>IFERROR($BC$3&amp;VLOOKUP(D48,'Pay Table'!$M$3:$N$18,2,FALSE)&amp;$BB$3&amp;E48&amp;$BD$3,"")</f>
        <v>[0,100]</v>
      </c>
      <c r="BD46" s="49" t="str">
        <f>IFERROR($BC$3&amp;VLOOKUP(F48,'Pay Table'!$M$3:$N$18,2,FALSE)&amp;$BB$3&amp;G48&amp;$BD$3,"")</f>
        <v>[6,100]</v>
      </c>
      <c r="BE46" s="49" t="str">
        <f>IFERROR($BC$3&amp;VLOOKUP(H48,'Pay Table'!$M$3:$N$18,2,FALSE)&amp;$BB$3&amp;I48&amp;$BD$3,"")</f>
        <v>[8,210]</v>
      </c>
      <c r="BF46" s="60" t="str">
        <f>IFERROR($BC$3&amp;VLOOKUP(J48,'Pay Table'!$M$3:$N$18,2,FALSE)&amp;$BB$3&amp;K48&amp;$BD$3,"")</f>
        <v>[3,100]</v>
      </c>
    </row>
    <row r="47" spans="1:58" ht="17.100000000000001" customHeight="1" x14ac:dyDescent="0.15">
      <c r="A47" s="14">
        <v>42</v>
      </c>
      <c r="B47" s="10" t="s">
        <v>172</v>
      </c>
      <c r="C47" s="10">
        <v>100</v>
      </c>
      <c r="D47" s="10" t="s">
        <v>119</v>
      </c>
      <c r="E47" s="10">
        <v>100</v>
      </c>
      <c r="F47" s="10" t="s">
        <v>152</v>
      </c>
      <c r="G47" s="10">
        <v>100</v>
      </c>
      <c r="H47" s="10" t="s">
        <v>172</v>
      </c>
      <c r="I47" s="10">
        <v>100</v>
      </c>
      <c r="J47" s="10" t="s">
        <v>123</v>
      </c>
      <c r="K47" s="10">
        <v>100</v>
      </c>
      <c r="N47" s="4" t="str">
        <f t="shared" ref="N47:N60" si="36">N28</f>
        <v>WILD</v>
      </c>
      <c r="R47" s="5"/>
      <c r="S47" s="1">
        <f>O7*P7*(Q22-Q7)*R22*S22</f>
        <v>0</v>
      </c>
      <c r="V47" s="5"/>
      <c r="W47" s="2">
        <f>O7*P7*Q7*(R22-R7)*S22</f>
        <v>0</v>
      </c>
      <c r="Y47" s="5"/>
      <c r="Z47" s="2">
        <f>O7*P7*Q7*R7*(S22-S7)</f>
        <v>0</v>
      </c>
      <c r="AA47" s="5"/>
      <c r="AB47" s="4">
        <f>O7*P7*Q7*R7*S7</f>
        <v>0</v>
      </c>
      <c r="AD47" s="2" t="str">
        <f t="shared" si="35"/>
        <v>WILD</v>
      </c>
      <c r="AE47" s="1">
        <f t="array" ref="AE47">S47-SUMIF('Pay Table'!D7:D16,"&gt;"&amp;'Pay Table'!C6,T48:T61)-SUMIF('Pay Table'!E7:E16,"&gt;"&amp;'Pay Table'!C6,U48:U61)-SUMIF('Pay Table'!F7:F16,"&gt;"&amp;'Pay Table'!C6,V48:V61)</f>
        <v>0</v>
      </c>
      <c r="AF47" s="1">
        <f t="array" ref="AF47">W47-SUMIF('Pay Table'!E7:E16,"&gt;"&amp;'Pay Table'!D6,X48:X61)-SUMIF('Pay Table'!F7:F16,"&gt;"&amp;'Pay Table'!D6,Y48:Y61)</f>
        <v>0</v>
      </c>
      <c r="AG47" s="1">
        <f>Z47-SUMIF('Pay Table'!F7:F16,"&gt;"&amp;'Pay Table'!E6,AA48:AA61)</f>
        <v>0</v>
      </c>
      <c r="AH47" s="5">
        <f>AB47</f>
        <v>0</v>
      </c>
      <c r="AI47" s="1">
        <f>SUM(AF47:AH47)</f>
        <v>0</v>
      </c>
      <c r="BB47" s="59" t="str">
        <f>IFERROR($BC$3&amp;VLOOKUP(B49,'Pay Table'!$M$3:$N$18,2,FALSE)&amp;$BB$3&amp;C49&amp;$BD$3,"")</f>
        <v>[8,100]</v>
      </c>
      <c r="BC47" s="49" t="str">
        <f>IFERROR($BC$3&amp;VLOOKUP(D49,'Pay Table'!$M$3:$N$18,2,FALSE)&amp;$BB$3&amp;E49&amp;$BD$3,"")</f>
        <v>[8,100]</v>
      </c>
      <c r="BD47" s="49" t="str">
        <f>IFERROR($BC$3&amp;VLOOKUP(F49,'Pay Table'!$M$3:$N$18,2,FALSE)&amp;$BB$3&amp;G49&amp;$BD$3,"")</f>
        <v>[8,100]</v>
      </c>
      <c r="BE47" s="49" t="str">
        <f>IFERROR($BC$3&amp;VLOOKUP(H49,'Pay Table'!$M$3:$N$18,2,FALSE)&amp;$BB$3&amp;I49&amp;$BD$3,"")</f>
        <v>[7,210]</v>
      </c>
      <c r="BF47" s="60" t="str">
        <f>IFERROR($BC$3&amp;VLOOKUP(J49,'Pay Table'!$M$3:$N$18,2,FALSE)&amp;$BB$3&amp;K49&amp;$BD$3,"")</f>
        <v>[3,100]</v>
      </c>
    </row>
    <row r="48" spans="1:58" ht="17.100000000000001" customHeight="1" x14ac:dyDescent="0.15">
      <c r="A48" s="14">
        <v>43</v>
      </c>
      <c r="B48" s="10" t="s">
        <v>47</v>
      </c>
      <c r="C48" s="10">
        <v>100</v>
      </c>
      <c r="D48" s="10" t="s">
        <v>153</v>
      </c>
      <c r="E48" s="10">
        <v>100</v>
      </c>
      <c r="F48" s="10" t="s">
        <v>121</v>
      </c>
      <c r="G48" s="10">
        <v>100</v>
      </c>
      <c r="H48" s="10" t="s">
        <v>120</v>
      </c>
      <c r="I48" s="10">
        <v>210</v>
      </c>
      <c r="J48" s="10" t="s">
        <v>127</v>
      </c>
      <c r="K48" s="10">
        <v>100</v>
      </c>
      <c r="N48" s="4" t="str">
        <f t="shared" si="36"/>
        <v>M1</v>
      </c>
      <c r="O48" s="1">
        <f t="shared" ref="O48:O61" si="37">$O$7*(P8)*($Q$22-Q8-$Q$7)*$R$22*$S$22</f>
        <v>0</v>
      </c>
      <c r="P48" s="1">
        <f t="shared" ref="P48:P61" si="38">$O$7*(P8)*(Q8+$Q$7)*($R$22-R8-$R$7)*$S$22</f>
        <v>0</v>
      </c>
      <c r="Q48" s="1">
        <f t="shared" ref="Q48:Q61" si="39">$O$7*(P8)*($Q$7+Q8)*($R$7+R8)*($S$22-S8-$S$7)</f>
        <v>0</v>
      </c>
      <c r="R48" s="5">
        <f t="shared" ref="R48:R61" si="40">$O$7*(P8)*($Q$7+Q8)*($R$7+R8)*($S$7+S8)</f>
        <v>0</v>
      </c>
      <c r="T48" s="1">
        <f t="shared" ref="T48:T61" si="41">$O$7*$P$7*(Q8)*($R$22-R8-$R$7)*$S$22</f>
        <v>0</v>
      </c>
      <c r="U48" s="1">
        <f t="shared" ref="U48:U61" si="42">$O$7*$P$7*(Q8)*($R$7+R8)*($S$22-S8-$S$7)</f>
        <v>0</v>
      </c>
      <c r="V48" s="5">
        <f t="shared" ref="V48:V61" si="43">$O$7*$P$7*(Q8)*($R$7+R8)*($S$7+S8)</f>
        <v>0</v>
      </c>
      <c r="W48" s="2"/>
      <c r="X48" s="1">
        <f>$O$7*$P$7*$Q$7*(R8)*($S$22-S8-$S$7)</f>
        <v>0</v>
      </c>
      <c r="Y48" s="5">
        <f t="shared" ref="Y48:Y61" si="44">$O$7*$P$7*$Q$7*(R8)*($S$7+S8)</f>
        <v>0</v>
      </c>
      <c r="Z48" s="2"/>
      <c r="AA48" s="5">
        <f t="shared" ref="AA48:AA61" si="45">$O$7*$P$7*$Q$7*$R$7*(S8)</f>
        <v>0</v>
      </c>
      <c r="AB48" s="4"/>
      <c r="AD48" s="2" t="str">
        <f t="shared" si="35"/>
        <v>M1</v>
      </c>
      <c r="AE48" s="1">
        <f>O48</f>
        <v>0</v>
      </c>
      <c r="AF48" s="1">
        <f t="array" ref="AF48">P48+IF('Pay Table'!D7&gt;'Pay Table'!$C$6,T48,0)</f>
        <v>0</v>
      </c>
      <c r="AG48" s="1">
        <f>Q48+IF('Pay Table'!E7&gt;'Pay Table'!$C$6,U48,0)+IF('Pay Table'!E7&gt;'Pay Table'!$D$6,X48,0)</f>
        <v>0</v>
      </c>
      <c r="AH48" s="5">
        <f t="array" ref="AH48">R48+IF('Pay Table'!F7&gt;'Pay Table'!$C$6,V48,0)+IF('Pay Table'!F7&gt;'Pay Table'!$D$6,Y48,0)+IF('Pay Table'!F7&gt;'Pay Table'!$E$6,AA48,0)</f>
        <v>0</v>
      </c>
      <c r="AI48" s="1">
        <f t="shared" ref="AI48:AI58" si="46">SUM(AF48:AH48)</f>
        <v>0</v>
      </c>
      <c r="BB48" s="59" t="str">
        <f>IFERROR($BC$3&amp;VLOOKUP(B50,'Pay Table'!$M$3:$N$18,2,FALSE)&amp;$BB$3&amp;C50&amp;$BD$3,"")</f>
        <v>[2,100]</v>
      </c>
      <c r="BC48" s="49" t="str">
        <f>IFERROR($BC$3&amp;VLOOKUP(D50,'Pay Table'!$M$3:$N$18,2,FALSE)&amp;$BB$3&amp;E50&amp;$BD$3,"")</f>
        <v>[94,50]</v>
      </c>
      <c r="BD48" s="49" t="str">
        <f>IFERROR($BC$3&amp;VLOOKUP(F50,'Pay Table'!$M$3:$N$18,2,FALSE)&amp;$BB$3&amp;G50&amp;$BD$3,"")</f>
        <v>[3,100]</v>
      </c>
      <c r="BE48" s="49" t="str">
        <f>IFERROR($BC$3&amp;VLOOKUP(H50,'Pay Table'!$M$3:$N$18,2,FALSE)&amp;$BB$3&amp;I50&amp;$BD$3,"")</f>
        <v>[90,200]</v>
      </c>
      <c r="BF48" s="60" t="str">
        <f>IFERROR($BC$3&amp;VLOOKUP(J50,'Pay Table'!$M$3:$N$18,2,FALSE)&amp;$BB$3&amp;K50&amp;$BD$3,"")</f>
        <v>[8,100]</v>
      </c>
    </row>
    <row r="49" spans="1:58" ht="17.100000000000001" customHeight="1" x14ac:dyDescent="0.15">
      <c r="A49" s="14">
        <v>44</v>
      </c>
      <c r="B49" s="10" t="s">
        <v>120</v>
      </c>
      <c r="C49" s="10">
        <v>100</v>
      </c>
      <c r="D49" s="10" t="s">
        <v>120</v>
      </c>
      <c r="E49" s="10">
        <v>100</v>
      </c>
      <c r="F49" s="10" t="s">
        <v>120</v>
      </c>
      <c r="G49" s="10">
        <v>100</v>
      </c>
      <c r="H49" s="10" t="s">
        <v>119</v>
      </c>
      <c r="I49" s="10">
        <v>210</v>
      </c>
      <c r="J49" s="10" t="s">
        <v>172</v>
      </c>
      <c r="K49" s="10">
        <v>100</v>
      </c>
      <c r="N49" s="4" t="str">
        <f t="shared" si="36"/>
        <v>M2</v>
      </c>
      <c r="O49" s="1">
        <f t="shared" si="37"/>
        <v>0</v>
      </c>
      <c r="P49" s="1">
        <f t="shared" si="38"/>
        <v>0</v>
      </c>
      <c r="Q49" s="1">
        <f t="shared" si="39"/>
        <v>0</v>
      </c>
      <c r="R49" s="5">
        <f t="shared" si="40"/>
        <v>0</v>
      </c>
      <c r="T49" s="1">
        <f t="shared" si="41"/>
        <v>0</v>
      </c>
      <c r="U49" s="1">
        <f t="shared" si="42"/>
        <v>0</v>
      </c>
      <c r="V49" s="5">
        <f t="shared" si="43"/>
        <v>0</v>
      </c>
      <c r="W49" s="2"/>
      <c r="X49" s="1">
        <f t="shared" ref="X49:X61" si="47">$O$7*$P$7*$Q$7*(R9)*($S$22-S9-$S$7)</f>
        <v>0</v>
      </c>
      <c r="Y49" s="5">
        <f t="shared" si="44"/>
        <v>0</v>
      </c>
      <c r="Z49" s="2"/>
      <c r="AA49" s="5">
        <f t="shared" si="45"/>
        <v>0</v>
      </c>
      <c r="AB49" s="4"/>
      <c r="AD49" s="2" t="str">
        <f t="shared" si="35"/>
        <v>M2</v>
      </c>
      <c r="AE49" s="1">
        <f t="shared" ref="AE49:AE61" si="48">O49</f>
        <v>0</v>
      </c>
      <c r="AF49" s="1">
        <f t="array" ref="AF49">P49+IF('Pay Table'!D8&gt;'Pay Table'!$C$6,T49,0)</f>
        <v>0</v>
      </c>
      <c r="AG49" s="1">
        <f>Q49+IF('Pay Table'!E8&gt;'Pay Table'!$C$6,U49,0)+IF('Pay Table'!E8&gt;'Pay Table'!$D$6,X49,0)</f>
        <v>0</v>
      </c>
      <c r="AH49" s="5">
        <f t="array" ref="AH49">R49+IF('Pay Table'!F8&gt;'Pay Table'!$C$6,V49,0)+IF('Pay Table'!F8&gt;'Pay Table'!$D$6,Y49,0)+IF('Pay Table'!F8&gt;'Pay Table'!$E$6,AA49,0)</f>
        <v>0</v>
      </c>
      <c r="AI49" s="1">
        <f t="shared" si="46"/>
        <v>0</v>
      </c>
      <c r="BB49" s="59" t="str">
        <f>IFERROR($BC$3&amp;VLOOKUP(B51,'Pay Table'!$M$3:$N$18,2,FALSE)&amp;$BB$3&amp;C51&amp;$BD$3,"")</f>
        <v>[1,100]</v>
      </c>
      <c r="BC49" s="49" t="str">
        <f>IFERROR($BC$3&amp;VLOOKUP(D51,'Pay Table'!$M$3:$N$18,2,FALSE)&amp;$BB$3&amp;E51&amp;$BD$3,"")</f>
        <v>[2,100]</v>
      </c>
      <c r="BD49" s="49" t="str">
        <f>IFERROR($BC$3&amp;VLOOKUP(F51,'Pay Table'!$M$3:$N$18,2,FALSE)&amp;$BB$3&amp;G51&amp;$BD$3,"")</f>
        <v>[4,100]</v>
      </c>
      <c r="BE49" s="49" t="str">
        <f>IFERROR($BC$3&amp;VLOOKUP(H51,'Pay Table'!$M$3:$N$18,2,FALSE)&amp;$BB$3&amp;I51&amp;$BD$3,"")</f>
        <v>[6,100]</v>
      </c>
      <c r="BF49" s="60" t="str">
        <f>IFERROR($BC$3&amp;VLOOKUP(J51,'Pay Table'!$M$3:$N$18,2,FALSE)&amp;$BB$3&amp;K51&amp;$BD$3,"")</f>
        <v>[0,100]</v>
      </c>
    </row>
    <row r="50" spans="1:58" ht="17.100000000000001" customHeight="1" x14ac:dyDescent="0.15">
      <c r="A50" s="14">
        <v>45</v>
      </c>
      <c r="B50" s="10" t="s">
        <v>151</v>
      </c>
      <c r="C50" s="10">
        <v>100</v>
      </c>
      <c r="D50" s="10" t="s">
        <v>47</v>
      </c>
      <c r="E50" s="10">
        <v>50</v>
      </c>
      <c r="F50" s="10" t="s">
        <v>172</v>
      </c>
      <c r="G50" s="10">
        <v>100</v>
      </c>
      <c r="H50" s="10" t="s">
        <v>14</v>
      </c>
      <c r="I50" s="10">
        <v>200</v>
      </c>
      <c r="J50" s="10" t="s">
        <v>120</v>
      </c>
      <c r="K50" s="10">
        <v>100</v>
      </c>
      <c r="N50" s="4" t="str">
        <f t="shared" si="36"/>
        <v>M3</v>
      </c>
      <c r="O50" s="1">
        <f t="shared" si="37"/>
        <v>0</v>
      </c>
      <c r="P50" s="1">
        <f t="shared" si="38"/>
        <v>0</v>
      </c>
      <c r="Q50" s="1">
        <f t="shared" si="39"/>
        <v>0</v>
      </c>
      <c r="R50" s="5">
        <f t="shared" si="40"/>
        <v>0</v>
      </c>
      <c r="T50" s="1">
        <f t="shared" si="41"/>
        <v>0</v>
      </c>
      <c r="U50" s="1">
        <f t="shared" si="42"/>
        <v>0</v>
      </c>
      <c r="V50" s="5">
        <f t="shared" si="43"/>
        <v>0</v>
      </c>
      <c r="W50" s="2"/>
      <c r="X50" s="1">
        <f t="shared" si="47"/>
        <v>0</v>
      </c>
      <c r="Y50" s="5">
        <f t="shared" si="44"/>
        <v>0</v>
      </c>
      <c r="Z50" s="2"/>
      <c r="AA50" s="5">
        <f t="shared" si="45"/>
        <v>0</v>
      </c>
      <c r="AB50" s="4"/>
      <c r="AD50" s="2" t="str">
        <f t="shared" si="35"/>
        <v>M3</v>
      </c>
      <c r="AE50" s="1">
        <f t="shared" si="48"/>
        <v>0</v>
      </c>
      <c r="AF50" s="1">
        <f t="array" ref="AF50">P50+IF('Pay Table'!D9&gt;'Pay Table'!$C$6,T50,0)</f>
        <v>0</v>
      </c>
      <c r="AG50" s="1">
        <f>Q50+IF('Pay Table'!E9&gt;'Pay Table'!$C$6,U50,0)+IF('Pay Table'!E9&gt;'Pay Table'!$D$6,X50,0)</f>
        <v>0</v>
      </c>
      <c r="AH50" s="5">
        <f t="array" ref="AH50">R50+IF('Pay Table'!F9&gt;'Pay Table'!$C$6,V50,0)+IF('Pay Table'!F9&gt;'Pay Table'!$D$6,Y50,0)+IF('Pay Table'!F9&gt;'Pay Table'!$E$6,AA50,0)</f>
        <v>0</v>
      </c>
      <c r="AI50" s="1">
        <f t="shared" si="46"/>
        <v>0</v>
      </c>
      <c r="BB50" s="59" t="str">
        <f>IFERROR($BC$3&amp;VLOOKUP(B52,'Pay Table'!$M$3:$N$18,2,FALSE)&amp;$BB$3&amp;C52&amp;$BD$3,"")</f>
        <v>[1,100]</v>
      </c>
      <c r="BC50" s="49" t="str">
        <f>IFERROR($BC$3&amp;VLOOKUP(D52,'Pay Table'!$M$3:$N$18,2,FALSE)&amp;$BB$3&amp;E52&amp;$BD$3,"")</f>
        <v>[94,100]</v>
      </c>
      <c r="BD50" s="49" t="str">
        <f>IFERROR($BC$3&amp;VLOOKUP(F52,'Pay Table'!$M$3:$N$18,2,FALSE)&amp;$BB$3&amp;G52&amp;$BD$3,"")</f>
        <v>[3,100]</v>
      </c>
      <c r="BE50" s="49" t="str">
        <f>IFERROR($BC$3&amp;VLOOKUP(H52,'Pay Table'!$M$3:$N$18,2,FALSE)&amp;$BB$3&amp;I52&amp;$BD$3,"")</f>
        <v>[3,100]</v>
      </c>
      <c r="BF50" s="60" t="str">
        <f>IFERROR($BC$3&amp;VLOOKUP(J52,'Pay Table'!$M$3:$N$18,2,FALSE)&amp;$BB$3&amp;K52&amp;$BD$3,"")</f>
        <v>[0,100]</v>
      </c>
    </row>
    <row r="51" spans="1:58" ht="17.100000000000001" customHeight="1" x14ac:dyDescent="0.15">
      <c r="A51" s="14">
        <v>46</v>
      </c>
      <c r="B51" s="10" t="s">
        <v>152</v>
      </c>
      <c r="C51" s="10">
        <v>100</v>
      </c>
      <c r="D51" s="10" t="s">
        <v>151</v>
      </c>
      <c r="E51" s="10">
        <v>100</v>
      </c>
      <c r="F51" s="10" t="s">
        <v>148</v>
      </c>
      <c r="G51" s="10">
        <v>100</v>
      </c>
      <c r="H51" s="10" t="s">
        <v>121</v>
      </c>
      <c r="I51" s="10">
        <v>100</v>
      </c>
      <c r="J51" s="10" t="s">
        <v>153</v>
      </c>
      <c r="K51" s="10">
        <v>100</v>
      </c>
      <c r="N51" s="4" t="str">
        <f t="shared" si="36"/>
        <v>M4</v>
      </c>
      <c r="O51" s="1">
        <f t="shared" si="37"/>
        <v>0</v>
      </c>
      <c r="P51" s="1">
        <f t="shared" si="38"/>
        <v>0</v>
      </c>
      <c r="Q51" s="1">
        <f t="shared" si="39"/>
        <v>0</v>
      </c>
      <c r="R51" s="5">
        <f t="shared" si="40"/>
        <v>0</v>
      </c>
      <c r="T51" s="1">
        <f t="shared" si="41"/>
        <v>0</v>
      </c>
      <c r="U51" s="1">
        <f t="shared" si="42"/>
        <v>0</v>
      </c>
      <c r="V51" s="5">
        <f t="shared" si="43"/>
        <v>0</v>
      </c>
      <c r="W51" s="2"/>
      <c r="X51" s="1">
        <f t="shared" si="47"/>
        <v>0</v>
      </c>
      <c r="Y51" s="5">
        <f t="shared" si="44"/>
        <v>0</v>
      </c>
      <c r="Z51" s="2"/>
      <c r="AA51" s="5">
        <f t="shared" si="45"/>
        <v>0</v>
      </c>
      <c r="AB51" s="4"/>
      <c r="AD51" s="2" t="str">
        <f t="shared" si="35"/>
        <v>M4</v>
      </c>
      <c r="AE51" s="1">
        <f t="shared" si="48"/>
        <v>0</v>
      </c>
      <c r="AF51" s="1">
        <f t="array" ref="AF51">P51+IF('Pay Table'!D10&gt;'Pay Table'!$C$6,T51,0)</f>
        <v>0</v>
      </c>
      <c r="AG51" s="1">
        <f>Q51+IF('Pay Table'!E10&gt;'Pay Table'!$C$6,U51,0)+IF('Pay Table'!E10&gt;'Pay Table'!$D$6,X51,0)</f>
        <v>0</v>
      </c>
      <c r="AH51" s="5">
        <f t="array" ref="AH51">R51+IF('Pay Table'!F10&gt;'Pay Table'!$C$6,V51,0)+IF('Pay Table'!F10&gt;'Pay Table'!$D$6,Y51,0)+IF('Pay Table'!F10&gt;'Pay Table'!$E$6,AA51,0)</f>
        <v>0</v>
      </c>
      <c r="AI51" s="1">
        <f t="shared" si="46"/>
        <v>0</v>
      </c>
      <c r="BB51" s="59" t="str">
        <f>IFERROR($BC$3&amp;VLOOKUP(B53,'Pay Table'!$M$3:$N$18,2,FALSE)&amp;$BB$3&amp;C53&amp;$BD$3,"")</f>
        <v>[7,100]</v>
      </c>
      <c r="BC51" s="49" t="str">
        <f>IFERROR($BC$3&amp;VLOOKUP(D53,'Pay Table'!$M$3:$N$18,2,FALSE)&amp;$BB$3&amp;E53&amp;$BD$3,"")</f>
        <v>[4,100]</v>
      </c>
      <c r="BD51" s="49" t="str">
        <f>IFERROR($BC$3&amp;VLOOKUP(F53,'Pay Table'!$M$3:$N$18,2,FALSE)&amp;$BB$3&amp;G53&amp;$BD$3,"")</f>
        <v>[6,180]</v>
      </c>
      <c r="BE51" s="49" t="str">
        <f>IFERROR($BC$3&amp;VLOOKUP(H53,'Pay Table'!$M$3:$N$18,2,FALSE)&amp;$BB$3&amp;I53&amp;$BD$3,"")</f>
        <v>[6,100]</v>
      </c>
      <c r="BF51" s="60" t="str">
        <f>IFERROR($BC$3&amp;VLOOKUP(J53,'Pay Table'!$M$3:$N$18,2,FALSE)&amp;$BB$3&amp;K53&amp;$BD$3,"")</f>
        <v>[0,100]</v>
      </c>
    </row>
    <row r="52" spans="1:58" ht="17.100000000000001" customHeight="1" x14ac:dyDescent="0.15">
      <c r="A52" s="14">
        <v>47</v>
      </c>
      <c r="B52" s="10" t="s">
        <v>152</v>
      </c>
      <c r="C52" s="10">
        <v>100</v>
      </c>
      <c r="D52" s="10" t="s">
        <v>47</v>
      </c>
      <c r="E52" s="10">
        <v>100</v>
      </c>
      <c r="F52" s="10" t="s">
        <v>172</v>
      </c>
      <c r="G52" s="10">
        <v>100</v>
      </c>
      <c r="H52" s="10" t="s">
        <v>172</v>
      </c>
      <c r="I52" s="10">
        <v>100</v>
      </c>
      <c r="J52" s="10" t="s">
        <v>153</v>
      </c>
      <c r="K52" s="10">
        <v>100</v>
      </c>
      <c r="N52" s="4" t="str">
        <f t="shared" si="36"/>
        <v>M5</v>
      </c>
      <c r="O52" s="1">
        <f t="shared" si="37"/>
        <v>0</v>
      </c>
      <c r="P52" s="1">
        <f t="shared" si="38"/>
        <v>0</v>
      </c>
      <c r="Q52" s="1">
        <f t="shared" si="39"/>
        <v>0</v>
      </c>
      <c r="R52" s="5">
        <f t="shared" si="40"/>
        <v>0</v>
      </c>
      <c r="T52" s="1">
        <f t="shared" si="41"/>
        <v>0</v>
      </c>
      <c r="U52" s="1">
        <f t="shared" si="42"/>
        <v>0</v>
      </c>
      <c r="V52" s="5">
        <f t="shared" si="43"/>
        <v>0</v>
      </c>
      <c r="W52" s="2"/>
      <c r="X52" s="1">
        <f t="shared" si="47"/>
        <v>0</v>
      </c>
      <c r="Y52" s="5">
        <f t="shared" si="44"/>
        <v>0</v>
      </c>
      <c r="Z52" s="2"/>
      <c r="AA52" s="5">
        <f t="shared" si="45"/>
        <v>0</v>
      </c>
      <c r="AB52" s="4"/>
      <c r="AD52" s="2" t="str">
        <f t="shared" si="35"/>
        <v>M5</v>
      </c>
      <c r="AE52" s="1">
        <f t="shared" si="48"/>
        <v>0</v>
      </c>
      <c r="AF52" s="1">
        <f t="array" ref="AF52">P52+IF('Pay Table'!D11&gt;'Pay Table'!$C$6,T52,0)</f>
        <v>0</v>
      </c>
      <c r="AG52" s="1">
        <f>Q52+IF('Pay Table'!E11&gt;'Pay Table'!$C$6,U52,0)+IF('Pay Table'!E11&gt;'Pay Table'!$D$6,X52,0)</f>
        <v>0</v>
      </c>
      <c r="AH52" s="5">
        <f t="array" ref="AH52">R52+IF('Pay Table'!F11&gt;'Pay Table'!$C$6,V52,0)+IF('Pay Table'!F11&gt;'Pay Table'!$D$6,Y52,0)+IF('Pay Table'!F11&gt;'Pay Table'!$E$6,AA52,0)</f>
        <v>0</v>
      </c>
      <c r="AI52" s="1">
        <f t="shared" si="46"/>
        <v>0</v>
      </c>
      <c r="BB52" s="59" t="str">
        <f>IFERROR($BC$3&amp;VLOOKUP(B54,'Pay Table'!$M$3:$N$18,2,FALSE)&amp;$BB$3&amp;C54&amp;$BD$3,"")</f>
        <v>[3,100]</v>
      </c>
      <c r="BC52" s="49" t="str">
        <f>IFERROR($BC$3&amp;VLOOKUP(D54,'Pay Table'!$M$3:$N$18,2,FALSE)&amp;$BB$3&amp;E54&amp;$BD$3,"")</f>
        <v>[4,200]</v>
      </c>
      <c r="BD52" s="49" t="str">
        <f>IFERROR($BC$3&amp;VLOOKUP(F54,'Pay Table'!$M$3:$N$18,2,FALSE)&amp;$BB$3&amp;G54&amp;$BD$3,"")</f>
        <v>[90,195]</v>
      </c>
      <c r="BE52" s="49" t="str">
        <f>IFERROR($BC$3&amp;VLOOKUP(H54,'Pay Table'!$M$3:$N$18,2,FALSE)&amp;$BB$3&amp;I54&amp;$BD$3,"")</f>
        <v>[1,100]</v>
      </c>
      <c r="BF52" s="60" t="str">
        <f>IFERROR($BC$3&amp;VLOOKUP(J54,'Pay Table'!$M$3:$N$18,2,FALSE)&amp;$BB$3&amp;K54&amp;$BD$3,"")</f>
        <v>[92,100]</v>
      </c>
    </row>
    <row r="53" spans="1:58" ht="17.100000000000001" customHeight="1" x14ac:dyDescent="0.15">
      <c r="A53" s="14">
        <v>48</v>
      </c>
      <c r="B53" s="10" t="s">
        <v>119</v>
      </c>
      <c r="C53" s="10">
        <v>100</v>
      </c>
      <c r="D53" s="10" t="s">
        <v>128</v>
      </c>
      <c r="E53" s="10">
        <v>100</v>
      </c>
      <c r="F53" s="10" t="s">
        <v>121</v>
      </c>
      <c r="G53" s="10">
        <v>180</v>
      </c>
      <c r="H53" s="10" t="s">
        <v>121</v>
      </c>
      <c r="I53" s="10">
        <v>100</v>
      </c>
      <c r="J53" s="10" t="s">
        <v>153</v>
      </c>
      <c r="K53" s="10">
        <v>100</v>
      </c>
      <c r="N53" s="4" t="str">
        <f t="shared" si="36"/>
        <v>A</v>
      </c>
      <c r="O53" s="1">
        <f t="shared" si="37"/>
        <v>0</v>
      </c>
      <c r="P53" s="1">
        <f t="shared" si="38"/>
        <v>0</v>
      </c>
      <c r="Q53" s="1">
        <f t="shared" si="39"/>
        <v>0</v>
      </c>
      <c r="R53" s="5">
        <f t="shared" si="40"/>
        <v>0</v>
      </c>
      <c r="T53" s="1">
        <f t="shared" si="41"/>
        <v>0</v>
      </c>
      <c r="U53" s="1">
        <f t="shared" si="42"/>
        <v>0</v>
      </c>
      <c r="V53" s="5">
        <f t="shared" si="43"/>
        <v>0</v>
      </c>
      <c r="W53" s="2"/>
      <c r="X53" s="1">
        <f t="shared" si="47"/>
        <v>0</v>
      </c>
      <c r="Y53" s="5">
        <f t="shared" si="44"/>
        <v>0</v>
      </c>
      <c r="Z53" s="2"/>
      <c r="AA53" s="5">
        <f t="shared" si="45"/>
        <v>0</v>
      </c>
      <c r="AB53" s="4"/>
      <c r="AD53" s="2" t="str">
        <f t="shared" si="35"/>
        <v>A</v>
      </c>
      <c r="AE53" s="1">
        <f t="shared" si="48"/>
        <v>0</v>
      </c>
      <c r="AF53" s="1">
        <f t="array" ref="AF53">P53+IF('Pay Table'!D12&gt;'Pay Table'!$C$6,T53,0)</f>
        <v>0</v>
      </c>
      <c r="AG53" s="1">
        <f>Q53+IF('Pay Table'!E12&gt;'Pay Table'!$C$6,U53,0)+IF('Pay Table'!E12&gt;'Pay Table'!$D$6,X53,0)</f>
        <v>0</v>
      </c>
      <c r="AH53" s="5">
        <f t="array" ref="AH53">R53+IF('Pay Table'!F12&gt;'Pay Table'!$C$6,V53,0)+IF('Pay Table'!F12&gt;'Pay Table'!$D$6,Y53,0)+IF('Pay Table'!F12&gt;'Pay Table'!$E$6,AA53,0)</f>
        <v>0</v>
      </c>
      <c r="AI53" s="1">
        <f t="shared" si="46"/>
        <v>0</v>
      </c>
      <c r="BB53" s="59" t="str">
        <f>IFERROR($BC$3&amp;VLOOKUP(B55,'Pay Table'!$M$3:$N$18,2,FALSE)&amp;$BB$3&amp;C55&amp;$BD$3,"")</f>
        <v>[6,100]</v>
      </c>
      <c r="BC53" s="49" t="str">
        <f>IFERROR($BC$3&amp;VLOOKUP(D55,'Pay Table'!$M$3:$N$18,2,FALSE)&amp;$BB$3&amp;E55&amp;$BD$3,"")</f>
        <v>[92,100]</v>
      </c>
      <c r="BD53" s="49" t="str">
        <f>IFERROR($BC$3&amp;VLOOKUP(F55,'Pay Table'!$M$3:$N$18,2,FALSE)&amp;$BB$3&amp;G55&amp;$BD$3,"")</f>
        <v>[8,100]</v>
      </c>
      <c r="BE53" s="49" t="str">
        <f>IFERROR($BC$3&amp;VLOOKUP(H55,'Pay Table'!$M$3:$N$18,2,FALSE)&amp;$BB$3&amp;I55&amp;$BD$3,"")</f>
        <v>[1,100]</v>
      </c>
      <c r="BF53" s="60" t="str">
        <f>IFERROR($BC$3&amp;VLOOKUP(J55,'Pay Table'!$M$3:$N$18,2,FALSE)&amp;$BB$3&amp;K55&amp;$BD$3,"")</f>
        <v>[4,100]</v>
      </c>
    </row>
    <row r="54" spans="1:58" ht="17.100000000000001" customHeight="1" x14ac:dyDescent="0.15">
      <c r="A54" s="14">
        <v>49</v>
      </c>
      <c r="B54" s="10" t="s">
        <v>172</v>
      </c>
      <c r="C54" s="10">
        <v>100</v>
      </c>
      <c r="D54" s="10" t="s">
        <v>148</v>
      </c>
      <c r="E54" s="10">
        <v>200</v>
      </c>
      <c r="F54" s="10" t="s">
        <v>14</v>
      </c>
      <c r="G54" s="10">
        <v>195</v>
      </c>
      <c r="H54" s="10" t="s">
        <v>125</v>
      </c>
      <c r="I54" s="10">
        <v>100</v>
      </c>
      <c r="J54" s="10" t="s">
        <v>122</v>
      </c>
      <c r="K54" s="10">
        <v>100</v>
      </c>
      <c r="N54" s="4" t="str">
        <f t="shared" si="36"/>
        <v>K</v>
      </c>
      <c r="O54" s="1">
        <f t="shared" si="37"/>
        <v>0</v>
      </c>
      <c r="P54" s="1">
        <f t="shared" si="38"/>
        <v>0</v>
      </c>
      <c r="Q54" s="1">
        <f t="shared" si="39"/>
        <v>0</v>
      </c>
      <c r="R54" s="5">
        <f t="shared" si="40"/>
        <v>0</v>
      </c>
      <c r="T54" s="1">
        <f t="shared" si="41"/>
        <v>0</v>
      </c>
      <c r="U54" s="1">
        <f t="shared" si="42"/>
        <v>0</v>
      </c>
      <c r="V54" s="5">
        <f t="shared" si="43"/>
        <v>0</v>
      </c>
      <c r="W54" s="2"/>
      <c r="X54" s="1">
        <f t="shared" si="47"/>
        <v>0</v>
      </c>
      <c r="Y54" s="5">
        <f t="shared" si="44"/>
        <v>0</v>
      </c>
      <c r="Z54" s="2"/>
      <c r="AA54" s="5">
        <f t="shared" si="45"/>
        <v>0</v>
      </c>
      <c r="AB54" s="4"/>
      <c r="AD54" s="2" t="str">
        <f t="shared" si="35"/>
        <v>K</v>
      </c>
      <c r="AE54" s="1">
        <f t="shared" si="48"/>
        <v>0</v>
      </c>
      <c r="AF54" s="1">
        <f t="array" ref="AF54">P54+IF('Pay Table'!D13&gt;'Pay Table'!$C$6,T54,0)</f>
        <v>0</v>
      </c>
      <c r="AG54" s="1">
        <f>Q54+IF('Pay Table'!E13&gt;'Pay Table'!$C$6,U54,0)+IF('Pay Table'!E13&gt;'Pay Table'!$D$6,X54,0)</f>
        <v>0</v>
      </c>
      <c r="AH54" s="5">
        <f t="array" ref="AH54">R54+IF('Pay Table'!F13&gt;'Pay Table'!$C$6,V54,0)+IF('Pay Table'!F13&gt;'Pay Table'!$D$6,Y54,0)+IF('Pay Table'!F13&gt;'Pay Table'!$E$6,AA54,0)</f>
        <v>0</v>
      </c>
      <c r="AI54" s="1">
        <f t="shared" si="46"/>
        <v>0</v>
      </c>
      <c r="BB54" s="59" t="str">
        <f>IFERROR($BC$3&amp;VLOOKUP(B56,'Pay Table'!$M$3:$N$18,2,FALSE)&amp;$BB$3&amp;C56&amp;$BD$3,"")</f>
        <v>[7,100]</v>
      </c>
      <c r="BC54" s="49" t="str">
        <f>IFERROR($BC$3&amp;VLOOKUP(D56,'Pay Table'!$M$3:$N$18,2,FALSE)&amp;$BB$3&amp;E56&amp;$BD$3,"")</f>
        <v>[6,100]</v>
      </c>
      <c r="BD54" s="49" t="str">
        <f>IFERROR($BC$3&amp;VLOOKUP(F56,'Pay Table'!$M$3:$N$18,2,FALSE)&amp;$BB$3&amp;G56&amp;$BD$3,"")</f>
        <v>[0,100]</v>
      </c>
      <c r="BE54" s="49" t="str">
        <f>IFERROR($BC$3&amp;VLOOKUP(H56,'Pay Table'!$M$3:$N$18,2,FALSE)&amp;$BB$3&amp;I56&amp;$BD$3,"")</f>
        <v>[8,100]</v>
      </c>
      <c r="BF54" s="60" t="str">
        <f>IFERROR($BC$3&amp;VLOOKUP(J56,'Pay Table'!$M$3:$N$18,2,FALSE)&amp;$BB$3&amp;K56&amp;$BD$3,"")</f>
        <v>[1,100]</v>
      </c>
    </row>
    <row r="55" spans="1:58" ht="17.100000000000001" customHeight="1" x14ac:dyDescent="0.15">
      <c r="A55" s="14">
        <v>50</v>
      </c>
      <c r="B55" s="10" t="s">
        <v>121</v>
      </c>
      <c r="C55" s="10">
        <v>100</v>
      </c>
      <c r="D55" s="10" t="s">
        <v>122</v>
      </c>
      <c r="E55" s="10">
        <v>100</v>
      </c>
      <c r="F55" s="10" t="s">
        <v>120</v>
      </c>
      <c r="G55" s="10">
        <v>100</v>
      </c>
      <c r="H55" s="10" t="s">
        <v>152</v>
      </c>
      <c r="I55" s="10">
        <v>100</v>
      </c>
      <c r="J55" s="10" t="s">
        <v>128</v>
      </c>
      <c r="K55" s="10">
        <v>100</v>
      </c>
      <c r="N55" s="4" t="str">
        <f t="shared" si="36"/>
        <v>Q</v>
      </c>
      <c r="O55" s="1">
        <f t="shared" si="37"/>
        <v>0</v>
      </c>
      <c r="P55" s="1">
        <f t="shared" si="38"/>
        <v>0</v>
      </c>
      <c r="Q55" s="1">
        <f t="shared" si="39"/>
        <v>0</v>
      </c>
      <c r="R55" s="5">
        <f t="shared" si="40"/>
        <v>0</v>
      </c>
      <c r="T55" s="1">
        <f t="shared" si="41"/>
        <v>0</v>
      </c>
      <c r="U55" s="1">
        <f t="shared" si="42"/>
        <v>0</v>
      </c>
      <c r="V55" s="5">
        <f t="shared" si="43"/>
        <v>0</v>
      </c>
      <c r="W55" s="2"/>
      <c r="X55" s="1">
        <f t="shared" si="47"/>
        <v>0</v>
      </c>
      <c r="Y55" s="5">
        <f t="shared" si="44"/>
        <v>0</v>
      </c>
      <c r="Z55" s="2"/>
      <c r="AA55" s="5">
        <f t="shared" si="45"/>
        <v>0</v>
      </c>
      <c r="AB55" s="4"/>
      <c r="AD55" s="2" t="str">
        <f t="shared" si="35"/>
        <v>Q</v>
      </c>
      <c r="AE55" s="1">
        <f t="shared" si="48"/>
        <v>0</v>
      </c>
      <c r="AF55" s="1">
        <f t="array" ref="AF55">P55+IF('Pay Table'!D14&gt;'Pay Table'!$C$6,T55,0)</f>
        <v>0</v>
      </c>
      <c r="AG55" s="1">
        <f>Q55+IF('Pay Table'!E14&gt;'Pay Table'!$C$6,U55,0)+IF('Pay Table'!E14&gt;'Pay Table'!$D$6,X55,0)</f>
        <v>0</v>
      </c>
      <c r="AH55" s="5">
        <f t="array" ref="AH55">R55+IF('Pay Table'!F14&gt;'Pay Table'!$C$6,V55,0)+IF('Pay Table'!F14&gt;'Pay Table'!$D$6,Y55,0)+IF('Pay Table'!F14&gt;'Pay Table'!$E$6,AA55,0)</f>
        <v>0</v>
      </c>
      <c r="AI55" s="1">
        <f t="shared" si="46"/>
        <v>0</v>
      </c>
      <c r="BB55" s="59" t="str">
        <f>IFERROR($BC$3&amp;VLOOKUP(B57,'Pay Table'!$M$3:$N$18,2,FALSE)&amp;$BB$3&amp;C57&amp;$BD$3,"")</f>
        <v>[2,100]</v>
      </c>
      <c r="BC55" s="49" t="str">
        <f>IFERROR($BC$3&amp;VLOOKUP(D57,'Pay Table'!$M$3:$N$18,2,FALSE)&amp;$BB$3&amp;E57&amp;$BD$3,"")</f>
        <v>[4,100]</v>
      </c>
      <c r="BD55" s="49" t="str">
        <f>IFERROR($BC$3&amp;VLOOKUP(F57,'Pay Table'!$M$3:$N$18,2,FALSE)&amp;$BB$3&amp;G57&amp;$BD$3,"")</f>
        <v>[92,100]</v>
      </c>
      <c r="BE55" s="49" t="str">
        <f>IFERROR($BC$3&amp;VLOOKUP(H57,'Pay Table'!$M$3:$N$18,2,FALSE)&amp;$BB$3&amp;I57&amp;$BD$3,"")</f>
        <v>[94,15]</v>
      </c>
      <c r="BF55" s="60" t="str">
        <f>IFERROR($BC$3&amp;VLOOKUP(J57,'Pay Table'!$M$3:$N$18,2,FALSE)&amp;$BB$3&amp;K57&amp;$BD$3,"")</f>
        <v>[3,100]</v>
      </c>
    </row>
    <row r="56" spans="1:58" ht="17.100000000000001" customHeight="1" x14ac:dyDescent="0.15">
      <c r="A56" s="14">
        <v>51</v>
      </c>
      <c r="B56" s="10" t="s">
        <v>119</v>
      </c>
      <c r="C56" s="10">
        <v>100</v>
      </c>
      <c r="D56" s="10" t="s">
        <v>121</v>
      </c>
      <c r="E56" s="10">
        <v>100</v>
      </c>
      <c r="F56" s="10" t="s">
        <v>153</v>
      </c>
      <c r="G56" s="10">
        <v>100</v>
      </c>
      <c r="H56" s="10" t="s">
        <v>120</v>
      </c>
      <c r="I56" s="10">
        <v>100</v>
      </c>
      <c r="J56" s="10" t="s">
        <v>125</v>
      </c>
      <c r="K56" s="10">
        <v>100</v>
      </c>
      <c r="N56" s="4" t="str">
        <f t="shared" si="36"/>
        <v>J</v>
      </c>
      <c r="O56" s="1">
        <f t="shared" si="37"/>
        <v>0</v>
      </c>
      <c r="P56" s="1">
        <f t="shared" si="38"/>
        <v>0</v>
      </c>
      <c r="Q56" s="1">
        <f t="shared" si="39"/>
        <v>0</v>
      </c>
      <c r="R56" s="5">
        <f t="shared" si="40"/>
        <v>0</v>
      </c>
      <c r="T56" s="1">
        <f t="shared" si="41"/>
        <v>0</v>
      </c>
      <c r="U56" s="1">
        <f t="shared" si="42"/>
        <v>0</v>
      </c>
      <c r="V56" s="5">
        <f t="shared" si="43"/>
        <v>0</v>
      </c>
      <c r="W56" s="2"/>
      <c r="X56" s="1">
        <f t="shared" si="47"/>
        <v>0</v>
      </c>
      <c r="Y56" s="5">
        <f t="shared" si="44"/>
        <v>0</v>
      </c>
      <c r="Z56" s="2"/>
      <c r="AA56" s="5">
        <f t="shared" si="45"/>
        <v>0</v>
      </c>
      <c r="AB56" s="4"/>
      <c r="AD56" s="2" t="str">
        <f t="shared" si="35"/>
        <v>J</v>
      </c>
      <c r="AE56" s="1">
        <f t="shared" si="48"/>
        <v>0</v>
      </c>
      <c r="AF56" s="1">
        <f t="array" ref="AF56">P56+IF('Pay Table'!D15&gt;'Pay Table'!$C$6,T56,0)</f>
        <v>0</v>
      </c>
      <c r="AG56" s="1">
        <f>Q56+IF('Pay Table'!E15&gt;'Pay Table'!$C$6,U56,0)+IF('Pay Table'!E15&gt;'Pay Table'!$D$6,X56,0)</f>
        <v>0</v>
      </c>
      <c r="AH56" s="5">
        <f t="array" ref="AH56">R56+IF('Pay Table'!F15&gt;'Pay Table'!$C$6,V56,0)+IF('Pay Table'!F15&gt;'Pay Table'!$D$6,Y56,0)+IF('Pay Table'!F15&gt;'Pay Table'!$E$6,AA56,0)</f>
        <v>0</v>
      </c>
      <c r="AI56" s="1">
        <f t="shared" si="46"/>
        <v>0</v>
      </c>
      <c r="BB56" s="59" t="str">
        <f>IFERROR($BC$3&amp;VLOOKUP(B58,'Pay Table'!$M$3:$N$18,2,FALSE)&amp;$BB$3&amp;C58&amp;$BD$3,"")</f>
        <v>[4,100]</v>
      </c>
      <c r="BC56" s="49" t="str">
        <f>IFERROR($BC$3&amp;VLOOKUP(D58,'Pay Table'!$M$3:$N$18,2,FALSE)&amp;$BB$3&amp;E58&amp;$BD$3,"")</f>
        <v>[0,100]</v>
      </c>
      <c r="BD56" s="49" t="str">
        <f>IFERROR($BC$3&amp;VLOOKUP(F58,'Pay Table'!$M$3:$N$18,2,FALSE)&amp;$BB$3&amp;G58&amp;$BD$3,"")</f>
        <v>[5,100]</v>
      </c>
      <c r="BE56" s="49" t="str">
        <f>IFERROR($BC$3&amp;VLOOKUP(H58,'Pay Table'!$M$3:$N$18,2,FALSE)&amp;$BB$3&amp;I58&amp;$BD$3,"")</f>
        <v>[94,25]</v>
      </c>
      <c r="BF56" s="60" t="str">
        <f>IFERROR($BC$3&amp;VLOOKUP(J58,'Pay Table'!$M$3:$N$18,2,FALSE)&amp;$BB$3&amp;K58&amp;$BD$3,"")</f>
        <v>[4,100]</v>
      </c>
    </row>
    <row r="57" spans="1:58" ht="17.100000000000001" customHeight="1" x14ac:dyDescent="0.15">
      <c r="A57" s="14">
        <v>52</v>
      </c>
      <c r="B57" s="10" t="s">
        <v>151</v>
      </c>
      <c r="C57" s="10">
        <v>100</v>
      </c>
      <c r="D57" s="10" t="s">
        <v>148</v>
      </c>
      <c r="E57" s="10">
        <v>100</v>
      </c>
      <c r="F57" s="10" t="s">
        <v>122</v>
      </c>
      <c r="G57" s="10">
        <v>100</v>
      </c>
      <c r="H57" s="10" t="s">
        <v>47</v>
      </c>
      <c r="I57" s="10">
        <v>15</v>
      </c>
      <c r="J57" s="10" t="s">
        <v>127</v>
      </c>
      <c r="K57" s="10">
        <v>100</v>
      </c>
      <c r="N57" s="4" t="str">
        <f t="shared" si="36"/>
        <v>SCATTER</v>
      </c>
      <c r="O57" s="1">
        <f t="shared" si="37"/>
        <v>0</v>
      </c>
      <c r="P57" s="1">
        <f t="shared" si="38"/>
        <v>0</v>
      </c>
      <c r="Q57" s="1">
        <f t="shared" si="39"/>
        <v>0</v>
      </c>
      <c r="R57" s="5">
        <f t="shared" si="40"/>
        <v>0</v>
      </c>
      <c r="T57" s="1">
        <f t="shared" si="41"/>
        <v>0</v>
      </c>
      <c r="U57" s="1">
        <f t="shared" si="42"/>
        <v>0</v>
      </c>
      <c r="V57" s="5">
        <f t="shared" si="43"/>
        <v>0</v>
      </c>
      <c r="W57" s="2"/>
      <c r="X57" s="1">
        <f t="shared" si="47"/>
        <v>0</v>
      </c>
      <c r="Y57" s="5">
        <f t="shared" si="44"/>
        <v>0</v>
      </c>
      <c r="Z57" s="2"/>
      <c r="AA57" s="5">
        <f t="shared" si="45"/>
        <v>0</v>
      </c>
      <c r="AB57" s="4"/>
      <c r="AD57" s="2" t="str">
        <f t="shared" si="35"/>
        <v>SCATTER</v>
      </c>
      <c r="AE57" s="1">
        <f t="shared" si="48"/>
        <v>0</v>
      </c>
      <c r="AF57" s="1">
        <f t="array" ref="AF57">P57+IF('Pay Table'!D16&gt;'Pay Table'!$C$6,T57,0)</f>
        <v>0</v>
      </c>
      <c r="AG57" s="1">
        <f>Q57+IF('Pay Table'!E16&gt;'Pay Table'!$C$6,U57,0)+IF('Pay Table'!E16&gt;'Pay Table'!$D$6,X57,0)</f>
        <v>0</v>
      </c>
      <c r="AH57" s="5">
        <f t="array" ref="AH57">R57+IF('Pay Table'!F16&gt;'Pay Table'!$C$6,V57,0)+IF('Pay Table'!F16&gt;'Pay Table'!$D$6,Y57,0)+IF('Pay Table'!F16&gt;'Pay Table'!$E$6,AA57,0)</f>
        <v>0</v>
      </c>
      <c r="AI57" s="1">
        <f t="shared" si="46"/>
        <v>0</v>
      </c>
      <c r="BB57" s="59" t="str">
        <f>IFERROR($BC$3&amp;VLOOKUP(B59,'Pay Table'!$M$3:$N$18,2,FALSE)&amp;$BB$3&amp;C59&amp;$BD$3,"")</f>
        <v>[4,100]</v>
      </c>
      <c r="BC57" s="49" t="str">
        <f>IFERROR($BC$3&amp;VLOOKUP(D59,'Pay Table'!$M$3:$N$18,2,FALSE)&amp;$BB$3&amp;E59&amp;$BD$3,"")</f>
        <v>[0,100]</v>
      </c>
      <c r="BD57" s="49" t="str">
        <f>IFERROR($BC$3&amp;VLOOKUP(F59,'Pay Table'!$M$3:$N$18,2,FALSE)&amp;$BB$3&amp;G59&amp;$BD$3,"")</f>
        <v>[94,15]</v>
      </c>
      <c r="BE57" s="49" t="str">
        <f>IFERROR($BC$3&amp;VLOOKUP(H59,'Pay Table'!$M$3:$N$18,2,FALSE)&amp;$BB$3&amp;I59&amp;$BD$3,"")</f>
        <v>[94,50]</v>
      </c>
      <c r="BF57" s="60" t="str">
        <f>IFERROR($BC$3&amp;VLOOKUP(J59,'Pay Table'!$M$3:$N$18,2,FALSE)&amp;$BB$3&amp;K59&amp;$BD$3,"")</f>
        <v>[4,100]</v>
      </c>
    </row>
    <row r="58" spans="1:58" ht="17.100000000000001" customHeight="1" x14ac:dyDescent="0.15">
      <c r="A58" s="14">
        <v>53</v>
      </c>
      <c r="B58" s="10" t="s">
        <v>148</v>
      </c>
      <c r="C58" s="10">
        <v>100</v>
      </c>
      <c r="D58" s="10" t="s">
        <v>153</v>
      </c>
      <c r="E58" s="10">
        <v>100</v>
      </c>
      <c r="F58" s="10" t="s">
        <v>123</v>
      </c>
      <c r="G58" s="10">
        <v>100</v>
      </c>
      <c r="H58" s="10" t="s">
        <v>47</v>
      </c>
      <c r="I58" s="10">
        <v>25</v>
      </c>
      <c r="J58" s="10" t="s">
        <v>148</v>
      </c>
      <c r="K58" s="10">
        <v>100</v>
      </c>
      <c r="N58" s="4">
        <f t="shared" si="36"/>
        <v>0</v>
      </c>
      <c r="O58" s="1">
        <f t="shared" si="37"/>
        <v>0</v>
      </c>
      <c r="P58" s="1">
        <f t="shared" si="38"/>
        <v>0</v>
      </c>
      <c r="Q58" s="1">
        <f t="shared" si="39"/>
        <v>0</v>
      </c>
      <c r="R58" s="5">
        <f t="shared" si="40"/>
        <v>0</v>
      </c>
      <c r="T58" s="1">
        <f t="shared" si="41"/>
        <v>0</v>
      </c>
      <c r="U58" s="1">
        <f t="shared" si="42"/>
        <v>0</v>
      </c>
      <c r="V58" s="5">
        <f t="shared" si="43"/>
        <v>0</v>
      </c>
      <c r="W58" s="2"/>
      <c r="X58" s="1">
        <f t="shared" si="47"/>
        <v>0</v>
      </c>
      <c r="Y58" s="5">
        <f t="shared" si="44"/>
        <v>0</v>
      </c>
      <c r="Z58" s="2"/>
      <c r="AA58" s="5">
        <f t="shared" si="45"/>
        <v>0</v>
      </c>
      <c r="AB58" s="4"/>
      <c r="AD58" s="2">
        <f t="shared" si="35"/>
        <v>0</v>
      </c>
      <c r="AE58" s="1">
        <f t="shared" si="48"/>
        <v>0</v>
      </c>
      <c r="AF58" s="1">
        <f t="array" ref="AF58">P58+IF('Pay Table'!D19&gt;'Pay Table'!$C$6,T58,0)</f>
        <v>0</v>
      </c>
      <c r="AG58" s="1">
        <f>Q58+IF('Pay Table'!E19&gt;'Pay Table'!$C$6,U58,0)+IF('Pay Table'!E19&gt;'Pay Table'!$D$6,X58,0)</f>
        <v>0</v>
      </c>
      <c r="AH58" s="5">
        <f t="array" ref="AH58">R58+IF('Pay Table'!F19&gt;'Pay Table'!$C$6,V58,0)+IF('Pay Table'!F19&gt;'Pay Table'!$D$6,Y58,0)+IF('Pay Table'!F19&gt;'Pay Table'!$E$6,AA58,0)</f>
        <v>0</v>
      </c>
      <c r="AI58" s="1">
        <f t="shared" si="46"/>
        <v>0</v>
      </c>
      <c r="BB58" s="59" t="str">
        <f>IFERROR($BC$3&amp;VLOOKUP(B60,'Pay Table'!$M$3:$N$18,2,FALSE)&amp;$BB$3&amp;C60&amp;$BD$3,"")</f>
        <v>[0,100]</v>
      </c>
      <c r="BC58" s="49" t="str">
        <f>IFERROR($BC$3&amp;VLOOKUP(D60,'Pay Table'!$M$3:$N$18,2,FALSE)&amp;$BB$3&amp;E60&amp;$BD$3,"")</f>
        <v>[0,100]</v>
      </c>
      <c r="BD58" s="49" t="str">
        <f>IFERROR($BC$3&amp;VLOOKUP(F60,'Pay Table'!$M$3:$N$18,2,FALSE)&amp;$BB$3&amp;G60&amp;$BD$3,"")</f>
        <v>[94,25]</v>
      </c>
      <c r="BE58" s="49" t="str">
        <f>IFERROR($BC$3&amp;VLOOKUP(H60,'Pay Table'!$M$3:$N$18,2,FALSE)&amp;$BB$3&amp;I60&amp;$BD$3,"")</f>
        <v>[5,100]</v>
      </c>
      <c r="BF58" s="60" t="str">
        <f>IFERROR($BC$3&amp;VLOOKUP(J60,'Pay Table'!$M$3:$N$18,2,FALSE)&amp;$BB$3&amp;K60&amp;$BD$3,"")</f>
        <v>[0,100]</v>
      </c>
    </row>
    <row r="59" spans="1:58" ht="17.100000000000001" customHeight="1" x14ac:dyDescent="0.15">
      <c r="A59" s="14">
        <v>54</v>
      </c>
      <c r="B59" s="10" t="s">
        <v>148</v>
      </c>
      <c r="C59" s="10">
        <v>100</v>
      </c>
      <c r="D59" s="10" t="s">
        <v>153</v>
      </c>
      <c r="E59" s="10">
        <v>100</v>
      </c>
      <c r="F59" s="10" t="s">
        <v>47</v>
      </c>
      <c r="G59" s="10">
        <v>15</v>
      </c>
      <c r="H59" s="10" t="s">
        <v>47</v>
      </c>
      <c r="I59" s="10">
        <v>50</v>
      </c>
      <c r="J59" s="10" t="s">
        <v>148</v>
      </c>
      <c r="K59" s="10">
        <v>100</v>
      </c>
      <c r="N59" s="4">
        <f t="shared" si="36"/>
        <v>0</v>
      </c>
      <c r="O59" s="1">
        <f t="shared" si="37"/>
        <v>0</v>
      </c>
      <c r="P59" s="1">
        <f t="shared" si="38"/>
        <v>0</v>
      </c>
      <c r="Q59" s="1">
        <f t="shared" si="39"/>
        <v>0</v>
      </c>
      <c r="R59" s="5">
        <f t="shared" si="40"/>
        <v>0</v>
      </c>
      <c r="T59" s="1">
        <f t="shared" si="41"/>
        <v>0</v>
      </c>
      <c r="U59" s="1">
        <f t="shared" si="42"/>
        <v>0</v>
      </c>
      <c r="V59" s="5">
        <f t="shared" si="43"/>
        <v>0</v>
      </c>
      <c r="W59" s="2"/>
      <c r="X59" s="1">
        <f t="shared" si="47"/>
        <v>0</v>
      </c>
      <c r="Y59" s="5">
        <f t="shared" si="44"/>
        <v>0</v>
      </c>
      <c r="Z59" s="2"/>
      <c r="AA59" s="5">
        <f t="shared" si="45"/>
        <v>0</v>
      </c>
      <c r="AB59" s="4"/>
      <c r="AD59" s="2">
        <f t="shared" si="35"/>
        <v>0</v>
      </c>
      <c r="AE59" s="1">
        <f t="shared" si="48"/>
        <v>0</v>
      </c>
      <c r="AF59" s="1">
        <f t="array" ref="AF59">P59+IF('Pay Table'!D20&gt;'Pay Table'!$C$6,T59,0)</f>
        <v>0</v>
      </c>
      <c r="AG59" s="1">
        <f>Q59+IF('Pay Table'!E20&gt;'Pay Table'!$C$6,U59,0)+IF('Pay Table'!E20&gt;'Pay Table'!$D$6,X59,0)</f>
        <v>0</v>
      </c>
      <c r="AH59" s="5">
        <f t="array" ref="AH59">R59+IF('Pay Table'!F20&gt;'Pay Table'!$C$6,V59,0)+IF('Pay Table'!F20&gt;'Pay Table'!$D$6,Y59,0)+IF('Pay Table'!F20&gt;'Pay Table'!$E$6,AA59,0)</f>
        <v>0</v>
      </c>
      <c r="AI59" s="1">
        <f>SUM(AI47:AI58)</f>
        <v>0</v>
      </c>
      <c r="BB59" s="59" t="str">
        <f>IFERROR($BC$3&amp;VLOOKUP(B61,'Pay Table'!$M$3:$N$18,2,FALSE)&amp;$BB$3&amp;C61&amp;$BD$3,"")</f>
        <v>[5,100]</v>
      </c>
      <c r="BC59" s="49" t="str">
        <f>IFERROR($BC$3&amp;VLOOKUP(D61,'Pay Table'!$M$3:$N$18,2,FALSE)&amp;$BB$3&amp;E61&amp;$BD$3,"")</f>
        <v>[5,100]</v>
      </c>
      <c r="BD59" s="49" t="str">
        <f>IFERROR($BC$3&amp;VLOOKUP(F61,'Pay Table'!$M$3:$N$18,2,FALSE)&amp;$BB$3&amp;G61&amp;$BD$3,"")</f>
        <v>[94,50]</v>
      </c>
      <c r="BE59" s="49" t="str">
        <f>IFERROR($BC$3&amp;VLOOKUP(H61,'Pay Table'!$M$3:$N$18,2,FALSE)&amp;$BB$3&amp;I61&amp;$BD$3,"")</f>
        <v>[3,100]</v>
      </c>
      <c r="BF59" s="60" t="str">
        <f>IFERROR($BC$3&amp;VLOOKUP(J61,'Pay Table'!$M$3:$N$18,2,FALSE)&amp;$BB$3&amp;K61&amp;$BD$3,"")</f>
        <v>[0,100]</v>
      </c>
    </row>
    <row r="60" spans="1:58" ht="17.100000000000001" customHeight="1" x14ac:dyDescent="0.15">
      <c r="A60" s="14">
        <v>55</v>
      </c>
      <c r="B60" s="10" t="s">
        <v>153</v>
      </c>
      <c r="C60" s="10">
        <v>100</v>
      </c>
      <c r="D60" s="10" t="s">
        <v>153</v>
      </c>
      <c r="E60" s="10">
        <v>100</v>
      </c>
      <c r="F60" s="10" t="s">
        <v>47</v>
      </c>
      <c r="G60" s="10">
        <v>25</v>
      </c>
      <c r="H60" s="10" t="s">
        <v>123</v>
      </c>
      <c r="I60" s="10">
        <v>100</v>
      </c>
      <c r="J60" s="10" t="s">
        <v>153</v>
      </c>
      <c r="K60" s="10">
        <v>100</v>
      </c>
      <c r="N60" s="4">
        <f t="shared" si="36"/>
        <v>0</v>
      </c>
      <c r="O60" s="1">
        <f t="shared" si="37"/>
        <v>0</v>
      </c>
      <c r="P60" s="1">
        <f t="shared" si="38"/>
        <v>0</v>
      </c>
      <c r="Q60" s="1">
        <f t="shared" si="39"/>
        <v>0</v>
      </c>
      <c r="R60" s="5">
        <f t="shared" si="40"/>
        <v>0</v>
      </c>
      <c r="T60" s="1">
        <f t="shared" si="41"/>
        <v>0</v>
      </c>
      <c r="U60" s="1">
        <f t="shared" si="42"/>
        <v>0</v>
      </c>
      <c r="V60" s="5">
        <f t="shared" si="43"/>
        <v>0</v>
      </c>
      <c r="W60" s="2"/>
      <c r="X60" s="1">
        <f t="shared" si="47"/>
        <v>0</v>
      </c>
      <c r="Y60" s="5">
        <f t="shared" si="44"/>
        <v>0</v>
      </c>
      <c r="Z60" s="2"/>
      <c r="AA60" s="5">
        <f t="shared" si="45"/>
        <v>0</v>
      </c>
      <c r="AB60" s="4"/>
      <c r="AD60" s="2">
        <f t="shared" si="35"/>
        <v>0</v>
      </c>
      <c r="AE60" s="1">
        <f t="shared" si="48"/>
        <v>0</v>
      </c>
      <c r="AF60" s="1">
        <f t="array" ref="AF60">P60+IF('Pay Table'!D21&gt;'Pay Table'!$C$6,T60,0)</f>
        <v>0</v>
      </c>
      <c r="AG60" s="1">
        <f>Q60+IF('Pay Table'!E21&gt;'Pay Table'!$C$6,U60,0)+IF('Pay Table'!E21&gt;'Pay Table'!$D$6,X60,0)</f>
        <v>0</v>
      </c>
      <c r="AH60" s="5">
        <f t="array" ref="AH60">R60+IF('Pay Table'!F21&gt;'Pay Table'!$C$6,V60,0)+IF('Pay Table'!F21&gt;'Pay Table'!$D$6,Y60,0)+IF('Pay Table'!F21&gt;'Pay Table'!$E$6,AA60,0)</f>
        <v>0</v>
      </c>
      <c r="AI60" s="1">
        <f>SUM(AI48:AI59)</f>
        <v>0</v>
      </c>
      <c r="BB60" s="59" t="str">
        <f>IFERROR($BC$3&amp;VLOOKUP(B62,'Pay Table'!$M$3:$N$18,2,FALSE)&amp;$BB$3&amp;C62&amp;$BD$3,"")</f>
        <v>[2,100]</v>
      </c>
      <c r="BC60" s="49" t="str">
        <f>IFERROR($BC$3&amp;VLOOKUP(D62,'Pay Table'!$M$3:$N$18,2,FALSE)&amp;$BB$3&amp;E62&amp;$BD$3,"")</f>
        <v>[2,100]</v>
      </c>
      <c r="BD60" s="49" t="str">
        <f>IFERROR($BC$3&amp;VLOOKUP(F62,'Pay Table'!$M$3:$N$18,2,FALSE)&amp;$BB$3&amp;G62&amp;$BD$3,"")</f>
        <v>[6,100]</v>
      </c>
      <c r="BE60" s="49" t="str">
        <f>IFERROR($BC$3&amp;VLOOKUP(H62,'Pay Table'!$M$3:$N$18,2,FALSE)&amp;$BB$3&amp;I62&amp;$BD$3,"")</f>
        <v>[7,100]</v>
      </c>
      <c r="BF60" s="60" t="str">
        <f>IFERROR($BC$3&amp;VLOOKUP(J62,'Pay Table'!$M$3:$N$18,2,FALSE)&amp;$BB$3&amp;K62&amp;$BD$3,"")</f>
        <v>[0,100]</v>
      </c>
    </row>
    <row r="61" spans="1:58" ht="17.100000000000001" customHeight="1" x14ac:dyDescent="0.15">
      <c r="A61" s="14">
        <v>56</v>
      </c>
      <c r="B61" s="10" t="s">
        <v>123</v>
      </c>
      <c r="C61" s="10">
        <v>100</v>
      </c>
      <c r="D61" s="10" t="s">
        <v>123</v>
      </c>
      <c r="E61" s="10">
        <v>100</v>
      </c>
      <c r="F61" s="10" t="s">
        <v>47</v>
      </c>
      <c r="G61" s="10">
        <v>50</v>
      </c>
      <c r="H61" s="10" t="s">
        <v>172</v>
      </c>
      <c r="I61" s="10">
        <v>100</v>
      </c>
      <c r="J61" s="10" t="s">
        <v>124</v>
      </c>
      <c r="K61" s="10">
        <v>100</v>
      </c>
      <c r="N61" s="19">
        <f>N42</f>
        <v>0</v>
      </c>
      <c r="O61" s="15">
        <f t="shared" si="37"/>
        <v>0</v>
      </c>
      <c r="P61" s="15">
        <f t="shared" si="38"/>
        <v>0</v>
      </c>
      <c r="Q61" s="15">
        <f t="shared" si="39"/>
        <v>0</v>
      </c>
      <c r="R61" s="16">
        <f t="shared" si="40"/>
        <v>0</v>
      </c>
      <c r="S61" s="15"/>
      <c r="T61" s="15">
        <f t="shared" si="41"/>
        <v>0</v>
      </c>
      <c r="U61" s="15">
        <f t="shared" si="42"/>
        <v>0</v>
      </c>
      <c r="V61" s="16">
        <f t="shared" si="43"/>
        <v>0</v>
      </c>
      <c r="W61" s="8"/>
      <c r="X61" s="15">
        <f t="shared" si="47"/>
        <v>0</v>
      </c>
      <c r="Y61" s="16">
        <f t="shared" si="44"/>
        <v>0</v>
      </c>
      <c r="Z61" s="8"/>
      <c r="AA61" s="16">
        <f t="shared" si="45"/>
        <v>0</v>
      </c>
      <c r="AB61" s="19"/>
      <c r="AD61" s="8">
        <f t="shared" si="35"/>
        <v>0</v>
      </c>
      <c r="AE61" s="15">
        <f t="shared" si="48"/>
        <v>0</v>
      </c>
      <c r="AF61" s="15">
        <f t="array" ref="AF61">P61+IF('Pay Table'!D22&gt;'Pay Table'!$C$6,T61,0)</f>
        <v>0</v>
      </c>
      <c r="AG61" s="15">
        <f>Q61+IF('Pay Table'!E22&gt;'Pay Table'!$C$6,U61,0)+IF('Pay Table'!E22&gt;'Pay Table'!$D$6,X61,0)</f>
        <v>0</v>
      </c>
      <c r="AH61" s="16">
        <f t="array" ref="AH61">R61+IF('Pay Table'!F22&gt;'Pay Table'!$C$6,V61,0)+IF('Pay Table'!F22&gt;'Pay Table'!$D$6,Y61,0)+IF('Pay Table'!F22&gt;'Pay Table'!$E$6,AA61,0)</f>
        <v>0</v>
      </c>
      <c r="AI61" s="1">
        <f>SUM(AI49:AI60)</f>
        <v>0</v>
      </c>
      <c r="BB61" s="59" t="str">
        <f>IFERROR($BC$3&amp;VLOOKUP(B63,'Pay Table'!$M$3:$N$18,2,FALSE)&amp;$BB$3&amp;C63&amp;$BD$3,"")</f>
        <v>[3,100]</v>
      </c>
      <c r="BC61" s="49" t="str">
        <f>IFERROR($BC$3&amp;VLOOKUP(D63,'Pay Table'!$M$3:$N$18,2,FALSE)&amp;$BB$3&amp;E63&amp;$BD$3,"")</f>
        <v>[8,100]</v>
      </c>
      <c r="BD61" s="49" t="str">
        <f>IFERROR($BC$3&amp;VLOOKUP(F63,'Pay Table'!$M$3:$N$18,2,FALSE)&amp;$BB$3&amp;G63&amp;$BD$3,"")</f>
        <v/>
      </c>
      <c r="BE61" s="49" t="str">
        <f>IFERROR($BC$3&amp;VLOOKUP(H63,'Pay Table'!$M$3:$N$18,2,FALSE)&amp;$BB$3&amp;I63&amp;$BD$3,"")</f>
        <v>[8,100]</v>
      </c>
      <c r="BF61" s="60" t="str">
        <f>IFERROR($BC$3&amp;VLOOKUP(J63,'Pay Table'!$M$3:$N$18,2,FALSE)&amp;$BB$3&amp;K63&amp;$BD$3,"")</f>
        <v>[7,100]</v>
      </c>
    </row>
    <row r="62" spans="1:58" ht="17.100000000000001" customHeight="1" x14ac:dyDescent="0.15">
      <c r="A62" s="14">
        <v>57</v>
      </c>
      <c r="B62" s="10" t="s">
        <v>151</v>
      </c>
      <c r="C62" s="10">
        <v>100</v>
      </c>
      <c r="D62" s="10" t="s">
        <v>151</v>
      </c>
      <c r="E62" s="10">
        <v>100</v>
      </c>
      <c r="F62" s="10" t="s">
        <v>121</v>
      </c>
      <c r="G62" s="10">
        <v>100</v>
      </c>
      <c r="H62" s="10" t="s">
        <v>119</v>
      </c>
      <c r="I62" s="10">
        <v>100</v>
      </c>
      <c r="J62" s="10" t="s">
        <v>153</v>
      </c>
      <c r="K62" s="10">
        <v>100</v>
      </c>
      <c r="BB62" s="59" t="str">
        <f>IFERROR($BC$3&amp;VLOOKUP(B64,'Pay Table'!$M$3:$N$18,2,FALSE)&amp;$BB$3&amp;C64&amp;$BD$3,"")</f>
        <v>[5,100]</v>
      </c>
      <c r="BC62" s="49" t="str">
        <f>IFERROR($BC$3&amp;VLOOKUP(D64,'Pay Table'!$M$3:$N$18,2,FALSE)&amp;$BB$3&amp;E64&amp;$BD$3,"")</f>
        <v/>
      </c>
      <c r="BD62" s="49" t="str">
        <f>IFERROR($BC$3&amp;VLOOKUP(F64,'Pay Table'!$M$3:$N$18,2,FALSE)&amp;$BB$3&amp;G64&amp;$BD$3,"")</f>
        <v/>
      </c>
      <c r="BE62" s="49" t="str">
        <f>IFERROR($BC$3&amp;VLOOKUP(H64,'Pay Table'!$M$3:$N$18,2,FALSE)&amp;$BB$3&amp;I64&amp;$BD$3,"")</f>
        <v>[7,100]</v>
      </c>
      <c r="BF62" s="60" t="str">
        <f>IFERROR($BC$3&amp;VLOOKUP(J64,'Pay Table'!$M$3:$N$18,2,FALSE)&amp;$BB$3&amp;K64&amp;$BD$3,"")</f>
        <v>[1,100]</v>
      </c>
    </row>
    <row r="63" spans="1:58" ht="17.100000000000001" customHeight="1" x14ac:dyDescent="0.15">
      <c r="A63" s="14">
        <v>58</v>
      </c>
      <c r="B63" s="10" t="s">
        <v>172</v>
      </c>
      <c r="C63" s="10">
        <v>100</v>
      </c>
      <c r="D63" s="10" t="s">
        <v>120</v>
      </c>
      <c r="E63" s="10">
        <v>100</v>
      </c>
      <c r="H63" s="10" t="s">
        <v>120</v>
      </c>
      <c r="I63" s="10">
        <v>100</v>
      </c>
      <c r="J63" s="10" t="s">
        <v>119</v>
      </c>
      <c r="K63" s="10">
        <v>100</v>
      </c>
      <c r="N63" s="37"/>
      <c r="O63" s="1" t="s">
        <v>175</v>
      </c>
      <c r="T63" s="37"/>
      <c r="U63" s="1" t="s">
        <v>176</v>
      </c>
      <c r="Z63" s="37"/>
      <c r="AA63" s="1" t="s">
        <v>177</v>
      </c>
      <c r="AE63" s="37"/>
      <c r="AF63" s="1" t="s">
        <v>178</v>
      </c>
      <c r="AI63" s="37"/>
      <c r="AJ63" s="1" t="s">
        <v>179</v>
      </c>
      <c r="BB63" s="59" t="str">
        <f>IFERROR($BC$3&amp;VLOOKUP(B65,'Pay Table'!$M$3:$N$18,2,FALSE)&amp;$BB$3&amp;C65&amp;$BD$3,"")</f>
        <v>[2,100]</v>
      </c>
      <c r="BC63" s="49" t="str">
        <f>IFERROR($BC$3&amp;VLOOKUP(D65,'Pay Table'!$M$3:$N$18,2,FALSE)&amp;$BB$3&amp;E65&amp;$BD$3,"")</f>
        <v/>
      </c>
      <c r="BD63" s="49" t="str">
        <f>IFERROR($BC$3&amp;VLOOKUP(F65,'Pay Table'!$M$3:$N$18,2,FALSE)&amp;$BB$3&amp;G65&amp;$BD$3,"")</f>
        <v/>
      </c>
      <c r="BE63" s="49" t="str">
        <f>IFERROR($BC$3&amp;VLOOKUP(H65,'Pay Table'!$M$3:$N$18,2,FALSE)&amp;$BB$3&amp;I65&amp;$BD$3,"")</f>
        <v>[92,100]</v>
      </c>
      <c r="BF63" s="60" t="str">
        <f>IFERROR($BC$3&amp;VLOOKUP(J65,'Pay Table'!$M$3:$N$18,2,FALSE)&amp;$BB$3&amp;K65&amp;$BD$3,"")</f>
        <v>[1,100]</v>
      </c>
    </row>
    <row r="64" spans="1:58" ht="17.100000000000001" customHeight="1" x14ac:dyDescent="0.15">
      <c r="A64" s="14">
        <v>59</v>
      </c>
      <c r="B64" s="10" t="s">
        <v>123</v>
      </c>
      <c r="C64" s="10">
        <v>100</v>
      </c>
      <c r="H64" s="10" t="s">
        <v>119</v>
      </c>
      <c r="I64" s="10">
        <v>100</v>
      </c>
      <c r="J64" s="10" t="s">
        <v>152</v>
      </c>
      <c r="K64" s="10">
        <v>100</v>
      </c>
      <c r="N64" s="6" t="s">
        <v>4</v>
      </c>
      <c r="O64" s="18">
        <v>2</v>
      </c>
      <c r="P64" s="18">
        <v>3</v>
      </c>
      <c r="Q64" s="18">
        <v>4</v>
      </c>
      <c r="R64" s="36">
        <v>5</v>
      </c>
      <c r="T64" s="6" t="s">
        <v>4</v>
      </c>
      <c r="U64" s="18">
        <v>2</v>
      </c>
      <c r="V64" s="18">
        <v>3</v>
      </c>
      <c r="W64" s="18">
        <v>4</v>
      </c>
      <c r="X64" s="36">
        <v>5</v>
      </c>
      <c r="Z64" s="6" t="s">
        <v>4</v>
      </c>
      <c r="AA64" s="18">
        <v>3</v>
      </c>
      <c r="AB64" s="18">
        <v>4</v>
      </c>
      <c r="AC64" s="36">
        <v>5</v>
      </c>
      <c r="AE64" s="6" t="s">
        <v>4</v>
      </c>
      <c r="AF64" s="18">
        <v>4</v>
      </c>
      <c r="AG64" s="36">
        <v>5</v>
      </c>
      <c r="AI64" s="6" t="s">
        <v>4</v>
      </c>
      <c r="AJ64" s="36">
        <v>5</v>
      </c>
      <c r="BB64" s="59" t="str">
        <f>IFERROR($BC$3&amp;VLOOKUP(B66,'Pay Table'!$M$3:$N$18,2,FALSE)&amp;$BB$3&amp;C66&amp;$BD$3,"")</f>
        <v>[3,100]</v>
      </c>
      <c r="BC64" s="49" t="str">
        <f>IFERROR($BC$3&amp;VLOOKUP(D66,'Pay Table'!$M$3:$N$18,2,FALSE)&amp;$BB$3&amp;E66&amp;$BD$3,"")</f>
        <v/>
      </c>
      <c r="BD64" s="49" t="str">
        <f>IFERROR($BC$3&amp;VLOOKUP(F66,'Pay Table'!$M$3:$N$18,2,FALSE)&amp;$BB$3&amp;G66&amp;$BD$3,"")</f>
        <v/>
      </c>
      <c r="BE64" s="49" t="str">
        <f>IFERROR($BC$3&amp;VLOOKUP(H66,'Pay Table'!$M$3:$N$18,2,FALSE)&amp;$BB$3&amp;I66&amp;$BD$3,"")</f>
        <v>[7,100]</v>
      </c>
      <c r="BF64" s="60" t="str">
        <f>IFERROR($BC$3&amp;VLOOKUP(J66,'Pay Table'!$M$3:$N$18,2,FALSE)&amp;$BB$3&amp;K66&amp;$BD$3,"")</f>
        <v>[1,100]</v>
      </c>
    </row>
    <row r="65" spans="1:58" ht="17.100000000000001" customHeight="1" x14ac:dyDescent="0.15">
      <c r="A65" s="14">
        <v>60</v>
      </c>
      <c r="B65" s="10" t="s">
        <v>151</v>
      </c>
      <c r="C65" s="10">
        <v>100</v>
      </c>
      <c r="H65" s="10" t="s">
        <v>122</v>
      </c>
      <c r="I65" s="10">
        <v>100</v>
      </c>
      <c r="J65" s="10" t="s">
        <v>152</v>
      </c>
      <c r="K65" s="10">
        <v>100</v>
      </c>
      <c r="N65" s="4" t="str">
        <f t="shared" ref="N65:N78" si="49">N46</f>
        <v>LINK</v>
      </c>
      <c r="R65" s="5"/>
      <c r="T65" s="4" t="str">
        <f>N65</f>
        <v>LINK</v>
      </c>
      <c r="X65" s="5"/>
      <c r="Z65" s="4" t="str">
        <f>T65</f>
        <v>LINK</v>
      </c>
      <c r="AC65" s="5"/>
      <c r="AE65" s="4" t="str">
        <f t="shared" ref="AE65:AE80" si="50">Z65</f>
        <v>LINK</v>
      </c>
      <c r="AG65" s="5"/>
      <c r="AI65" s="4" t="str">
        <f t="shared" ref="AI65:AI80" si="51">AE65</f>
        <v>LINK</v>
      </c>
      <c r="AJ65" s="5"/>
      <c r="BB65" s="59" t="str">
        <f>IFERROR($BC$3&amp;VLOOKUP(B67,'Pay Table'!$M$3:$N$18,2,FALSE)&amp;$BB$3&amp;C67&amp;$BD$3,"")</f>
        <v/>
      </c>
      <c r="BC65" s="49" t="str">
        <f>IFERROR($BC$3&amp;VLOOKUP(D67,'Pay Table'!$M$3:$N$18,2,FALSE)&amp;$BB$3&amp;E67&amp;$BD$3,"")</f>
        <v/>
      </c>
      <c r="BD65" s="49" t="str">
        <f>IFERROR($BC$3&amp;VLOOKUP(F67,'Pay Table'!$M$3:$N$18,2,FALSE)&amp;$BB$3&amp;G67&amp;$BD$3,"")</f>
        <v/>
      </c>
      <c r="BE65" s="49" t="str">
        <f>IFERROR($BC$3&amp;VLOOKUP(H67,'Pay Table'!$M$3:$N$18,2,FALSE)&amp;$BB$3&amp;I67&amp;$BD$3,"")</f>
        <v>[8,100]</v>
      </c>
      <c r="BF65" s="60" t="str">
        <f>IFERROR($BC$3&amp;VLOOKUP(J67,'Pay Table'!$M$3:$N$18,2,FALSE)&amp;$BB$3&amp;K67&amp;$BD$3,"")</f>
        <v>[7,100]</v>
      </c>
    </row>
    <row r="66" spans="1:58" ht="17.100000000000001" customHeight="1" x14ac:dyDescent="0.15">
      <c r="A66" s="14">
        <v>61</v>
      </c>
      <c r="B66" s="10" t="s">
        <v>172</v>
      </c>
      <c r="C66" s="10">
        <v>100</v>
      </c>
      <c r="H66" s="10" t="s">
        <v>119</v>
      </c>
      <c r="I66" s="10">
        <v>100</v>
      </c>
      <c r="J66" s="10" t="s">
        <v>152</v>
      </c>
      <c r="K66" s="10">
        <v>100</v>
      </c>
      <c r="N66" s="4" t="str">
        <f t="shared" si="49"/>
        <v>WILD</v>
      </c>
      <c r="O66" s="1">
        <f>AB28</f>
        <v>0</v>
      </c>
      <c r="P66" s="1">
        <f t="shared" ref="P66:R75" si="52">AC28</f>
        <v>0</v>
      </c>
      <c r="Q66" s="1">
        <f t="shared" si="52"/>
        <v>0</v>
      </c>
      <c r="R66" s="5">
        <f t="shared" si="52"/>
        <v>0</v>
      </c>
      <c r="T66" s="4" t="str">
        <f t="shared" ref="T66:T80" si="53">N66</f>
        <v>WILD</v>
      </c>
      <c r="X66" s="5"/>
      <c r="Z66" s="4" t="str">
        <f t="shared" ref="Z66:Z80" si="54">T66</f>
        <v>WILD</v>
      </c>
      <c r="AC66" s="5"/>
      <c r="AE66" s="4" t="str">
        <f t="shared" si="50"/>
        <v>WILD</v>
      </c>
      <c r="AG66" s="5"/>
      <c r="AI66" s="4" t="str">
        <f t="shared" si="51"/>
        <v>WILD</v>
      </c>
      <c r="AJ66" s="5"/>
      <c r="BB66" s="59" t="str">
        <f>IFERROR($BC$3&amp;VLOOKUP(B68,'Pay Table'!$M$3:$N$18,2,FALSE)&amp;$BB$3&amp;C68&amp;$BD$3,"")</f>
        <v/>
      </c>
      <c r="BC66" s="49" t="str">
        <f>IFERROR($BC$3&amp;VLOOKUP(D68,'Pay Table'!$M$3:$N$18,2,FALSE)&amp;$BB$3&amp;E68&amp;$BD$3,"")</f>
        <v/>
      </c>
      <c r="BD66" s="49" t="str">
        <f>IFERROR($BC$3&amp;VLOOKUP(F68,'Pay Table'!$M$3:$N$18,2,FALSE)&amp;$BB$3&amp;G68&amp;$BD$3,"")</f>
        <v/>
      </c>
      <c r="BE66" s="49" t="str">
        <f>IFERROR($BC$3&amp;VLOOKUP(H68,'Pay Table'!$M$3:$N$18,2,FALSE)&amp;$BB$3&amp;I68&amp;$BD$3,"")</f>
        <v>[6,100]</v>
      </c>
      <c r="BF66" s="60" t="str">
        <f>IFERROR($BC$3&amp;VLOOKUP(J68,'Pay Table'!$M$3:$N$18,2,FALSE)&amp;$BB$3&amp;K68&amp;$BD$3,"")</f>
        <v>[6,100]</v>
      </c>
    </row>
    <row r="67" spans="1:58" ht="17.100000000000001" customHeight="1" x14ac:dyDescent="0.15">
      <c r="A67" s="14">
        <v>62</v>
      </c>
      <c r="H67" s="10" t="s">
        <v>120</v>
      </c>
      <c r="I67" s="10">
        <v>100</v>
      </c>
      <c r="J67" s="10" t="s">
        <v>119</v>
      </c>
      <c r="K67" s="10">
        <v>100</v>
      </c>
      <c r="N67" s="4" t="str">
        <f t="shared" si="49"/>
        <v>M1</v>
      </c>
      <c r="O67" s="1">
        <f t="shared" ref="O67:O75" si="55">AB29</f>
        <v>7.880951442E+16</v>
      </c>
      <c r="P67" s="1">
        <f t="shared" si="52"/>
        <v>1.3384016099999998E+16</v>
      </c>
      <c r="Q67" s="1">
        <f t="shared" si="52"/>
        <v>1458987833333333.3</v>
      </c>
      <c r="R67" s="5">
        <f t="shared" si="52"/>
        <v>356189166666666.63</v>
      </c>
      <c r="T67" s="4" t="str">
        <f t="shared" si="53"/>
        <v>M1</v>
      </c>
      <c r="U67" s="1">
        <f>AH29+O48</f>
        <v>6.06227034E+16</v>
      </c>
      <c r="V67" s="1">
        <f t="shared" ref="V67:X75" si="56">AI29+P48</f>
        <v>1.4683598999999998E+16</v>
      </c>
      <c r="W67" s="1">
        <f t="shared" si="56"/>
        <v>2038351350000000</v>
      </c>
      <c r="X67" s="1">
        <f t="shared" si="56"/>
        <v>580896750000000</v>
      </c>
      <c r="Z67" s="4" t="str">
        <f t="shared" si="54"/>
        <v>M1</v>
      </c>
      <c r="AA67" s="1">
        <f>AN29+IF('Pay Table'!D7&gt;'Pay Table'!$C$6,T48,0)</f>
        <v>3375540000000000.5</v>
      </c>
      <c r="AB67" s="1">
        <f>AO29+IF('Pay Table'!E7&gt;'Pay Table'!$C$6,U48,0)</f>
        <v>848163166666666.63</v>
      </c>
      <c r="AC67" s="5">
        <f>AP29+IF('Pay Table'!F7&gt;'Pay Table'!$C$6,V48,0)</f>
        <v>323395333333333.38</v>
      </c>
      <c r="AE67" s="4" t="str">
        <f t="shared" si="50"/>
        <v>M1</v>
      </c>
      <c r="AF67" s="1">
        <f>AS29+IF('Pay Table'!E7&gt;'Pay Table'!$D$6,X48,0)</f>
        <v>110390000000000</v>
      </c>
      <c r="AG67" s="5">
        <f>AT29+IF('Pay Table'!F7&gt;'Pay Table'!$D$6,Y48,0)</f>
        <v>75355000000000.016</v>
      </c>
      <c r="AI67" s="4" t="str">
        <f t="shared" si="51"/>
        <v>M1</v>
      </c>
      <c r="AJ67" s="5">
        <f>AW29+IF('Pay Table'!F7&gt;'Pay Table'!$E$6,AA48,0)</f>
        <v>6300000000000.001</v>
      </c>
      <c r="BB67" s="59" t="str">
        <f>IFERROR($BC$3&amp;VLOOKUP(B69,'Pay Table'!$M$3:$N$18,2,FALSE)&amp;$BB$3&amp;C69&amp;$BD$3,"")</f>
        <v/>
      </c>
      <c r="BC67" s="49" t="str">
        <f>IFERROR($BC$3&amp;VLOOKUP(D69,'Pay Table'!$M$3:$N$18,2,FALSE)&amp;$BB$3&amp;E69&amp;$BD$3,"")</f>
        <v/>
      </c>
      <c r="BD67" s="49" t="str">
        <f>IFERROR($BC$3&amp;VLOOKUP(F69,'Pay Table'!$M$3:$N$18,2,FALSE)&amp;$BB$3&amp;G69&amp;$BD$3,"")</f>
        <v/>
      </c>
      <c r="BE67" s="49" t="str">
        <f>IFERROR($BC$3&amp;VLOOKUP(H69,'Pay Table'!$M$3:$N$18,2,FALSE)&amp;$BB$3&amp;I69&amp;$BD$3,"")</f>
        <v>[1,100]</v>
      </c>
      <c r="BF67" s="60" t="str">
        <f>IFERROR($BC$3&amp;VLOOKUP(J69,'Pay Table'!$M$3:$N$18,2,FALSE)&amp;$BB$3&amp;K69&amp;$BD$3,"")</f>
        <v>[92,100]</v>
      </c>
    </row>
    <row r="68" spans="1:58" ht="17.100000000000001" customHeight="1" x14ac:dyDescent="0.15">
      <c r="A68" s="14">
        <v>63</v>
      </c>
      <c r="H68" s="10" t="s">
        <v>121</v>
      </c>
      <c r="I68" s="10">
        <v>100</v>
      </c>
      <c r="J68" s="10" t="s">
        <v>121</v>
      </c>
      <c r="K68" s="10">
        <v>100</v>
      </c>
      <c r="N68" s="4" t="str">
        <f t="shared" si="49"/>
        <v>M2</v>
      </c>
      <c r="O68" s="1">
        <f t="shared" si="55"/>
        <v>9.7260541149999968E+16</v>
      </c>
      <c r="P68" s="1">
        <f t="shared" si="52"/>
        <v>1.206470708333333E+16</v>
      </c>
      <c r="Q68" s="1">
        <f t="shared" si="52"/>
        <v>1572245629629629.5</v>
      </c>
      <c r="R68" s="5">
        <f t="shared" si="52"/>
        <v>317917314814814.88</v>
      </c>
      <c r="T68" s="4" t="str">
        <f t="shared" si="53"/>
        <v>M2</v>
      </c>
      <c r="U68" s="1">
        <f t="shared" ref="U68:U75" si="57">AH30+O49</f>
        <v>4.5237460999999992E+16</v>
      </c>
      <c r="V68" s="1">
        <f t="shared" si="56"/>
        <v>1.0697316666666664E+16</v>
      </c>
      <c r="W68" s="1">
        <f t="shared" si="56"/>
        <v>1810233037037037</v>
      </c>
      <c r="X68" s="5">
        <f t="shared" si="56"/>
        <v>452744490740740.88</v>
      </c>
      <c r="Z68" s="4" t="str">
        <f t="shared" si="54"/>
        <v>M2</v>
      </c>
      <c r="AA68" s="1">
        <f>AN30+IF('Pay Table'!D8&gt;'Pay Table'!$C$6,T49,0)</f>
        <v>2365500000000000</v>
      </c>
      <c r="AB68" s="1">
        <f>AO30+IF('Pay Table'!E8&gt;'Pay Table'!$C$6,U49,0)</f>
        <v>677280000000000</v>
      </c>
      <c r="AC68" s="5">
        <f>AP30+IF('Pay Table'!F8&gt;'Pay Table'!$C$6,V49,0)</f>
        <v>236779027777777.81</v>
      </c>
      <c r="AE68" s="4" t="str">
        <f t="shared" si="50"/>
        <v>M2</v>
      </c>
      <c r="AF68" s="1">
        <f>AS30+IF('Pay Table'!E8&gt;'Pay Table'!$D$6,X49,0)</f>
        <v>81600000000000</v>
      </c>
      <c r="AG68" s="5">
        <f>AT30+IF('Pay Table'!F8&gt;'Pay Table'!$D$6,Y49,0)</f>
        <v>53850000000000.016</v>
      </c>
      <c r="AI68" s="4" t="str">
        <f t="shared" si="51"/>
        <v>M2</v>
      </c>
      <c r="AJ68" s="5">
        <f>AW30+IF('Pay Table'!F8&gt;'Pay Table'!$E$6,AA49,0)</f>
        <v>4500000000000.001</v>
      </c>
      <c r="BB68" s="59" t="str">
        <f>IFERROR($BC$3&amp;VLOOKUP(B70,'Pay Table'!$M$3:$N$18,2,FALSE)&amp;$BB$3&amp;C70&amp;$BD$3,"")</f>
        <v/>
      </c>
      <c r="BC68" s="49" t="str">
        <f>IFERROR($BC$3&amp;VLOOKUP(D70,'Pay Table'!$M$3:$N$18,2,FALSE)&amp;$BB$3&amp;E70&amp;$BD$3,"")</f>
        <v/>
      </c>
      <c r="BD68" s="49" t="str">
        <f>IFERROR($BC$3&amp;VLOOKUP(F70,'Pay Table'!$M$3:$N$18,2,FALSE)&amp;$BB$3&amp;G70&amp;$BD$3,"")</f>
        <v/>
      </c>
      <c r="BE68" s="49" t="str">
        <f>IFERROR($BC$3&amp;VLOOKUP(H70,'Pay Table'!$M$3:$N$18,2,FALSE)&amp;$BB$3&amp;I70&amp;$BD$3,"")</f>
        <v>[1,100]</v>
      </c>
      <c r="BF68" s="60" t="str">
        <f>IFERROR($BC$3&amp;VLOOKUP(J70,'Pay Table'!$M$3:$N$18,2,FALSE)&amp;$BB$3&amp;K70&amp;$BD$3,"")</f>
        <v>[6,100]</v>
      </c>
    </row>
    <row r="69" spans="1:58" ht="17.100000000000001" customHeight="1" x14ac:dyDescent="0.15">
      <c r="A69" s="14">
        <v>64</v>
      </c>
      <c r="H69" s="10" t="s">
        <v>152</v>
      </c>
      <c r="I69" s="10">
        <v>100</v>
      </c>
      <c r="J69" s="10" t="s">
        <v>122</v>
      </c>
      <c r="K69" s="10">
        <v>100</v>
      </c>
      <c r="N69" s="4" t="str">
        <f t="shared" si="49"/>
        <v>M3</v>
      </c>
      <c r="O69" s="1">
        <f t="shared" si="55"/>
        <v>1.5710062409999994E+17</v>
      </c>
      <c r="P69" s="1">
        <f t="shared" si="52"/>
        <v>6171851699999998</v>
      </c>
      <c r="Q69" s="1">
        <f t="shared" si="52"/>
        <v>284967199999999.94</v>
      </c>
      <c r="R69" s="5">
        <f t="shared" si="52"/>
        <v>23589999999999.996</v>
      </c>
      <c r="T69" s="4" t="str">
        <f t="shared" si="53"/>
        <v>M3</v>
      </c>
      <c r="U69" s="1">
        <f t="shared" si="57"/>
        <v>8.97717852E+16</v>
      </c>
      <c r="V69" s="1">
        <f t="shared" si="56"/>
        <v>1.1768117399999998E+16</v>
      </c>
      <c r="W69" s="1">
        <f t="shared" si="56"/>
        <v>757083799999999.75</v>
      </c>
      <c r="X69" s="5">
        <f t="shared" si="56"/>
        <v>76826500000000</v>
      </c>
      <c r="Z69" s="4" t="str">
        <f t="shared" si="54"/>
        <v>M3</v>
      </c>
      <c r="AA69" s="1">
        <f>AN31+IF('Pay Table'!D9&gt;'Pay Table'!$C$6,T50,0)</f>
        <v>4709340000000000</v>
      </c>
      <c r="AB69" s="1">
        <f>AO31+IF('Pay Table'!E9&gt;'Pay Table'!$C$6,U50,0)</f>
        <v>624958800000000</v>
      </c>
      <c r="AC69" s="5">
        <f>AP31+IF('Pay Table'!F9&gt;'Pay Table'!$C$6,V50,0)</f>
        <v>89338500000000</v>
      </c>
      <c r="AE69" s="4" t="str">
        <f t="shared" si="50"/>
        <v>M3</v>
      </c>
      <c r="AF69" s="1">
        <f>AS31+IF('Pay Table'!E9&gt;'Pay Table'!$D$6,X50,0)</f>
        <v>163080000000000</v>
      </c>
      <c r="AG69" s="5">
        <f>AT31+IF('Pay Table'!F9&gt;'Pay Table'!$D$6,Y50,0)</f>
        <v>44541000000000</v>
      </c>
      <c r="AI69" s="4" t="str">
        <f t="shared" si="51"/>
        <v>M3</v>
      </c>
      <c r="AJ69" s="5">
        <f>AW31+IF('Pay Table'!F9&gt;'Pay Table'!$E$6,AA50,0)</f>
        <v>8100000000000.001</v>
      </c>
      <c r="BB69" s="59" t="str">
        <f>IFERROR($BC$3&amp;VLOOKUP(B71,'Pay Table'!$M$3:$N$18,2,FALSE)&amp;$BB$3&amp;C71&amp;$BD$3,"")</f>
        <v/>
      </c>
      <c r="BC69" s="49" t="str">
        <f>IFERROR($BC$3&amp;VLOOKUP(D71,'Pay Table'!$M$3:$N$18,2,FALSE)&amp;$BB$3&amp;E71&amp;$BD$3,"")</f>
        <v/>
      </c>
      <c r="BD69" s="49" t="str">
        <f>IFERROR($BC$3&amp;VLOOKUP(F71,'Pay Table'!$M$3:$N$18,2,FALSE)&amp;$BB$3&amp;G71&amp;$BD$3,"")</f>
        <v/>
      </c>
      <c r="BE69" s="49" t="str">
        <f>IFERROR($BC$3&amp;VLOOKUP(H71,'Pay Table'!$M$3:$N$18,2,FALSE)&amp;$BB$3&amp;I71&amp;$BD$3,"")</f>
        <v>[1,100]</v>
      </c>
      <c r="BF69" s="60" t="str">
        <f>IFERROR($BC$3&amp;VLOOKUP(J71,'Pay Table'!$M$3:$N$18,2,FALSE)&amp;$BB$3&amp;K71&amp;$BD$3,"")</f>
        <v>[7,100]</v>
      </c>
    </row>
    <row r="70" spans="1:58" ht="17.100000000000001" customHeight="1" x14ac:dyDescent="0.15">
      <c r="A70" s="14">
        <v>65</v>
      </c>
      <c r="H70" s="10" t="s">
        <v>152</v>
      </c>
      <c r="I70" s="10">
        <v>100</v>
      </c>
      <c r="J70" s="10" t="s">
        <v>121</v>
      </c>
      <c r="K70" s="10">
        <v>100</v>
      </c>
      <c r="N70" s="4" t="str">
        <f t="shared" si="49"/>
        <v>M4</v>
      </c>
      <c r="O70" s="1">
        <f t="shared" si="55"/>
        <v>5.3670755589999992E+16</v>
      </c>
      <c r="P70" s="1">
        <f t="shared" si="52"/>
        <v>4812525833333332</v>
      </c>
      <c r="Q70" s="1">
        <f t="shared" si="52"/>
        <v>347685945216049.38</v>
      </c>
      <c r="R70" s="5">
        <f t="shared" si="52"/>
        <v>34048707561728.395</v>
      </c>
      <c r="T70" s="4" t="str">
        <f t="shared" si="53"/>
        <v>M4</v>
      </c>
      <c r="U70" s="1">
        <f t="shared" si="57"/>
        <v>7.4028628399999984E+16</v>
      </c>
      <c r="V70" s="1">
        <f t="shared" si="56"/>
        <v>9525482166666666</v>
      </c>
      <c r="W70" s="1">
        <f t="shared" si="56"/>
        <v>857322902006172.88</v>
      </c>
      <c r="X70" s="5">
        <f t="shared" si="56"/>
        <v>101467959104938.28</v>
      </c>
      <c r="Z70" s="4" t="str">
        <f t="shared" si="54"/>
        <v>M4</v>
      </c>
      <c r="AA70" s="1">
        <f>AN32+IF('Pay Table'!D10&gt;'Pay Table'!$C$6,T51,0)</f>
        <v>3982780000000000</v>
      </c>
      <c r="AB70" s="1">
        <f>AO32+IF('Pay Table'!E10&gt;'Pay Table'!$C$6,U51,0)</f>
        <v>622529578703703.75</v>
      </c>
      <c r="AC70" s="5">
        <f>AP32+IF('Pay Table'!F10&gt;'Pay Table'!$C$6,V51,0)</f>
        <v>104141990740740.75</v>
      </c>
      <c r="AE70" s="4" t="str">
        <f t="shared" si="50"/>
        <v>M4</v>
      </c>
      <c r="AF70" s="1">
        <f>AS32+IF('Pay Table'!E10&gt;'Pay Table'!$D$6,X51,0)</f>
        <v>139981666666666.67</v>
      </c>
      <c r="AG70" s="5">
        <f>AT32+IF('Pay Table'!F10&gt;'Pay Table'!$D$6,Y51,0)</f>
        <v>45061250000000.008</v>
      </c>
      <c r="AI70" s="4" t="str">
        <f t="shared" si="51"/>
        <v>M4</v>
      </c>
      <c r="AJ70" s="5">
        <f>AW32+IF('Pay Table'!F10&gt;'Pay Table'!$E$6,AA51,0)</f>
        <v>7050000000000.001</v>
      </c>
      <c r="BB70" s="59" t="str">
        <f>IFERROR($BC$3&amp;VLOOKUP(B72,'Pay Table'!$M$3:$N$18,2,FALSE)&amp;$BB$3&amp;C72&amp;$BD$3,"")</f>
        <v/>
      </c>
      <c r="BC70" s="49" t="str">
        <f>IFERROR($BC$3&amp;VLOOKUP(D72,'Pay Table'!$M$3:$N$18,2,FALSE)&amp;$BB$3&amp;E72&amp;$BD$3,"")</f>
        <v/>
      </c>
      <c r="BD70" s="49" t="str">
        <f>IFERROR($BC$3&amp;VLOOKUP(F72,'Pay Table'!$M$3:$N$18,2,FALSE)&amp;$BB$3&amp;G72&amp;$BD$3,"")</f>
        <v/>
      </c>
      <c r="BE70" s="49" t="str">
        <f>IFERROR($BC$3&amp;VLOOKUP(H72,'Pay Table'!$M$3:$N$18,2,FALSE)&amp;$BB$3&amp;I72&amp;$BD$3,"")</f>
        <v>[4,100]</v>
      </c>
      <c r="BF70" s="60" t="str">
        <f>IFERROR($BC$3&amp;VLOOKUP(J72,'Pay Table'!$M$3:$N$18,2,FALSE)&amp;$BB$3&amp;K72&amp;$BD$3,"")</f>
        <v>[0,100]</v>
      </c>
    </row>
    <row r="71" spans="1:58" ht="17.100000000000001" customHeight="1" x14ac:dyDescent="0.15">
      <c r="A71" s="14">
        <v>66</v>
      </c>
      <c r="H71" s="10" t="s">
        <v>152</v>
      </c>
      <c r="I71" s="10">
        <v>100</v>
      </c>
      <c r="J71" s="10" t="s">
        <v>119</v>
      </c>
      <c r="K71" s="10">
        <v>100</v>
      </c>
      <c r="N71" s="4" t="str">
        <f t="shared" si="49"/>
        <v>M5</v>
      </c>
      <c r="O71" s="1">
        <f t="shared" si="55"/>
        <v>1.544288540256E+17</v>
      </c>
      <c r="P71" s="1">
        <f t="shared" si="52"/>
        <v>7861225680000001</v>
      </c>
      <c r="Q71" s="1">
        <f t="shared" si="52"/>
        <v>707278880000000.13</v>
      </c>
      <c r="R71" s="5">
        <f t="shared" si="52"/>
        <v>46076800000000.016</v>
      </c>
      <c r="T71" s="4" t="str">
        <f t="shared" si="53"/>
        <v>M5</v>
      </c>
      <c r="U71" s="1">
        <f t="shared" si="57"/>
        <v>6.8818562399999992E+16</v>
      </c>
      <c r="V71" s="1">
        <f t="shared" si="56"/>
        <v>1.1364445680000002E+16</v>
      </c>
      <c r="W71" s="1">
        <f t="shared" si="56"/>
        <v>1311806906666666.8</v>
      </c>
      <c r="X71" s="5">
        <f t="shared" si="56"/>
        <v>120017333333333.38</v>
      </c>
      <c r="Z71" s="4" t="str">
        <f t="shared" si="54"/>
        <v>M5</v>
      </c>
      <c r="AA71" s="1">
        <f>AN33+IF('Pay Table'!D11&gt;'Pay Table'!$C$6,T52,0)</f>
        <v>3503220000000000.5</v>
      </c>
      <c r="AB71" s="1">
        <f>AO33+IF('Pay Table'!E11&gt;'Pay Table'!$C$6,U52,0)</f>
        <v>733468026666666.75</v>
      </c>
      <c r="AC71" s="5">
        <f>AP33+IF('Pay Table'!F11&gt;'Pay Table'!$C$6,V52,0)</f>
        <v>111877733333333.34</v>
      </c>
      <c r="AE71" s="4" t="str">
        <f t="shared" si="50"/>
        <v>M5</v>
      </c>
      <c r="AF71" s="1">
        <f>AS33+IF('Pay Table'!E11&gt;'Pay Table'!$D$6,X52,0)</f>
        <v>128940000000000</v>
      </c>
      <c r="AG71" s="5">
        <f>AT33+IF('Pay Table'!F11&gt;'Pay Table'!$D$6,Y52,0)</f>
        <v>44237200000000.008</v>
      </c>
      <c r="AI71" s="4" t="str">
        <f t="shared" si="51"/>
        <v>M5</v>
      </c>
      <c r="AJ71" s="5">
        <f>AW33+IF('Pay Table'!F11&gt;'Pay Table'!$E$6,AA52,0)</f>
        <v>6300000000000.001</v>
      </c>
      <c r="BB71" s="59" t="str">
        <f>IFERROR($BC$3&amp;VLOOKUP(B73,'Pay Table'!$M$3:$N$18,2,FALSE)&amp;$BB$3&amp;C73&amp;$BD$3,"")</f>
        <v/>
      </c>
      <c r="BC71" s="49" t="str">
        <f>IFERROR($BC$3&amp;VLOOKUP(D73,'Pay Table'!$M$3:$N$18,2,FALSE)&amp;$BB$3&amp;E73&amp;$BD$3,"")</f>
        <v/>
      </c>
      <c r="BD71" s="49" t="str">
        <f>IFERROR($BC$3&amp;VLOOKUP(F73,'Pay Table'!$M$3:$N$18,2,FALSE)&amp;$BB$3&amp;G73&amp;$BD$3,"")</f>
        <v/>
      </c>
      <c r="BE71" s="49" t="str">
        <f>IFERROR($BC$3&amp;VLOOKUP(H73,'Pay Table'!$M$3:$N$18,2,FALSE)&amp;$BB$3&amp;I73&amp;$BD$3,"")</f>
        <v>[8,100]</v>
      </c>
      <c r="BF71" s="60" t="str">
        <f>IFERROR($BC$3&amp;VLOOKUP(J73,'Pay Table'!$M$3:$N$18,2,FALSE)&amp;$BB$3&amp;K73&amp;$BD$3,"")</f>
        <v>[0,100]</v>
      </c>
    </row>
    <row r="72" spans="1:58" ht="17.100000000000001" customHeight="1" x14ac:dyDescent="0.15">
      <c r="A72" s="14">
        <v>67</v>
      </c>
      <c r="H72" s="10" t="s">
        <v>148</v>
      </c>
      <c r="I72" s="10">
        <v>100</v>
      </c>
      <c r="J72" s="10" t="s">
        <v>124</v>
      </c>
      <c r="K72" s="10">
        <v>100</v>
      </c>
      <c r="N72" s="4" t="str">
        <f t="shared" si="49"/>
        <v>A</v>
      </c>
      <c r="O72" s="1">
        <f t="shared" si="55"/>
        <v>8.4824375909333328E+16</v>
      </c>
      <c r="P72" s="1">
        <f t="shared" si="52"/>
        <v>6009302866222220</v>
      </c>
      <c r="Q72" s="1">
        <f t="shared" si="52"/>
        <v>613188299580246.88</v>
      </c>
      <c r="R72" s="5">
        <f t="shared" si="52"/>
        <v>39947120493827.164</v>
      </c>
      <c r="T72" s="4" t="str">
        <f t="shared" si="53"/>
        <v>A</v>
      </c>
      <c r="U72" s="1">
        <f t="shared" si="57"/>
        <v>5.368631386666668E+16</v>
      </c>
      <c r="V72" s="1">
        <f t="shared" si="56"/>
        <v>8164947034444445</v>
      </c>
      <c r="W72" s="1">
        <f t="shared" si="56"/>
        <v>1057032022160493.9</v>
      </c>
      <c r="X72" s="5">
        <f t="shared" si="56"/>
        <v>98822361358024.703</v>
      </c>
      <c r="Z72" s="4" t="str">
        <f t="shared" si="54"/>
        <v>A</v>
      </c>
      <c r="AA72" s="1">
        <f>AN34+IF('Pay Table'!D12&gt;'Pay Table'!$C$6,T53,0)</f>
        <v>2760500500000000</v>
      </c>
      <c r="AB72" s="1">
        <f>AO34+IF('Pay Table'!E12&gt;'Pay Table'!$C$6,U53,0)</f>
        <v>585873683333333.38</v>
      </c>
      <c r="AC72" s="5">
        <f>AP34+IF('Pay Table'!F12&gt;'Pay Table'!$C$6,V53,0)</f>
        <v>89814182407407.422</v>
      </c>
      <c r="AE72" s="4" t="str">
        <f t="shared" si="50"/>
        <v>A</v>
      </c>
      <c r="AF72" s="1">
        <f>AS34+IF('Pay Table'!E12&gt;'Pay Table'!$D$6,X53,0)</f>
        <v>102845000000000.02</v>
      </c>
      <c r="AG72" s="5">
        <f>AT34+IF('Pay Table'!F12&gt;'Pay Table'!$D$6,Y53,0)</f>
        <v>35325750000000.008</v>
      </c>
      <c r="AI72" s="4" t="str">
        <f t="shared" si="51"/>
        <v>A</v>
      </c>
      <c r="AJ72" s="5">
        <f>AW34+IF('Pay Table'!F12&gt;'Pay Table'!$E$6,AA53,0)</f>
        <v>5025000000000.001</v>
      </c>
      <c r="BB72" s="59" t="str">
        <f>IFERROR($BC$3&amp;VLOOKUP(B74,'Pay Table'!$M$3:$N$18,2,FALSE)&amp;$BB$3&amp;C74&amp;$BD$3,"")</f>
        <v/>
      </c>
      <c r="BC72" s="49" t="str">
        <f>IFERROR($BC$3&amp;VLOOKUP(D74,'Pay Table'!$M$3:$N$18,2,FALSE)&amp;$BB$3&amp;E74&amp;$BD$3,"")</f>
        <v/>
      </c>
      <c r="BD72" s="49" t="str">
        <f>IFERROR($BC$3&amp;VLOOKUP(F74,'Pay Table'!$M$3:$N$18,2,FALSE)&amp;$BB$3&amp;G74&amp;$BD$3,"")</f>
        <v/>
      </c>
      <c r="BE72" s="49" t="str">
        <f>IFERROR($BC$3&amp;VLOOKUP(H74,'Pay Table'!$M$3:$N$18,2,FALSE)&amp;$BB$3&amp;I74&amp;$BD$3,"")</f>
        <v>[7,100]</v>
      </c>
      <c r="BF72" s="60" t="str">
        <f>IFERROR($BC$3&amp;VLOOKUP(J74,'Pay Table'!$M$3:$N$18,2,FALSE)&amp;$BB$3&amp;K74&amp;$BD$3,"")</f>
        <v>[0,100]</v>
      </c>
    </row>
    <row r="73" spans="1:58" ht="17.100000000000001" customHeight="1" x14ac:dyDescent="0.15">
      <c r="A73" s="14">
        <v>68</v>
      </c>
      <c r="H73" s="10" t="s">
        <v>120</v>
      </c>
      <c r="I73" s="10">
        <v>100</v>
      </c>
      <c r="J73" s="10" t="s">
        <v>153</v>
      </c>
      <c r="K73" s="10">
        <v>100</v>
      </c>
      <c r="N73" s="4" t="str">
        <f t="shared" si="49"/>
        <v>K</v>
      </c>
      <c r="O73" s="1">
        <f t="shared" si="55"/>
        <v>1.1534633400359998E+17</v>
      </c>
      <c r="P73" s="1">
        <f t="shared" si="52"/>
        <v>1.1815031592E+16</v>
      </c>
      <c r="Q73" s="1">
        <f t="shared" si="52"/>
        <v>1251920670000000</v>
      </c>
      <c r="R73" s="5">
        <f t="shared" si="52"/>
        <v>199774575000000.03</v>
      </c>
      <c r="T73" s="4" t="str">
        <f t="shared" si="53"/>
        <v>K</v>
      </c>
      <c r="U73" s="1">
        <f t="shared" si="57"/>
        <v>6.5020481399999992E+16</v>
      </c>
      <c r="V73" s="1">
        <f t="shared" si="56"/>
        <v>1.271909856E+16</v>
      </c>
      <c r="W73" s="1">
        <f t="shared" si="56"/>
        <v>1757435092000000</v>
      </c>
      <c r="X73" s="5">
        <f t="shared" si="56"/>
        <v>347033295000000.06</v>
      </c>
      <c r="Z73" s="4" t="str">
        <f t="shared" si="54"/>
        <v>K</v>
      </c>
      <c r="AA73" s="1">
        <f>AN35+IF('Pay Table'!D13&gt;'Pay Table'!$C$6,T54,0)</f>
        <v>3415440000000000</v>
      </c>
      <c r="AB73" s="1">
        <f>AO35+IF('Pay Table'!E13&gt;'Pay Table'!$C$6,U54,0)</f>
        <v>802970560000000</v>
      </c>
      <c r="AC73" s="5">
        <f>AP35+IF('Pay Table'!F13&gt;'Pay Table'!$C$6,V54,0)</f>
        <v>221614190000000.03</v>
      </c>
      <c r="AE73" s="4" t="str">
        <f t="shared" si="50"/>
        <v>K</v>
      </c>
      <c r="AF73" s="1">
        <f>AS35+IF('Pay Table'!E13&gt;'Pay Table'!$D$6,X54,0)</f>
        <v>118440000000000</v>
      </c>
      <c r="AG73" s="5">
        <f>AT35+IF('Pay Table'!F13&gt;'Pay Table'!$D$6,Y54,0)</f>
        <v>61611200000000.016</v>
      </c>
      <c r="AI73" s="4" t="str">
        <f t="shared" si="51"/>
        <v>K</v>
      </c>
      <c r="AJ73" s="5">
        <f>AW35+IF('Pay Table'!F13&gt;'Pay Table'!$E$6,AA54,0)</f>
        <v>6300000000000.001</v>
      </c>
      <c r="BB73" s="59" t="str">
        <f>IFERROR($BC$3&amp;VLOOKUP(B75,'Pay Table'!$M$3:$N$18,2,FALSE)&amp;$BB$3&amp;C75&amp;$BD$3,"")</f>
        <v/>
      </c>
      <c r="BC73" s="49" t="str">
        <f>IFERROR($BC$3&amp;VLOOKUP(D75,'Pay Table'!$M$3:$N$18,2,FALSE)&amp;$BB$3&amp;E75&amp;$BD$3,"")</f>
        <v/>
      </c>
      <c r="BD73" s="49" t="str">
        <f>IFERROR($BC$3&amp;VLOOKUP(F75,'Pay Table'!$M$3:$N$18,2,FALSE)&amp;$BB$3&amp;G75&amp;$BD$3,"")</f>
        <v/>
      </c>
      <c r="BE73" s="49" t="str">
        <f>IFERROR($BC$3&amp;VLOOKUP(H75,'Pay Table'!$M$3:$N$18,2,FALSE)&amp;$BB$3&amp;I75&amp;$BD$3,"")</f>
        <v>[2,100]</v>
      </c>
      <c r="BF73" s="60" t="str">
        <f>IFERROR($BC$3&amp;VLOOKUP(J75,'Pay Table'!$M$3:$N$18,2,FALSE)&amp;$BB$3&amp;K75&amp;$BD$3,"")</f>
        <v>[6,100]</v>
      </c>
    </row>
    <row r="74" spans="1:58" ht="17.100000000000001" customHeight="1" x14ac:dyDescent="0.15">
      <c r="A74" s="14">
        <v>69</v>
      </c>
      <c r="H74" s="10" t="s">
        <v>119</v>
      </c>
      <c r="I74" s="10">
        <v>100</v>
      </c>
      <c r="J74" s="10" t="s">
        <v>153</v>
      </c>
      <c r="K74" s="10">
        <v>100</v>
      </c>
      <c r="N74" s="4" t="str">
        <f t="shared" si="49"/>
        <v>Q</v>
      </c>
      <c r="O74" s="1">
        <f t="shared" si="55"/>
        <v>7.600880251E+16</v>
      </c>
      <c r="P74" s="1">
        <f t="shared" si="52"/>
        <v>8134084236666667</v>
      </c>
      <c r="Q74" s="1">
        <f t="shared" si="52"/>
        <v>865629469969135.88</v>
      </c>
      <c r="R74" s="5">
        <f t="shared" si="52"/>
        <v>80798515586419.766</v>
      </c>
      <c r="T74" s="4" t="str">
        <f t="shared" si="53"/>
        <v>Q</v>
      </c>
      <c r="U74" s="1">
        <f t="shared" si="57"/>
        <v>4.47110603E+16</v>
      </c>
      <c r="V74" s="1">
        <f t="shared" si="56"/>
        <v>8818185633333334</v>
      </c>
      <c r="W74" s="1">
        <f t="shared" si="56"/>
        <v>1235785194290123.5</v>
      </c>
      <c r="X74" s="5">
        <f t="shared" si="56"/>
        <v>158763261265432.13</v>
      </c>
      <c r="Z74" s="4" t="str">
        <f t="shared" si="54"/>
        <v>Q</v>
      </c>
      <c r="AA74" s="1">
        <f>AN36+IF('Pay Table'!D14&gt;'Pay Table'!$C$6,T55,0)</f>
        <v>2372605999999999.5</v>
      </c>
      <c r="AB74" s="1">
        <f>AO36+IF('Pay Table'!E14&gt;'Pay Table'!$C$6,U55,0)</f>
        <v>574854782407407.5</v>
      </c>
      <c r="AC74" s="5">
        <f>AP36+IF('Pay Table'!F14&gt;'Pay Table'!$C$6,V55,0)</f>
        <v>115636023148148.19</v>
      </c>
      <c r="AE74" s="4" t="str">
        <f t="shared" si="50"/>
        <v>Q</v>
      </c>
      <c r="AF74" s="1">
        <f>AS36+IF('Pay Table'!E14&gt;'Pay Table'!$D$6,X55,0)</f>
        <v>86734166666666.656</v>
      </c>
      <c r="AG74" s="5">
        <f>AT36+IF('Pay Table'!F14&gt;'Pay Table'!$D$6,Y55,0)</f>
        <v>36926666666666.672</v>
      </c>
      <c r="AI74" s="4" t="str">
        <f t="shared" si="51"/>
        <v>Q</v>
      </c>
      <c r="AJ74" s="5">
        <f>AW36+IF('Pay Table'!F14&gt;'Pay Table'!$E$6,AA55,0)</f>
        <v>4350000000000</v>
      </c>
      <c r="BB74" s="59" t="str">
        <f>IFERROR($BC$3&amp;VLOOKUP(B76,'Pay Table'!$M$3:$N$18,2,FALSE)&amp;$BB$3&amp;C76&amp;$BD$3,"")</f>
        <v/>
      </c>
      <c r="BC74" s="49" t="str">
        <f>IFERROR($BC$3&amp;VLOOKUP(D76,'Pay Table'!$M$3:$N$18,2,FALSE)&amp;$BB$3&amp;E76&amp;$BD$3,"")</f>
        <v/>
      </c>
      <c r="BD74" s="49" t="str">
        <f>IFERROR($BC$3&amp;VLOOKUP(F76,'Pay Table'!$M$3:$N$18,2,FALSE)&amp;$BB$3&amp;G76&amp;$BD$3,"")</f>
        <v/>
      </c>
      <c r="BE74" s="49" t="str">
        <f>IFERROR($BC$3&amp;VLOOKUP(H76,'Pay Table'!$M$3:$N$18,2,FALSE)&amp;$BB$3&amp;I76&amp;$BD$3,"")</f>
        <v>[2,100]</v>
      </c>
      <c r="BF74" s="60" t="str">
        <f>IFERROR($BC$3&amp;VLOOKUP(J76,'Pay Table'!$M$3:$N$18,2,FALSE)&amp;$BB$3&amp;K76&amp;$BD$3,"")</f>
        <v>[5,100]</v>
      </c>
    </row>
    <row r="75" spans="1:58" ht="17.100000000000001" customHeight="1" x14ac:dyDescent="0.15">
      <c r="A75" s="14">
        <v>70</v>
      </c>
      <c r="H75" s="10" t="s">
        <v>151</v>
      </c>
      <c r="I75" s="10">
        <v>100</v>
      </c>
      <c r="J75" s="10" t="s">
        <v>121</v>
      </c>
      <c r="K75" s="10">
        <v>100</v>
      </c>
      <c r="N75" s="4" t="str">
        <f t="shared" si="49"/>
        <v>J</v>
      </c>
      <c r="O75" s="1">
        <f t="shared" si="55"/>
        <v>2.84294454E+16</v>
      </c>
      <c r="P75" s="1">
        <f t="shared" si="52"/>
        <v>2399529760000000</v>
      </c>
      <c r="Q75" s="1">
        <f t="shared" si="52"/>
        <v>245766928888888.84</v>
      </c>
      <c r="R75" s="5">
        <f t="shared" si="52"/>
        <v>20344944444444.441</v>
      </c>
      <c r="T75" s="4" t="str">
        <f t="shared" si="53"/>
        <v>J</v>
      </c>
      <c r="U75" s="1">
        <f t="shared" si="57"/>
        <v>1.89529636E+16</v>
      </c>
      <c r="V75" s="1">
        <f t="shared" si="56"/>
        <v>3079862506666666.5</v>
      </c>
      <c r="W75" s="1">
        <f t="shared" si="56"/>
        <v>403572219259259.25</v>
      </c>
      <c r="X75" s="5">
        <f t="shared" si="56"/>
        <v>45615262962962.961</v>
      </c>
      <c r="Z75" s="4" t="str">
        <f t="shared" si="54"/>
        <v>J</v>
      </c>
      <c r="AA75" s="1">
        <f>AN37+IF('Pay Table'!D15&gt;'Pay Table'!$C$6,T56,0)</f>
        <v>986783999999999.75</v>
      </c>
      <c r="AB75" s="1">
        <f>AO37+IF('Pay Table'!E15&gt;'Pay Table'!$C$6,U56,0)</f>
        <v>214178399999999.97</v>
      </c>
      <c r="AC75" s="5">
        <f>AP37+IF('Pay Table'!F15&gt;'Pay Table'!$C$6,V56,0)</f>
        <v>37774977777777.781</v>
      </c>
      <c r="AE75" s="4" t="str">
        <f t="shared" si="50"/>
        <v>J</v>
      </c>
      <c r="AF75" s="1">
        <f>AS37+IF('Pay Table'!E15&gt;'Pay Table'!$D$6,X56,0)</f>
        <v>36239999999999.992</v>
      </c>
      <c r="AG75" s="5">
        <f>AT37+IF('Pay Table'!F15&gt;'Pay Table'!$D$6,Y56,0)</f>
        <v>13638000000000</v>
      </c>
      <c r="AI75" s="4" t="str">
        <f t="shared" si="51"/>
        <v>J</v>
      </c>
      <c r="AJ75" s="5">
        <f>AW37+IF('Pay Table'!F15&gt;'Pay Table'!$E$6,AA56,0)</f>
        <v>1800000000000</v>
      </c>
      <c r="BB75" s="59" t="str">
        <f>IFERROR($BC$3&amp;VLOOKUP(B77,'Pay Table'!$M$3:$N$18,2,FALSE)&amp;$BB$3&amp;C77&amp;$BD$3,"")</f>
        <v/>
      </c>
      <c r="BC75" s="49" t="str">
        <f>IFERROR($BC$3&amp;VLOOKUP(D77,'Pay Table'!$M$3:$N$18,2,FALSE)&amp;$BB$3&amp;E77&amp;$BD$3,"")</f>
        <v/>
      </c>
      <c r="BD75" s="49" t="str">
        <f>IFERROR($BC$3&amp;VLOOKUP(F77,'Pay Table'!$M$3:$N$18,2,FALSE)&amp;$BB$3&amp;G77&amp;$BD$3,"")</f>
        <v/>
      </c>
      <c r="BE75" s="49" t="str">
        <f>IFERROR($BC$3&amp;VLOOKUP(H77,'Pay Table'!$M$3:$N$18,2,FALSE)&amp;$BB$3&amp;I77&amp;$BD$3,"")</f>
        <v>[7,100]</v>
      </c>
      <c r="BF75" s="60" t="str">
        <f>IFERROR($BC$3&amp;VLOOKUP(J77,'Pay Table'!$M$3:$N$18,2,FALSE)&amp;$BB$3&amp;K77&amp;$BD$3,"")</f>
        <v/>
      </c>
    </row>
    <row r="76" spans="1:58" ht="17.100000000000001" customHeight="1" x14ac:dyDescent="0.15">
      <c r="A76" s="14">
        <v>71</v>
      </c>
      <c r="H76" s="10" t="s">
        <v>151</v>
      </c>
      <c r="I76" s="10">
        <v>100</v>
      </c>
      <c r="J76" s="10" t="s">
        <v>123</v>
      </c>
      <c r="K76" s="10">
        <v>100</v>
      </c>
      <c r="N76" s="4" t="str">
        <f t="shared" si="49"/>
        <v>SCATTER</v>
      </c>
      <c r="R76" s="5"/>
      <c r="T76" s="4" t="str">
        <f t="shared" si="53"/>
        <v>SCATTER</v>
      </c>
      <c r="X76" s="5"/>
      <c r="Z76" s="4" t="str">
        <f t="shared" si="54"/>
        <v>SCATTER</v>
      </c>
      <c r="AC76" s="5"/>
      <c r="AE76" s="4" t="str">
        <f t="shared" si="50"/>
        <v>SCATTER</v>
      </c>
      <c r="AG76" s="5"/>
      <c r="AI76" s="4" t="str">
        <f t="shared" si="51"/>
        <v>SCATTER</v>
      </c>
      <c r="AJ76" s="5"/>
      <c r="BB76" s="59" t="str">
        <f>IFERROR($BC$3&amp;VLOOKUP(B78,'Pay Table'!$M$3:$N$18,2,FALSE)&amp;$BB$3&amp;C78&amp;$BD$3,"")</f>
        <v/>
      </c>
      <c r="BC76" s="49" t="str">
        <f>IFERROR($BC$3&amp;VLOOKUP(D78,'Pay Table'!$M$3:$N$18,2,FALSE)&amp;$BB$3&amp;E78&amp;$BD$3,"")</f>
        <v/>
      </c>
      <c r="BD76" s="49" t="str">
        <f>IFERROR($BC$3&amp;VLOOKUP(F78,'Pay Table'!$M$3:$N$18,2,FALSE)&amp;$BB$3&amp;G78&amp;$BD$3,"")</f>
        <v/>
      </c>
      <c r="BE76" s="49" t="str">
        <f>IFERROR($BC$3&amp;VLOOKUP(H78,'Pay Table'!$M$3:$N$18,2,FALSE)&amp;$BB$3&amp;I78&amp;$BD$3,"")</f>
        <v>[6,100]</v>
      </c>
      <c r="BF76" s="60" t="str">
        <f>IFERROR($BC$3&amp;VLOOKUP(J78,'Pay Table'!$M$3:$N$18,2,FALSE)&amp;$BB$3&amp;K78&amp;$BD$3,"")</f>
        <v/>
      </c>
    </row>
    <row r="77" spans="1:58" ht="17.100000000000001" customHeight="1" x14ac:dyDescent="0.15">
      <c r="A77" s="14">
        <v>72</v>
      </c>
      <c r="H77" s="10" t="s">
        <v>119</v>
      </c>
      <c r="I77" s="10">
        <v>100</v>
      </c>
      <c r="N77" s="4">
        <f t="shared" si="49"/>
        <v>0</v>
      </c>
      <c r="R77" s="5"/>
      <c r="T77" s="4">
        <f t="shared" si="53"/>
        <v>0</v>
      </c>
      <c r="X77" s="5"/>
      <c r="Z77" s="4">
        <f t="shared" si="54"/>
        <v>0</v>
      </c>
      <c r="AC77" s="5"/>
      <c r="AE77" s="4">
        <f t="shared" si="50"/>
        <v>0</v>
      </c>
      <c r="AG77" s="5"/>
      <c r="AI77" s="4">
        <f t="shared" si="51"/>
        <v>0</v>
      </c>
      <c r="AJ77" s="5"/>
      <c r="BB77" s="59" t="str">
        <f>IFERROR($BC$3&amp;VLOOKUP(B79,'Pay Table'!$M$3:$N$18,2,FALSE)&amp;$BB$3&amp;C79&amp;$BD$3,"")</f>
        <v/>
      </c>
      <c r="BC77" s="49" t="str">
        <f>IFERROR($BC$3&amp;VLOOKUP(D79,'Pay Table'!$M$3:$N$18,2,FALSE)&amp;$BB$3&amp;E79&amp;$BD$3,"")</f>
        <v/>
      </c>
      <c r="BD77" s="49" t="str">
        <f>IFERROR($BC$3&amp;VLOOKUP(F79,'Pay Table'!$M$3:$N$18,2,FALSE)&amp;$BB$3&amp;G79&amp;$BD$3,"")</f>
        <v/>
      </c>
      <c r="BE77" s="49" t="str">
        <f>IFERROR($BC$3&amp;VLOOKUP(H79,'Pay Table'!$M$3:$N$18,2,FALSE)&amp;$BB$3&amp;I79&amp;$BD$3,"")</f>
        <v>[4,100]</v>
      </c>
      <c r="BF77" s="60" t="str">
        <f>IFERROR($BC$3&amp;VLOOKUP(J79,'Pay Table'!$M$3:$N$18,2,FALSE)&amp;$BB$3&amp;K79&amp;$BD$3,"")</f>
        <v/>
      </c>
    </row>
    <row r="78" spans="1:58" ht="17.100000000000001" customHeight="1" x14ac:dyDescent="0.15">
      <c r="A78" s="14">
        <v>73</v>
      </c>
      <c r="H78" s="10" t="s">
        <v>121</v>
      </c>
      <c r="I78" s="10">
        <v>100</v>
      </c>
      <c r="N78" s="4">
        <f t="shared" si="49"/>
        <v>0</v>
      </c>
      <c r="R78" s="5"/>
      <c r="T78" s="4">
        <f t="shared" si="53"/>
        <v>0</v>
      </c>
      <c r="X78" s="5"/>
      <c r="Z78" s="4">
        <f t="shared" si="54"/>
        <v>0</v>
      </c>
      <c r="AC78" s="5"/>
      <c r="AE78" s="4">
        <f t="shared" si="50"/>
        <v>0</v>
      </c>
      <c r="AG78" s="5"/>
      <c r="AI78" s="4">
        <f t="shared" si="51"/>
        <v>0</v>
      </c>
      <c r="AJ78" s="5"/>
      <c r="BB78" s="59" t="str">
        <f>IFERROR($BC$3&amp;VLOOKUP(B80,'Pay Table'!$M$3:$N$18,2,FALSE)&amp;$BB$3&amp;C80&amp;$BD$3,"")</f>
        <v/>
      </c>
      <c r="BC78" s="49" t="str">
        <f>IFERROR($BC$3&amp;VLOOKUP(D80,'Pay Table'!$M$3:$N$18,2,FALSE)&amp;$BB$3&amp;E80&amp;$BD$3,"")</f>
        <v/>
      </c>
      <c r="BD78" s="49" t="str">
        <f>IFERROR($BC$3&amp;VLOOKUP(F80,'Pay Table'!$M$3:$N$18,2,FALSE)&amp;$BB$3&amp;G80&amp;$BD$3,"")</f>
        <v/>
      </c>
      <c r="BE78" s="49" t="str">
        <f>IFERROR($BC$3&amp;VLOOKUP(H80,'Pay Table'!$M$3:$N$18,2,FALSE)&amp;$BB$3&amp;I80&amp;$BD$3,"")</f>
        <v>[0,100]</v>
      </c>
      <c r="BF78" s="60" t="str">
        <f>IFERROR($BC$3&amp;VLOOKUP(J80,'Pay Table'!$M$3:$N$18,2,FALSE)&amp;$BB$3&amp;K80&amp;$BD$3,"")</f>
        <v/>
      </c>
    </row>
    <row r="79" spans="1:58" ht="17.100000000000001" customHeight="1" x14ac:dyDescent="0.15">
      <c r="A79" s="14">
        <v>74</v>
      </c>
      <c r="H79" s="10" t="s">
        <v>137</v>
      </c>
      <c r="I79" s="10">
        <v>100</v>
      </c>
      <c r="N79" s="4">
        <f>N61</f>
        <v>0</v>
      </c>
      <c r="R79" s="5"/>
      <c r="T79" s="4">
        <f t="shared" si="53"/>
        <v>0</v>
      </c>
      <c r="X79" s="5"/>
      <c r="Z79" s="4">
        <f t="shared" si="54"/>
        <v>0</v>
      </c>
      <c r="AC79" s="5"/>
      <c r="AE79" s="4">
        <f t="shared" si="50"/>
        <v>0</v>
      </c>
      <c r="AG79" s="5"/>
      <c r="AI79" s="4">
        <f t="shared" si="51"/>
        <v>0</v>
      </c>
      <c r="AJ79" s="5"/>
      <c r="BB79" s="59" t="str">
        <f>IFERROR($BC$3&amp;VLOOKUP(B81,'Pay Table'!$M$3:$N$18,2,FALSE)&amp;$BB$3&amp;C81&amp;$BD$3,"")</f>
        <v/>
      </c>
      <c r="BC79" s="49" t="str">
        <f>IFERROR($BC$3&amp;VLOOKUP(D81,'Pay Table'!$M$3:$N$18,2,FALSE)&amp;$BB$3&amp;E81&amp;$BD$3,"")</f>
        <v/>
      </c>
      <c r="BD79" s="49" t="str">
        <f>IFERROR($BC$3&amp;VLOOKUP(F81,'Pay Table'!$M$3:$N$18,2,FALSE)&amp;$BB$3&amp;G81&amp;$BD$3,"")</f>
        <v/>
      </c>
      <c r="BE79" s="49" t="str">
        <f>IFERROR($BC$3&amp;VLOOKUP(H81,'Pay Table'!$M$3:$N$18,2,FALSE)&amp;$BB$3&amp;I81&amp;$BD$3,"")</f>
        <v>[0,100]</v>
      </c>
      <c r="BF79" s="60" t="str">
        <f>IFERROR($BC$3&amp;VLOOKUP(J81,'Pay Table'!$M$3:$N$18,2,FALSE)&amp;$BB$3&amp;K81&amp;$BD$3,"")</f>
        <v/>
      </c>
    </row>
    <row r="80" spans="1:58" ht="17.100000000000001" customHeight="1" x14ac:dyDescent="0.15">
      <c r="A80" s="14">
        <v>75</v>
      </c>
      <c r="H80" s="10" t="s">
        <v>153</v>
      </c>
      <c r="I80" s="10">
        <v>100</v>
      </c>
      <c r="N80" s="19">
        <f>N62</f>
        <v>0</v>
      </c>
      <c r="O80" s="15"/>
      <c r="P80" s="15"/>
      <c r="Q80" s="15"/>
      <c r="R80" s="16"/>
      <c r="T80" s="19">
        <f t="shared" si="53"/>
        <v>0</v>
      </c>
      <c r="U80" s="15"/>
      <c r="V80" s="15"/>
      <c r="W80" s="15"/>
      <c r="X80" s="16"/>
      <c r="Z80" s="19">
        <f t="shared" si="54"/>
        <v>0</v>
      </c>
      <c r="AA80" s="15"/>
      <c r="AB80" s="15"/>
      <c r="AC80" s="16"/>
      <c r="AE80" s="19">
        <f t="shared" si="50"/>
        <v>0</v>
      </c>
      <c r="AF80" s="15"/>
      <c r="AG80" s="16"/>
      <c r="AI80" s="19">
        <f t="shared" si="51"/>
        <v>0</v>
      </c>
      <c r="AJ80" s="16"/>
      <c r="BB80" s="59" t="str">
        <f>IFERROR($BC$3&amp;VLOOKUP(B82,'Pay Table'!$M$3:$N$18,2,FALSE)&amp;$BB$3&amp;C82&amp;$BD$3,"")</f>
        <v/>
      </c>
      <c r="BC80" s="49" t="str">
        <f>IFERROR($BC$3&amp;VLOOKUP(D82,'Pay Table'!$M$3:$N$18,2,FALSE)&amp;$BB$3&amp;E82&amp;$BD$3,"")</f>
        <v/>
      </c>
      <c r="BD80" s="49" t="str">
        <f>IFERROR($BC$3&amp;VLOOKUP(F82,'Pay Table'!$M$3:$N$18,2,FALSE)&amp;$BB$3&amp;G82&amp;$BD$3,"")</f>
        <v/>
      </c>
      <c r="BE80" s="49" t="str">
        <f>IFERROR($BC$3&amp;VLOOKUP(H82,'Pay Table'!$M$3:$N$18,2,FALSE)&amp;$BB$3&amp;I82&amp;$BD$3,"")</f>
        <v>[0,100]</v>
      </c>
      <c r="BF80" s="60" t="str">
        <f>IFERROR($BC$3&amp;VLOOKUP(J82,'Pay Table'!$M$3:$N$18,2,FALSE)&amp;$BB$3&amp;K82&amp;$BD$3,"")</f>
        <v/>
      </c>
    </row>
    <row r="81" spans="1:58" ht="17.100000000000001" customHeight="1" x14ac:dyDescent="0.15">
      <c r="A81" s="14">
        <v>76</v>
      </c>
      <c r="H81" s="10" t="s">
        <v>124</v>
      </c>
      <c r="I81" s="10">
        <v>100</v>
      </c>
      <c r="BB81" s="59" t="str">
        <f>IFERROR($BC$3&amp;VLOOKUP(B83,'Pay Table'!$M$3:$N$18,2,FALSE)&amp;$BB$3&amp;C83&amp;$BD$3,"")</f>
        <v/>
      </c>
      <c r="BC81" s="49" t="str">
        <f>IFERROR($BC$3&amp;VLOOKUP(D83,'Pay Table'!$M$3:$N$18,2,FALSE)&amp;$BB$3&amp;E83&amp;$BD$3,"")</f>
        <v/>
      </c>
      <c r="BD81" s="49" t="str">
        <f>IFERROR($BC$3&amp;VLOOKUP(F83,'Pay Table'!$M$3:$N$18,2,FALSE)&amp;$BB$3&amp;G83&amp;$BD$3,"")</f>
        <v/>
      </c>
      <c r="BE81" s="49" t="str">
        <f>IFERROR($BC$3&amp;VLOOKUP(H83,'Pay Table'!$M$3:$N$18,2,FALSE)&amp;$BB$3&amp;I83&amp;$BD$3,"")</f>
        <v>[5,100]</v>
      </c>
      <c r="BF81" s="60" t="str">
        <f>IFERROR($BC$3&amp;VLOOKUP(J83,'Pay Table'!$M$3:$N$18,2,FALSE)&amp;$BB$3&amp;K83&amp;$BD$3,"")</f>
        <v/>
      </c>
    </row>
    <row r="82" spans="1:58" ht="17.100000000000001" customHeight="1" x14ac:dyDescent="0.15">
      <c r="A82" s="14">
        <v>77</v>
      </c>
      <c r="H82" s="10" t="s">
        <v>153</v>
      </c>
      <c r="I82" s="10">
        <v>100</v>
      </c>
      <c r="N82" s="6" t="s">
        <v>4</v>
      </c>
      <c r="O82" s="18" t="s">
        <v>122</v>
      </c>
      <c r="P82" s="18" t="s">
        <v>153</v>
      </c>
      <c r="Q82" s="18" t="s">
        <v>125</v>
      </c>
      <c r="R82" s="18" t="s">
        <v>126</v>
      </c>
      <c r="S82" s="18" t="s">
        <v>127</v>
      </c>
      <c r="T82" s="18" t="s">
        <v>128</v>
      </c>
      <c r="U82" s="18" t="s">
        <v>123</v>
      </c>
      <c r="V82" s="18" t="s">
        <v>121</v>
      </c>
      <c r="W82" s="18" t="s">
        <v>119</v>
      </c>
      <c r="X82" s="36" t="s">
        <v>120</v>
      </c>
      <c r="Y82" s="6"/>
      <c r="Z82" s="18" t="s">
        <v>153</v>
      </c>
      <c r="AA82" s="18" t="s">
        <v>125</v>
      </c>
      <c r="AB82" s="18" t="s">
        <v>126</v>
      </c>
      <c r="AC82" s="18" t="s">
        <v>127</v>
      </c>
      <c r="AD82" s="18" t="s">
        <v>128</v>
      </c>
      <c r="AE82" s="18" t="s">
        <v>123</v>
      </c>
      <c r="AF82" s="18" t="s">
        <v>121</v>
      </c>
      <c r="AG82" s="18" t="s">
        <v>119</v>
      </c>
      <c r="AH82" s="36" t="s">
        <v>120</v>
      </c>
      <c r="BB82" s="59" t="str">
        <f>IFERROR($BC$3&amp;VLOOKUP(B84,'Pay Table'!$M$3:$N$18,2,FALSE)&amp;$BB$3&amp;C84&amp;$BD$3,"")</f>
        <v/>
      </c>
      <c r="BC82" s="49" t="str">
        <f>IFERROR($BC$3&amp;VLOOKUP(D84,'Pay Table'!$M$3:$N$18,2,FALSE)&amp;$BB$3&amp;E84&amp;$BD$3,"")</f>
        <v/>
      </c>
      <c r="BD82" s="49" t="str">
        <f>IFERROR($BC$3&amp;VLOOKUP(F84,'Pay Table'!$M$3:$N$18,2,FALSE)&amp;$BB$3&amp;G84&amp;$BD$3,"")</f>
        <v/>
      </c>
      <c r="BE82" s="49" t="str">
        <f>IFERROR($BC$3&amp;VLOOKUP(H84,'Pay Table'!$M$3:$N$18,2,FALSE)&amp;$BB$3&amp;I84&amp;$BD$3,"")</f>
        <v>[6,100]</v>
      </c>
      <c r="BF82" s="60" t="str">
        <f>IFERROR($BC$3&amp;VLOOKUP(J84,'Pay Table'!$M$3:$N$18,2,FALSE)&amp;$BB$3&amp;K84&amp;$BD$3,"")</f>
        <v/>
      </c>
    </row>
    <row r="83" spans="1:58" ht="17.100000000000001" customHeight="1" x14ac:dyDescent="0.15">
      <c r="A83" s="14">
        <v>78</v>
      </c>
      <c r="H83" s="10" t="s">
        <v>123</v>
      </c>
      <c r="I83" s="10">
        <v>100</v>
      </c>
      <c r="N83" s="4">
        <v>2</v>
      </c>
      <c r="O83" s="176"/>
      <c r="P83" s="177">
        <v>0</v>
      </c>
      <c r="Q83" s="177">
        <v>0</v>
      </c>
      <c r="R83" s="177">
        <v>0</v>
      </c>
      <c r="S83" s="177">
        <v>0</v>
      </c>
      <c r="T83" s="177">
        <v>0</v>
      </c>
      <c r="U83" s="177">
        <v>0</v>
      </c>
      <c r="V83" s="177">
        <v>0</v>
      </c>
      <c r="W83" s="177">
        <v>0</v>
      </c>
      <c r="X83" s="178">
        <v>0</v>
      </c>
      <c r="Y83" s="4">
        <v>2</v>
      </c>
      <c r="Z83" s="149">
        <f>P83/SUM($P$83:$P$91)</f>
        <v>0</v>
      </c>
      <c r="AA83" s="149">
        <f>Q83/SUM($Q$83:$Q$91)</f>
        <v>0</v>
      </c>
      <c r="AB83" s="149">
        <f>R83/SUM($R$83:$R$91)</f>
        <v>0</v>
      </c>
      <c r="AC83" s="149">
        <f>S83/SUM($S$83:$S$91)</f>
        <v>0</v>
      </c>
      <c r="AD83" s="149">
        <f>T83/SUM($T$83:$T$91)</f>
        <v>0</v>
      </c>
      <c r="AE83" s="149">
        <f>U83/SUM($U$83:$U$91)</f>
        <v>0</v>
      </c>
      <c r="AF83" s="149">
        <f>V83/SUM($V$83:$V$91)</f>
        <v>0</v>
      </c>
      <c r="AG83" s="149">
        <f>W83/SUM($W$83:$W$91)</f>
        <v>0</v>
      </c>
      <c r="AH83" s="150">
        <f>X83/SUM($X$83:$X$91)</f>
        <v>0</v>
      </c>
      <c r="BB83" s="59" t="str">
        <f>IFERROR($BC$3&amp;VLOOKUP(B85,'Pay Table'!$M$3:$N$18,2,FALSE)&amp;$BB$3&amp;C85&amp;$BD$3,"")</f>
        <v/>
      </c>
      <c r="BC83" s="49" t="str">
        <f>IFERROR($BC$3&amp;VLOOKUP(D85,'Pay Table'!$M$3:$N$18,2,FALSE)&amp;$BB$3&amp;E85&amp;$BD$3,"")</f>
        <v/>
      </c>
      <c r="BD83" s="49" t="str">
        <f>IFERROR($BC$3&amp;VLOOKUP(F85,'Pay Table'!$M$3:$N$18,2,FALSE)&amp;$BB$3&amp;G85&amp;$BD$3,"")</f>
        <v/>
      </c>
      <c r="BE83" s="49" t="str">
        <f>IFERROR($BC$3&amp;VLOOKUP(H85,'Pay Table'!$M$3:$N$18,2,FALSE)&amp;$BB$3&amp;I85&amp;$BD$3,"")</f>
        <v>[1,100]</v>
      </c>
      <c r="BF83" s="60" t="str">
        <f>IFERROR($BC$3&amp;VLOOKUP(J85,'Pay Table'!$M$3:$N$18,2,FALSE)&amp;$BB$3&amp;K85&amp;$BD$3,"")</f>
        <v/>
      </c>
    </row>
    <row r="84" spans="1:58" ht="17.100000000000001" customHeight="1" x14ac:dyDescent="0.15">
      <c r="A84" s="14">
        <v>79</v>
      </c>
      <c r="H84" s="10" t="s">
        <v>121</v>
      </c>
      <c r="I84" s="10">
        <v>100</v>
      </c>
      <c r="N84" s="4">
        <v>3</v>
      </c>
      <c r="O84" s="179"/>
      <c r="P84" s="314">
        <v>5.5874000000000002E-3</v>
      </c>
      <c r="Q84" s="314">
        <v>6.2655000000000002E-3</v>
      </c>
      <c r="R84" s="314">
        <v>6.0555000000000001E-3</v>
      </c>
      <c r="S84" s="314">
        <v>3.2808999999999998E-3</v>
      </c>
      <c r="T84" s="314">
        <v>5.5557000000000002E-3</v>
      </c>
      <c r="U84" s="314">
        <v>1.2221999999999999E-3</v>
      </c>
      <c r="V84" s="314">
        <v>2.1407000000000002E-3</v>
      </c>
      <c r="W84" s="314">
        <v>1.6031000000000001E-3</v>
      </c>
      <c r="X84" s="181">
        <v>5.5340000000000001E-4</v>
      </c>
      <c r="Y84" s="4">
        <v>3</v>
      </c>
      <c r="Z84" s="152">
        <f t="shared" ref="Z84:Z91" si="58">P84/SUM($P$83:$P$91)</f>
        <v>0.5983187878138887</v>
      </c>
      <c r="AA84" s="152">
        <f t="shared" ref="AA84:AA91" si="59">Q84/SUM($Q$83:$Q$91)</f>
        <v>0.65116399916857204</v>
      </c>
      <c r="AB84" s="152">
        <f t="shared" ref="AB84:AB91" si="60">R84/SUM($R$83:$R$91)</f>
        <v>0.79062814168766571</v>
      </c>
      <c r="AC84" s="152">
        <f t="shared" ref="AC84:AC91" si="61">S84/SUM($S$83:$S$91)</f>
        <v>0.71361144945188781</v>
      </c>
      <c r="AD84" s="152">
        <f t="shared" ref="AD84:AD91" si="62">T84/SUM($T$83:$T$91)</f>
        <v>0.76032571506774327</v>
      </c>
      <c r="AE84" s="152">
        <f t="shared" ref="AE84:AE91" si="63">U84/SUM($U$83:$U$91)</f>
        <v>0.70720981367897218</v>
      </c>
      <c r="AF84" s="152">
        <f t="shared" ref="AF84:AF91" si="64">V84/SUM($V$83:$V$91)</f>
        <v>0.72404112832307388</v>
      </c>
      <c r="AG84" s="152">
        <f t="shared" ref="AG84:AG91" si="65">W84/SUM($W$83:$W$91)</f>
        <v>0.7248270561106841</v>
      </c>
      <c r="AH84" s="153">
        <f t="shared" ref="AH84:AH91" si="66">X84/SUM($X$83:$X$91)</f>
        <v>0.73424439432134814</v>
      </c>
      <c r="BB84" s="59" t="str">
        <f>IFERROR($BC$3&amp;VLOOKUP(B86,'Pay Table'!$M$3:$N$18,2,FALSE)&amp;$BB$3&amp;C86&amp;$BD$3,"")</f>
        <v/>
      </c>
      <c r="BC84" s="49" t="str">
        <f>IFERROR($BC$3&amp;VLOOKUP(D86,'Pay Table'!$M$3:$N$18,2,FALSE)&amp;$BB$3&amp;E86&amp;$BD$3,"")</f>
        <v/>
      </c>
      <c r="BD84" s="49" t="str">
        <f>IFERROR($BC$3&amp;VLOOKUP(F86,'Pay Table'!$M$3:$N$18,2,FALSE)&amp;$BB$3&amp;G86&amp;$BD$3,"")</f>
        <v/>
      </c>
      <c r="BE84" s="49" t="str">
        <f>IFERROR($BC$3&amp;VLOOKUP(H86,'Pay Table'!$M$3:$N$18,2,FALSE)&amp;$BB$3&amp;I86&amp;$BD$3,"")</f>
        <v/>
      </c>
      <c r="BF84" s="60" t="str">
        <f>IFERROR($BC$3&amp;VLOOKUP(J86,'Pay Table'!$M$3:$N$18,2,FALSE)&amp;$BB$3&amp;K86&amp;$BD$3,"")</f>
        <v/>
      </c>
    </row>
    <row r="85" spans="1:58" ht="17.100000000000001" customHeight="1" x14ac:dyDescent="0.15">
      <c r="A85" s="14">
        <v>80</v>
      </c>
      <c r="H85" s="10" t="s">
        <v>152</v>
      </c>
      <c r="I85" s="10">
        <v>100</v>
      </c>
      <c r="N85" s="4">
        <v>4</v>
      </c>
      <c r="O85" s="179"/>
      <c r="P85" s="314">
        <v>2.2669000000000001E-3</v>
      </c>
      <c r="Q85" s="314">
        <v>2.1266000000000002E-3</v>
      </c>
      <c r="R85" s="314">
        <v>1.2455999999999999E-3</v>
      </c>
      <c r="S85" s="314">
        <v>9.6860000000000002E-4</v>
      </c>
      <c r="T85" s="314">
        <v>1.2715999999999999E-3</v>
      </c>
      <c r="U85" s="314">
        <v>4.1370000000000003E-4</v>
      </c>
      <c r="V85" s="314">
        <v>6.3789999999999995E-4</v>
      </c>
      <c r="W85" s="314">
        <v>4.8440000000000001E-4</v>
      </c>
      <c r="X85" s="181">
        <v>1.6310000000000001E-4</v>
      </c>
      <c r="Y85" s="4">
        <v>4</v>
      </c>
      <c r="Z85" s="152">
        <f t="shared" si="58"/>
        <v>0.24274776463029391</v>
      </c>
      <c r="AA85" s="152">
        <f t="shared" si="59"/>
        <v>0.22101434213261278</v>
      </c>
      <c r="AB85" s="152">
        <f t="shared" si="60"/>
        <v>0.16263007402958574</v>
      </c>
      <c r="AC85" s="152">
        <f t="shared" si="61"/>
        <v>0.21067513485296677</v>
      </c>
      <c r="AD85" s="152">
        <f t="shared" si="62"/>
        <v>0.17402490762282741</v>
      </c>
      <c r="AE85" s="152">
        <f t="shared" si="63"/>
        <v>0.23938201597037378</v>
      </c>
      <c r="AF85" s="152">
        <f t="shared" si="64"/>
        <v>0.21575458296692146</v>
      </c>
      <c r="AG85" s="152">
        <f t="shared" si="65"/>
        <v>0.21901704571144368</v>
      </c>
      <c r="AH85" s="153">
        <f t="shared" si="66"/>
        <v>0.21639909778426433</v>
      </c>
      <c r="AQ85"/>
      <c r="BB85" s="59" t="str">
        <f>IFERROR($BC$3&amp;VLOOKUP(B87,'Pay Table'!$M$3:$N$18,2,FALSE)&amp;$BB$3&amp;C87&amp;$BD$3,"")</f>
        <v/>
      </c>
      <c r="BC85" s="49" t="str">
        <f>IFERROR($BC$3&amp;VLOOKUP(D87,'Pay Table'!$M$3:$N$18,2,FALSE)&amp;$BB$3&amp;E87&amp;$BD$3,"")</f>
        <v/>
      </c>
      <c r="BD85" s="49" t="str">
        <f>IFERROR($BC$3&amp;VLOOKUP(F87,'Pay Table'!$M$3:$N$18,2,FALSE)&amp;$BB$3&amp;G87&amp;$BD$3,"")</f>
        <v/>
      </c>
      <c r="BE85" s="49" t="str">
        <f>IFERROR($BC$3&amp;VLOOKUP(H87,'Pay Table'!$M$3:$N$18,2,FALSE)&amp;$BB$3&amp;I87&amp;$BD$3,"")</f>
        <v/>
      </c>
      <c r="BF85" s="60" t="str">
        <f>IFERROR($BC$3&amp;VLOOKUP(J87,'Pay Table'!$M$3:$N$18,2,FALSE)&amp;$BB$3&amp;K87&amp;$BD$3,"")</f>
        <v/>
      </c>
    </row>
    <row r="86" spans="1:58" ht="17.100000000000001" customHeight="1" x14ac:dyDescent="0.15">
      <c r="A86" s="14">
        <v>81</v>
      </c>
      <c r="N86" s="4">
        <v>5</v>
      </c>
      <c r="O86" s="179"/>
      <c r="P86" s="314">
        <v>9.4490000000000004E-4</v>
      </c>
      <c r="Q86" s="314">
        <v>7.6880000000000004E-4</v>
      </c>
      <c r="R86" s="314">
        <v>2.6790000000000001E-4</v>
      </c>
      <c r="S86" s="314">
        <v>2.4399999999999999E-4</v>
      </c>
      <c r="T86" s="314">
        <v>3.3270000000000001E-4</v>
      </c>
      <c r="U86" s="314">
        <v>7.4400000000000006E-5</v>
      </c>
      <c r="V86" s="314">
        <v>1.406E-4</v>
      </c>
      <c r="W86" s="314">
        <v>9.8200000000000002E-5</v>
      </c>
      <c r="X86" s="181">
        <v>2.9899999999999998E-5</v>
      </c>
      <c r="Y86" s="4">
        <v>5</v>
      </c>
      <c r="Z86" s="152">
        <f t="shared" si="58"/>
        <v>0.10118327354500187</v>
      </c>
      <c r="AA86" s="152">
        <f t="shared" si="59"/>
        <v>7.9900228642693832E-2</v>
      </c>
      <c r="AB86" s="152">
        <f t="shared" si="60"/>
        <v>3.4978000026112732E-2</v>
      </c>
      <c r="AC86" s="152">
        <f t="shared" si="61"/>
        <v>5.3071167565686438E-2</v>
      </c>
      <c r="AD86" s="152">
        <f t="shared" si="62"/>
        <v>4.5531681948816204E-2</v>
      </c>
      <c r="AE86" s="152">
        <f t="shared" si="63"/>
        <v>4.3050572850364538E-2</v>
      </c>
      <c r="AF86" s="152">
        <f t="shared" si="64"/>
        <v>4.7554623554082395E-2</v>
      </c>
      <c r="AG86" s="152">
        <f t="shared" si="65"/>
        <v>4.4400235113261292E-2</v>
      </c>
      <c r="AH86" s="153">
        <f t="shared" si="66"/>
        <v>3.9670956614037418E-2</v>
      </c>
      <c r="AQ86"/>
      <c r="BB86" s="59" t="str">
        <f>IFERROR($BC$3&amp;VLOOKUP(B88,'Pay Table'!$M$3:$N$18,2,FALSE)&amp;$BB$3&amp;C88&amp;$BD$3,"")</f>
        <v/>
      </c>
      <c r="BC86" s="49" t="str">
        <f>IFERROR($BC$3&amp;VLOOKUP(D88,'Pay Table'!$M$3:$N$18,2,FALSE)&amp;$BB$3&amp;E88&amp;$BD$3,"")</f>
        <v/>
      </c>
      <c r="BD86" s="49" t="str">
        <f>IFERROR($BC$3&amp;VLOOKUP(F88,'Pay Table'!$M$3:$N$18,2,FALSE)&amp;$BB$3&amp;G88&amp;$BD$3,"")</f>
        <v/>
      </c>
      <c r="BE86" s="49" t="str">
        <f>IFERROR($BC$3&amp;VLOOKUP(H88,'Pay Table'!$M$3:$N$18,2,FALSE)&amp;$BB$3&amp;I88&amp;$BD$3,"")</f>
        <v/>
      </c>
      <c r="BF86" s="60" t="str">
        <f>IFERROR($BC$3&amp;VLOOKUP(J88,'Pay Table'!$M$3:$N$18,2,FALSE)&amp;$BB$3&amp;K88&amp;$BD$3,"")</f>
        <v/>
      </c>
    </row>
    <row r="87" spans="1:58" ht="17.100000000000001" customHeight="1" x14ac:dyDescent="0.15">
      <c r="A87" s="14">
        <v>82</v>
      </c>
      <c r="N87" s="4">
        <v>6</v>
      </c>
      <c r="O87" s="179"/>
      <c r="P87" s="314">
        <v>3.1859999999999999E-4</v>
      </c>
      <c r="Q87" s="314">
        <v>2.8150000000000001E-4</v>
      </c>
      <c r="R87" s="314">
        <v>6.7100000000000005E-5</v>
      </c>
      <c r="S87" s="314">
        <v>7.5699999999999997E-5</v>
      </c>
      <c r="T87" s="314">
        <v>1.059E-4</v>
      </c>
      <c r="U87" s="314">
        <v>1.5299999999999999E-5</v>
      </c>
      <c r="V87" s="314">
        <v>3.3200000000000001E-5</v>
      </c>
      <c r="W87" s="314">
        <v>2.2200000000000001E-5</v>
      </c>
      <c r="X87" s="181">
        <v>5.9000000000000003E-6</v>
      </c>
      <c r="Y87" s="4">
        <v>6</v>
      </c>
      <c r="Z87" s="152">
        <f t="shared" si="58"/>
        <v>3.4116828184397915E-2</v>
      </c>
      <c r="AA87" s="152">
        <f t="shared" si="59"/>
        <v>2.9255871960091457E-2</v>
      </c>
      <c r="AB87" s="152">
        <f t="shared" si="60"/>
        <v>8.7608204619341705E-3</v>
      </c>
      <c r="AC87" s="152">
        <f t="shared" si="61"/>
        <v>1.6465112232469114E-2</v>
      </c>
      <c r="AD87" s="152">
        <f t="shared" si="62"/>
        <v>1.4492951963870262E-2</v>
      </c>
      <c r="AE87" s="152">
        <f t="shared" si="63"/>
        <v>8.8531419974539963E-3</v>
      </c>
      <c r="AF87" s="152">
        <f t="shared" si="64"/>
        <v>1.1229114523439087E-2</v>
      </c>
      <c r="AG87" s="152">
        <f t="shared" si="65"/>
        <v>1.0037527693629335E-2</v>
      </c>
      <c r="AH87" s="153">
        <f t="shared" si="66"/>
        <v>7.8280482950776175E-3</v>
      </c>
      <c r="AQ87"/>
      <c r="BB87" s="59" t="str">
        <f>IFERROR($BC$3&amp;VLOOKUP(B89,'Pay Table'!$M$3:$N$18,2,FALSE)&amp;$BB$3&amp;C89&amp;$BD$3,"")</f>
        <v/>
      </c>
      <c r="BC87" s="49" t="str">
        <f>IFERROR($BC$3&amp;VLOOKUP(D89,'Pay Table'!$M$3:$N$18,2,FALSE)&amp;$BB$3&amp;E89&amp;$BD$3,"")</f>
        <v/>
      </c>
      <c r="BD87" s="49" t="str">
        <f>IFERROR($BC$3&amp;VLOOKUP(F89,'Pay Table'!$M$3:$N$18,2,FALSE)&amp;$BB$3&amp;G89&amp;$BD$3,"")</f>
        <v/>
      </c>
      <c r="BE87" s="49" t="str">
        <f>IFERROR($BC$3&amp;VLOOKUP(H89,'Pay Table'!$M$3:$N$18,2,FALSE)&amp;$BB$3&amp;I89&amp;$BD$3,"")</f>
        <v/>
      </c>
      <c r="BF87" s="60" t="str">
        <f>IFERROR($BC$3&amp;VLOOKUP(J89,'Pay Table'!$M$3:$N$18,2,FALSE)&amp;$BB$3&amp;K89&amp;$BD$3,"")</f>
        <v/>
      </c>
    </row>
    <row r="88" spans="1:58" ht="17.100000000000001" customHeight="1" x14ac:dyDescent="0.15">
      <c r="A88" s="14">
        <v>83</v>
      </c>
      <c r="N88" s="4">
        <v>7</v>
      </c>
      <c r="O88" s="179"/>
      <c r="P88" s="314">
        <v>1.2520000000000001E-4</v>
      </c>
      <c r="Q88" s="314">
        <v>1.098E-4</v>
      </c>
      <c r="R88" s="314">
        <v>1.63E-5</v>
      </c>
      <c r="S88" s="314">
        <v>2.1699999999999999E-5</v>
      </c>
      <c r="T88" s="314">
        <v>3.04E-5</v>
      </c>
      <c r="U88" s="314">
        <v>2.0999999999999998E-6</v>
      </c>
      <c r="V88" s="314">
        <v>3.9999999999999998E-6</v>
      </c>
      <c r="W88" s="314">
        <v>3.4000000000000001E-6</v>
      </c>
      <c r="X88" s="181">
        <v>1.1999999999999999E-6</v>
      </c>
      <c r="Y88" s="4">
        <v>7</v>
      </c>
      <c r="Z88" s="152">
        <f t="shared" si="58"/>
        <v>1.3406864057396797E-2</v>
      </c>
      <c r="AA88" s="152">
        <f t="shared" si="59"/>
        <v>1.1411348991893576E-2</v>
      </c>
      <c r="AB88" s="152">
        <f t="shared" si="60"/>
        <v>2.1281873849407894E-3</v>
      </c>
      <c r="AC88" s="152">
        <f t="shared" si="61"/>
        <v>4.7198538367844087E-3</v>
      </c>
      <c r="AD88" s="152">
        <f t="shared" si="62"/>
        <v>4.1603941426029837E-3</v>
      </c>
      <c r="AE88" s="152">
        <f t="shared" si="63"/>
        <v>1.2151371369054505E-3</v>
      </c>
      <c r="AF88" s="152">
        <f t="shared" si="64"/>
        <v>1.3529053642697695E-3</v>
      </c>
      <c r="AG88" s="152">
        <f t="shared" si="65"/>
        <v>1.5372790161414297E-3</v>
      </c>
      <c r="AH88" s="153">
        <f t="shared" si="66"/>
        <v>1.5921454159479899E-3</v>
      </c>
      <c r="AQ88"/>
      <c r="BB88" s="59" t="str">
        <f>IFERROR($BC$3&amp;VLOOKUP(B90,'Pay Table'!$M$3:$N$18,2,FALSE)&amp;$BB$3&amp;C90&amp;$BD$3,"")</f>
        <v/>
      </c>
      <c r="BC88" s="49" t="str">
        <f>IFERROR($BC$3&amp;VLOOKUP(D90,'Pay Table'!$M$3:$N$18,2,FALSE)&amp;$BB$3&amp;E90&amp;$BD$3,"")</f>
        <v/>
      </c>
      <c r="BD88" s="49" t="str">
        <f>IFERROR($BC$3&amp;VLOOKUP(F90,'Pay Table'!$M$3:$N$18,2,FALSE)&amp;$BB$3&amp;G90&amp;$BD$3,"")</f>
        <v/>
      </c>
      <c r="BE88" s="49" t="str">
        <f>IFERROR($BC$3&amp;VLOOKUP(H90,'Pay Table'!$M$3:$N$18,2,FALSE)&amp;$BB$3&amp;I90&amp;$BD$3,"")</f>
        <v/>
      </c>
      <c r="BF88" s="60" t="str">
        <f>IFERROR($BC$3&amp;VLOOKUP(J90,'Pay Table'!$M$3:$N$18,2,FALSE)&amp;$BB$3&amp;K90&amp;$BD$3,"")</f>
        <v/>
      </c>
    </row>
    <row r="89" spans="1:58" ht="17.100000000000001" customHeight="1" x14ac:dyDescent="0.15">
      <c r="A89" s="14">
        <v>84</v>
      </c>
      <c r="N89" s="4">
        <v>8</v>
      </c>
      <c r="O89" s="179"/>
      <c r="P89" s="314">
        <v>6.4300000000000004E-5</v>
      </c>
      <c r="Q89" s="314">
        <v>4.8399999999999997E-5</v>
      </c>
      <c r="R89" s="314">
        <v>5.5999999999999997E-6</v>
      </c>
      <c r="S89" s="314">
        <v>5.1000000000000003E-6</v>
      </c>
      <c r="T89" s="314">
        <v>9.5000000000000005E-6</v>
      </c>
      <c r="U89" s="314">
        <v>3.9999999999999998E-7</v>
      </c>
      <c r="V89" s="183">
        <v>9.9999999999999995E-8</v>
      </c>
      <c r="W89" s="314">
        <v>2.9999999999999999E-7</v>
      </c>
      <c r="X89" s="183">
        <v>9.9999999999999995E-8</v>
      </c>
      <c r="Y89" s="4">
        <v>8</v>
      </c>
      <c r="Z89" s="152">
        <f t="shared" si="58"/>
        <v>6.8854741125448406E-3</v>
      </c>
      <c r="AA89" s="152">
        <f t="shared" si="59"/>
        <v>5.0301392641862392E-3</v>
      </c>
      <c r="AB89" s="152">
        <f t="shared" si="60"/>
        <v>7.3115640218824663E-4</v>
      </c>
      <c r="AC89" s="152">
        <f t="shared" si="61"/>
        <v>1.1092744040368887E-3</v>
      </c>
      <c r="AD89" s="152">
        <f t="shared" si="62"/>
        <v>1.3001231695634323E-3</v>
      </c>
      <c r="AE89" s="152">
        <f t="shared" si="63"/>
        <v>2.3145469274389534E-4</v>
      </c>
      <c r="AF89" s="152">
        <f t="shared" si="64"/>
        <v>3.3822634106744234E-5</v>
      </c>
      <c r="AG89" s="152">
        <f t="shared" si="65"/>
        <v>1.3564226613012613E-4</v>
      </c>
      <c r="AH89" s="153">
        <f t="shared" si="66"/>
        <v>1.3267878466233248E-4</v>
      </c>
      <c r="AQ89"/>
      <c r="BB89" s="59" t="str">
        <f>IFERROR($BC$3&amp;VLOOKUP(B91,'Pay Table'!$M$3:$N$18,2,FALSE)&amp;$BB$3&amp;C91&amp;$BD$3,"")</f>
        <v/>
      </c>
      <c r="BC89" s="49" t="str">
        <f>IFERROR($BC$3&amp;VLOOKUP(D91,'Pay Table'!$M$3:$N$18,2,FALSE)&amp;$BB$3&amp;E91&amp;$BD$3,"")</f>
        <v/>
      </c>
      <c r="BD89" s="49" t="str">
        <f>IFERROR($BC$3&amp;VLOOKUP(F91,'Pay Table'!$M$3:$N$18,2,FALSE)&amp;$BB$3&amp;G91&amp;$BD$3,"")</f>
        <v/>
      </c>
      <c r="BE89" s="49" t="str">
        <f>IFERROR($BC$3&amp;VLOOKUP(H91,'Pay Table'!$M$3:$N$18,2,FALSE)&amp;$BB$3&amp;I91&amp;$BD$3,"")</f>
        <v/>
      </c>
      <c r="BF89" s="60" t="str">
        <f>IFERROR($BC$3&amp;VLOOKUP(J91,'Pay Table'!$M$3:$N$18,2,FALSE)&amp;$BB$3&amp;K91&amp;$BD$3,"")</f>
        <v/>
      </c>
    </row>
    <row r="90" spans="1:58" ht="17.100000000000001" customHeight="1" x14ac:dyDescent="0.15">
      <c r="A90" s="14">
        <v>85</v>
      </c>
      <c r="N90" s="4">
        <v>9</v>
      </c>
      <c r="O90" s="179"/>
      <c r="P90" s="314">
        <v>2.6800000000000001E-5</v>
      </c>
      <c r="Q90" s="314">
        <v>1.7799999999999999E-5</v>
      </c>
      <c r="R90" s="314">
        <v>9.9999999999999995E-7</v>
      </c>
      <c r="S90" s="314">
        <v>1.5E-6</v>
      </c>
      <c r="T90" s="314">
        <v>1.1000000000000001E-6</v>
      </c>
      <c r="U90" s="183">
        <v>9.9999999999999995E-8</v>
      </c>
      <c r="V90" s="183">
        <v>9.9999999999999995E-8</v>
      </c>
      <c r="W90" s="183">
        <v>9.9999999999999995E-8</v>
      </c>
      <c r="X90" s="183">
        <v>9.9999999999999995E-8</v>
      </c>
      <c r="Y90" s="4">
        <v>9</v>
      </c>
      <c r="Z90" s="152">
        <f t="shared" si="58"/>
        <v>2.8698399100497937E-3</v>
      </c>
      <c r="AA90" s="152">
        <f t="shared" si="59"/>
        <v>1.8499272500519641E-3</v>
      </c>
      <c r="AB90" s="152">
        <f t="shared" si="60"/>
        <v>1.305636432479012E-4</v>
      </c>
      <c r="AC90" s="152">
        <f t="shared" si="61"/>
        <v>3.2625717765790845E-4</v>
      </c>
      <c r="AD90" s="152">
        <f t="shared" si="62"/>
        <v>1.5054057752839743E-4</v>
      </c>
      <c r="AE90" s="152">
        <f t="shared" si="63"/>
        <v>5.7863673185973835E-5</v>
      </c>
      <c r="AF90" s="152">
        <f t="shared" si="64"/>
        <v>3.3822634106744234E-5</v>
      </c>
      <c r="AG90" s="152">
        <f t="shared" si="65"/>
        <v>4.521408871004205E-5</v>
      </c>
      <c r="AH90" s="153">
        <f t="shared" si="66"/>
        <v>1.3267878466233248E-4</v>
      </c>
      <c r="AQ90"/>
      <c r="BB90" s="59" t="str">
        <f>IFERROR($BC$3&amp;VLOOKUP(B92,'Pay Table'!$M$3:$N$18,2,FALSE)&amp;$BB$3&amp;C92&amp;$BD$3,"")</f>
        <v/>
      </c>
      <c r="BC90" s="49" t="str">
        <f>IFERROR($BC$3&amp;VLOOKUP(D92,'Pay Table'!$M$3:$N$18,2,FALSE)&amp;$BB$3&amp;E92&amp;$BD$3,"")</f>
        <v/>
      </c>
      <c r="BD90" s="49" t="str">
        <f>IFERROR($BC$3&amp;VLOOKUP(F92,'Pay Table'!$M$3:$N$18,2,FALSE)&amp;$BB$3&amp;G92&amp;$BD$3,"")</f>
        <v/>
      </c>
      <c r="BE90" s="49" t="str">
        <f>IFERROR($BC$3&amp;VLOOKUP(H92,'Pay Table'!$M$3:$N$18,2,FALSE)&amp;$BB$3&amp;I92&amp;$BD$3,"")</f>
        <v/>
      </c>
      <c r="BF90" s="60" t="str">
        <f>IFERROR($BC$3&amp;VLOOKUP(J92,'Pay Table'!$M$3:$N$18,2,FALSE)&amp;$BB$3&amp;K92&amp;$BD$3,"")</f>
        <v/>
      </c>
    </row>
    <row r="91" spans="1:58" ht="17.100000000000001" customHeight="1" x14ac:dyDescent="0.15">
      <c r="A91" s="14">
        <v>86</v>
      </c>
      <c r="N91" s="19">
        <v>10</v>
      </c>
      <c r="O91" s="182"/>
      <c r="P91" s="183">
        <v>4.4000000000000002E-6</v>
      </c>
      <c r="Q91" s="183">
        <v>3.5999999999999998E-6</v>
      </c>
      <c r="R91" s="183">
        <v>9.9999999999999995E-8</v>
      </c>
      <c r="S91" s="183">
        <v>9.9999999999999995E-8</v>
      </c>
      <c r="T91" s="183">
        <v>9.9999999999999995E-8</v>
      </c>
      <c r="U91" s="183">
        <v>0</v>
      </c>
      <c r="V91" s="183">
        <v>0</v>
      </c>
      <c r="W91" s="183">
        <v>0</v>
      </c>
      <c r="X91" s="184">
        <v>0</v>
      </c>
      <c r="Y91" s="19">
        <v>10</v>
      </c>
      <c r="Z91" s="155">
        <f t="shared" si="58"/>
        <v>4.7116774642608553E-4</v>
      </c>
      <c r="AA91" s="155">
        <f t="shared" si="59"/>
        <v>3.7414258989815002E-4</v>
      </c>
      <c r="AB91" s="155">
        <f t="shared" si="60"/>
        <v>1.3056364324790119E-5</v>
      </c>
      <c r="AC91" s="155">
        <f t="shared" si="61"/>
        <v>2.1750478510527229E-5</v>
      </c>
      <c r="AD91" s="155">
        <f t="shared" si="62"/>
        <v>1.3685507048036128E-5</v>
      </c>
      <c r="AE91" s="155">
        <f t="shared" si="63"/>
        <v>0</v>
      </c>
      <c r="AF91" s="155">
        <f t="shared" si="64"/>
        <v>0</v>
      </c>
      <c r="AG91" s="155">
        <f t="shared" si="65"/>
        <v>0</v>
      </c>
      <c r="AH91" s="156">
        <f t="shared" si="66"/>
        <v>0</v>
      </c>
      <c r="BB91" s="59" t="str">
        <f>IFERROR($BC$3&amp;VLOOKUP(B93,'Pay Table'!$M$3:$N$18,2,FALSE)&amp;$BB$3&amp;C93&amp;$BD$3,"")</f>
        <v/>
      </c>
      <c r="BC91" s="49" t="str">
        <f>IFERROR($BC$3&amp;VLOOKUP(D93,'Pay Table'!$M$3:$N$18,2,FALSE)&amp;$BB$3&amp;E93&amp;$BD$3,"")</f>
        <v/>
      </c>
      <c r="BD91" s="49" t="str">
        <f>IFERROR($BC$3&amp;VLOOKUP(F93,'Pay Table'!$M$3:$N$18,2,FALSE)&amp;$BB$3&amp;G93&amp;$BD$3,"")</f>
        <v/>
      </c>
      <c r="BE91" s="49" t="str">
        <f>IFERROR($BC$3&amp;VLOOKUP(H93,'Pay Table'!$M$3:$N$18,2,FALSE)&amp;$BB$3&amp;I93&amp;$BD$3,"")</f>
        <v/>
      </c>
      <c r="BF91" s="60" t="str">
        <f>IFERROR($BC$3&amp;VLOOKUP(J93,'Pay Table'!$M$3:$N$18,2,FALSE)&amp;$BB$3&amp;K93&amp;$BD$3,"")</f>
        <v/>
      </c>
    </row>
    <row r="92" spans="1:58" ht="17.100000000000001" customHeight="1" x14ac:dyDescent="0.15">
      <c r="A92" s="14">
        <v>87</v>
      </c>
      <c r="BB92" s="59" t="str">
        <f>IFERROR($BC$3&amp;VLOOKUP(B94,'Pay Table'!$M$3:$N$18,2,FALSE)&amp;$BB$3&amp;C94&amp;$BD$3,"")</f>
        <v/>
      </c>
      <c r="BC92" s="49" t="str">
        <f>IFERROR($BC$3&amp;VLOOKUP(D94,'Pay Table'!$M$3:$N$18,2,FALSE)&amp;$BB$3&amp;E94&amp;$BD$3,"")</f>
        <v/>
      </c>
      <c r="BD92" s="49" t="str">
        <f>IFERROR($BC$3&amp;VLOOKUP(F94,'Pay Table'!$M$3:$N$18,2,FALSE)&amp;$BB$3&amp;G94&amp;$BD$3,"")</f>
        <v/>
      </c>
      <c r="BE92" s="49" t="str">
        <f>IFERROR($BC$3&amp;VLOOKUP(H94,'Pay Table'!$M$3:$N$18,2,FALSE)&amp;$BB$3&amp;I94&amp;$BD$3,"")</f>
        <v/>
      </c>
      <c r="BF92" s="60" t="str">
        <f>IFERROR($BC$3&amp;VLOOKUP(J94,'Pay Table'!$M$3:$N$18,2,FALSE)&amp;$BB$3&amp;K94&amp;$BD$3,"")</f>
        <v/>
      </c>
    </row>
    <row r="93" spans="1:58" ht="17.100000000000001" customHeight="1" x14ac:dyDescent="0.15">
      <c r="A93" s="14">
        <v>88</v>
      </c>
      <c r="N93" s="7" t="s">
        <v>402</v>
      </c>
      <c r="O93" s="21">
        <v>2</v>
      </c>
      <c r="P93" s="21">
        <v>3</v>
      </c>
      <c r="Q93" s="21">
        <v>4</v>
      </c>
      <c r="R93" s="21">
        <v>5</v>
      </c>
      <c r="S93" s="21">
        <v>6</v>
      </c>
      <c r="T93" s="21">
        <v>7</v>
      </c>
      <c r="U93" s="21">
        <v>8</v>
      </c>
      <c r="V93" s="21">
        <v>9</v>
      </c>
      <c r="W93" s="20">
        <v>10</v>
      </c>
      <c r="AA93" s="17" t="s">
        <v>173</v>
      </c>
      <c r="AB93" s="17">
        <v>0</v>
      </c>
      <c r="AC93" s="18">
        <v>1</v>
      </c>
      <c r="AD93" s="18">
        <v>2</v>
      </c>
      <c r="AE93" s="18">
        <v>3</v>
      </c>
      <c r="AF93" s="18">
        <v>4</v>
      </c>
      <c r="AG93" s="36">
        <v>5</v>
      </c>
      <c r="AI93"/>
      <c r="AJ93"/>
      <c r="AK93"/>
      <c r="AL93"/>
      <c r="AM93"/>
      <c r="AN93"/>
      <c r="BB93" s="59" t="str">
        <f>IFERROR($BC$3&amp;VLOOKUP(B95,'Pay Table'!$M$3:$N$18,2,FALSE)&amp;$BB$3&amp;C95&amp;$BD$3,"")</f>
        <v/>
      </c>
      <c r="BC93" s="49" t="str">
        <f>IFERROR($BC$3&amp;VLOOKUP(D95,'Pay Table'!$M$3:$N$18,2,FALSE)&amp;$BB$3&amp;E95&amp;$BD$3,"")</f>
        <v/>
      </c>
      <c r="BD93" s="49" t="str">
        <f>IFERROR($BC$3&amp;VLOOKUP(F95,'Pay Table'!$M$3:$N$18,2,FALSE)&amp;$BB$3&amp;G95&amp;$BD$3,"")</f>
        <v/>
      </c>
      <c r="BE93" s="49" t="str">
        <f>IFERROR($BC$3&amp;VLOOKUP(H95,'Pay Table'!$M$3:$N$18,2,FALSE)&amp;$BB$3&amp;I95&amp;$BD$3,"")</f>
        <v/>
      </c>
      <c r="BF93" s="60" t="str">
        <f>IFERROR($BC$3&amp;VLOOKUP(J95,'Pay Table'!$M$3:$N$18,2,FALSE)&amp;$BB$3&amp;K95&amp;$BD$3,"")</f>
        <v/>
      </c>
    </row>
    <row r="94" spans="1:58" ht="17.100000000000001" customHeight="1" x14ac:dyDescent="0.15">
      <c r="A94" s="14">
        <v>89</v>
      </c>
      <c r="N94" s="2" t="s">
        <v>122</v>
      </c>
      <c r="O94" s="1">
        <f>VLOOKUP(O$93,$N$82:$X$91,2)</f>
        <v>0</v>
      </c>
      <c r="P94" s="1">
        <f t="shared" ref="P94:W94" si="67">VLOOKUP(P$93,$N$82:$X$91,2)</f>
        <v>0</v>
      </c>
      <c r="Q94" s="1">
        <f t="shared" si="67"/>
        <v>0</v>
      </c>
      <c r="R94" s="1">
        <f t="shared" si="67"/>
        <v>0</v>
      </c>
      <c r="S94" s="1">
        <f t="shared" si="67"/>
        <v>0</v>
      </c>
      <c r="T94" s="1">
        <f t="shared" si="67"/>
        <v>0</v>
      </c>
      <c r="U94" s="1">
        <f t="shared" si="67"/>
        <v>0</v>
      </c>
      <c r="V94" s="1">
        <f t="shared" si="67"/>
        <v>0</v>
      </c>
      <c r="W94" s="5">
        <f t="shared" si="67"/>
        <v>0</v>
      </c>
      <c r="X94" s="1">
        <f>SUM(P94:W94)</f>
        <v>0</v>
      </c>
      <c r="Z94" s="1">
        <v>92</v>
      </c>
      <c r="AA94" s="4" t="s">
        <v>259</v>
      </c>
      <c r="AB94" s="7">
        <v>0</v>
      </c>
      <c r="AC94" s="7">
        <v>0.05</v>
      </c>
      <c r="AD94" s="21">
        <v>0.08</v>
      </c>
      <c r="AE94" s="21">
        <v>0.35</v>
      </c>
      <c r="AF94" s="21">
        <v>0.5</v>
      </c>
      <c r="AG94" s="21">
        <v>0.65</v>
      </c>
      <c r="AH94" s="1">
        <f>AVERAGE(AC94:AG94)</f>
        <v>0.32599999999999996</v>
      </c>
      <c r="AI94"/>
      <c r="AJ94"/>
      <c r="AK94"/>
      <c r="AL94"/>
      <c r="AM94"/>
      <c r="AN94"/>
      <c r="BB94" s="59" t="str">
        <f>IFERROR($BC$3&amp;VLOOKUP(B96,'Pay Table'!$M$3:$N$18,2,FALSE)&amp;$BB$3&amp;C96&amp;$BD$3,"")</f>
        <v/>
      </c>
      <c r="BC94" s="49" t="str">
        <f>IFERROR($BC$3&amp;VLOOKUP(D96,'Pay Table'!$M$3:$N$18,2,FALSE)&amp;$BB$3&amp;E96&amp;$BD$3,"")</f>
        <v/>
      </c>
      <c r="BD94" s="49" t="str">
        <f>IFERROR($BC$3&amp;VLOOKUP(F96,'Pay Table'!$M$3:$N$18,2,FALSE)&amp;$BB$3&amp;G96&amp;$BD$3,"")</f>
        <v/>
      </c>
      <c r="BE94" s="49" t="str">
        <f>IFERROR($BC$3&amp;VLOOKUP(H96,'Pay Table'!$M$3:$N$18,2,FALSE)&amp;$BB$3&amp;I96&amp;$BD$3,"")</f>
        <v/>
      </c>
      <c r="BF94" s="60" t="str">
        <f>IFERROR($BC$3&amp;VLOOKUP(J96,'Pay Table'!$M$3:$N$18,2,FALSE)&amp;$BB$3&amp;K96&amp;$BD$3,"")</f>
        <v/>
      </c>
    </row>
    <row r="95" spans="1:58" ht="17.100000000000001" customHeight="1" x14ac:dyDescent="0.15">
      <c r="A95" s="14">
        <v>90</v>
      </c>
      <c r="N95" s="2" t="s">
        <v>153</v>
      </c>
      <c r="O95" s="1">
        <f>VLOOKUP(O$93,$N$82:$X$91,3)</f>
        <v>0</v>
      </c>
      <c r="P95" s="1">
        <f t="shared" ref="P95:W95" si="68">VLOOKUP(P$93,$N$82:$X$91,3)</f>
        <v>5.5874000000000002E-3</v>
      </c>
      <c r="Q95" s="1">
        <f t="shared" si="68"/>
        <v>2.2669000000000001E-3</v>
      </c>
      <c r="R95" s="1">
        <f t="shared" si="68"/>
        <v>9.4490000000000004E-4</v>
      </c>
      <c r="S95" s="1">
        <f t="shared" si="68"/>
        <v>3.1859999999999999E-4</v>
      </c>
      <c r="T95" s="1">
        <f t="shared" si="68"/>
        <v>1.2520000000000001E-4</v>
      </c>
      <c r="U95" s="1">
        <f t="shared" si="68"/>
        <v>6.4300000000000004E-5</v>
      </c>
      <c r="V95" s="1">
        <f t="shared" si="68"/>
        <v>2.6800000000000001E-5</v>
      </c>
      <c r="W95" s="5">
        <f t="shared" si="68"/>
        <v>4.4000000000000002E-6</v>
      </c>
      <c r="X95" s="1">
        <f>SUM(P95:W95)/SUM($O$94:$W$103)</f>
        <v>0.20224410062718726</v>
      </c>
      <c r="Z95" s="1">
        <v>0</v>
      </c>
      <c r="AA95" s="4" t="s">
        <v>153</v>
      </c>
      <c r="AB95" s="2">
        <v>0</v>
      </c>
      <c r="AC95" s="1">
        <v>0.2</v>
      </c>
      <c r="AD95" s="1">
        <v>0.6</v>
      </c>
      <c r="AE95" s="1">
        <v>0.8</v>
      </c>
      <c r="AF95" s="1">
        <v>0.85</v>
      </c>
      <c r="AG95" s="5">
        <v>0.9</v>
      </c>
      <c r="AH95" s="1">
        <f t="shared" ref="AH95:AH99" si="69">AVERAGE(AC95:AG95)</f>
        <v>0.67</v>
      </c>
      <c r="AI95"/>
      <c r="AJ95"/>
      <c r="AK95"/>
      <c r="AL95"/>
      <c r="AM95"/>
      <c r="AN95"/>
      <c r="BB95" s="59" t="str">
        <f>IFERROR($BC$3&amp;VLOOKUP(B97,'Pay Table'!$M$3:$N$18,2,FALSE)&amp;$BB$3&amp;C97&amp;$BD$3,"")</f>
        <v/>
      </c>
      <c r="BC95" s="49" t="str">
        <f>IFERROR($BC$3&amp;VLOOKUP(D97,'Pay Table'!$M$3:$N$18,2,FALSE)&amp;$BB$3&amp;E97&amp;$BD$3,"")</f>
        <v/>
      </c>
      <c r="BD95" s="49" t="str">
        <f>IFERROR($BC$3&amp;VLOOKUP(F97,'Pay Table'!$M$3:$N$18,2,FALSE)&amp;$BB$3&amp;G97&amp;$BD$3,"")</f>
        <v/>
      </c>
      <c r="BE95" s="49" t="str">
        <f>IFERROR($BC$3&amp;VLOOKUP(H97,'Pay Table'!$M$3:$N$18,2,FALSE)&amp;$BB$3&amp;I97&amp;$BD$3,"")</f>
        <v/>
      </c>
      <c r="BF95" s="60" t="str">
        <f>IFERROR($BC$3&amp;VLOOKUP(J97,'Pay Table'!$M$3:$N$18,2,FALSE)&amp;$BB$3&amp;K97&amp;$BD$3,"")</f>
        <v/>
      </c>
    </row>
    <row r="96" spans="1:58" ht="17.100000000000001" customHeight="1" x14ac:dyDescent="0.15">
      <c r="A96" s="14">
        <v>91</v>
      </c>
      <c r="N96" s="2" t="s">
        <v>125</v>
      </c>
      <c r="O96" s="1">
        <f>VLOOKUP(O$93,$N$82:$X$91,4)</f>
        <v>0</v>
      </c>
      <c r="P96" s="1">
        <f t="shared" ref="P96:W96" si="70">VLOOKUP(P$93,$N$82:$X$91,4)</f>
        <v>6.2655000000000002E-3</v>
      </c>
      <c r="Q96" s="1">
        <f t="shared" si="70"/>
        <v>2.1266000000000002E-3</v>
      </c>
      <c r="R96" s="1">
        <f t="shared" si="70"/>
        <v>7.6880000000000004E-4</v>
      </c>
      <c r="S96" s="1">
        <f t="shared" si="70"/>
        <v>2.8150000000000001E-4</v>
      </c>
      <c r="T96" s="1">
        <f t="shared" si="70"/>
        <v>1.098E-4</v>
      </c>
      <c r="U96" s="1">
        <f t="shared" si="70"/>
        <v>4.8399999999999997E-5</v>
      </c>
      <c r="V96" s="1">
        <f t="shared" si="70"/>
        <v>1.7799999999999999E-5</v>
      </c>
      <c r="W96" s="5">
        <f t="shared" si="70"/>
        <v>3.5999999999999998E-6</v>
      </c>
      <c r="X96" s="1">
        <f t="shared" ref="X96:X103" si="71">SUM(P96:W96)/SUM($O$94:$W$103)</f>
        <v>0.20838386638483647</v>
      </c>
      <c r="Z96" s="1">
        <v>1</v>
      </c>
      <c r="AA96" s="4" t="s">
        <v>152</v>
      </c>
      <c r="AB96" s="2">
        <v>0</v>
      </c>
      <c r="AC96" s="1">
        <v>0.2</v>
      </c>
      <c r="AD96" s="1">
        <v>0.6</v>
      </c>
      <c r="AE96" s="1">
        <v>0.7</v>
      </c>
      <c r="AF96" s="1">
        <v>0.85</v>
      </c>
      <c r="AG96" s="5">
        <v>0.9</v>
      </c>
      <c r="AH96" s="1">
        <f t="shared" si="69"/>
        <v>0.65</v>
      </c>
      <c r="AI96"/>
      <c r="AJ96"/>
      <c r="AK96"/>
      <c r="AL96"/>
      <c r="AM96"/>
      <c r="AN96"/>
      <c r="BB96" s="59" t="str">
        <f>IFERROR($BC$3&amp;VLOOKUP(B98,'Pay Table'!$M$3:$N$18,2,FALSE)&amp;$BB$3&amp;C98&amp;$BD$3,"")</f>
        <v/>
      </c>
      <c r="BC96" s="49" t="str">
        <f>IFERROR($BC$3&amp;VLOOKUP(D98,'Pay Table'!$M$3:$N$18,2,FALSE)&amp;$BB$3&amp;E98&amp;$BD$3,"")</f>
        <v/>
      </c>
      <c r="BD96" s="49" t="str">
        <f>IFERROR($BC$3&amp;VLOOKUP(F98,'Pay Table'!$M$3:$N$18,2,FALSE)&amp;$BB$3&amp;G98&amp;$BD$3,"")</f>
        <v/>
      </c>
      <c r="BE96" s="49" t="str">
        <f>IFERROR($BC$3&amp;VLOOKUP(H98,'Pay Table'!$M$3:$N$18,2,FALSE)&amp;$BB$3&amp;I98&amp;$BD$3,"")</f>
        <v/>
      </c>
      <c r="BF96" s="60" t="str">
        <f>IFERROR($BC$3&amp;VLOOKUP(J98,'Pay Table'!$M$3:$N$18,2,FALSE)&amp;$BB$3&amp;K98&amp;$BD$3,"")</f>
        <v/>
      </c>
    </row>
    <row r="97" spans="1:58" ht="17.100000000000001" customHeight="1" x14ac:dyDescent="0.15">
      <c r="A97" s="14">
        <v>92</v>
      </c>
      <c r="N97" s="2" t="s">
        <v>126</v>
      </c>
      <c r="O97" s="1">
        <f>VLOOKUP(O$93,$N$82:$X$91,5)</f>
        <v>0</v>
      </c>
      <c r="P97" s="1">
        <f t="shared" ref="P97:W97" si="72">VLOOKUP(P$93,$N$82:$X$91,5)</f>
        <v>6.0555000000000001E-3</v>
      </c>
      <c r="Q97" s="1">
        <f t="shared" si="72"/>
        <v>1.2455999999999999E-3</v>
      </c>
      <c r="R97" s="1">
        <f t="shared" si="72"/>
        <v>2.6790000000000001E-4</v>
      </c>
      <c r="S97" s="1">
        <f t="shared" si="72"/>
        <v>6.7100000000000005E-5</v>
      </c>
      <c r="T97" s="1">
        <f t="shared" si="72"/>
        <v>1.63E-5</v>
      </c>
      <c r="U97" s="1">
        <f t="shared" si="72"/>
        <v>5.5999999999999997E-6</v>
      </c>
      <c r="V97" s="1">
        <f t="shared" si="72"/>
        <v>9.9999999999999995E-7</v>
      </c>
      <c r="W97" s="5">
        <f t="shared" si="72"/>
        <v>9.9999999999999995E-8</v>
      </c>
      <c r="X97" s="1">
        <f t="shared" si="71"/>
        <v>0.16587329775806495</v>
      </c>
      <c r="Z97" s="1">
        <v>2</v>
      </c>
      <c r="AA97" s="4" t="s">
        <v>126</v>
      </c>
      <c r="AB97" s="2">
        <v>0</v>
      </c>
      <c r="AC97" s="1">
        <v>0.1</v>
      </c>
      <c r="AD97" s="1">
        <v>0.22</v>
      </c>
      <c r="AE97" s="1">
        <v>0.45</v>
      </c>
      <c r="AF97" s="1">
        <v>0.75</v>
      </c>
      <c r="AG97" s="5">
        <v>0.85</v>
      </c>
      <c r="AH97" s="1">
        <f t="shared" si="69"/>
        <v>0.47400000000000003</v>
      </c>
      <c r="AI97"/>
      <c r="AJ97"/>
      <c r="AK97"/>
      <c r="AL97"/>
      <c r="AM97"/>
      <c r="AN97"/>
      <c r="BB97" s="59" t="str">
        <f>IFERROR($BC$3&amp;VLOOKUP(B99,'Pay Table'!$M$3:$N$18,2,FALSE)&amp;$BB$3&amp;C99&amp;$BD$3,"")</f>
        <v/>
      </c>
      <c r="BC97" s="49" t="str">
        <f>IFERROR($BC$3&amp;VLOOKUP(D99,'Pay Table'!$M$3:$N$18,2,FALSE)&amp;$BB$3&amp;E99&amp;$BD$3,"")</f>
        <v/>
      </c>
      <c r="BD97" s="49" t="str">
        <f>IFERROR($BC$3&amp;VLOOKUP(F99,'Pay Table'!$M$3:$N$18,2,FALSE)&amp;$BB$3&amp;G99&amp;$BD$3,"")</f>
        <v/>
      </c>
      <c r="BE97" s="49" t="str">
        <f>IFERROR($BC$3&amp;VLOOKUP(H99,'Pay Table'!$M$3:$N$18,2,FALSE)&amp;$BB$3&amp;I99&amp;$BD$3,"")</f>
        <v/>
      </c>
      <c r="BF97" s="60" t="str">
        <f>IFERROR($BC$3&amp;VLOOKUP(J99,'Pay Table'!$M$3:$N$18,2,FALSE)&amp;$BB$3&amp;K99&amp;$BD$3,"")</f>
        <v/>
      </c>
    </row>
    <row r="98" spans="1:58" ht="17.100000000000001" customHeight="1" x14ac:dyDescent="0.15">
      <c r="A98" s="14">
        <v>93</v>
      </c>
      <c r="N98" s="2" t="s">
        <v>127</v>
      </c>
      <c r="O98" s="1">
        <f>VLOOKUP(O$93,$N$82:$X$91,6)</f>
        <v>0</v>
      </c>
      <c r="P98" s="1">
        <f t="shared" ref="P98:W98" si="73">VLOOKUP(P$93,$N$82:$X$91,6)</f>
        <v>3.2808999999999998E-3</v>
      </c>
      <c r="Q98" s="1">
        <f t="shared" si="73"/>
        <v>9.6860000000000002E-4</v>
      </c>
      <c r="R98" s="1">
        <f t="shared" si="73"/>
        <v>2.4399999999999999E-4</v>
      </c>
      <c r="S98" s="1">
        <f t="shared" si="73"/>
        <v>7.5699999999999997E-5</v>
      </c>
      <c r="T98" s="1">
        <f t="shared" si="73"/>
        <v>2.1699999999999999E-5</v>
      </c>
      <c r="U98" s="1">
        <f t="shared" si="73"/>
        <v>5.1000000000000003E-6</v>
      </c>
      <c r="V98" s="1">
        <f t="shared" si="73"/>
        <v>1.5E-6</v>
      </c>
      <c r="W98" s="5">
        <f t="shared" si="73"/>
        <v>9.9999999999999995E-8</v>
      </c>
      <c r="X98" s="1">
        <f t="shared" si="71"/>
        <v>9.9570324682074857E-2</v>
      </c>
      <c r="Z98" s="1">
        <v>3</v>
      </c>
      <c r="AA98" s="4" t="s">
        <v>127</v>
      </c>
      <c r="AB98" s="2">
        <v>0</v>
      </c>
      <c r="AC98" s="1">
        <v>0.1</v>
      </c>
      <c r="AD98" s="1">
        <v>0.22</v>
      </c>
      <c r="AE98" s="1">
        <v>0.45</v>
      </c>
      <c r="AF98" s="1">
        <v>0.75</v>
      </c>
      <c r="AG98" s="5">
        <v>0.85</v>
      </c>
      <c r="AH98" s="1">
        <f t="shared" si="69"/>
        <v>0.47400000000000003</v>
      </c>
      <c r="AI98"/>
      <c r="AJ98"/>
      <c r="AK98"/>
      <c r="AL98"/>
      <c r="AM98"/>
      <c r="AN98"/>
      <c r="BB98" s="59" t="str">
        <f>IFERROR($BC$3&amp;VLOOKUP(B100,'Pay Table'!$M$3:$N$18,2,FALSE)&amp;$BB$3&amp;C100&amp;$BD$3,"")</f>
        <v/>
      </c>
      <c r="BC98" s="49" t="str">
        <f>IFERROR($BC$3&amp;VLOOKUP(D100,'Pay Table'!$M$3:$N$18,2,FALSE)&amp;$BB$3&amp;E100&amp;$BD$3,"")</f>
        <v/>
      </c>
      <c r="BD98" s="49" t="str">
        <f>IFERROR($BC$3&amp;VLOOKUP(F100,'Pay Table'!$M$3:$N$18,2,FALSE)&amp;$BB$3&amp;G100&amp;$BD$3,"")</f>
        <v/>
      </c>
      <c r="BE98" s="49" t="str">
        <f>IFERROR($BC$3&amp;VLOOKUP(H100,'Pay Table'!$M$3:$N$18,2,FALSE)&amp;$BB$3&amp;I100&amp;$BD$3,"")</f>
        <v/>
      </c>
      <c r="BF98" s="60" t="str">
        <f>IFERROR($BC$3&amp;VLOOKUP(J100,'Pay Table'!$M$3:$N$18,2,FALSE)&amp;$BB$3&amp;K100&amp;$BD$3,"")</f>
        <v/>
      </c>
    </row>
    <row r="99" spans="1:58" ht="17.100000000000001" customHeight="1" x14ac:dyDescent="0.15">
      <c r="A99" s="14">
        <v>94</v>
      </c>
      <c r="N99" s="2" t="s">
        <v>128</v>
      </c>
      <c r="O99" s="1">
        <f>VLOOKUP(O$93,$N$82:$X$91,7)</f>
        <v>0</v>
      </c>
      <c r="P99" s="1">
        <f t="shared" ref="P99:W99" si="74">VLOOKUP(P$93,$N$82:$X$91,7)</f>
        <v>5.5557000000000002E-3</v>
      </c>
      <c r="Q99" s="1">
        <f t="shared" si="74"/>
        <v>1.2715999999999999E-3</v>
      </c>
      <c r="R99" s="1">
        <f t="shared" si="74"/>
        <v>3.3270000000000001E-4</v>
      </c>
      <c r="S99" s="1">
        <f t="shared" si="74"/>
        <v>1.059E-4</v>
      </c>
      <c r="T99" s="1">
        <f t="shared" si="74"/>
        <v>3.04E-5</v>
      </c>
      <c r="U99" s="1">
        <f t="shared" si="74"/>
        <v>9.5000000000000005E-6</v>
      </c>
      <c r="V99" s="1">
        <f t="shared" si="74"/>
        <v>1.1000000000000001E-6</v>
      </c>
      <c r="W99" s="5">
        <f t="shared" si="74"/>
        <v>9.9999999999999995E-8</v>
      </c>
      <c r="X99" s="1">
        <f t="shared" si="71"/>
        <v>0.15824786028621909</v>
      </c>
      <c r="Z99" s="1">
        <v>4</v>
      </c>
      <c r="AA99" s="19" t="s">
        <v>128</v>
      </c>
      <c r="AB99" s="8">
        <v>0</v>
      </c>
      <c r="AC99" s="15">
        <v>0.1</v>
      </c>
      <c r="AD99" s="15">
        <v>0.22</v>
      </c>
      <c r="AE99" s="15">
        <v>0.45</v>
      </c>
      <c r="AF99" s="15">
        <v>0.75</v>
      </c>
      <c r="AG99" s="16">
        <v>0.85</v>
      </c>
      <c r="AH99" s="1">
        <f t="shared" si="69"/>
        <v>0.47400000000000003</v>
      </c>
      <c r="AI99"/>
      <c r="AJ99"/>
      <c r="AK99"/>
      <c r="AL99"/>
      <c r="AM99"/>
      <c r="AN99"/>
      <c r="BB99" s="59" t="str">
        <f>IFERROR($BC$3&amp;VLOOKUP(B101,'Pay Table'!$M$3:$N$18,2,FALSE)&amp;$BB$3&amp;C101&amp;$BD$3,"")</f>
        <v/>
      </c>
      <c r="BC99" s="49" t="str">
        <f>IFERROR($BC$3&amp;VLOOKUP(D101,'Pay Table'!$M$3:$N$18,2,FALSE)&amp;$BB$3&amp;E101&amp;$BD$3,"")</f>
        <v/>
      </c>
      <c r="BD99" s="49" t="str">
        <f>IFERROR($BC$3&amp;VLOOKUP(F101,'Pay Table'!$M$3:$N$18,2,FALSE)&amp;$BB$3&amp;G101&amp;$BD$3,"")</f>
        <v/>
      </c>
      <c r="BE99" s="49" t="str">
        <f>IFERROR($BC$3&amp;VLOOKUP(H101,'Pay Table'!$M$3:$N$18,2,FALSE)&amp;$BB$3&amp;I101&amp;$BD$3,"")</f>
        <v/>
      </c>
      <c r="BF99" s="60" t="str">
        <f>IFERROR($BC$3&amp;VLOOKUP(J101,'Pay Table'!$M$3:$N$18,2,FALSE)&amp;$BB$3&amp;K101&amp;$BD$3,"")</f>
        <v/>
      </c>
    </row>
    <row r="100" spans="1:58" ht="17.100000000000001" customHeight="1" x14ac:dyDescent="0.15">
      <c r="A100" s="14">
        <v>95</v>
      </c>
      <c r="N100" s="2" t="s">
        <v>123</v>
      </c>
      <c r="O100" s="1">
        <f>VLOOKUP(O$93,$N$82:$X$91,8)</f>
        <v>0</v>
      </c>
      <c r="P100" s="1">
        <f t="shared" ref="P100:W100" si="75">VLOOKUP(P$93,$N$82:$X$91,8)</f>
        <v>1.2221999999999999E-3</v>
      </c>
      <c r="Q100" s="1">
        <f t="shared" si="75"/>
        <v>4.1370000000000003E-4</v>
      </c>
      <c r="R100" s="1">
        <f t="shared" si="75"/>
        <v>7.4400000000000006E-5</v>
      </c>
      <c r="S100" s="1">
        <f t="shared" si="75"/>
        <v>1.5299999999999999E-5</v>
      </c>
      <c r="T100" s="1">
        <f t="shared" si="75"/>
        <v>2.0999999999999998E-6</v>
      </c>
      <c r="U100" s="1">
        <f t="shared" si="75"/>
        <v>3.9999999999999998E-7</v>
      </c>
      <c r="V100" s="1">
        <f t="shared" si="75"/>
        <v>9.9999999999999995E-8</v>
      </c>
      <c r="W100" s="5">
        <f t="shared" si="75"/>
        <v>0</v>
      </c>
      <c r="X100" s="1">
        <f t="shared" si="71"/>
        <v>3.7427665546276703E-2</v>
      </c>
      <c r="AI100"/>
      <c r="AJ100"/>
      <c r="AK100"/>
      <c r="AL100"/>
      <c r="AM100"/>
      <c r="AN100"/>
      <c r="BB100" s="59" t="str">
        <f>IFERROR($BC$3&amp;VLOOKUP(B102,'Pay Table'!$M$3:$N$18,2,FALSE)&amp;$BB$3&amp;C102&amp;$BD$3,"")</f>
        <v/>
      </c>
      <c r="BC100" s="49" t="str">
        <f>IFERROR($BC$3&amp;VLOOKUP(D102,'Pay Table'!$M$3:$N$18,2,FALSE)&amp;$BB$3&amp;E102&amp;$BD$3,"")</f>
        <v/>
      </c>
      <c r="BD100" s="49" t="str">
        <f>IFERROR($BC$3&amp;VLOOKUP(F102,'Pay Table'!$M$3:$N$18,2,FALSE)&amp;$BB$3&amp;G102&amp;$BD$3,"")</f>
        <v/>
      </c>
      <c r="BE100" s="49" t="str">
        <f>IFERROR($BC$3&amp;VLOOKUP(H102,'Pay Table'!$M$3:$N$18,2,FALSE)&amp;$BB$3&amp;I102&amp;$BD$3,"")</f>
        <v/>
      </c>
      <c r="BF100" s="60" t="str">
        <f>IFERROR($BC$3&amp;VLOOKUP(J102,'Pay Table'!$M$3:$N$18,2,FALSE)&amp;$BB$3&amp;K102&amp;$BD$3,"")</f>
        <v/>
      </c>
    </row>
    <row r="101" spans="1:58" ht="17.100000000000001" customHeight="1" x14ac:dyDescent="0.15">
      <c r="A101" s="14">
        <v>96</v>
      </c>
      <c r="N101" s="2" t="s">
        <v>121</v>
      </c>
      <c r="O101" s="1">
        <f>VLOOKUP(O$93,$N$82:$X$91,9)</f>
        <v>0</v>
      </c>
      <c r="P101" s="1">
        <f t="shared" ref="P101:W101" si="76">VLOOKUP(P$93,$N$82:$X$91,9)</f>
        <v>2.1407000000000002E-3</v>
      </c>
      <c r="Q101" s="1">
        <f t="shared" si="76"/>
        <v>6.3789999999999995E-4</v>
      </c>
      <c r="R101" s="1">
        <f t="shared" si="76"/>
        <v>1.406E-4</v>
      </c>
      <c r="S101" s="1">
        <f t="shared" si="76"/>
        <v>3.3200000000000001E-5</v>
      </c>
      <c r="T101" s="1">
        <f t="shared" si="76"/>
        <v>3.9999999999999998E-6</v>
      </c>
      <c r="U101" s="1">
        <f t="shared" si="76"/>
        <v>9.9999999999999995E-8</v>
      </c>
      <c r="V101" s="1">
        <f t="shared" si="76"/>
        <v>9.9999999999999995E-8</v>
      </c>
      <c r="W101" s="5">
        <f t="shared" si="76"/>
        <v>0</v>
      </c>
      <c r="X101" s="1">
        <f t="shared" si="71"/>
        <v>6.4031151460549524E-2</v>
      </c>
      <c r="AA101" s="17" t="s">
        <v>173</v>
      </c>
      <c r="AB101" s="17">
        <v>0</v>
      </c>
      <c r="AC101" s="18">
        <v>1</v>
      </c>
      <c r="AD101" s="18">
        <v>2</v>
      </c>
      <c r="AE101" s="18">
        <v>3</v>
      </c>
      <c r="AF101" s="18">
        <v>4</v>
      </c>
      <c r="AG101" s="36">
        <v>5</v>
      </c>
      <c r="AI101"/>
      <c r="AJ101"/>
      <c r="AK101"/>
      <c r="AL101"/>
      <c r="AM101"/>
      <c r="AN101"/>
      <c r="BB101" s="59" t="str">
        <f>IFERROR($BC$3&amp;VLOOKUP(B103,'Pay Table'!$M$3:$N$18,2,FALSE)&amp;$BB$3&amp;C103&amp;$BD$3,"")</f>
        <v/>
      </c>
      <c r="BC101" s="49" t="str">
        <f>IFERROR($BC$3&amp;VLOOKUP(D103,'Pay Table'!$M$3:$N$18,2,FALSE)&amp;$BB$3&amp;E103&amp;$BD$3,"")</f>
        <v/>
      </c>
      <c r="BD101" s="49" t="str">
        <f>IFERROR($BC$3&amp;VLOOKUP(F103,'Pay Table'!$M$3:$N$18,2,FALSE)&amp;$BB$3&amp;G103&amp;$BD$3,"")</f>
        <v/>
      </c>
      <c r="BE101" s="49" t="str">
        <f>IFERROR($BC$3&amp;VLOOKUP(H103,'Pay Table'!$M$3:$N$18,2,FALSE)&amp;$BB$3&amp;I103&amp;$BD$3,"")</f>
        <v/>
      </c>
      <c r="BF101" s="60" t="str">
        <f>IFERROR($BC$3&amp;VLOOKUP(J103,'Pay Table'!$M$3:$N$18,2,FALSE)&amp;$BB$3&amp;K103&amp;$BD$3,"")</f>
        <v/>
      </c>
    </row>
    <row r="102" spans="1:58" ht="17.100000000000001" customHeight="1" x14ac:dyDescent="0.15">
      <c r="A102" s="14">
        <v>97</v>
      </c>
      <c r="N102" s="2" t="s">
        <v>119</v>
      </c>
      <c r="O102" s="1">
        <f>VLOOKUP(O$93,$N$82:$X$91,10)</f>
        <v>0</v>
      </c>
      <c r="P102" s="1">
        <f t="shared" ref="P102:W102" si="77">VLOOKUP(P$93,$N$82:$X$91,10)</f>
        <v>1.6031000000000001E-3</v>
      </c>
      <c r="Q102" s="1">
        <f t="shared" si="77"/>
        <v>4.8440000000000001E-4</v>
      </c>
      <c r="R102" s="1">
        <f t="shared" si="77"/>
        <v>9.8200000000000002E-5</v>
      </c>
      <c r="S102" s="1">
        <f t="shared" si="77"/>
        <v>2.2200000000000001E-5</v>
      </c>
      <c r="T102" s="1">
        <f t="shared" si="77"/>
        <v>3.4000000000000001E-6</v>
      </c>
      <c r="U102" s="1">
        <f t="shared" si="77"/>
        <v>2.9999999999999999E-7</v>
      </c>
      <c r="V102" s="1">
        <f t="shared" si="77"/>
        <v>9.9999999999999995E-8</v>
      </c>
      <c r="W102" s="5">
        <f t="shared" si="77"/>
        <v>0</v>
      </c>
      <c r="X102" s="1">
        <f t="shared" si="71"/>
        <v>4.7898835718493335E-2</v>
      </c>
      <c r="Z102" s="1">
        <v>92</v>
      </c>
      <c r="AA102" s="4" t="s">
        <v>259</v>
      </c>
      <c r="AB102" s="7">
        <v>1</v>
      </c>
      <c r="AC102" s="21">
        <v>1</v>
      </c>
      <c r="AD102" s="21">
        <v>1</v>
      </c>
      <c r="AE102" s="21">
        <v>1</v>
      </c>
      <c r="AF102" s="21">
        <v>1</v>
      </c>
      <c r="AG102" s="20">
        <v>1</v>
      </c>
      <c r="AI102"/>
      <c r="AJ102"/>
      <c r="AK102"/>
      <c r="AL102"/>
      <c r="AM102"/>
      <c r="AN102"/>
      <c r="BB102" s="59" t="str">
        <f>IFERROR($BC$3&amp;VLOOKUP(B104,'Pay Table'!$M$3:$N$18,2,FALSE)&amp;$BB$3&amp;C104&amp;$BD$3,"")</f>
        <v/>
      </c>
      <c r="BC102" s="49" t="str">
        <f>IFERROR($BC$3&amp;VLOOKUP(D104,'Pay Table'!$M$3:$N$18,2,FALSE)&amp;$BB$3&amp;E104&amp;$BD$3,"")</f>
        <v/>
      </c>
      <c r="BD102" s="49" t="str">
        <f>IFERROR($BC$3&amp;VLOOKUP(F104,'Pay Table'!$M$3:$N$18,2,FALSE)&amp;$BB$3&amp;G104&amp;$BD$3,"")</f>
        <v/>
      </c>
      <c r="BE102" s="49" t="str">
        <f>IFERROR($BC$3&amp;VLOOKUP(H104,'Pay Table'!$M$3:$N$18,2,FALSE)&amp;$BB$3&amp;I104&amp;$BD$3,"")</f>
        <v/>
      </c>
      <c r="BF102" s="60" t="str">
        <f>IFERROR($BC$3&amp;VLOOKUP(J104,'Pay Table'!$M$3:$N$18,2,FALSE)&amp;$BB$3&amp;K104&amp;$BD$3,"")</f>
        <v/>
      </c>
    </row>
    <row r="103" spans="1:58" ht="17.100000000000001" customHeight="1" x14ac:dyDescent="0.15">
      <c r="A103" s="14">
        <v>98</v>
      </c>
      <c r="N103" s="8" t="s">
        <v>120</v>
      </c>
      <c r="O103" s="15">
        <f>VLOOKUP(O$93,$N$82:$X$91,11)</f>
        <v>0</v>
      </c>
      <c r="P103" s="15">
        <f t="shared" ref="P103:W103" si="78">VLOOKUP(P$93,$N$82:$X$91,11)</f>
        <v>5.5340000000000001E-4</v>
      </c>
      <c r="Q103" s="15">
        <f t="shared" si="78"/>
        <v>1.6310000000000001E-4</v>
      </c>
      <c r="R103" s="15">
        <f t="shared" si="78"/>
        <v>2.9899999999999998E-5</v>
      </c>
      <c r="S103" s="15">
        <f t="shared" si="78"/>
        <v>5.9000000000000003E-6</v>
      </c>
      <c r="T103" s="15">
        <f t="shared" si="78"/>
        <v>1.1999999999999999E-6</v>
      </c>
      <c r="U103" s="15">
        <f t="shared" si="78"/>
        <v>9.9999999999999995E-8</v>
      </c>
      <c r="V103" s="15">
        <f t="shared" si="78"/>
        <v>9.9999999999999995E-8</v>
      </c>
      <c r="W103" s="16">
        <f t="shared" si="78"/>
        <v>0</v>
      </c>
      <c r="X103" s="1">
        <f t="shared" si="71"/>
        <v>1.6322897536297155E-2</v>
      </c>
      <c r="Z103" s="1">
        <v>0</v>
      </c>
      <c r="AA103" s="4" t="s">
        <v>153</v>
      </c>
      <c r="AB103" s="2">
        <v>1</v>
      </c>
      <c r="AC103" s="1">
        <v>1</v>
      </c>
      <c r="AD103" s="1">
        <v>1</v>
      </c>
      <c r="AE103" s="1">
        <v>1</v>
      </c>
      <c r="AF103" s="1">
        <v>1</v>
      </c>
      <c r="AG103" s="5">
        <v>1</v>
      </c>
      <c r="AI103"/>
      <c r="AJ103"/>
      <c r="AK103"/>
      <c r="AL103"/>
      <c r="AM103"/>
      <c r="AN103"/>
      <c r="BB103" s="59" t="str">
        <f>IFERROR($BC$3&amp;VLOOKUP(B105,'Pay Table'!$M$3:$N$18,2,FALSE)&amp;$BB$3&amp;C105&amp;$BD$3,"")</f>
        <v/>
      </c>
      <c r="BC103" s="49" t="str">
        <f>IFERROR($BC$3&amp;VLOOKUP(D105,'Pay Table'!$M$3:$N$18,2,FALSE)&amp;$BB$3&amp;E105&amp;$BD$3,"")</f>
        <v/>
      </c>
      <c r="BD103" s="49" t="str">
        <f>IFERROR($BC$3&amp;VLOOKUP(F105,'Pay Table'!$M$3:$N$18,2,FALSE)&amp;$BB$3&amp;G105&amp;$BD$3,"")</f>
        <v/>
      </c>
      <c r="BE103" s="49" t="str">
        <f>IFERROR($BC$3&amp;VLOOKUP(H105,'Pay Table'!$M$3:$N$18,2,FALSE)&amp;$BB$3&amp;I105&amp;$BD$3,"")</f>
        <v/>
      </c>
      <c r="BF103" s="60" t="str">
        <f>IFERROR($BC$3&amp;VLOOKUP(J105,'Pay Table'!$M$3:$N$18,2,FALSE)&amp;$BB$3&amp;K105&amp;$BD$3,"")</f>
        <v/>
      </c>
    </row>
    <row r="104" spans="1:58" ht="17.100000000000001" customHeight="1" x14ac:dyDescent="0.15">
      <c r="A104" s="14">
        <v>99</v>
      </c>
      <c r="Z104" s="1">
        <v>1</v>
      </c>
      <c r="AA104" s="4" t="s">
        <v>152</v>
      </c>
      <c r="AB104" s="2">
        <v>1</v>
      </c>
      <c r="AC104" s="1">
        <v>1</v>
      </c>
      <c r="AD104" s="1">
        <v>1</v>
      </c>
      <c r="AE104" s="1">
        <v>1</v>
      </c>
      <c r="AF104" s="1">
        <v>1</v>
      </c>
      <c r="AG104" s="5">
        <v>1</v>
      </c>
      <c r="AI104"/>
      <c r="AJ104"/>
      <c r="AK104"/>
      <c r="AL104"/>
      <c r="AM104"/>
      <c r="AN104"/>
      <c r="BB104" s="59" t="str">
        <f>IFERROR($BC$3&amp;VLOOKUP(B106,'Pay Table'!$M$3:$N$18,2,FALSE)&amp;$BB$3&amp;C106&amp;$BD$3,"")</f>
        <v/>
      </c>
      <c r="BC104" s="49" t="str">
        <f>IFERROR($BC$3&amp;VLOOKUP(D106,'Pay Table'!$M$3:$N$18,2,FALSE)&amp;$BB$3&amp;E106&amp;$BD$3,"")</f>
        <v/>
      </c>
      <c r="BD104" s="49" t="str">
        <f>IFERROR($BC$3&amp;VLOOKUP(F106,'Pay Table'!$M$3:$N$18,2,FALSE)&amp;$BB$3&amp;G106&amp;$BD$3,"")</f>
        <v/>
      </c>
      <c r="BE104" s="49" t="str">
        <f>IFERROR($BC$3&amp;VLOOKUP(H106,'Pay Table'!$M$3:$N$18,2,FALSE)&amp;$BB$3&amp;I106&amp;$BD$3,"")</f>
        <v/>
      </c>
      <c r="BF104" s="60" t="str">
        <f>IFERROR($BC$3&amp;VLOOKUP(J106,'Pay Table'!$M$3:$N$18,2,FALSE)&amp;$BB$3&amp;K106&amp;$BD$3,"")</f>
        <v/>
      </c>
    </row>
    <row r="105" spans="1:58" ht="17.100000000000001" customHeight="1" x14ac:dyDescent="0.15">
      <c r="A105" s="14">
        <v>100</v>
      </c>
      <c r="N105" s="7"/>
      <c r="O105" s="21">
        <v>2</v>
      </c>
      <c r="P105" s="21">
        <v>3</v>
      </c>
      <c r="Q105" s="21">
        <v>4</v>
      </c>
      <c r="R105" s="21">
        <v>5</v>
      </c>
      <c r="S105" s="21">
        <v>6</v>
      </c>
      <c r="T105" s="21">
        <v>7</v>
      </c>
      <c r="U105" s="21">
        <v>8</v>
      </c>
      <c r="V105" s="21">
        <v>9</v>
      </c>
      <c r="W105" s="20">
        <v>10</v>
      </c>
      <c r="Z105" s="1">
        <v>2</v>
      </c>
      <c r="AA105" s="4" t="s">
        <v>126</v>
      </c>
      <c r="AB105" s="2">
        <v>1</v>
      </c>
      <c r="AC105" s="1">
        <v>1</v>
      </c>
      <c r="AD105" s="1">
        <v>1</v>
      </c>
      <c r="AE105" s="1">
        <v>1</v>
      </c>
      <c r="AF105" s="1">
        <v>1</v>
      </c>
      <c r="AG105" s="5">
        <v>1</v>
      </c>
      <c r="AI105"/>
      <c r="AJ105"/>
      <c r="AK105"/>
      <c r="AL105"/>
      <c r="AM105"/>
      <c r="AN105"/>
      <c r="BB105" s="59" t="str">
        <f>IFERROR($BC$3&amp;VLOOKUP(B107,'Pay Table'!$M$3:$N$18,2,FALSE)&amp;$BB$3&amp;C107&amp;$BD$3,"")</f>
        <v/>
      </c>
      <c r="BC105" s="49" t="str">
        <f>IFERROR($BC$3&amp;VLOOKUP(D107,'Pay Table'!$M$3:$N$18,2,FALSE)&amp;$BB$3&amp;E107&amp;$BD$3,"")</f>
        <v/>
      </c>
      <c r="BD105" s="49" t="str">
        <f>IFERROR($BC$3&amp;VLOOKUP(F107,'Pay Table'!$M$3:$N$18,2,FALSE)&amp;$BB$3&amp;G107&amp;$BD$3,"")</f>
        <v/>
      </c>
      <c r="BE105" s="49" t="str">
        <f>IFERROR($BC$3&amp;VLOOKUP(H107,'Pay Table'!$M$3:$N$18,2,FALSE)&amp;$BB$3&amp;I107&amp;$BD$3,"")</f>
        <v/>
      </c>
      <c r="BF105" s="60" t="str">
        <f>IFERROR($BC$3&amp;VLOOKUP(J107,'Pay Table'!$M$3:$N$18,2,FALSE)&amp;$BB$3&amp;K107&amp;$BD$3,"")</f>
        <v/>
      </c>
    </row>
    <row r="106" spans="1:58" ht="17.100000000000001" customHeight="1" x14ac:dyDescent="0.15">
      <c r="A106" s="14">
        <v>101</v>
      </c>
      <c r="N106" s="2" t="str">
        <f t="shared" ref="N106:N115" si="79">N94</f>
        <v>WILD</v>
      </c>
      <c r="O106" s="23">
        <f>O94*'Pay Table'!C6/100/2</f>
        <v>0</v>
      </c>
      <c r="P106" s="23">
        <f>P94*'Pay Table'!D6/100/2</f>
        <v>0</v>
      </c>
      <c r="Q106" s="23">
        <f>Q94*'Pay Table'!E6/100/2</f>
        <v>0</v>
      </c>
      <c r="R106" s="23">
        <f>R94*'Pay Table'!F6/100/2</f>
        <v>0</v>
      </c>
      <c r="S106" s="23">
        <f>S94*'Pay Table'!G6/100/2</f>
        <v>0</v>
      </c>
      <c r="T106" s="23">
        <f>T94*'Pay Table'!H6/100/2</f>
        <v>0</v>
      </c>
      <c r="U106" s="23">
        <f>U94*'Pay Table'!I6/100/2</f>
        <v>0</v>
      </c>
      <c r="V106" s="23">
        <f>V94*'Pay Table'!J6/100/2</f>
        <v>0</v>
      </c>
      <c r="W106" s="109">
        <f>W94*'Pay Table'!K6/100/2</f>
        <v>0</v>
      </c>
      <c r="Z106" s="1">
        <v>3</v>
      </c>
      <c r="AA106" s="4" t="s">
        <v>127</v>
      </c>
      <c r="AB106" s="2">
        <v>1</v>
      </c>
      <c r="AC106" s="1">
        <v>1</v>
      </c>
      <c r="AD106" s="1">
        <v>1</v>
      </c>
      <c r="AE106" s="1">
        <v>1</v>
      </c>
      <c r="AF106" s="1">
        <v>1</v>
      </c>
      <c r="AG106" s="5">
        <v>1</v>
      </c>
      <c r="BB106" s="59" t="str">
        <f>IFERROR($BC$3&amp;VLOOKUP(B108,'Pay Table'!$M$3:$N$18,2,FALSE)&amp;$BB$3&amp;C108&amp;$BD$3,"")</f>
        <v/>
      </c>
      <c r="BC106" s="49" t="str">
        <f>IFERROR($BC$3&amp;VLOOKUP(D108,'Pay Table'!$M$3:$N$18,2,FALSE)&amp;$BB$3&amp;E108&amp;$BD$3,"")</f>
        <v/>
      </c>
      <c r="BD106" s="49" t="str">
        <f>IFERROR($BC$3&amp;VLOOKUP(F108,'Pay Table'!$M$3:$N$18,2,FALSE)&amp;$BB$3&amp;G108&amp;$BD$3,"")</f>
        <v/>
      </c>
      <c r="BE106" s="49" t="str">
        <f>IFERROR($BC$3&amp;VLOOKUP(H108,'Pay Table'!$M$3:$N$18,2,FALSE)&amp;$BB$3&amp;I108&amp;$BD$3,"")</f>
        <v/>
      </c>
      <c r="BF106" s="60" t="str">
        <f>IFERROR($BC$3&amp;VLOOKUP(J108,'Pay Table'!$M$3:$N$18,2,FALSE)&amp;$BB$3&amp;K108&amp;$BD$3,"")</f>
        <v/>
      </c>
    </row>
    <row r="107" spans="1:58" ht="17.100000000000001" customHeight="1" x14ac:dyDescent="0.15">
      <c r="A107" s="14">
        <v>102</v>
      </c>
      <c r="N107" s="2" t="str">
        <f t="shared" si="79"/>
        <v>M1</v>
      </c>
      <c r="O107" s="23">
        <f>O95*'Pay Table'!C7</f>
        <v>0</v>
      </c>
      <c r="P107" s="23">
        <f>P95*'Pay Table'!D7</f>
        <v>2.7937E-2</v>
      </c>
      <c r="Q107" s="23">
        <f>Q95*'Pay Table'!E7</f>
        <v>3.4003499999999999E-2</v>
      </c>
      <c r="R107" s="23">
        <f>R95*'Pay Table'!F7</f>
        <v>4.7245000000000002E-2</v>
      </c>
      <c r="S107" s="23">
        <f>S95*'Pay Table'!G7</f>
        <v>3.1859999999999999E-2</v>
      </c>
      <c r="T107" s="23">
        <f>T95*'Pay Table'!H7</f>
        <v>2.504E-2</v>
      </c>
      <c r="U107" s="23">
        <f>U95*'Pay Table'!I7</f>
        <v>3.2150000000000005E-2</v>
      </c>
      <c r="V107" s="23">
        <f>V95*'Pay Table'!J7</f>
        <v>2.01E-2</v>
      </c>
      <c r="W107" s="109">
        <f>W95*'Pay Table'!K7</f>
        <v>4.4000000000000003E-3</v>
      </c>
      <c r="X107" s="9">
        <f>SUM(O107:W107)/SUM($O$106:$W$115)</f>
        <v>0.37123987857540608</v>
      </c>
      <c r="Z107" s="1">
        <v>4</v>
      </c>
      <c r="AA107" s="19" t="s">
        <v>128</v>
      </c>
      <c r="AB107" s="8">
        <v>1</v>
      </c>
      <c r="AC107" s="15">
        <v>1</v>
      </c>
      <c r="AD107" s="15">
        <v>1</v>
      </c>
      <c r="AE107" s="15">
        <v>1</v>
      </c>
      <c r="AF107" s="15">
        <v>1</v>
      </c>
      <c r="AG107" s="16">
        <v>1</v>
      </c>
      <c r="BB107" s="59" t="str">
        <f>IFERROR($BC$3&amp;VLOOKUP(B109,'Pay Table'!$M$3:$N$18,2,FALSE)&amp;$BB$3&amp;C109&amp;$BD$3,"")</f>
        <v/>
      </c>
      <c r="BC107" s="49" t="str">
        <f>IFERROR($BC$3&amp;VLOOKUP(D109,'Pay Table'!$M$3:$N$18,2,FALSE)&amp;$BB$3&amp;E109&amp;$BD$3,"")</f>
        <v/>
      </c>
      <c r="BD107" s="49" t="str">
        <f>IFERROR($BC$3&amp;VLOOKUP(F109,'Pay Table'!$M$3:$N$18,2,FALSE)&amp;$BB$3&amp;G109&amp;$BD$3,"")</f>
        <v/>
      </c>
      <c r="BE107" s="49" t="str">
        <f>IFERROR($BC$3&amp;VLOOKUP(H109,'Pay Table'!$M$3:$N$18,2,FALSE)&amp;$BB$3&amp;I109&amp;$BD$3,"")</f>
        <v/>
      </c>
      <c r="BF107" s="60" t="str">
        <f>IFERROR($BC$3&amp;VLOOKUP(J109,'Pay Table'!$M$3:$N$18,2,FALSE)&amp;$BB$3&amp;K109&amp;$BD$3,"")</f>
        <v/>
      </c>
    </row>
    <row r="108" spans="1:58" ht="17.100000000000001" customHeight="1" x14ac:dyDescent="0.15">
      <c r="A108" s="14">
        <v>103</v>
      </c>
      <c r="N108" s="2" t="str">
        <f t="shared" si="79"/>
        <v>M2</v>
      </c>
      <c r="O108" s="23">
        <f>O96*'Pay Table'!C8</f>
        <v>0</v>
      </c>
      <c r="P108" s="23">
        <f>P96*'Pay Table'!D8</f>
        <v>3.1327500000000001E-2</v>
      </c>
      <c r="Q108" s="23">
        <f>Q96*'Pay Table'!E8</f>
        <v>3.1899000000000004E-2</v>
      </c>
      <c r="R108" s="23">
        <f>R96*'Pay Table'!F8</f>
        <v>3.8440000000000002E-2</v>
      </c>
      <c r="S108" s="23">
        <f>S96*'Pay Table'!G8</f>
        <v>2.8150000000000001E-2</v>
      </c>
      <c r="T108" s="23">
        <f>T96*'Pay Table'!H8</f>
        <v>2.196E-2</v>
      </c>
      <c r="U108" s="23">
        <f>U96*'Pay Table'!I8</f>
        <v>2.4199999999999999E-2</v>
      </c>
      <c r="V108" s="23">
        <f>V96*'Pay Table'!J8</f>
        <v>1.3349999999999999E-2</v>
      </c>
      <c r="W108" s="109">
        <f>W96*'Pay Table'!K8</f>
        <v>3.5999999999999999E-3</v>
      </c>
      <c r="X108" s="9">
        <f t="shared" ref="X108:X115" si="80">SUM(O108:W108)/SUM($O$106:$W$115)</f>
        <v>0.32155633221456875</v>
      </c>
      <c r="BB108" s="59" t="str">
        <f>IFERROR($BC$3&amp;VLOOKUP(B110,'Pay Table'!$M$3:$N$18,2,FALSE)&amp;$BB$3&amp;C110&amp;$BD$3,"")</f>
        <v/>
      </c>
      <c r="BC108" s="49" t="str">
        <f>IFERROR($BC$3&amp;VLOOKUP(D110,'Pay Table'!$M$3:$N$18,2,FALSE)&amp;$BB$3&amp;E110&amp;$BD$3,"")</f>
        <v/>
      </c>
      <c r="BD108" s="49" t="str">
        <f>IFERROR($BC$3&amp;VLOOKUP(F110,'Pay Table'!$M$3:$N$18,2,FALSE)&amp;$BB$3&amp;G110&amp;$BD$3,"")</f>
        <v/>
      </c>
      <c r="BE108" s="49" t="str">
        <f>IFERROR($BC$3&amp;VLOOKUP(H110,'Pay Table'!$M$3:$N$18,2,FALSE)&amp;$BB$3&amp;I110&amp;$BD$3,"")</f>
        <v/>
      </c>
      <c r="BF108" s="60" t="str">
        <f>IFERROR($BC$3&amp;VLOOKUP(J110,'Pay Table'!$M$3:$N$18,2,FALSE)&amp;$BB$3&amp;K110&amp;$BD$3,"")</f>
        <v/>
      </c>
    </row>
    <row r="109" spans="1:58" ht="17.100000000000001" customHeight="1" x14ac:dyDescent="0.15">
      <c r="A109" s="14">
        <v>104</v>
      </c>
      <c r="N109" s="2" t="str">
        <f t="shared" si="79"/>
        <v>M3</v>
      </c>
      <c r="O109" s="23">
        <f>O97*'Pay Table'!C9</f>
        <v>0</v>
      </c>
      <c r="P109" s="23">
        <f>P97*'Pay Table'!D9</f>
        <v>3.0277499999999999E-2</v>
      </c>
      <c r="Q109" s="23">
        <f>Q97*'Pay Table'!E9</f>
        <v>1.2455999999999998E-2</v>
      </c>
      <c r="R109" s="23">
        <f>R97*'Pay Table'!F9</f>
        <v>6.6975000000000003E-3</v>
      </c>
      <c r="S109" s="23">
        <f>S97*'Pay Table'!G9</f>
        <v>3.3550000000000003E-3</v>
      </c>
      <c r="T109" s="23">
        <f>T97*'Pay Table'!H9</f>
        <v>1.6299999999999999E-3</v>
      </c>
      <c r="U109" s="23">
        <f>U97*'Pay Table'!I9</f>
        <v>1.1199999999999999E-3</v>
      </c>
      <c r="V109" s="23">
        <f>V97*'Pay Table'!J9</f>
        <v>2.9999999999999997E-4</v>
      </c>
      <c r="W109" s="109">
        <f>W97*'Pay Table'!K9</f>
        <v>4.9999999999999996E-5</v>
      </c>
      <c r="X109" s="9">
        <f t="shared" si="80"/>
        <v>9.3146857389437898E-2</v>
      </c>
      <c r="BB109" s="59" t="str">
        <f>IFERROR($BC$3&amp;VLOOKUP(B111,'Pay Table'!$M$3:$N$18,2,FALSE)&amp;$BB$3&amp;C111&amp;$BD$3,"")</f>
        <v/>
      </c>
      <c r="BC109" s="49" t="str">
        <f>IFERROR($BC$3&amp;VLOOKUP(D111,'Pay Table'!$M$3:$N$18,2,FALSE)&amp;$BB$3&amp;E111&amp;$BD$3,"")</f>
        <v/>
      </c>
      <c r="BD109" s="49" t="str">
        <f>IFERROR($BC$3&amp;VLOOKUP(F111,'Pay Table'!$M$3:$N$18,2,FALSE)&amp;$BB$3&amp;G111&amp;$BD$3,"")</f>
        <v/>
      </c>
      <c r="BE109" s="49" t="str">
        <f>IFERROR($BC$3&amp;VLOOKUP(H111,'Pay Table'!$M$3:$N$18,2,FALSE)&amp;$BB$3&amp;I111&amp;$BD$3,"")</f>
        <v/>
      </c>
      <c r="BF109" s="60" t="str">
        <f>IFERROR($BC$3&amp;VLOOKUP(J111,'Pay Table'!$M$3:$N$18,2,FALSE)&amp;$BB$3&amp;K111&amp;$BD$3,"")</f>
        <v/>
      </c>
    </row>
    <row r="110" spans="1:58" ht="17.100000000000001" customHeight="1" x14ac:dyDescent="0.15">
      <c r="A110" s="14">
        <v>105</v>
      </c>
      <c r="N110" s="2" t="str">
        <f t="shared" si="79"/>
        <v>M4</v>
      </c>
      <c r="O110" s="23">
        <f>O98*'Pay Table'!C10</f>
        <v>0</v>
      </c>
      <c r="P110" s="23">
        <f>P98*'Pay Table'!D10</f>
        <v>1.6404499999999999E-2</v>
      </c>
      <c r="Q110" s="23">
        <f>Q98*'Pay Table'!E10</f>
        <v>9.6860000000000002E-3</v>
      </c>
      <c r="R110" s="23">
        <f>R98*'Pay Table'!F10</f>
        <v>6.0999999999999995E-3</v>
      </c>
      <c r="S110" s="23">
        <f>S98*'Pay Table'!G10</f>
        <v>3.7849999999999997E-3</v>
      </c>
      <c r="T110" s="23">
        <f>T98*'Pay Table'!H10</f>
        <v>2.1700000000000001E-3</v>
      </c>
      <c r="U110" s="23">
        <f>U98*'Pay Table'!I10</f>
        <v>1.0200000000000001E-3</v>
      </c>
      <c r="V110" s="23">
        <f>V98*'Pay Table'!J10</f>
        <v>4.4999999999999999E-4</v>
      </c>
      <c r="W110" s="109">
        <f>W98*'Pay Table'!K10</f>
        <v>4.9999999999999996E-5</v>
      </c>
      <c r="X110" s="9">
        <f t="shared" si="80"/>
        <v>6.6111667891435202E-2</v>
      </c>
      <c r="BB110" s="59" t="str">
        <f>IFERROR($BC$3&amp;VLOOKUP(B112,'Pay Table'!$M$3:$N$18,2,FALSE)&amp;$BB$3&amp;C112&amp;$BD$3,"")</f>
        <v/>
      </c>
      <c r="BC110" s="49" t="str">
        <f>IFERROR($BC$3&amp;VLOOKUP(D112,'Pay Table'!$M$3:$N$18,2,FALSE)&amp;$BB$3&amp;E112&amp;$BD$3,"")</f>
        <v/>
      </c>
      <c r="BD110" s="49" t="str">
        <f>IFERROR($BC$3&amp;VLOOKUP(F112,'Pay Table'!$M$3:$N$18,2,FALSE)&amp;$BB$3&amp;G112&amp;$BD$3,"")</f>
        <v/>
      </c>
      <c r="BE110" s="49" t="str">
        <f>IFERROR($BC$3&amp;VLOOKUP(H112,'Pay Table'!$M$3:$N$18,2,FALSE)&amp;$BB$3&amp;I112&amp;$BD$3,"")</f>
        <v/>
      </c>
      <c r="BF110" s="60" t="str">
        <f>IFERROR($BC$3&amp;VLOOKUP(J112,'Pay Table'!$M$3:$N$18,2,FALSE)&amp;$BB$3&amp;K112&amp;$BD$3,"")</f>
        <v/>
      </c>
    </row>
    <row r="111" spans="1:58" ht="17.100000000000001" customHeight="1" x14ac:dyDescent="0.15">
      <c r="A111" s="14">
        <v>106</v>
      </c>
      <c r="N111" s="2" t="str">
        <f t="shared" si="79"/>
        <v>M5</v>
      </c>
      <c r="O111" s="23">
        <f>O99*'Pay Table'!C11</f>
        <v>0</v>
      </c>
      <c r="P111" s="23">
        <f>P99*'Pay Table'!D11</f>
        <v>2.7778500000000001E-2</v>
      </c>
      <c r="Q111" s="23">
        <f>Q99*'Pay Table'!E11</f>
        <v>1.2715999999999998E-2</v>
      </c>
      <c r="R111" s="23">
        <f>R99*'Pay Table'!F11</f>
        <v>8.3175000000000002E-3</v>
      </c>
      <c r="S111" s="23">
        <f>S99*'Pay Table'!G11</f>
        <v>5.2950000000000002E-3</v>
      </c>
      <c r="T111" s="23">
        <f>T99*'Pay Table'!H11</f>
        <v>3.0400000000000002E-3</v>
      </c>
      <c r="U111" s="23">
        <f>U99*'Pay Table'!I11</f>
        <v>1.9000000000000002E-3</v>
      </c>
      <c r="V111" s="23">
        <f>V99*'Pay Table'!J11</f>
        <v>3.3E-4</v>
      </c>
      <c r="W111" s="109">
        <f>W99*'Pay Table'!K11</f>
        <v>4.9999999999999996E-5</v>
      </c>
      <c r="X111" s="9">
        <f t="shared" si="80"/>
        <v>9.9048747344274518E-2</v>
      </c>
      <c r="AA111" s="7"/>
      <c r="AB111" s="21">
        <v>2</v>
      </c>
      <c r="AC111" s="21">
        <v>3</v>
      </c>
      <c r="AD111" s="21">
        <v>4</v>
      </c>
      <c r="AE111" s="21">
        <v>5</v>
      </c>
      <c r="AF111" s="21">
        <v>6</v>
      </c>
      <c r="AG111" s="21">
        <v>7</v>
      </c>
      <c r="AH111" s="21">
        <v>8</v>
      </c>
      <c r="AI111" s="21">
        <v>9</v>
      </c>
      <c r="AJ111" s="21">
        <v>10</v>
      </c>
      <c r="AK111" s="20"/>
      <c r="BB111" s="59" t="str">
        <f>IFERROR($BC$3&amp;VLOOKUP(B113,'Pay Table'!$M$3:$N$18,2,FALSE)&amp;$BB$3&amp;C113&amp;$BD$3,"")</f>
        <v/>
      </c>
      <c r="BC111" s="49" t="str">
        <f>IFERROR($BC$3&amp;VLOOKUP(D113,'Pay Table'!$M$3:$N$18,2,FALSE)&amp;$BB$3&amp;E113&amp;$BD$3,"")</f>
        <v/>
      </c>
      <c r="BD111" s="49" t="str">
        <f>IFERROR($BC$3&amp;VLOOKUP(F113,'Pay Table'!$M$3:$N$18,2,FALSE)&amp;$BB$3&amp;G113&amp;$BD$3,"")</f>
        <v/>
      </c>
      <c r="BE111" s="49" t="str">
        <f>IFERROR($BC$3&amp;VLOOKUP(H113,'Pay Table'!$M$3:$N$18,2,FALSE)&amp;$BB$3&amp;I113&amp;$BD$3,"")</f>
        <v/>
      </c>
      <c r="BF111" s="60" t="str">
        <f>IFERROR($BC$3&amp;VLOOKUP(J113,'Pay Table'!$M$3:$N$18,2,FALSE)&amp;$BB$3&amp;K113&amp;$BD$3,"")</f>
        <v/>
      </c>
    </row>
    <row r="112" spans="1:58" ht="17.100000000000001" customHeight="1" x14ac:dyDescent="0.15">
      <c r="A112" s="14">
        <v>107</v>
      </c>
      <c r="N112" s="2" t="str">
        <f t="shared" si="79"/>
        <v>A</v>
      </c>
      <c r="O112" s="23">
        <f>O100*'Pay Table'!C12</f>
        <v>0</v>
      </c>
      <c r="P112" s="23">
        <f>P100*'Pay Table'!D12</f>
        <v>2.4443999999999998E-3</v>
      </c>
      <c r="Q112" s="23">
        <f>Q100*'Pay Table'!E12</f>
        <v>2.0685E-3</v>
      </c>
      <c r="R112" s="23">
        <f>R100*'Pay Table'!F12</f>
        <v>1.4880000000000002E-3</v>
      </c>
      <c r="S112" s="23">
        <f>S100*'Pay Table'!G12</f>
        <v>4.5899999999999999E-4</v>
      </c>
      <c r="T112" s="23">
        <f>T100*'Pay Table'!H12</f>
        <v>1.0499999999999999E-4</v>
      </c>
      <c r="U112" s="23">
        <f>U100*'Pay Table'!I12</f>
        <v>2.9999999999999997E-5</v>
      </c>
      <c r="V112" s="23">
        <f>V100*'Pay Table'!J12</f>
        <v>9.9999999999999991E-6</v>
      </c>
      <c r="W112" s="109">
        <f>W100*'Pay Table'!K12</f>
        <v>0</v>
      </c>
      <c r="X112" s="9">
        <f t="shared" si="80"/>
        <v>1.1008583158062812E-2</v>
      </c>
      <c r="AA112" s="2" t="s">
        <v>291</v>
      </c>
      <c r="AB112" s="23" t="e">
        <f>O94/$X$94</f>
        <v>#DIV/0!</v>
      </c>
      <c r="AC112" s="23" t="e">
        <f t="shared" ref="AC112:AJ112" si="81">P94/$X$94</f>
        <v>#DIV/0!</v>
      </c>
      <c r="AD112" s="23" t="e">
        <f t="shared" si="81"/>
        <v>#DIV/0!</v>
      </c>
      <c r="AE112" s="23" t="e">
        <f t="shared" si="81"/>
        <v>#DIV/0!</v>
      </c>
      <c r="AF112" s="23" t="e">
        <f t="shared" si="81"/>
        <v>#DIV/0!</v>
      </c>
      <c r="AG112" s="23" t="e">
        <f t="shared" si="81"/>
        <v>#DIV/0!</v>
      </c>
      <c r="AH112" s="23" t="e">
        <f t="shared" si="81"/>
        <v>#DIV/0!</v>
      </c>
      <c r="AI112" s="23" t="e">
        <f t="shared" si="81"/>
        <v>#DIV/0!</v>
      </c>
      <c r="AJ112" s="23" t="e">
        <f t="shared" si="81"/>
        <v>#DIV/0!</v>
      </c>
      <c r="AK112" s="5"/>
      <c r="BB112" s="59" t="str">
        <f>IFERROR($BC$3&amp;VLOOKUP(B114,'Pay Table'!$M$3:$N$18,2,FALSE)&amp;$BB$3&amp;C114&amp;$BD$3,"")</f>
        <v/>
      </c>
      <c r="BC112" s="49" t="str">
        <f>IFERROR($BC$3&amp;VLOOKUP(D114,'Pay Table'!$M$3:$N$18,2,FALSE)&amp;$BB$3&amp;E114&amp;$BD$3,"")</f>
        <v/>
      </c>
      <c r="BD112" s="49" t="str">
        <f>IFERROR($BC$3&amp;VLOOKUP(F114,'Pay Table'!$M$3:$N$18,2,FALSE)&amp;$BB$3&amp;G114&amp;$BD$3,"")</f>
        <v/>
      </c>
      <c r="BE112" s="49" t="str">
        <f>IFERROR($BC$3&amp;VLOOKUP(H114,'Pay Table'!$M$3:$N$18,2,FALSE)&amp;$BB$3&amp;I114&amp;$BD$3,"")</f>
        <v/>
      </c>
      <c r="BF112" s="60" t="str">
        <f>IFERROR($BC$3&amp;VLOOKUP(J114,'Pay Table'!$M$3:$N$18,2,FALSE)&amp;$BB$3&amp;K114&amp;$BD$3,"")</f>
        <v/>
      </c>
    </row>
    <row r="113" spans="1:58" ht="17.100000000000001" customHeight="1" x14ac:dyDescent="0.15">
      <c r="A113" s="14">
        <v>108</v>
      </c>
      <c r="N113" s="2" t="str">
        <f t="shared" si="79"/>
        <v>K</v>
      </c>
      <c r="O113" s="23">
        <f>O101*'Pay Table'!C13</f>
        <v>0</v>
      </c>
      <c r="P113" s="23">
        <f>P101*'Pay Table'!D13</f>
        <v>4.2814000000000003E-3</v>
      </c>
      <c r="Q113" s="23">
        <f>Q101*'Pay Table'!E13</f>
        <v>3.1894999999999996E-3</v>
      </c>
      <c r="R113" s="23">
        <f>R101*'Pay Table'!F13</f>
        <v>2.8120000000000003E-3</v>
      </c>
      <c r="S113" s="23">
        <f>S101*'Pay Table'!G13</f>
        <v>9.9599999999999992E-4</v>
      </c>
      <c r="T113" s="23">
        <f>T101*'Pay Table'!H13</f>
        <v>1.9999999999999998E-4</v>
      </c>
      <c r="U113" s="23">
        <f>U101*'Pay Table'!I13</f>
        <v>7.4999999999999993E-6</v>
      </c>
      <c r="V113" s="23">
        <f>V101*'Pay Table'!J13</f>
        <v>9.9999999999999991E-6</v>
      </c>
      <c r="W113" s="109">
        <f>W101*'Pay Table'!K13</f>
        <v>0</v>
      </c>
      <c r="X113" s="9">
        <f t="shared" si="80"/>
        <v>1.9161391605982427E-2</v>
      </c>
      <c r="AA113" s="2" t="s">
        <v>124</v>
      </c>
      <c r="AB113" s="23">
        <f>O95/$X95</f>
        <v>0</v>
      </c>
      <c r="AC113" s="23">
        <f t="shared" ref="AC113:AJ113" si="82">P95/$X95</f>
        <v>2.7627011036033638E-2</v>
      </c>
      <c r="AD113" s="23">
        <f t="shared" si="82"/>
        <v>1.1208732383145051E-2</v>
      </c>
      <c r="AE113" s="23">
        <f t="shared" si="82"/>
        <v>4.672076945976337E-3</v>
      </c>
      <c r="AF113" s="23">
        <f t="shared" si="82"/>
        <v>1.5753240713176641E-3</v>
      </c>
      <c r="AG113" s="23">
        <f t="shared" si="82"/>
        <v>6.1905390373186305E-4</v>
      </c>
      <c r="AH113" s="23">
        <f t="shared" si="82"/>
        <v>3.1793263586229071E-4</v>
      </c>
      <c r="AI113" s="23">
        <f t="shared" si="82"/>
        <v>1.3251313594260327E-4</v>
      </c>
      <c r="AJ113" s="23">
        <f t="shared" si="82"/>
        <v>2.1755887990576657E-5</v>
      </c>
      <c r="AK113" s="5">
        <v>3.6380000000000002E-3</v>
      </c>
      <c r="BB113" s="59" t="str">
        <f>IFERROR($BC$3&amp;VLOOKUP(B115,'Pay Table'!$M$3:$N$18,2,FALSE)&amp;$BB$3&amp;C115&amp;$BD$3,"")</f>
        <v/>
      </c>
      <c r="BC113" s="49" t="str">
        <f>IFERROR($BC$3&amp;VLOOKUP(D115,'Pay Table'!$M$3:$N$18,2,FALSE)&amp;$BB$3&amp;E115&amp;$BD$3,"")</f>
        <v/>
      </c>
      <c r="BD113" s="49" t="str">
        <f>IFERROR($BC$3&amp;VLOOKUP(F115,'Pay Table'!$M$3:$N$18,2,FALSE)&amp;$BB$3&amp;G115&amp;$BD$3,"")</f>
        <v/>
      </c>
      <c r="BE113" s="49" t="str">
        <f>IFERROR($BC$3&amp;VLOOKUP(H115,'Pay Table'!$M$3:$N$18,2,FALSE)&amp;$BB$3&amp;I115&amp;$BD$3,"")</f>
        <v/>
      </c>
      <c r="BF113" s="60" t="str">
        <f>IFERROR($BC$3&amp;VLOOKUP(J115,'Pay Table'!$M$3:$N$18,2,FALSE)&amp;$BB$3&amp;K115&amp;$BD$3,"")</f>
        <v/>
      </c>
    </row>
    <row r="114" spans="1:58" ht="17.100000000000001" customHeight="1" x14ac:dyDescent="0.15">
      <c r="A114" s="14">
        <v>109</v>
      </c>
      <c r="N114" s="2" t="str">
        <f t="shared" si="79"/>
        <v>Q</v>
      </c>
      <c r="O114" s="23">
        <f>O102*'Pay Table'!C14</f>
        <v>0</v>
      </c>
      <c r="P114" s="23">
        <f>P102*'Pay Table'!D14</f>
        <v>3.2062000000000002E-3</v>
      </c>
      <c r="Q114" s="23">
        <f>Q102*'Pay Table'!E14</f>
        <v>2.4220000000000001E-3</v>
      </c>
      <c r="R114" s="23">
        <f>R102*'Pay Table'!F14</f>
        <v>1.964E-3</v>
      </c>
      <c r="S114" s="23">
        <f>S102*'Pay Table'!G14</f>
        <v>6.6600000000000003E-4</v>
      </c>
      <c r="T114" s="23">
        <f>T102*'Pay Table'!H14</f>
        <v>1.7000000000000001E-4</v>
      </c>
      <c r="U114" s="23">
        <f>U102*'Pay Table'!I14</f>
        <v>2.2499999999999998E-5</v>
      </c>
      <c r="V114" s="23">
        <f>V102*'Pay Table'!J14</f>
        <v>9.9999999999999991E-6</v>
      </c>
      <c r="W114" s="109">
        <f>W102*'Pay Table'!K14</f>
        <v>0</v>
      </c>
      <c r="X114" s="9">
        <f t="shared" si="80"/>
        <v>1.4101700180990179E-2</v>
      </c>
      <c r="AA114" s="2" t="s">
        <v>125</v>
      </c>
      <c r="AB114" s="23">
        <f t="shared" ref="AB114:AB121" si="83">O96/$X96</f>
        <v>0</v>
      </c>
      <c r="AC114" s="23">
        <f t="shared" ref="AC114:AC121" si="84">P96/$X96</f>
        <v>3.0067106963209335E-2</v>
      </c>
      <c r="AD114" s="23">
        <f t="shared" ref="AD114:AD121" si="85">Q96/$X96</f>
        <v>1.0205204639368123E-2</v>
      </c>
      <c r="AE114" s="23">
        <f t="shared" ref="AE114:AE121" si="86">R96/$X96</f>
        <v>3.6893451174392048E-3</v>
      </c>
      <c r="AF114" s="23">
        <f t="shared" ref="AF114:AF121" si="87">S96/$X96</f>
        <v>1.3508723342340479E-3</v>
      </c>
      <c r="AG114" s="23">
        <f t="shared" ref="AG114:AG121" si="88">T96/$X96</f>
        <v>5.269121928912912E-4</v>
      </c>
      <c r="AH114" s="23">
        <f t="shared" ref="AH114:AH121" si="89">U96/$X96</f>
        <v>2.3226366244024127E-4</v>
      </c>
      <c r="AI114" s="23">
        <f t="shared" ref="AI114:AI121" si="90">V96/$X96</f>
        <v>8.5419280814799477E-5</v>
      </c>
      <c r="AJ114" s="23">
        <f t="shared" ref="AJ114:AJ121" si="91">W96/$X96</f>
        <v>1.7275809602993153E-5</v>
      </c>
      <c r="AK114" s="5">
        <v>4.5929999999999999E-3</v>
      </c>
      <c r="BB114" s="59" t="str">
        <f>IFERROR($BC$3&amp;VLOOKUP(B116,'Pay Table'!$M$3:$N$18,2,FALSE)&amp;$BB$3&amp;C116&amp;$BD$3,"")</f>
        <v/>
      </c>
      <c r="BC114" s="49" t="str">
        <f>IFERROR($BC$3&amp;VLOOKUP(D116,'Pay Table'!$M$3:$N$18,2,FALSE)&amp;$BB$3&amp;E116&amp;$BD$3,"")</f>
        <v/>
      </c>
      <c r="BD114" s="49" t="str">
        <f>IFERROR($BC$3&amp;VLOOKUP(F116,'Pay Table'!$M$3:$N$18,2,FALSE)&amp;$BB$3&amp;G116&amp;$BD$3,"")</f>
        <v/>
      </c>
      <c r="BE114" s="49" t="str">
        <f>IFERROR($BC$3&amp;VLOOKUP(H116,'Pay Table'!$M$3:$N$18,2,FALSE)&amp;$BB$3&amp;I116&amp;$BD$3,"")</f>
        <v/>
      </c>
      <c r="BF114" s="60" t="str">
        <f>IFERROR($BC$3&amp;VLOOKUP(J116,'Pay Table'!$M$3:$N$18,2,FALSE)&amp;$BB$3&amp;K116&amp;$BD$3,"")</f>
        <v/>
      </c>
    </row>
    <row r="115" spans="1:58" ht="17.100000000000001" customHeight="1" x14ac:dyDescent="0.15">
      <c r="A115" s="14">
        <v>110</v>
      </c>
      <c r="N115" s="8" t="str">
        <f t="shared" si="79"/>
        <v>J</v>
      </c>
      <c r="O115" s="231">
        <f>O103*'Pay Table'!C15</f>
        <v>0</v>
      </c>
      <c r="P115" s="231">
        <f>P103*'Pay Table'!D15</f>
        <v>1.1068E-3</v>
      </c>
      <c r="Q115" s="231">
        <f>Q103*'Pay Table'!E15</f>
        <v>8.1550000000000004E-4</v>
      </c>
      <c r="R115" s="231">
        <f>R103*'Pay Table'!F15</f>
        <v>5.9800000000000001E-4</v>
      </c>
      <c r="S115" s="231">
        <f>S103*'Pay Table'!G15</f>
        <v>1.7700000000000002E-4</v>
      </c>
      <c r="T115" s="231">
        <f>T103*'Pay Table'!H15</f>
        <v>5.9999999999999995E-5</v>
      </c>
      <c r="U115" s="231">
        <f>U103*'Pay Table'!I15</f>
        <v>7.4999999999999993E-6</v>
      </c>
      <c r="V115" s="231">
        <f>V103*'Pay Table'!J15</f>
        <v>9.9999999999999991E-6</v>
      </c>
      <c r="W115" s="106">
        <f>W103*'Pay Table'!K15</f>
        <v>0</v>
      </c>
      <c r="X115" s="9">
        <f t="shared" si="80"/>
        <v>4.6248416398420407E-3</v>
      </c>
      <c r="AA115" s="2" t="s">
        <v>126</v>
      </c>
      <c r="AB115" s="23">
        <f t="shared" si="83"/>
        <v>0</v>
      </c>
      <c r="AC115" s="23">
        <f t="shared" si="84"/>
        <v>3.6506780065542976E-2</v>
      </c>
      <c r="AD115" s="23">
        <f t="shared" si="85"/>
        <v>7.5093460902717086E-3</v>
      </c>
      <c r="AE115" s="23">
        <f t="shared" si="86"/>
        <v>1.615088164405741E-3</v>
      </c>
      <c r="AF115" s="23">
        <f t="shared" si="87"/>
        <v>4.0452562833753346E-4</v>
      </c>
      <c r="AG115" s="23">
        <f t="shared" si="88"/>
        <v>9.8267775587210056E-5</v>
      </c>
      <c r="AH115" s="23">
        <f t="shared" si="89"/>
        <v>3.3760708177200999E-5</v>
      </c>
      <c r="AI115" s="23">
        <f t="shared" si="90"/>
        <v>6.0286978887858928E-6</v>
      </c>
      <c r="AJ115" s="23">
        <f t="shared" si="91"/>
        <v>6.0286978887858934E-7</v>
      </c>
      <c r="AK115" s="5">
        <v>7.8359999999999992E-3</v>
      </c>
      <c r="BB115" s="59" t="str">
        <f>IFERROR($BC$3&amp;VLOOKUP(B117,'Pay Table'!$M$3:$N$18,2,FALSE)&amp;$BB$3&amp;C117&amp;$BD$3,"")</f>
        <v/>
      </c>
      <c r="BC115" s="49" t="str">
        <f>IFERROR($BC$3&amp;VLOOKUP(D117,'Pay Table'!$M$3:$N$18,2,FALSE)&amp;$BB$3&amp;E117&amp;$BD$3,"")</f>
        <v/>
      </c>
      <c r="BD115" s="49" t="str">
        <f>IFERROR($BC$3&amp;VLOOKUP(F117,'Pay Table'!$M$3:$N$18,2,FALSE)&amp;$BB$3&amp;G117&amp;$BD$3,"")</f>
        <v/>
      </c>
      <c r="BE115" s="49" t="str">
        <f>IFERROR($BC$3&amp;VLOOKUP(H117,'Pay Table'!$M$3:$N$18,2,FALSE)&amp;$BB$3&amp;I117&amp;$BD$3,"")</f>
        <v/>
      </c>
      <c r="BF115" s="60" t="str">
        <f>IFERROR($BC$3&amp;VLOOKUP(J117,'Pay Table'!$M$3:$N$18,2,FALSE)&amp;$BB$3&amp;K117&amp;$BD$3,"")</f>
        <v/>
      </c>
    </row>
    <row r="116" spans="1:58" ht="17.100000000000001" customHeight="1" x14ac:dyDescent="0.15">
      <c r="A116" s="14">
        <v>111</v>
      </c>
      <c r="P116" s="9"/>
      <c r="Q116" s="9"/>
      <c r="R116" s="9"/>
      <c r="S116" s="9"/>
      <c r="T116" s="9"/>
      <c r="U116" s="9"/>
      <c r="V116" s="9"/>
      <c r="W116" s="9"/>
      <c r="X116" s="9"/>
      <c r="AA116" s="2" t="s">
        <v>127</v>
      </c>
      <c r="AB116" s="23">
        <f t="shared" si="83"/>
        <v>0</v>
      </c>
      <c r="AC116" s="23">
        <f t="shared" si="84"/>
        <v>3.2950580511571272E-2</v>
      </c>
      <c r="AD116" s="23">
        <f t="shared" si="85"/>
        <v>9.7277979467548341E-3</v>
      </c>
      <c r="AE116" s="23">
        <f t="shared" si="86"/>
        <v>2.4505293196450334E-3</v>
      </c>
      <c r="AF116" s="23">
        <f t="shared" si="87"/>
        <v>7.6026667826692234E-4</v>
      </c>
      <c r="AG116" s="23">
        <f t="shared" si="88"/>
        <v>2.1793641900121814E-4</v>
      </c>
      <c r="AH116" s="23">
        <f t="shared" si="89"/>
        <v>5.1220080041760953E-5</v>
      </c>
      <c r="AI116" s="23">
        <f t="shared" si="90"/>
        <v>1.5064729424047339E-5</v>
      </c>
      <c r="AJ116" s="23">
        <f t="shared" si="91"/>
        <v>1.0043152949364892E-6</v>
      </c>
      <c r="AK116" s="5">
        <v>2.1099999999999999E-3</v>
      </c>
      <c r="BB116" s="59" t="str">
        <f>IFERROR($BC$3&amp;VLOOKUP(B118,'Pay Table'!$M$3:$N$18,2,FALSE)&amp;$BB$3&amp;C118&amp;$BD$3,"")</f>
        <v/>
      </c>
      <c r="BC116" s="49" t="str">
        <f>IFERROR($BC$3&amp;VLOOKUP(D118,'Pay Table'!$M$3:$N$18,2,FALSE)&amp;$BB$3&amp;E118&amp;$BD$3,"")</f>
        <v/>
      </c>
      <c r="BD116" s="49" t="str">
        <f>IFERROR($BC$3&amp;VLOOKUP(F118,'Pay Table'!$M$3:$N$18,2,FALSE)&amp;$BB$3&amp;G118&amp;$BD$3,"")</f>
        <v/>
      </c>
      <c r="BE116" s="49" t="str">
        <f>IFERROR($BC$3&amp;VLOOKUP(H118,'Pay Table'!$M$3:$N$18,2,FALSE)&amp;$BB$3&amp;I118&amp;$BD$3,"")</f>
        <v/>
      </c>
      <c r="BF116" s="60" t="str">
        <f>IFERROR($BC$3&amp;VLOOKUP(J118,'Pay Table'!$M$3:$N$18,2,FALSE)&amp;$BB$3&amp;K118&amp;$BD$3,"")</f>
        <v/>
      </c>
    </row>
    <row r="117" spans="1:58" ht="17.100000000000001" customHeight="1" x14ac:dyDescent="0.15">
      <c r="A117" s="14">
        <v>112</v>
      </c>
      <c r="N117" s="17" t="s">
        <v>16</v>
      </c>
      <c r="O117" s="21"/>
      <c r="P117" s="21"/>
      <c r="Q117" s="21"/>
      <c r="R117" s="21"/>
      <c r="S117" s="20"/>
      <c r="AA117" s="2" t="s">
        <v>128</v>
      </c>
      <c r="AB117" s="23">
        <f t="shared" si="83"/>
        <v>0</v>
      </c>
      <c r="AC117" s="23">
        <f t="shared" si="84"/>
        <v>3.5107583697824032E-2</v>
      </c>
      <c r="AD117" s="23">
        <f t="shared" si="85"/>
        <v>8.0354956945394868E-3</v>
      </c>
      <c r="AE117" s="23">
        <f t="shared" si="86"/>
        <v>2.1023980949774206E-3</v>
      </c>
      <c r="AF117" s="23">
        <f t="shared" si="87"/>
        <v>6.6920336116053144E-4</v>
      </c>
      <c r="AG117" s="23">
        <f t="shared" si="88"/>
        <v>1.9210370329820732E-4</v>
      </c>
      <c r="AH117" s="23">
        <f t="shared" si="89"/>
        <v>6.0032407280689796E-5</v>
      </c>
      <c r="AI117" s="23">
        <f t="shared" si="90"/>
        <v>6.9511208430272395E-6</v>
      </c>
      <c r="AJ117" s="23">
        <f t="shared" si="91"/>
        <v>6.3192007663883989E-7</v>
      </c>
      <c r="AK117" s="5">
        <v>4.3660000000000001E-3</v>
      </c>
      <c r="BB117" s="59" t="str">
        <f>IFERROR($BC$3&amp;VLOOKUP(B119,'Pay Table'!$M$3:$N$18,2,FALSE)&amp;$BB$3&amp;C119&amp;$BD$3,"")</f>
        <v/>
      </c>
      <c r="BC117" s="49" t="str">
        <f>IFERROR($BC$3&amp;VLOOKUP(D119,'Pay Table'!$M$3:$N$18,2,FALSE)&amp;$BB$3&amp;E119&amp;$BD$3,"")</f>
        <v/>
      </c>
      <c r="BD117" s="49" t="str">
        <f>IFERROR($BC$3&amp;VLOOKUP(F119,'Pay Table'!$M$3:$N$18,2,FALSE)&amp;$BB$3&amp;G119&amp;$BD$3,"")</f>
        <v/>
      </c>
      <c r="BE117" s="49" t="str">
        <f>IFERROR($BC$3&amp;VLOOKUP(H119,'Pay Table'!$M$3:$N$18,2,FALSE)&amp;$BB$3&amp;I119&amp;$BD$3,"")</f>
        <v/>
      </c>
      <c r="BF117" s="60" t="str">
        <f>IFERROR($BC$3&amp;VLOOKUP(J119,'Pay Table'!$M$3:$N$18,2,FALSE)&amp;$BB$3&amp;K119&amp;$BD$3,"")</f>
        <v/>
      </c>
    </row>
    <row r="118" spans="1:58" ht="17.100000000000001" customHeight="1" x14ac:dyDescent="0.15">
      <c r="A118" s="14">
        <v>113</v>
      </c>
      <c r="N118" s="6" t="s">
        <v>34</v>
      </c>
      <c r="O118" s="18">
        <v>1</v>
      </c>
      <c r="P118" s="18">
        <v>2</v>
      </c>
      <c r="Q118" s="18">
        <v>3</v>
      </c>
      <c r="R118" s="18">
        <v>4</v>
      </c>
      <c r="S118" s="36">
        <v>5</v>
      </c>
      <c r="AA118" s="2" t="s">
        <v>292</v>
      </c>
      <c r="AB118" s="23">
        <f t="shared" si="83"/>
        <v>0</v>
      </c>
      <c r="AC118" s="23">
        <f t="shared" si="84"/>
        <v>3.2654988820738355E-2</v>
      </c>
      <c r="AD118" s="23">
        <f t="shared" si="85"/>
        <v>1.1053320958222436E-2</v>
      </c>
      <c r="AE118" s="23">
        <f t="shared" si="86"/>
        <v>1.9878343710218738E-3</v>
      </c>
      <c r="AF118" s="23">
        <f t="shared" si="87"/>
        <v>4.0878851984724011E-4</v>
      </c>
      <c r="AG118" s="23">
        <f t="shared" si="88"/>
        <v>5.6108228214327073E-5</v>
      </c>
      <c r="AH118" s="23">
        <f t="shared" si="89"/>
        <v>1.0687281564633728E-5</v>
      </c>
      <c r="AI118" s="23">
        <f t="shared" si="90"/>
        <v>2.6718203911584319E-6</v>
      </c>
      <c r="AJ118" s="23">
        <f t="shared" si="91"/>
        <v>0</v>
      </c>
      <c r="AK118" s="5">
        <v>1.6440000000000001E-3</v>
      </c>
      <c r="BB118" s="59" t="str">
        <f>IFERROR($BC$3&amp;VLOOKUP(B120,'Pay Table'!$M$3:$N$18,2,FALSE)&amp;$BB$3&amp;C120&amp;$BD$3,"")</f>
        <v/>
      </c>
      <c r="BC118" s="49" t="str">
        <f>IFERROR($BC$3&amp;VLOOKUP(D120,'Pay Table'!$M$3:$N$18,2,FALSE)&amp;$BB$3&amp;E120&amp;$BD$3,"")</f>
        <v/>
      </c>
      <c r="BD118" s="49" t="str">
        <f>IFERROR($BC$3&amp;VLOOKUP(F120,'Pay Table'!$M$3:$N$18,2,FALSE)&amp;$BB$3&amp;G120&amp;$BD$3,"")</f>
        <v/>
      </c>
      <c r="BE118" s="49" t="str">
        <f>IFERROR($BC$3&amp;VLOOKUP(H120,'Pay Table'!$M$3:$N$18,2,FALSE)&amp;$BB$3&amp;I120&amp;$BD$3,"")</f>
        <v/>
      </c>
      <c r="BF118" s="60" t="str">
        <f>IFERROR($BC$3&amp;VLOOKUP(J120,'Pay Table'!$M$3:$N$18,2,FALSE)&amp;$BB$3&amp;K120&amp;$BD$3,"")</f>
        <v/>
      </c>
    </row>
    <row r="119" spans="1:58" ht="17.100000000000001" customHeight="1" x14ac:dyDescent="0.15">
      <c r="A119" s="14">
        <v>114</v>
      </c>
      <c r="N119" s="19" t="s">
        <v>14</v>
      </c>
      <c r="O119" s="15"/>
      <c r="P119" s="15"/>
      <c r="Q119" s="15"/>
      <c r="R119" s="15"/>
      <c r="S119" s="16"/>
      <c r="AA119" s="2" t="s">
        <v>293</v>
      </c>
      <c r="AB119" s="23">
        <f t="shared" si="83"/>
        <v>0</v>
      </c>
      <c r="AC119" s="23">
        <f t="shared" si="84"/>
        <v>3.3432164675640967E-2</v>
      </c>
      <c r="AD119" s="23">
        <f t="shared" si="85"/>
        <v>9.9623384157478245E-3</v>
      </c>
      <c r="AE119" s="23">
        <f t="shared" si="86"/>
        <v>2.1958062098356235E-3</v>
      </c>
      <c r="AF119" s="23">
        <f t="shared" si="87"/>
        <v>5.1849762565108609E-4</v>
      </c>
      <c r="AG119" s="23">
        <f t="shared" si="88"/>
        <v>6.2469593451938078E-5</v>
      </c>
      <c r="AH119" s="23">
        <f t="shared" si="89"/>
        <v>1.5617398362984519E-6</v>
      </c>
      <c r="AI119" s="23">
        <f t="shared" si="90"/>
        <v>1.5617398362984519E-6</v>
      </c>
      <c r="AJ119" s="23">
        <f t="shared" si="91"/>
        <v>0</v>
      </c>
      <c r="AK119" s="5">
        <v>1.5899999999999996E-3</v>
      </c>
      <c r="BB119" s="59" t="str">
        <f>IFERROR($BC$3&amp;VLOOKUP(B121,'Pay Table'!$M$3:$N$18,2,FALSE)&amp;$BB$3&amp;C121&amp;$BD$3,"")</f>
        <v/>
      </c>
      <c r="BC119" s="49" t="str">
        <f>IFERROR($BC$3&amp;VLOOKUP(D121,'Pay Table'!$M$3:$N$18,2,FALSE)&amp;$BB$3&amp;E121&amp;$BD$3,"")</f>
        <v/>
      </c>
      <c r="BD119" s="49" t="str">
        <f>IFERROR($BC$3&amp;VLOOKUP(F121,'Pay Table'!$M$3:$N$18,2,FALSE)&amp;$BB$3&amp;G121&amp;$BD$3,"")</f>
        <v/>
      </c>
      <c r="BE119" s="49" t="str">
        <f>IFERROR($BC$3&amp;VLOOKUP(H121,'Pay Table'!$M$3:$N$18,2,FALSE)&amp;$BB$3&amp;I121&amp;$BD$3,"")</f>
        <v/>
      </c>
      <c r="BF119" s="60" t="str">
        <f>IFERROR($BC$3&amp;VLOOKUP(J121,'Pay Table'!$M$3:$N$18,2,FALSE)&amp;$BB$3&amp;K121&amp;$BD$3,"")</f>
        <v/>
      </c>
    </row>
    <row r="120" spans="1:58" ht="17.100000000000001" customHeight="1" x14ac:dyDescent="0.15">
      <c r="A120" s="14">
        <v>115</v>
      </c>
      <c r="N120" s="4">
        <v>0</v>
      </c>
      <c r="O120" s="7">
        <f t="array" ref="O120">SUM(IF(ISBLANK(B$6:B$290),0,1)*IF(ISBLANK(B$5:B$289),0,1)*IF(ISBLANK(B$4:B$288),0,1)*
IF(B$6:B$290=$N$119,0,1)*IF(B$5:B$289=$N$119,0,1)*IF(B$4:B$288=$N$119,0,1)*C$4:C$288)</f>
        <v>5840</v>
      </c>
      <c r="P120" s="21">
        <f t="array" ref="P120">SUM(IF(ISBLANK(D$6:D$290),0,1)*IF(ISBLANK(D$5:D$289),0,1)*IF(ISBLANK(D$4:D$288),0,1)*
IF(D$6:D$290=$N$119,0,1)*IF(D$5:D$289=$N$119,0,1)*IF(D$4:D$288=$N$119,0,1)*E$4:E$288)</f>
        <v>4740</v>
      </c>
      <c r="Q120" s="21">
        <f t="array" ref="Q120">SUM(IF(ISBLANK(F$6:F$290),0,1)*IF(ISBLANK(F$5:F$289),0,1)*IF(ISBLANK(F$4:F$288),0,1)*
IF(F$6:F$290=$N$119,0,1)*IF(F$5:F$289=$N$119,0,1)*IF(F$4:F$288=$N$119,0,1)*G$4:G$288)</f>
        <v>4540</v>
      </c>
      <c r="R120" s="21">
        <f t="array" ref="R120">SUM(IF(ISBLANK(H$6:H$290),0,1)*IF(ISBLANK(H$5:H$289),0,1)*IF(ISBLANK(H$4:H$288),0,1)*
IF(H$6:H$290=$N$119,0,1)*IF(H$5:H$289=$N$119,0,1)*IF(H$4:H$288=$N$119,0,1)*I$4:I$288)</f>
        <v>7140</v>
      </c>
      <c r="S120" s="20">
        <f t="array" ref="S120">SUM(IF(ISBLANK(J$6:J$290),0,1)*IF(ISBLANK(J$5:J$289),0,1)*IF(ISBLANK(J$4:J$288),0,1)*
IF(J$6:J$290=$N$119,0,1)*IF(J$5:J$289=$N$119,0,1)*IF(J$4:J$288=$N$119,0,1)*K$4:K$288)</f>
        <v>6840</v>
      </c>
      <c r="AA120" s="2" t="s">
        <v>294</v>
      </c>
      <c r="AB120" s="23">
        <f t="shared" si="83"/>
        <v>0</v>
      </c>
      <c r="AC120" s="23">
        <f t="shared" si="84"/>
        <v>3.346845441967719E-2</v>
      </c>
      <c r="AD120" s="23">
        <f t="shared" si="85"/>
        <v>1.0112980675498491E-2</v>
      </c>
      <c r="AE120" s="23">
        <f t="shared" si="86"/>
        <v>2.0501542162137737E-3</v>
      </c>
      <c r="AF120" s="23">
        <f t="shared" si="87"/>
        <v>4.6347681873671866E-4</v>
      </c>
      <c r="AG120" s="23">
        <f t="shared" si="88"/>
        <v>7.098293620292087E-5</v>
      </c>
      <c r="AH120" s="23">
        <f t="shared" si="89"/>
        <v>6.2632002531989007E-6</v>
      </c>
      <c r="AI120" s="23">
        <f t="shared" si="90"/>
        <v>2.0877334177329668E-6</v>
      </c>
      <c r="AJ120" s="23">
        <f t="shared" si="91"/>
        <v>0</v>
      </c>
      <c r="AK120" s="5">
        <v>2.2340000000000003E-3</v>
      </c>
      <c r="BB120" s="59" t="str">
        <f>IFERROR($BC$3&amp;VLOOKUP(B122,'Pay Table'!$M$3:$N$18,2,FALSE)&amp;$BB$3&amp;C122&amp;$BD$3,"")</f>
        <v/>
      </c>
      <c r="BC120" s="49" t="str">
        <f>IFERROR($BC$3&amp;VLOOKUP(D122,'Pay Table'!$M$3:$N$18,2,FALSE)&amp;$BB$3&amp;E122&amp;$BD$3,"")</f>
        <v/>
      </c>
      <c r="BD120" s="49" t="str">
        <f>IFERROR($BC$3&amp;VLOOKUP(F122,'Pay Table'!$M$3:$N$18,2,FALSE)&amp;$BB$3&amp;G122&amp;$BD$3,"")</f>
        <v/>
      </c>
      <c r="BE120" s="49" t="str">
        <f>IFERROR($BC$3&amp;VLOOKUP(H122,'Pay Table'!$M$3:$N$18,2,FALSE)&amp;$BB$3&amp;I122&amp;$BD$3,"")</f>
        <v/>
      </c>
      <c r="BF120" s="60" t="str">
        <f>IFERROR($BC$3&amp;VLOOKUP(J122,'Pay Table'!$M$3:$N$18,2,FALSE)&amp;$BB$3&amp;K122&amp;$BD$3,"")</f>
        <v/>
      </c>
    </row>
    <row r="121" spans="1:58" ht="17.100000000000001" customHeight="1" x14ac:dyDescent="0.15">
      <c r="A121" s="14">
        <v>116</v>
      </c>
      <c r="N121" s="4">
        <v>1</v>
      </c>
      <c r="O121" s="2">
        <f t="array" ref="O121">SUM(IF(ISBLANK(B$6:B$290),0,1)*IF(ISBLANK(B$5:B$289),0,1)*IF(ISBLANK(B$4:B$288),0,1)*
(IF(B$6:B$290=$N$119,1,0)*IF(B$5:B$289=$N$119,0,1)*IF(B$4:B$288=$N$119,0,1)+
IF(B$6:B$290=$N$119,0,1)*IF(B$5:B$289=$N$119,1,0)*IF(B$4:B$288=$N$119,0,1)+
IF(B$6:B$290=$N$119,0,1)*IF(B$5:B$289=$N$119,0,1)*IF(B$4:B$288=$N$119,1,0))*C$4:C$288)</f>
        <v>0</v>
      </c>
      <c r="P121" s="1">
        <f t="array" ref="P121">SUM(IF(ISBLANK(D$6:D$290),0,1)*IF(ISBLANK(D$5:D$289),0,1)*IF(ISBLANK(D$4:D$288),0,1)*
(IF(D$6:D$290=$N$119,1,0)*IF(D$5:D$289=$N$119,0,1)*IF(D$4:D$288=$N$119,0,1)+
IF(D$6:D$290=$N$119,0,1)*IF(D$5:D$289=$N$119,1,0)*IF(D$4:D$288=$N$119,0,1)+
IF(D$6:D$290=$N$119,0,1)*IF(D$5:D$289=$N$119,0,1)*IF(D$4:D$288=$N$119,1,0))*E$4:E$288)</f>
        <v>1224</v>
      </c>
      <c r="Q121" s="1">
        <f t="array" ref="Q121">SUM(IF(ISBLANK(F$6:F$290),0,1)*IF(ISBLANK(F$5:F$289),0,1)*IF(ISBLANK(F$4:F$288),0,1)*
(IF(F$6:F$290=$N$119,1,0)*IF(F$5:F$289=$N$119,0,1)*IF(F$4:F$288=$N$119,0,1)+
IF(F$6:F$290=$N$119,0,1)*IF(F$5:F$289=$N$119,1,0)*IF(F$4:F$288=$N$119,0,1)+
IF(F$6:F$290=$N$119,0,1)*IF(F$5:F$289=$N$119,0,1)*IF(F$4:F$288=$N$119,1,0))*G$4:G$288)</f>
        <v>1224</v>
      </c>
      <c r="R121" s="1">
        <f t="array" ref="R121">SUM(IF(ISBLANK(H$6:H$290),0,1)*IF(ISBLANK(H$5:H$289),0,1)*IF(ISBLANK(H$4:H$288),0,1)*
(IF(H$6:H$290=$N$119,1,0)*IF(H$5:H$289=$N$119,0,1)*IF(H$4:H$288=$N$119,0,1)+
IF(H$6:H$290=$N$119,0,1)*IF(H$5:H$289=$N$119,1,0)*IF(H$4:H$288=$N$119,0,1)+
IF(H$6:H$290=$N$119,0,1)*IF(H$5:H$289=$N$119,0,1)*IF(H$4:H$288=$N$119,1,0))*I$4:I$288)-R122</f>
        <v>1210</v>
      </c>
      <c r="S121" s="5">
        <f t="array" ref="S121">SUM(IF(ISBLANK(J$6:J$290),0,1)*IF(ISBLANK(J$5:J$289),0,1)*IF(ISBLANK(J$4:J$288),0,1)*
(IF(J$6:J$290=$N$119,1,0)*IF(J$5:J$289=$N$119,0,1)*IF(J$4:J$288=$N$119,0,1)+
IF(J$6:J$290=$N$119,0,1)*IF(J$5:J$289=$N$119,1,0)*IF(J$4:J$288=$N$119,0,1)+
IF(J$6:J$290=$N$119,0,1)*IF(J$5:J$289=$N$119,0,1)*IF(J$4:J$288=$N$119,1,0))*K$4:K$288)</f>
        <v>0</v>
      </c>
      <c r="AA121" s="8" t="s">
        <v>295</v>
      </c>
      <c r="AB121" s="231">
        <f t="shared" si="83"/>
        <v>0</v>
      </c>
      <c r="AC121" s="231">
        <f t="shared" si="84"/>
        <v>3.3903294361151678E-2</v>
      </c>
      <c r="AD121" s="231">
        <f t="shared" si="85"/>
        <v>9.992098500729742E-3</v>
      </c>
      <c r="AE121" s="231">
        <f t="shared" si="86"/>
        <v>1.8317826190792108E-3</v>
      </c>
      <c r="AF121" s="231">
        <f t="shared" si="87"/>
        <v>3.6145543319623225E-4</v>
      </c>
      <c r="AG121" s="231">
        <f t="shared" si="88"/>
        <v>7.3516359294148922E-5</v>
      </c>
      <c r="AH121" s="231">
        <f t="shared" si="89"/>
        <v>6.1263632745124099E-6</v>
      </c>
      <c r="AI121" s="231">
        <f t="shared" si="90"/>
        <v>6.1263632745124099E-6</v>
      </c>
      <c r="AJ121" s="231">
        <f t="shared" si="91"/>
        <v>0</v>
      </c>
      <c r="AK121" s="16">
        <v>3.7219999999999996E-3</v>
      </c>
      <c r="BB121" s="59" t="str">
        <f>IFERROR($BC$3&amp;VLOOKUP(B123,'Pay Table'!$M$3:$N$18,2,FALSE)&amp;$BB$3&amp;C123&amp;$BD$3,"")</f>
        <v/>
      </c>
      <c r="BC121" s="49" t="str">
        <f>IFERROR($BC$3&amp;VLOOKUP(D123,'Pay Table'!$M$3:$N$18,2,FALSE)&amp;$BB$3&amp;E123&amp;$BD$3,"")</f>
        <v/>
      </c>
      <c r="BD121" s="49" t="str">
        <f>IFERROR($BC$3&amp;VLOOKUP(F123,'Pay Table'!$M$3:$N$18,2,FALSE)&amp;$BB$3&amp;G123&amp;$BD$3,"")</f>
        <v/>
      </c>
      <c r="BE121" s="49" t="str">
        <f>IFERROR($BC$3&amp;VLOOKUP(H123,'Pay Table'!$M$3:$N$18,2,FALSE)&amp;$BB$3&amp;I123&amp;$BD$3,"")</f>
        <v/>
      </c>
      <c r="BF121" s="60" t="str">
        <f>IFERROR($BC$3&amp;VLOOKUP(J123,'Pay Table'!$M$3:$N$18,2,FALSE)&amp;$BB$3&amp;K123&amp;$BD$3,"")</f>
        <v/>
      </c>
    </row>
    <row r="122" spans="1:58" ht="17.100000000000001" customHeight="1" x14ac:dyDescent="0.15">
      <c r="A122" s="14">
        <v>117</v>
      </c>
      <c r="N122" s="4">
        <v>2</v>
      </c>
      <c r="O122" s="2"/>
      <c r="S122" s="5"/>
      <c r="BB122" s="59" t="str">
        <f>IFERROR($BC$3&amp;VLOOKUP(B124,'Pay Table'!$M$3:$N$18,2,FALSE)&amp;$BB$3&amp;C124&amp;$BD$3,"")</f>
        <v/>
      </c>
      <c r="BC122" s="49" t="str">
        <f>IFERROR($BC$3&amp;VLOOKUP(D124,'Pay Table'!$M$3:$N$18,2,FALSE)&amp;$BB$3&amp;E124&amp;$BD$3,"")</f>
        <v/>
      </c>
      <c r="BD122" s="49" t="str">
        <f>IFERROR($BC$3&amp;VLOOKUP(F124,'Pay Table'!$M$3:$N$18,2,FALSE)&amp;$BB$3&amp;G124&amp;$BD$3,"")</f>
        <v/>
      </c>
      <c r="BE122" s="49" t="str">
        <f>IFERROR($BC$3&amp;VLOOKUP(H124,'Pay Table'!$M$3:$N$18,2,FALSE)&amp;$BB$3&amp;I124&amp;$BD$3,"")</f>
        <v/>
      </c>
      <c r="BF122" s="60" t="str">
        <f>IFERROR($BC$3&amp;VLOOKUP(J124,'Pay Table'!$M$3:$N$18,2,FALSE)&amp;$BB$3&amp;K124&amp;$BD$3,"")</f>
        <v/>
      </c>
    </row>
    <row r="123" spans="1:58" ht="17.100000000000001" customHeight="1" x14ac:dyDescent="0.15">
      <c r="A123" s="14">
        <v>118</v>
      </c>
      <c r="N123" s="19">
        <v>3</v>
      </c>
      <c r="O123" s="8"/>
      <c r="P123" s="15"/>
      <c r="Q123" s="15"/>
      <c r="R123" s="15"/>
      <c r="S123" s="16"/>
      <c r="BB123" s="59" t="str">
        <f>IFERROR($BC$3&amp;VLOOKUP(B125,'Pay Table'!$M$3:$N$18,2,FALSE)&amp;$BB$3&amp;C125&amp;$BD$3,"")</f>
        <v/>
      </c>
      <c r="BC123" s="49" t="str">
        <f>IFERROR($BC$3&amp;VLOOKUP(D125,'Pay Table'!$M$3:$N$18,2,FALSE)&amp;$BB$3&amp;E125&amp;$BD$3,"")</f>
        <v/>
      </c>
      <c r="BD123" s="49" t="str">
        <f>IFERROR($BC$3&amp;VLOOKUP(F125,'Pay Table'!$M$3:$N$18,2,FALSE)&amp;$BB$3&amp;G125&amp;$BD$3,"")</f>
        <v/>
      </c>
      <c r="BE123" s="49" t="str">
        <f>IFERROR($BC$3&amp;VLOOKUP(H125,'Pay Table'!$M$3:$N$18,2,FALSE)&amp;$BB$3&amp;I125&amp;$BD$3,"")</f>
        <v/>
      </c>
      <c r="BF123" s="60" t="str">
        <f>IFERROR($BC$3&amp;VLOOKUP(J125,'Pay Table'!$M$3:$N$18,2,FALSE)&amp;$BB$3&amp;K125&amp;$BD$3,"")</f>
        <v/>
      </c>
    </row>
    <row r="124" spans="1:58" ht="17.100000000000001" customHeight="1" x14ac:dyDescent="0.15">
      <c r="A124" s="14">
        <v>119</v>
      </c>
      <c r="BB124" s="59" t="str">
        <f>IFERROR($BC$3&amp;VLOOKUP(B126,'Pay Table'!$M$3:$N$18,2,FALSE)&amp;$BB$3&amp;C126&amp;$BD$3,"")</f>
        <v/>
      </c>
      <c r="BC124" s="49" t="str">
        <f>IFERROR($BC$3&amp;VLOOKUP(D126,'Pay Table'!$M$3:$N$18,2,FALSE)&amp;$BB$3&amp;E126&amp;$BD$3,"")</f>
        <v/>
      </c>
      <c r="BD124" s="49" t="str">
        <f>IFERROR($BC$3&amp;VLOOKUP(F126,'Pay Table'!$M$3:$N$18,2,FALSE)&amp;$BB$3&amp;G126&amp;$BD$3,"")</f>
        <v/>
      </c>
      <c r="BE124" s="49" t="str">
        <f>IFERROR($BC$3&amp;VLOOKUP(H126,'Pay Table'!$M$3:$N$18,2,FALSE)&amp;$BB$3&amp;I126&amp;$BD$3,"")</f>
        <v/>
      </c>
      <c r="BF124" s="60" t="str">
        <f>IFERROR($BC$3&amp;VLOOKUP(J126,'Pay Table'!$M$3:$N$18,2,FALSE)&amp;$BB$3&amp;K126&amp;$BD$3,"")</f>
        <v/>
      </c>
    </row>
    <row r="125" spans="1:58" ht="17.100000000000001" customHeight="1" x14ac:dyDescent="0.15">
      <c r="A125" s="14">
        <v>120</v>
      </c>
      <c r="N125" s="6" t="s">
        <v>4</v>
      </c>
      <c r="O125" s="18">
        <v>1</v>
      </c>
      <c r="P125" s="18">
        <v>2</v>
      </c>
      <c r="Q125" s="18">
        <v>3</v>
      </c>
      <c r="R125" s="18">
        <v>4</v>
      </c>
      <c r="S125" s="18">
        <v>5</v>
      </c>
      <c r="T125" s="1" t="s">
        <v>35</v>
      </c>
      <c r="BB125" s="59" t="str">
        <f>IFERROR($BC$3&amp;VLOOKUP(B127,'Pay Table'!$M$3:$N$18,2,FALSE)&amp;$BB$3&amp;C127&amp;$BD$3,"")</f>
        <v/>
      </c>
      <c r="BC125" s="49" t="str">
        <f>IFERROR($BC$3&amp;VLOOKUP(D127,'Pay Table'!$M$3:$N$18,2,FALSE)&amp;$BB$3&amp;E127&amp;$BD$3,"")</f>
        <v/>
      </c>
      <c r="BD125" s="49" t="str">
        <f>IFERROR($BC$3&amp;VLOOKUP(F127,'Pay Table'!$M$3:$N$18,2,FALSE)&amp;$BB$3&amp;G127&amp;$BD$3,"")</f>
        <v/>
      </c>
      <c r="BE125" s="49" t="str">
        <f>IFERROR($BC$3&amp;VLOOKUP(H127,'Pay Table'!$M$3:$N$18,2,FALSE)&amp;$BB$3&amp;I127&amp;$BD$3,"")</f>
        <v/>
      </c>
      <c r="BF125" s="60" t="str">
        <f>IFERROR($BC$3&amp;VLOOKUP(J127,'Pay Table'!$M$3:$N$18,2,FALSE)&amp;$BB$3&amp;K127&amp;$BD$3,"")</f>
        <v/>
      </c>
    </row>
    <row r="126" spans="1:58" ht="17.100000000000001" customHeight="1" x14ac:dyDescent="0.15">
      <c r="A126" s="14">
        <v>121</v>
      </c>
      <c r="N126" s="4" t="str">
        <f>N119</f>
        <v>SCATTER</v>
      </c>
      <c r="O126" s="7">
        <f>O120*P120*Q120*R120*S121+O120*P120*Q120*R121*S120+O120*P120*Q121*R120*S120+O120*P121*Q120*R120*S120+O121*P120*Q120*R120*S120</f>
        <v>4.27977065726208E+18</v>
      </c>
      <c r="P126" s="21">
        <f>O120*P120*Q120*R120*S122+O120*P120*Q120*R121*S121+O120*P120*Q120*R122*S120+O120*P120*Q121*R120*S121+O120*P120*Q121*R121*S120+O120*P120*Q122*R120*S120+O120*P121*Q120*R120*S121+O120*P121*Q120*R121*S120+O120*P121*Q121*R120*S120+O120*P122*Q120*R120*S120+O121*P120*Q120*R120*S121+O121*P120*Q120*R121*S120+O121*P120*Q121*R120*S120+O121*P121*Q120*R120*S120+O122*P120*Q120*R120*S120</f>
        <v>9.76311521685504E+17</v>
      </c>
      <c r="Q126" s="21">
        <f>O120*P120*Q120*R120*S123+O120*P120*Q120*R121*S122+O120*P120*Q120*R122*S121+O120*P120*Q120*R123*S120+O120*P120*Q121*R120*S122+O120*P120*Q121*R121*S121+O120*P120*Q121*R122*S120+O120*P120*Q122*R120*S121+O120*P120*Q122*R121*S120+O120*P120*Q123*R120*S120+O120*P121*Q120*R120*S122+O120*P121*Q120*R121*S121+O120*P121*Q120*R122*S120+O120*P121*Q121*R120*S121+O120*P121*Q121*R121*S120+O120*P121*Q122*R120*S120+O120*P122*Q120*R120*S121+O120*P122*Q120*R121*S120+O120*P122*Q121*R120*S120+O120*P123*Q120*R120*S120+O121*P120*Q120*R120*S122+O121*P120*Q120*R121*S121+O121*P120*Q120*R122*S120+O121*P120*Q121*R120*S121+O121*P120*Q121*R121*S120+O121*P120*Q122*R120*S120+O121*P121*Q120*R120*S121+O121*P121*Q120*R121*S120+O121*P121*Q121*R120*S120+O121*P122*Q120*R120*S120+O122*P120*Q120*R120*S121+O122*P120*Q120*R121*S120+O122*P120*Q121*R120*S120+O122*P121*Q120*R120*S120+O123*P120*Q120*R120*S120</f>
        <v>7.2413102462976E+16</v>
      </c>
      <c r="R126" s="147">
        <f>O120*P120*Q120*R121*S123+O120*P120*Q120*R122*S122+O120*P120*Q120*R123*S121+O120*P120*Q121*R120*S123+O120*P120*Q121*R121*S122+O120*P120*Q121*R122*S121+O120*P120*Q121*R123*S120+O120*P120*Q122*R120*S122+O120*P120*Q122*R121*S121+O120*P120*Q122*R122*S120+O120*P120*Q123*R120*S121+O120*P120*Q123*R121*S120+O120*P121*Q120*R120*S123+O120*P121*Q120*R121*S122+O120*P121*Q120*R122*S121+O120*P121*Q120*R123*S120+O120*P121*Q121*R120*S122+O120*P121*Q121*R121*S121+O120*P121*Q121*R122*S120+O120*P121*Q122*R120*S121+O120*P121*Q122*R121*S120+O120*P121*Q123*R120*S120+O120*P122*Q120*R120*S122+O120*P122*Q120*R121*S121+O120*P122*Q120*R122*S120+O120*P122*Q121*R120*S121+O120*P122*Q121*R121*S120+O120*P122*Q122*R120*S120+O120*P123*Q120*R120*S121+O120*P123*Q120*R121*S120+O120*P123*Q121*R120*S120+O121*P120*Q120*R120*S123+O121*P120*Q120*R121*S122+O121*P120*Q120*R122*S121+O121*P120*Q120*R123*S120+O121*P120*Q121*R120*S122+O121*P120*Q121*R121*S121+O121*P120*Q121*R122*S120+O121*P120*Q122*R120*S121+O121*P120*Q122*R121*S120+O121*P120*Q123*R120*S120+O121*P121*Q120*R120*S122+O121*P121*Q120*R121*S121+O121*P121*Q120*R122*S120+O121*P121*Q121*R120*S121+O121*P121*Q121*R121*S120+O121*P121*Q122*R120*S120+O121*P122*Q120*R120*S121+O121*P122*Q120*R121*S120+O121*P122*Q121*R120*S120+O121*P123*Q120*R120*S120+O122*P120*Q120*R120*S122+O122*P120*Q120*R121*S121+O122*P120*Q120*R122*S120+O122*P120*Q121*R120*S121+O122*P120*Q121*R121*S120+O122*P120*Q122*R120*S120+O122*P121*Q120*R120*S121+O122*P121*Q120*R121*S120+O122*P121*Q121*R120*S120+O122*P122*Q120*R120*S120+O123*P120*Q120*R120*S121+O123*P120*Q120*R121*S120+O123*P120*Q121*R120*S120+O123*P121*Q120*R120*S120</f>
        <v>0</v>
      </c>
      <c r="S126" s="20"/>
      <c r="T126" s="1">
        <f>SUM(O126:S126)</f>
        <v>5.32849528141056E+18</v>
      </c>
      <c r="BB126" s="59" t="str">
        <f>IFERROR($BC$3&amp;VLOOKUP(B128,'Pay Table'!$M$3:$N$18,2,FALSE)&amp;$BB$3&amp;C128&amp;$BD$3,"")</f>
        <v/>
      </c>
      <c r="BC126" s="49" t="str">
        <f>IFERROR($BC$3&amp;VLOOKUP(D128,'Pay Table'!$M$3:$N$18,2,FALSE)&amp;$BB$3&amp;E128&amp;$BD$3,"")</f>
        <v/>
      </c>
      <c r="BD126" s="49" t="str">
        <f>IFERROR($BC$3&amp;VLOOKUP(F128,'Pay Table'!$M$3:$N$18,2,FALSE)&amp;$BB$3&amp;G128&amp;$BD$3,"")</f>
        <v/>
      </c>
      <c r="BE126" s="49" t="str">
        <f>IFERROR($BC$3&amp;VLOOKUP(H128,'Pay Table'!$M$3:$N$18,2,FALSE)&amp;$BB$3&amp;I128&amp;$BD$3,"")</f>
        <v/>
      </c>
      <c r="BF126" s="60" t="str">
        <f>IFERROR($BC$3&amp;VLOOKUP(J128,'Pay Table'!$M$3:$N$18,2,FALSE)&amp;$BB$3&amp;K128&amp;$BD$3,"")</f>
        <v/>
      </c>
    </row>
    <row r="127" spans="1:58" ht="17.100000000000001" customHeight="1" x14ac:dyDescent="0.15">
      <c r="A127" s="14">
        <v>122</v>
      </c>
      <c r="N127" s="4" t="s">
        <v>36</v>
      </c>
      <c r="O127" s="2">
        <f>O126/$O$23</f>
        <v>0.37325313627391776</v>
      </c>
      <c r="P127" s="1">
        <f>P126/$O$23</f>
        <v>8.5147398454898091E-2</v>
      </c>
      <c r="Q127" s="1">
        <f>Q126/$O$23</f>
        <v>6.3153892500682225E-3</v>
      </c>
      <c r="R127" s="1">
        <f>R126/$O$23</f>
        <v>0</v>
      </c>
      <c r="S127" s="5">
        <f>S126/$O$23</f>
        <v>0</v>
      </c>
      <c r="T127" s="1">
        <f>SUM(O127:S127)</f>
        <v>0.46471592397888412</v>
      </c>
      <c r="BB127" s="59" t="str">
        <f>IFERROR($BC$3&amp;VLOOKUP(B129,'Pay Table'!$M$3:$N$18,2,FALSE)&amp;$BB$3&amp;C129&amp;$BD$3,"")</f>
        <v/>
      </c>
      <c r="BC127" s="49" t="str">
        <f>IFERROR($BC$3&amp;VLOOKUP(D129,'Pay Table'!$M$3:$N$18,2,FALSE)&amp;$BB$3&amp;E129&amp;$BD$3,"")</f>
        <v/>
      </c>
      <c r="BD127" s="49" t="str">
        <f>IFERROR($BC$3&amp;VLOOKUP(F129,'Pay Table'!$M$3:$N$18,2,FALSE)&amp;$BB$3&amp;G129&amp;$BD$3,"")</f>
        <v/>
      </c>
      <c r="BE127" s="49" t="str">
        <f>IFERROR($BC$3&amp;VLOOKUP(H129,'Pay Table'!$M$3:$N$18,2,FALSE)&amp;$BB$3&amp;I129&amp;$BD$3,"")</f>
        <v/>
      </c>
      <c r="BF127" s="60" t="str">
        <f>IFERROR($BC$3&amp;VLOOKUP(J129,'Pay Table'!$M$3:$N$18,2,FALSE)&amp;$BB$3&amp;K129&amp;$BD$3,"")</f>
        <v/>
      </c>
    </row>
    <row r="128" spans="1:58" ht="17.100000000000001" customHeight="1" x14ac:dyDescent="0.15">
      <c r="A128" s="14">
        <v>123</v>
      </c>
      <c r="N128" s="19" t="s">
        <v>37</v>
      </c>
      <c r="O128" s="8">
        <f>O125*O127</f>
        <v>0.37325313627391776</v>
      </c>
      <c r="P128" s="15">
        <f>P125*P127</f>
        <v>0.17029479690979618</v>
      </c>
      <c r="Q128" s="15">
        <f>Q125*Q127</f>
        <v>1.8946167750204669E-2</v>
      </c>
      <c r="R128" s="15">
        <f>R125*R127</f>
        <v>0</v>
      </c>
      <c r="S128" s="16">
        <f>S125*S127</f>
        <v>0</v>
      </c>
      <c r="T128" s="1">
        <f>SUM(O128:S128)</f>
        <v>0.56249410093391861</v>
      </c>
      <c r="BB128" s="59" t="str">
        <f>IFERROR($BC$3&amp;VLOOKUP(B130,'Pay Table'!$M$3:$N$18,2,FALSE)&amp;$BB$3&amp;C130&amp;$BD$3,"")</f>
        <v/>
      </c>
      <c r="BC128" s="49" t="str">
        <f>IFERROR($BC$3&amp;VLOOKUP(D130,'Pay Table'!$M$3:$N$18,2,FALSE)&amp;$BB$3&amp;E130&amp;$BD$3,"")</f>
        <v/>
      </c>
      <c r="BD128" s="49" t="str">
        <f>IFERROR($BC$3&amp;VLOOKUP(F130,'Pay Table'!$M$3:$N$18,2,FALSE)&amp;$BB$3&amp;G130&amp;$BD$3,"")</f>
        <v/>
      </c>
      <c r="BE128" s="49" t="str">
        <f>IFERROR($BC$3&amp;VLOOKUP(H130,'Pay Table'!$M$3:$N$18,2,FALSE)&amp;$BB$3&amp;I130&amp;$BD$3,"")</f>
        <v/>
      </c>
      <c r="BF128" s="60" t="str">
        <f>IFERROR($BC$3&amp;VLOOKUP(J130,'Pay Table'!$M$3:$N$18,2,FALSE)&amp;$BB$3&amp;K130&amp;$BD$3,"")</f>
        <v/>
      </c>
    </row>
    <row r="129" spans="1:58" ht="17.100000000000001" customHeight="1" x14ac:dyDescent="0.15">
      <c r="A129" s="14">
        <v>124</v>
      </c>
      <c r="BB129" s="59" t="str">
        <f>IFERROR($BC$3&amp;VLOOKUP(B131,'Pay Table'!$M$3:$N$18,2,FALSE)&amp;$BB$3&amp;C131&amp;$BD$3,"")</f>
        <v/>
      </c>
      <c r="BC129" s="49" t="str">
        <f>IFERROR($BC$3&amp;VLOOKUP(D131,'Pay Table'!$M$3:$N$18,2,FALSE)&amp;$BB$3&amp;E131&amp;$BD$3,"")</f>
        <v/>
      </c>
      <c r="BD129" s="49" t="str">
        <f>IFERROR($BC$3&amp;VLOOKUP(F131,'Pay Table'!$M$3:$N$18,2,FALSE)&amp;$BB$3&amp;G131&amp;$BD$3,"")</f>
        <v/>
      </c>
      <c r="BE129" s="49" t="str">
        <f>IFERROR($BC$3&amp;VLOOKUP(H131,'Pay Table'!$M$3:$N$18,2,FALSE)&amp;$BB$3&amp;I131&amp;$BD$3,"")</f>
        <v/>
      </c>
      <c r="BF129" s="60" t="str">
        <f>IFERROR($BC$3&amp;VLOOKUP(J131,'Pay Table'!$M$3:$N$18,2,FALSE)&amp;$BB$3&amp;K131&amp;$BD$3,"")</f>
        <v/>
      </c>
    </row>
    <row r="130" spans="1:58" ht="17.100000000000001" customHeight="1" x14ac:dyDescent="0.15">
      <c r="A130" s="14">
        <v>125</v>
      </c>
      <c r="N130" s="6" t="str">
        <f>N126</f>
        <v>SCATTER</v>
      </c>
      <c r="O130" s="17">
        <v>3</v>
      </c>
      <c r="P130" s="18">
        <v>4</v>
      </c>
      <c r="Q130" s="18">
        <v>5</v>
      </c>
      <c r="R130" s="36">
        <v>6</v>
      </c>
      <c r="T130" s="17" t="s">
        <v>282</v>
      </c>
      <c r="U130" s="36">
        <v>0.5</v>
      </c>
      <c r="BB130" s="59" t="str">
        <f>IFERROR($BC$3&amp;VLOOKUP(B132,'Pay Table'!$M$3:$N$18,2,FALSE)&amp;$BB$3&amp;C132&amp;$BD$3,"")</f>
        <v/>
      </c>
      <c r="BC130" s="49" t="str">
        <f>IFERROR($BC$3&amp;VLOOKUP(D132,'Pay Table'!$M$3:$N$18,2,FALSE)&amp;$BB$3&amp;E132&amp;$BD$3,"")</f>
        <v/>
      </c>
      <c r="BD130" s="49" t="str">
        <f>IFERROR($BC$3&amp;VLOOKUP(F132,'Pay Table'!$M$3:$N$18,2,FALSE)&amp;$BB$3&amp;G132&amp;$BD$3,"")</f>
        <v/>
      </c>
      <c r="BE130" s="49" t="str">
        <f>IFERROR($BC$3&amp;VLOOKUP(H132,'Pay Table'!$M$3:$N$18,2,FALSE)&amp;$BB$3&amp;I132&amp;$BD$3,"")</f>
        <v/>
      </c>
      <c r="BF130" s="60" t="str">
        <f>IFERROR($BC$3&amp;VLOOKUP(J132,'Pay Table'!$M$3:$N$18,2,FALSE)&amp;$BB$3&amp;K132&amp;$BD$3,"")</f>
        <v/>
      </c>
    </row>
    <row r="131" spans="1:58" ht="17.100000000000001" customHeight="1" x14ac:dyDescent="0.15">
      <c r="A131" s="14">
        <v>126</v>
      </c>
      <c r="N131" s="3" t="s">
        <v>211</v>
      </c>
      <c r="O131" s="21">
        <v>30</v>
      </c>
      <c r="P131" s="21">
        <v>100</v>
      </c>
      <c r="Q131" s="21">
        <v>50</v>
      </c>
      <c r="R131" s="186">
        <v>12</v>
      </c>
      <c r="U131"/>
      <c r="V131"/>
      <c r="W131"/>
      <c r="BB131" s="59" t="str">
        <f>IFERROR($BC$3&amp;VLOOKUP(B133,'Pay Table'!$M$3:$N$18,2,FALSE)&amp;$BB$3&amp;C133&amp;$BD$3,"")</f>
        <v/>
      </c>
      <c r="BC131" s="49" t="str">
        <f>IFERROR($BC$3&amp;VLOOKUP(D133,'Pay Table'!$M$3:$N$18,2,FALSE)&amp;$BB$3&amp;E133&amp;$BD$3,"")</f>
        <v/>
      </c>
      <c r="BD131" s="49" t="str">
        <f>IFERROR($BC$3&amp;VLOOKUP(F133,'Pay Table'!$M$3:$N$18,2,FALSE)&amp;$BB$3&amp;G133&amp;$BD$3,"")</f>
        <v/>
      </c>
      <c r="BE131" s="49" t="str">
        <f>IFERROR($BC$3&amp;VLOOKUP(H133,'Pay Table'!$M$3:$N$18,2,FALSE)&amp;$BB$3&amp;I133&amp;$BD$3,"")</f>
        <v/>
      </c>
      <c r="BF131" s="60" t="str">
        <f>IFERROR($BC$3&amp;VLOOKUP(J133,'Pay Table'!$M$3:$N$18,2,FALSE)&amp;$BB$3&amp;K133&amp;$BD$3,"")</f>
        <v/>
      </c>
    </row>
    <row r="132" spans="1:58" ht="17.100000000000001" customHeight="1" x14ac:dyDescent="0.15">
      <c r="A132" s="14">
        <v>127</v>
      </c>
      <c r="N132" s="4" t="s">
        <v>20</v>
      </c>
      <c r="O132" s="1">
        <f>O131/SUM($O$131:$R$131)</f>
        <v>0.15625</v>
      </c>
      <c r="P132" s="1">
        <f>P131/SUM($O$131:$R$131)</f>
        <v>0.52083333333333337</v>
      </c>
      <c r="Q132" s="1">
        <f>Q131/SUM($O$131:$R$131)</f>
        <v>0.26041666666666669</v>
      </c>
      <c r="R132" s="187">
        <f>R131/SUM($O$131:$R$131)</f>
        <v>6.25E-2</v>
      </c>
      <c r="U132"/>
      <c r="V132"/>
      <c r="W132"/>
      <c r="BB132" s="59" t="str">
        <f>IFERROR($BC$3&amp;VLOOKUP(B134,'Pay Table'!$M$3:$N$18,2,FALSE)&amp;$BB$3&amp;C134&amp;$BD$3,"")</f>
        <v/>
      </c>
      <c r="BC132" s="49" t="str">
        <f>IFERROR($BC$3&amp;VLOOKUP(D134,'Pay Table'!$M$3:$N$18,2,FALSE)&amp;$BB$3&amp;E134&amp;$BD$3,"")</f>
        <v/>
      </c>
      <c r="BD132" s="49" t="str">
        <f>IFERROR($BC$3&amp;VLOOKUP(F134,'Pay Table'!$M$3:$N$18,2,FALSE)&amp;$BB$3&amp;G134&amp;$BD$3,"")</f>
        <v/>
      </c>
      <c r="BE132" s="49" t="str">
        <f>IFERROR($BC$3&amp;VLOOKUP(H134,'Pay Table'!$M$3:$N$18,2,FALSE)&amp;$BB$3&amp;I134&amp;$BD$3,"")</f>
        <v/>
      </c>
      <c r="BF132" s="60" t="str">
        <f>IFERROR($BC$3&amp;VLOOKUP(J134,'Pay Table'!$M$3:$N$18,2,FALSE)&amp;$BB$3&amp;K134&amp;$BD$3,"")</f>
        <v/>
      </c>
    </row>
    <row r="133" spans="1:58" ht="17.100000000000001" customHeight="1" x14ac:dyDescent="0.15">
      <c r="A133" s="14">
        <v>128</v>
      </c>
      <c r="N133" s="4" t="s">
        <v>252</v>
      </c>
      <c r="O133" s="1">
        <f>O132*$Q$127</f>
        <v>9.867795703231597E-4</v>
      </c>
      <c r="P133" s="1">
        <f>P132*$Q$127</f>
        <v>3.2892652344105326E-3</v>
      </c>
      <c r="Q133" s="1">
        <f>Q132*$Q$127</f>
        <v>1.6446326172052663E-3</v>
      </c>
      <c r="R133" s="5">
        <f>R132*$Q$127</f>
        <v>3.947118281292639E-4</v>
      </c>
      <c r="S133" s="1">
        <f>SUM(O133:R133)</f>
        <v>6.3153892500682225E-3</v>
      </c>
      <c r="U133">
        <f>1/R133</f>
        <v>2533.4938776461258</v>
      </c>
      <c r="V133"/>
      <c r="W133"/>
      <c r="BB133" s="59" t="str">
        <f>IFERROR($BC$3&amp;VLOOKUP(B135,'Pay Table'!$M$3:$N$18,2,FALSE)&amp;$BB$3&amp;C135&amp;$BD$3,"")</f>
        <v/>
      </c>
      <c r="BC133" s="49" t="str">
        <f>IFERROR($BC$3&amp;VLOOKUP(D135,'Pay Table'!$M$3:$N$18,2,FALSE)&amp;$BB$3&amp;E135&amp;$BD$3,"")</f>
        <v/>
      </c>
      <c r="BD133" s="49" t="str">
        <f>IFERROR($BC$3&amp;VLOOKUP(F135,'Pay Table'!$M$3:$N$18,2,FALSE)&amp;$BB$3&amp;G135&amp;$BD$3,"")</f>
        <v/>
      </c>
      <c r="BE133" s="49" t="str">
        <f>IFERROR($BC$3&amp;VLOOKUP(H135,'Pay Table'!$M$3:$N$18,2,FALSE)&amp;$BB$3&amp;I135&amp;$BD$3,"")</f>
        <v/>
      </c>
      <c r="BF133" s="60" t="str">
        <f>IFERROR($BC$3&amp;VLOOKUP(J135,'Pay Table'!$M$3:$N$18,2,FALSE)&amp;$BB$3&amp;K135&amp;$BD$3,"")</f>
        <v/>
      </c>
    </row>
    <row r="134" spans="1:58" ht="17.100000000000001" customHeight="1" x14ac:dyDescent="0.15">
      <c r="A134" s="14">
        <v>129</v>
      </c>
      <c r="N134" s="19" t="s">
        <v>206</v>
      </c>
      <c r="O134" s="15">
        <f>O133*'Pay Table'!D16/100</f>
        <v>9.867795703231597E-4</v>
      </c>
      <c r="P134" s="15">
        <f>P133*'Pay Table'!E16/100</f>
        <v>6.5785304688210653E-3</v>
      </c>
      <c r="Q134" s="15">
        <f>Q133*'Pay Table'!F16/100</f>
        <v>4.9338978516157992E-3</v>
      </c>
      <c r="R134" s="16">
        <f>R133*'Pay Table'!G16/100</f>
        <v>1.9735591406463194E-3</v>
      </c>
      <c r="S134" s="1">
        <f>SUM(O134:R134)</f>
        <v>1.4472767031406342E-2</v>
      </c>
      <c r="U134"/>
      <c r="V134"/>
      <c r="W134"/>
      <c r="BB134" s="59" t="str">
        <f>IFERROR($BC$3&amp;VLOOKUP(B136,'Pay Table'!$M$3:$N$18,2,FALSE)&amp;$BB$3&amp;C136&amp;$BD$3,"")</f>
        <v/>
      </c>
      <c r="BC134" s="49" t="str">
        <f>IFERROR($BC$3&amp;VLOOKUP(D136,'Pay Table'!$M$3:$N$18,2,FALSE)&amp;$BB$3&amp;E136&amp;$BD$3,"")</f>
        <v/>
      </c>
      <c r="BD134" s="49" t="str">
        <f>IFERROR($BC$3&amp;VLOOKUP(F136,'Pay Table'!$M$3:$N$18,2,FALSE)&amp;$BB$3&amp;G136&amp;$BD$3,"")</f>
        <v/>
      </c>
      <c r="BE134" s="49" t="str">
        <f>IFERROR($BC$3&amp;VLOOKUP(H136,'Pay Table'!$M$3:$N$18,2,FALSE)&amp;$BB$3&amp;I136&amp;$BD$3,"")</f>
        <v/>
      </c>
      <c r="BF134" s="60" t="str">
        <f>IFERROR($BC$3&amp;VLOOKUP(J136,'Pay Table'!$M$3:$N$18,2,FALSE)&amp;$BB$3&amp;K136&amp;$BD$3,"")</f>
        <v/>
      </c>
    </row>
    <row r="135" spans="1:58" ht="17.100000000000001" customHeight="1" x14ac:dyDescent="0.15">
      <c r="A135" s="14">
        <v>130</v>
      </c>
      <c r="O135" s="110">
        <f>O133/$S$133</f>
        <v>0.15625</v>
      </c>
      <c r="P135" s="110">
        <f>P133/$S$133</f>
        <v>0.52083333333333337</v>
      </c>
      <c r="Q135" s="110">
        <f>Q133/$S$133</f>
        <v>0.26041666666666669</v>
      </c>
      <c r="R135" s="110">
        <f>R133/$S$133</f>
        <v>6.25E-2</v>
      </c>
      <c r="U135"/>
      <c r="V135"/>
      <c r="W135"/>
      <c r="BB135" s="59" t="str">
        <f>IFERROR($BC$3&amp;VLOOKUP(B137,'Pay Table'!$M$3:$N$18,2,FALSE)&amp;$BB$3&amp;C137&amp;$BD$3,"")</f>
        <v/>
      </c>
      <c r="BC135" s="49" t="str">
        <f>IFERROR($BC$3&amp;VLOOKUP(D137,'Pay Table'!$M$3:$N$18,2,FALSE)&amp;$BB$3&amp;E137&amp;$BD$3,"")</f>
        <v/>
      </c>
      <c r="BD135" s="49" t="str">
        <f>IFERROR($BC$3&amp;VLOOKUP(F137,'Pay Table'!$M$3:$N$18,2,FALSE)&amp;$BB$3&amp;G137&amp;$BD$3,"")</f>
        <v/>
      </c>
      <c r="BE135" s="49" t="str">
        <f>IFERROR($BC$3&amp;VLOOKUP(H137,'Pay Table'!$M$3:$N$18,2,FALSE)&amp;$BB$3&amp;I137&amp;$BD$3,"")</f>
        <v/>
      </c>
      <c r="BF135" s="60" t="str">
        <f>IFERROR($BC$3&amp;VLOOKUP(J137,'Pay Table'!$M$3:$N$18,2,FALSE)&amp;$BB$3&amp;K137&amp;$BD$3,"")</f>
        <v/>
      </c>
    </row>
    <row r="136" spans="1:58" ht="17.100000000000001" customHeight="1" x14ac:dyDescent="0.15">
      <c r="A136" s="14">
        <v>131</v>
      </c>
      <c r="N136" s="17" t="s">
        <v>73</v>
      </c>
      <c r="O136" s="21"/>
      <c r="P136" s="21"/>
      <c r="Q136" s="21"/>
      <c r="R136" s="21"/>
      <c r="S136" s="20"/>
      <c r="U136"/>
      <c r="V136"/>
      <c r="W136"/>
      <c r="BB136" s="59" t="str">
        <f>IFERROR($BC$3&amp;VLOOKUP(B138,'Pay Table'!$M$3:$N$18,2,FALSE)&amp;$BB$3&amp;C138&amp;$BD$3,"")</f>
        <v/>
      </c>
      <c r="BC136" s="49" t="str">
        <f>IFERROR($BC$3&amp;VLOOKUP(D138,'Pay Table'!$M$3:$N$18,2,FALSE)&amp;$BB$3&amp;E138&amp;$BD$3,"")</f>
        <v/>
      </c>
      <c r="BD136" s="49" t="str">
        <f>IFERROR($BC$3&amp;VLOOKUP(F138,'Pay Table'!$M$3:$N$18,2,FALSE)&amp;$BB$3&amp;G138&amp;$BD$3,"")</f>
        <v/>
      </c>
      <c r="BE136" s="49" t="str">
        <f>IFERROR($BC$3&amp;VLOOKUP(H138,'Pay Table'!$M$3:$N$18,2,FALSE)&amp;$BB$3&amp;I138&amp;$BD$3,"")</f>
        <v/>
      </c>
      <c r="BF136" s="60" t="str">
        <f>IFERROR($BC$3&amp;VLOOKUP(J138,'Pay Table'!$M$3:$N$18,2,FALSE)&amp;$BB$3&amp;K138&amp;$BD$3,"")</f>
        <v/>
      </c>
    </row>
    <row r="137" spans="1:58" ht="17.100000000000001" customHeight="1" x14ac:dyDescent="0.15">
      <c r="A137" s="14">
        <v>132</v>
      </c>
      <c r="N137" s="6" t="s">
        <v>34</v>
      </c>
      <c r="O137" s="18">
        <v>1</v>
      </c>
      <c r="P137" s="18">
        <v>2</v>
      </c>
      <c r="Q137" s="18">
        <v>3</v>
      </c>
      <c r="R137" s="18">
        <v>4</v>
      </c>
      <c r="S137" s="36">
        <v>5</v>
      </c>
      <c r="U137"/>
      <c r="V137"/>
      <c r="W137"/>
      <c r="BB137" s="59" t="str">
        <f>IFERROR($BC$3&amp;VLOOKUP(B139,'Pay Table'!$M$3:$N$18,2,FALSE)&amp;$BB$3&amp;C139&amp;$BD$3,"")</f>
        <v/>
      </c>
      <c r="BC137" s="49" t="str">
        <f>IFERROR($BC$3&amp;VLOOKUP(D139,'Pay Table'!$M$3:$N$18,2,FALSE)&amp;$BB$3&amp;E139&amp;$BD$3,"")</f>
        <v/>
      </c>
      <c r="BD137" s="49" t="str">
        <f>IFERROR($BC$3&amp;VLOOKUP(F139,'Pay Table'!$M$3:$N$18,2,FALSE)&amp;$BB$3&amp;G139&amp;$BD$3,"")</f>
        <v/>
      </c>
      <c r="BE137" s="49" t="str">
        <f>IFERROR($BC$3&amp;VLOOKUP(H139,'Pay Table'!$M$3:$N$18,2,FALSE)&amp;$BB$3&amp;I139&amp;$BD$3,"")</f>
        <v/>
      </c>
      <c r="BF137" s="60" t="str">
        <f>IFERROR($BC$3&amp;VLOOKUP(J139,'Pay Table'!$M$3:$N$18,2,FALSE)&amp;$BB$3&amp;K139&amp;$BD$3,"")</f>
        <v/>
      </c>
    </row>
    <row r="138" spans="1:58" ht="17.100000000000001" customHeight="1" x14ac:dyDescent="0.15">
      <c r="A138" s="14">
        <v>133</v>
      </c>
      <c r="N138" s="19" t="s">
        <v>47</v>
      </c>
      <c r="O138" s="15"/>
      <c r="P138" s="15"/>
      <c r="Q138" s="15"/>
      <c r="R138" s="15"/>
      <c r="S138" s="16"/>
      <c r="U138"/>
      <c r="V138"/>
      <c r="W138"/>
      <c r="BB138" s="59" t="str">
        <f>IFERROR($BC$3&amp;VLOOKUP(B140,'Pay Table'!$M$3:$N$18,2,FALSE)&amp;$BB$3&amp;C140&amp;$BD$3,"")</f>
        <v/>
      </c>
      <c r="BC138" s="49" t="str">
        <f>IFERROR($BC$3&amp;VLOOKUP(D140,'Pay Table'!$M$3:$N$18,2,FALSE)&amp;$BB$3&amp;E140&amp;$BD$3,"")</f>
        <v/>
      </c>
      <c r="BD138" s="49" t="str">
        <f>IFERROR($BC$3&amp;VLOOKUP(F140,'Pay Table'!$M$3:$N$18,2,FALSE)&amp;$BB$3&amp;G140&amp;$BD$3,"")</f>
        <v/>
      </c>
      <c r="BE138" s="49" t="str">
        <f>IFERROR($BC$3&amp;VLOOKUP(H140,'Pay Table'!$M$3:$N$18,2,FALSE)&amp;$BB$3&amp;I140&amp;$BD$3,"")</f>
        <v/>
      </c>
      <c r="BF138" s="60" t="str">
        <f>IFERROR($BC$3&amp;VLOOKUP(J140,'Pay Table'!$M$3:$N$18,2,FALSE)&amp;$BB$3&amp;K140&amp;$BD$3,"")</f>
        <v/>
      </c>
    </row>
    <row r="139" spans="1:58" ht="17.100000000000001" customHeight="1" x14ac:dyDescent="0.15">
      <c r="A139" s="14">
        <v>134</v>
      </c>
      <c r="N139" s="4">
        <v>0</v>
      </c>
      <c r="O139" s="7">
        <f t="array" ref="O139">SUM(IF(ISBLANK(B$6:B$290),0,1)*IF(ISBLANK(B$5:B$289),0,1)*IF(ISBLANK(B$4:B$288),0,1)*
IF(B$6:B$290=$N$138,0,1)*IF(B$5:B$289=$N$138,0,1)*IF(B$4:B$288=$N$138,0,1)*C$4:C$288)</f>
        <v>5100</v>
      </c>
      <c r="P139" s="21">
        <f t="array" ref="P139">SUM(IF(ISBLANK(D$6:D$290),0,1)*IF(ISBLANK(D$5:D$289),0,1)*IF(ISBLANK(D$4:D$288),0,1)*
IF(D$6:D$290=$N$138,0,1)*IF(D$5:D$289=$N$138,0,1)*IF(D$4:D$288=$N$138,0,1)*E$4:E$288)</f>
        <v>5224</v>
      </c>
      <c r="Q139" s="21">
        <f t="array" ref="Q139">SUM(IF(ISBLANK(F$6:F$290),0,1)*IF(ISBLANK(F$5:F$289),0,1)*IF(ISBLANK(F$4:F$288),0,1)*
IF(F$6:F$290=$N$138,0,1)*IF(F$5:F$289=$N$138,0,1)*IF(F$4:F$288=$N$138,0,1)*G$4:G$288)</f>
        <v>5024</v>
      </c>
      <c r="R139" s="21">
        <f t="array" ref="R139">SUM(IF(ISBLANK(H$6:H$290),0,1)*IF(ISBLANK(H$5:H$289),0,1)*IF(ISBLANK(H$4:H$288),0,1)*
IF(H$6:H$290=$N$138,0,1)*IF(H$5:H$289=$N$138,0,1)*IF(H$4:H$288=$N$138,0,1)*I$4:I$288)</f>
        <v>7610</v>
      </c>
      <c r="S139" s="20">
        <f t="array" ref="S139">SUM(IF(ISBLANK(J$6:J$290),0,1)*IF(ISBLANK(J$5:J$289),0,1)*IF(ISBLANK(J$4:J$288),0,1)*
IF(J$6:J$290=$N$138,0,1)*IF(J$5:J$289=$N$138,0,1)*IF(J$4:J$288=$N$138,0,1)*K$4:K$288)</f>
        <v>6100</v>
      </c>
      <c r="U139"/>
      <c r="V139"/>
      <c r="W139"/>
      <c r="BB139" s="59" t="str">
        <f>IFERROR($BC$3&amp;VLOOKUP(B141,'Pay Table'!$M$3:$N$18,2,FALSE)&amp;$BB$3&amp;C141&amp;$BD$3,"")</f>
        <v/>
      </c>
      <c r="BC139" s="49" t="str">
        <f>IFERROR($BC$3&amp;VLOOKUP(D141,'Pay Table'!$M$3:$N$18,2,FALSE)&amp;$BB$3&amp;E141&amp;$BD$3,"")</f>
        <v/>
      </c>
      <c r="BD139" s="49" t="str">
        <f>IFERROR($BC$3&amp;VLOOKUP(F141,'Pay Table'!$M$3:$N$18,2,FALSE)&amp;$BB$3&amp;G141&amp;$BD$3,"")</f>
        <v/>
      </c>
      <c r="BE139" s="49" t="str">
        <f>IFERROR($BC$3&amp;VLOOKUP(H141,'Pay Table'!$M$3:$N$18,2,FALSE)&amp;$BB$3&amp;I141&amp;$BD$3,"")</f>
        <v/>
      </c>
      <c r="BF139" s="60" t="str">
        <f>IFERROR($BC$3&amp;VLOOKUP(J141,'Pay Table'!$M$3:$N$18,2,FALSE)&amp;$BB$3&amp;K141&amp;$BD$3,"")</f>
        <v/>
      </c>
    </row>
    <row r="140" spans="1:58" ht="17.100000000000001" customHeight="1" x14ac:dyDescent="0.15">
      <c r="A140" s="14">
        <v>135</v>
      </c>
      <c r="N140" s="4">
        <v>1</v>
      </c>
      <c r="O140" s="2">
        <f t="array" ref="O140">SUM(IF(ISBLANK(B$6:B$290),0,1)*IF(ISBLANK(B$5:B$289),0,1)*IF(ISBLANK(B$4:B$288),0,1)*
(IF(B$6:B$290=$N$138,1,0)*IF(B$5:B$289=$N$138,0,1)*IF(B$4:B$288=$N$138,0,1)+
IF(B$6:B$290=$N$138,0,1)*IF(B$5:B$289=$N$138,1,0)*IF(B$4:B$288=$N$138,0,1)+
IF(B$6:B$290=$N$138,0,1)*IF(B$5:B$289=$N$138,0,1)*IF(B$4:B$288=$N$138,1,0))*C$4:C$288)</f>
        <v>550</v>
      </c>
      <c r="P140" s="1">
        <f t="array" ref="P140">SUM(IF(ISBLANK(D$6:D$290),0,1)*IF(ISBLANK(D$5:D$289),0,1)*IF(ISBLANK(D$4:D$288),0,1)*
(IF(D$6:D$290=$N$138,1,0)*IF(D$5:D$289=$N$138,0,1)*IF(D$4:D$288=$N$138,0,1)+
IF(D$6:D$290=$N$138,0,1)*IF(D$5:D$289=$N$138,1,0)*IF(D$4:D$288=$N$138,0,1)+
IF(D$6:D$290=$N$138,0,1)*IF(D$5:D$289=$N$138,0,1)*IF(D$4:D$288=$N$138,1,0))*E$4:E$288)</f>
        <v>550</v>
      </c>
      <c r="Q140" s="1">
        <f t="array" ref="Q140">SUM(IF(ISBLANK(F$6:F$290),0,1)*IF(ISBLANK(F$5:F$289),0,1)*IF(ISBLANK(F$4:F$288),0,1)*
(IF(F$6:F$290=$N$138,1,0)*IF(F$5:F$289=$N$138,0,1)*IF(F$4:F$288=$N$138,0,1)+
IF(F$6:F$290=$N$138,0,1)*IF(F$5:F$289=$N$138,1,0)*IF(F$4:F$288=$N$138,0,1)+
IF(F$6:F$290=$N$138,0,1)*IF(F$5:F$289=$N$138,0,1)*IF(F$4:F$288=$N$138,1,0))*G$4:G$288)</f>
        <v>550</v>
      </c>
      <c r="R140" s="1">
        <f t="array" ref="R140">SUM(IF(ISBLANK(H$6:H$290),0,1)*IF(ISBLANK(H$5:H$289),0,1)*IF(ISBLANK(H$4:H$288),0,1)*
(IF(H$6:H$290=$N$138,1,0)*IF(H$5:H$289=$N$138,0,1)*IF(H$4:H$288=$N$138,0,1)+
IF(H$6:H$290=$N$138,0,1)*IF(H$5:H$289=$N$138,1,0)*IF(H$4:H$288=$N$138,0,1)+
IF(H$6:H$290=$N$138,0,1)*IF(H$5:H$289=$N$138,0,1)*IF(H$4:H$288=$N$138,1,0))*I$4:I$288)</f>
        <v>550</v>
      </c>
      <c r="S140" s="5">
        <f t="array" ref="S140">SUM(IF(ISBLANK(J$6:J$290),0,1)*IF(ISBLANK(J$5:J$289),0,1)*IF(ISBLANK(J$4:J$288),0,1)*
(IF(J$6:J$290=$N$138,1,0)*IF(J$5:J$289=$N$138,0,1)*IF(J$4:J$288=$N$138,0,1)+
IF(J$6:J$290=$N$138,0,1)*IF(J$5:J$289=$N$138,1,0)*IF(J$4:J$288=$N$138,0,1)+
IF(J$6:J$290=$N$138,0,1)*IF(J$5:J$289=$N$138,0,1)*IF(J$4:J$288=$N$138,1,0))*K$4:K$288)</f>
        <v>550</v>
      </c>
      <c r="BB140" s="59" t="str">
        <f>IFERROR($BC$3&amp;VLOOKUP(B142,'Pay Table'!$M$3:$N$18,2,FALSE)&amp;$BB$3&amp;C142&amp;$BD$3,"")</f>
        <v/>
      </c>
      <c r="BC140" s="49" t="str">
        <f>IFERROR($BC$3&amp;VLOOKUP(D142,'Pay Table'!$M$3:$N$18,2,FALSE)&amp;$BB$3&amp;E142&amp;$BD$3,"")</f>
        <v/>
      </c>
      <c r="BD140" s="49" t="str">
        <f>IFERROR($BC$3&amp;VLOOKUP(F142,'Pay Table'!$M$3:$N$18,2,FALSE)&amp;$BB$3&amp;G142&amp;$BD$3,"")</f>
        <v/>
      </c>
      <c r="BE140" s="49" t="str">
        <f>IFERROR($BC$3&amp;VLOOKUP(H142,'Pay Table'!$M$3:$N$18,2,FALSE)&amp;$BB$3&amp;I142&amp;$BD$3,"")</f>
        <v/>
      </c>
      <c r="BF140" s="60" t="str">
        <f>IFERROR($BC$3&amp;VLOOKUP(J142,'Pay Table'!$M$3:$N$18,2,FALSE)&amp;$BB$3&amp;K142&amp;$BD$3,"")</f>
        <v/>
      </c>
    </row>
    <row r="141" spans="1:58" ht="17.100000000000001" customHeight="1" x14ac:dyDescent="0.15">
      <c r="A141" s="14">
        <v>136</v>
      </c>
      <c r="N141" s="4">
        <v>2</v>
      </c>
      <c r="O141" s="2">
        <f t="array" ref="O141">SUM(IF(ISBLANK(B$6:B$290),0,1)*IF(ISBLANK(B$5:B$289),0,1)*IF(ISBLANK(B$4:B$288),0,1)*
(IF(B$6:B$290=$N$138,1,0)*IF(B$5:B$289=$N$138,1,0)*IF(B$4:B$288=$N$138,0,1)+
IF(B$6:B$290=$N$138,1,0)*IF(B$5:B$289=$N$138,0,1)*IF(B$4:B$288=$N$138,1,0)+
IF(B$6:B$290=$N$138,0,1)*IF(B$5:B$289=$N$138,1,0)*IF(B$4:B$288=$N$138,1,0))*C$4:C$288)</f>
        <v>175</v>
      </c>
      <c r="P141" s="1">
        <f t="array" ref="P141">SUM(IF(ISBLANK(D$6:D$290),0,1)*IF(ISBLANK(D$5:D$289),0,1)*IF(ISBLANK(D$4:D$288),0,1)*
(IF(D$6:D$290=$N$138,1,0)*IF(D$5:D$289=$N$138,1,0)*IF(D$4:D$288=$N$138,0,1)+
IF(D$6:D$290=$N$138,1,0)*IF(D$5:D$289=$N$138,0,1)*IF(D$4:D$288=$N$138,1,0)+
IF(D$6:D$290=$N$138,0,1)*IF(D$5:D$289=$N$138,1,0)*IF(D$4:D$288=$N$138,1,0))*E$4:E$288)</f>
        <v>175</v>
      </c>
      <c r="Q141" s="1">
        <f t="array" ref="Q141">SUM(IF(ISBLANK(F$6:F$290),0,1)*IF(ISBLANK(F$5:F$289),0,1)*IF(ISBLANK(F$4:F$288),0,1)*
(IF(F$6:F$290=$N$138,1,0)*IF(F$5:F$289=$N$138,1,0)*IF(F$4:F$288=$N$138,0,1)+
IF(F$6:F$290=$N$138,1,0)*IF(F$5:F$289=$N$138,0,1)*IF(F$4:F$288=$N$138,1,0)+
IF(F$6:F$290=$N$138,0,1)*IF(F$5:F$289=$N$138,1,0)*IF(F$4:F$288=$N$138,1,0))*G$4:G$288)</f>
        <v>175</v>
      </c>
      <c r="R141" s="1">
        <f t="array" ref="R141">SUM(IF(ISBLANK(H$6:H$290),0,1)*IF(ISBLANK(H$5:H$289),0,1)*IF(ISBLANK(H$4:H$288),0,1)*
(IF(H$6:H$290=$N$138,1,0)*IF(H$5:H$289=$N$138,1,0)*IF(H$4:H$288=$N$138,0,1)+
IF(H$6:H$290=$N$138,1,0)*IF(H$5:H$289=$N$138,0,1)*IF(H$4:H$288=$N$138,1,0)+
IF(H$6:H$290=$N$138,0,1)*IF(H$5:H$289=$N$138,1,0)*IF(H$4:H$288=$N$138,1,0))*I$4:I$288)</f>
        <v>175</v>
      </c>
      <c r="S141" s="5">
        <f t="array" ref="S141">SUM(IF(ISBLANK(J$6:J$290),0,1)*IF(ISBLANK(J$5:J$289),0,1)*IF(ISBLANK(J$4:J$288),0,1)*
(IF(J$6:J$290=$N$138,1,0)*IF(J$5:J$289=$N$138,1,0)*IF(J$4:J$288=$N$138,0,1)+
IF(J$6:J$290=$N$138,1,0)*IF(J$5:J$289=$N$138,0,1)*IF(J$4:J$288=$N$138,1,0)+
IF(J$6:J$290=$N$138,0,1)*IF(J$5:J$289=$N$138,1,0)*IF(J$4:J$288=$N$138,1,0))*K$4:K$288)</f>
        <v>175</v>
      </c>
      <c r="BB141" s="59" t="str">
        <f>IFERROR($BC$3&amp;VLOOKUP(B143,'Pay Table'!$M$3:$N$18,2,FALSE)&amp;$BB$3&amp;C143&amp;$BD$3,"")</f>
        <v/>
      </c>
      <c r="BC141" s="49" t="str">
        <f>IFERROR($BC$3&amp;VLOOKUP(D143,'Pay Table'!$M$3:$N$18,2,FALSE)&amp;$BB$3&amp;E143&amp;$BD$3,"")</f>
        <v/>
      </c>
      <c r="BD141" s="49" t="str">
        <f>IFERROR($BC$3&amp;VLOOKUP(F143,'Pay Table'!$M$3:$N$18,2,FALSE)&amp;$BB$3&amp;G143&amp;$BD$3,"")</f>
        <v/>
      </c>
      <c r="BE141" s="49" t="str">
        <f>IFERROR($BC$3&amp;VLOOKUP(H143,'Pay Table'!$M$3:$N$18,2,FALSE)&amp;$BB$3&amp;I143&amp;$BD$3,"")</f>
        <v/>
      </c>
      <c r="BF141" s="60" t="str">
        <f>IFERROR($BC$3&amp;VLOOKUP(J143,'Pay Table'!$M$3:$N$18,2,FALSE)&amp;$BB$3&amp;K143&amp;$BD$3,"")</f>
        <v/>
      </c>
    </row>
    <row r="142" spans="1:58" ht="17.100000000000001" customHeight="1" x14ac:dyDescent="0.15">
      <c r="A142" s="14">
        <v>137</v>
      </c>
      <c r="N142" s="19">
        <v>3</v>
      </c>
      <c r="O142" s="8">
        <f t="array" ref="O142">SUM(IF(ISBLANK(B$6:B$290),0,1)*IF(ISBLANK(B$5:B$289),0,1)*IF(ISBLANK(B$4:B$288),0,1)*
IF(B$6:B$290=$N$138,1,0)*IF(B$5:B$289=$N$138,1,0)*IF(B$4:B$288=$N$138,1,0)*C$4:C$288)</f>
        <v>15</v>
      </c>
      <c r="P142" s="15">
        <f t="array" ref="P142">SUM(IF(ISBLANK(D$6:D$290),0,1)*IF(ISBLANK(D$5:D$289),0,1)*IF(ISBLANK(D$4:D$288),0,1)*
IF(D$6:D$290=$N$138,1,0)*IF(D$5:D$289=$N$138,1,0)*IF(D$4:D$288=$N$138,1,0)*E$4:E$288)</f>
        <v>15</v>
      </c>
      <c r="Q142" s="15">
        <f t="array" ref="Q142">SUM(IF(ISBLANK(F$6:F$290),0,1)*IF(ISBLANK(F$5:F$289),0,1)*IF(ISBLANK(F$4:F$288),0,1)*
IF(F$6:F$290=$N$138,1,0)*IF(F$5:F$289=$N$138,1,0)*IF(F$4:F$288=$N$138,1,0)*G$4:G$288)</f>
        <v>15</v>
      </c>
      <c r="R142" s="15">
        <f t="array" ref="R142">SUM(IF(ISBLANK(H$6:H$290),0,1)*IF(ISBLANK(H$5:H$289),0,1)*IF(ISBLANK(H$4:H$288),0,1)*
IF(H$6:H$290=$N$138,1,0)*IF(H$5:H$289=$N$138,1,0)*IF(H$4:H$288=$N$138,1,0)*I$4:I$288)</f>
        <v>15</v>
      </c>
      <c r="S142" s="16">
        <f t="array" ref="S142">SUM(IF(ISBLANK(J$6:J$290),0,1)*IF(ISBLANK(J$5:J$289),0,1)*IF(ISBLANK(J$4:J$288),0,1)*
IF(J$6:J$290=$N$138,1,0)*IF(J$5:J$289=$N$138,1,0)*IF(J$4:J$288=$N$138,1,0)*K$4:K$288)</f>
        <v>15</v>
      </c>
      <c r="BB142" s="59" t="str">
        <f>IFERROR($BC$3&amp;VLOOKUP(B144,'Pay Table'!$M$3:$N$18,2,FALSE)&amp;$BB$3&amp;C144&amp;$BD$3,"")</f>
        <v/>
      </c>
      <c r="BC142" s="49" t="str">
        <f>IFERROR($BC$3&amp;VLOOKUP(D144,'Pay Table'!$M$3:$N$18,2,FALSE)&amp;$BB$3&amp;E144&amp;$BD$3,"")</f>
        <v/>
      </c>
      <c r="BD142" s="49" t="str">
        <f>IFERROR($BC$3&amp;VLOOKUP(F144,'Pay Table'!$M$3:$N$18,2,FALSE)&amp;$BB$3&amp;G144&amp;$BD$3,"")</f>
        <v/>
      </c>
      <c r="BE142" s="49" t="str">
        <f>IFERROR($BC$3&amp;VLOOKUP(H144,'Pay Table'!$M$3:$N$18,2,FALSE)&amp;$BB$3&amp;I144&amp;$BD$3,"")</f>
        <v/>
      </c>
      <c r="BF142" s="60" t="str">
        <f>IFERROR($BC$3&amp;VLOOKUP(J144,'Pay Table'!$M$3:$N$18,2,FALSE)&amp;$BB$3&amp;K144&amp;$BD$3,"")</f>
        <v/>
      </c>
    </row>
    <row r="143" spans="1:58" ht="17.100000000000001" customHeight="1" x14ac:dyDescent="0.15">
      <c r="A143" s="14">
        <v>138</v>
      </c>
      <c r="O143"/>
      <c r="P143"/>
      <c r="Q143"/>
      <c r="R143"/>
      <c r="S143"/>
      <c r="T143"/>
      <c r="BB143" s="59" t="str">
        <f>IFERROR($BC$3&amp;VLOOKUP(B145,'Pay Table'!$M$3:$N$18,2,FALSE)&amp;$BB$3&amp;C145&amp;$BD$3,"")</f>
        <v/>
      </c>
      <c r="BC143" s="49" t="str">
        <f>IFERROR($BC$3&amp;VLOOKUP(D145,'Pay Table'!$M$3:$N$18,2,FALSE)&amp;$BB$3&amp;E145&amp;$BD$3,"")</f>
        <v/>
      </c>
      <c r="BD143" s="49" t="str">
        <f>IFERROR($BC$3&amp;VLOOKUP(F145,'Pay Table'!$M$3:$N$18,2,FALSE)&amp;$BB$3&amp;G145&amp;$BD$3,"")</f>
        <v/>
      </c>
      <c r="BE143" s="49" t="str">
        <f>IFERROR($BC$3&amp;VLOOKUP(H145,'Pay Table'!$M$3:$N$18,2,FALSE)&amp;$BB$3&amp;I145&amp;$BD$3,"")</f>
        <v/>
      </c>
      <c r="BF143" s="60" t="str">
        <f>IFERROR($BC$3&amp;VLOOKUP(J145,'Pay Table'!$M$3:$N$18,2,FALSE)&amp;$BB$3&amp;K145&amp;$BD$3,"")</f>
        <v/>
      </c>
    </row>
    <row r="144" spans="1:58" ht="17.100000000000001" customHeight="1" x14ac:dyDescent="0.15">
      <c r="A144" s="14">
        <v>139</v>
      </c>
      <c r="N144" s="6" t="s">
        <v>4</v>
      </c>
      <c r="O144" s="6">
        <v>0</v>
      </c>
      <c r="P144" s="18">
        <v>1</v>
      </c>
      <c r="Q144" s="18">
        <v>2</v>
      </c>
      <c r="R144" s="18">
        <v>3</v>
      </c>
      <c r="S144" s="18">
        <v>4</v>
      </c>
      <c r="T144" s="18">
        <v>5</v>
      </c>
      <c r="U144" s="18">
        <v>6</v>
      </c>
      <c r="V144" s="18">
        <v>7</v>
      </c>
      <c r="W144" s="18">
        <v>8</v>
      </c>
      <c r="X144" s="18">
        <v>9</v>
      </c>
      <c r="Y144" s="18">
        <v>10</v>
      </c>
      <c r="Z144" s="18">
        <v>11</v>
      </c>
      <c r="AA144" s="18">
        <v>12</v>
      </c>
      <c r="AB144" s="18">
        <v>13</v>
      </c>
      <c r="AC144" s="18">
        <v>14</v>
      </c>
      <c r="AD144" s="36">
        <v>15</v>
      </c>
      <c r="BB144" s="59" t="str">
        <f>IFERROR($BC$3&amp;VLOOKUP(B146,'Pay Table'!$M$3:$N$18,2,FALSE)&amp;$BB$3&amp;C146&amp;$BD$3,"")</f>
        <v/>
      </c>
      <c r="BC144" s="49" t="str">
        <f>IFERROR($BC$3&amp;VLOOKUP(D146,'Pay Table'!$M$3:$N$18,2,FALSE)&amp;$BB$3&amp;E146&amp;$BD$3,"")</f>
        <v/>
      </c>
      <c r="BD144" s="49" t="str">
        <f>IFERROR($BC$3&amp;VLOOKUP(F146,'Pay Table'!$M$3:$N$18,2,FALSE)&amp;$BB$3&amp;G146&amp;$BD$3,"")</f>
        <v/>
      </c>
      <c r="BE144" s="49" t="str">
        <f>IFERROR($BC$3&amp;VLOOKUP(H146,'Pay Table'!$M$3:$N$18,2,FALSE)&amp;$BB$3&amp;I146&amp;$BD$3,"")</f>
        <v/>
      </c>
      <c r="BF144" s="60" t="str">
        <f>IFERROR($BC$3&amp;VLOOKUP(J146,'Pay Table'!$M$3:$N$18,2,FALSE)&amp;$BB$3&amp;K146&amp;$BD$3,"")</f>
        <v/>
      </c>
    </row>
    <row r="145" spans="1:58" ht="17.100000000000001" customHeight="1" x14ac:dyDescent="0.15">
      <c r="A145" s="14">
        <v>140</v>
      </c>
      <c r="N145" s="7" t="str">
        <f>N138</f>
        <v>LINK</v>
      </c>
      <c r="P145" s="21">
        <f>O139*P139*Q139*R139*S140+O139*P139*Q139*R140*S139+O139*P139*Q140*R139*S139+O139*P140*Q139*R139*S139+O140*P139*Q139*R139*S139</f>
        <v>3.0137930984656E+18</v>
      </c>
      <c r="Q145" s="21">
        <f>O139*P139*Q139*R139*S141+O139*P139*Q139*R140*S140+O139*P139*Q139*R141*S139+O139*P139*Q140*R139*S140+O139*P139*Q140*R140*S139+O139*P139*Q141*R139*S139+O139*P140*Q139*R139*S140+O139*P140*Q139*R140*S139+O139*P140*Q140*R139*S139+O139*P141*Q139*R139*S139+O140*P139*Q139*R139*S140+O140*P139*Q139*R140*S139+O140*P139*Q140*R139*S139+O140*P140*Q139*R139*S139+O141*P139*Q139*R139*S139</f>
        <v>1.5405495378580001E+18</v>
      </c>
      <c r="R145" s="21">
        <f>O139*P139*Q139*R139*S142+O139*P139*Q139*R140*S141+O139*P139*Q139*R141*S140+O139*P139*Q139*R142*S139+O139*P139*Q140*R139*S141+O139*P139*Q140*R140*S140+O139*P139*Q140*R141*S139+O139*P139*Q141*R139*S140+O139*P139*Q141*R140*S139+O139*P139*Q142*R139*S139+O139*P140*Q139*R139*S141+O139*P140*Q139*R140*S140+O139*P140*Q139*R141*S139+O139*P140*Q140*R139*S140+O139*P140*Q140*R140*S139+O139*P140*Q141*R139*S139+O139*P141*Q139*R139*S140+O139*P141*Q139*R140*S139+O139*P141*Q140*R139*S139+O139*P142*Q139*R139*S139+O140*P139*Q139*R139*S141+O140*P139*Q139*R140*S140+O140*P139*Q139*R141*S139+O140*P139*Q140*R139*S140+O140*P139*Q140*R140*S139+O140*P139*Q141*R139*S139+O140*P140*Q139*R139*S140+O140*P140*Q139*R140*S139+O140*P140*Q140*R139*S139+O140*P141*Q139*R139*S139+O141*P139*Q139*R139*S140+O141*P139*Q139*R140*S139+O141*P139*Q140*R139*S139+O141*P140*Q139*R139*S139+O142*P139*Q139*R139*S139</f>
        <v>5.0810746074568E+17</v>
      </c>
      <c r="S145" s="21">
        <f>O139*P139*Q139*R140*S142+O139*P139*Q139*R141*S141+O139*P139*Q139*R142*S140+O139*P139*Q140*R139*S142+O139*P139*Q140*R140*S141+O139*P139*Q140*R141*S140+O139*P139*Q140*R142*S139+O139*P139*Q141*R139*S141+O139*P139*Q141*R140*S140+O139*P139*Q141*R141*S139+O139*P139*Q142*R139*S140+O139*P139*Q142*R140*S139+O139*P140*Q139*R139*S142+O139*P140*Q139*R140*S141+O139*P140*Q139*R141*S140+O139*P140*Q139*R142*S139+O139*P140*Q140*R139*S141+O139*P140*Q140*R140*S140+O139*P140*Q140*R141*S139+O139*P140*Q141*R139*S140+O139*P140*Q141*R140*S139+O139*P140*Q142*R139*S139+O139*P141*Q139*R139*S141+O139*P141*Q139*R140*S140+O139*P141*Q139*R141*S139+O139*P141*Q140*R139*S140+O139*P141*Q140*R140*S139+O139*P141*Q141*R139*S139+O139*P142*Q139*R139*S140+O139*P142*Q139*R140*S139+O139*P142*Q140*R139*S139+O140*P139*Q139*R139*S142+O140*P139*Q139*R140*S141+O140*P139*Q139*R141*S140+O140*P139*Q139*R142*S139+O140*P139*Q140*R139*S141+O140*P139*Q140*R140*S140+O140*P139*Q140*R141*S139+O140*P139*Q141*R139*S140+O140*P139*Q141*R140*S139+O140*P139*Q142*R139*S139+O140*P140*Q139*R139*S141+O140*P140*Q139*R140*S140+O140*P140*Q139*R141*S139+O140*P140*Q140*R139*S140+O140*P140*Q140*R140*S139+O140*P140*Q141*R139*S139+O140*P141*Q139*R139*S140+O140*P141*Q139*R140*S139+O140*P141*Q140*R139*S139+O140*P142*Q139*R139*S139+O141*P139*Q139*R139*S141+O141*P139*Q139*R140*S140+O141*P139*Q139*R141*S139+O141*P139*Q140*R139*S140+O141*P139*Q140*R140*S139+O141*P139*Q141*R139*S139+O141*P140*Q139*R139*S140+O141*P140*Q139*R140*S139+O141*P140*Q140*R139*S139+O141*P141*Q139*R139*S139+O142*P139*Q139*R139*S140+O142*P139*Q139*R140*S139+O142*P139*Q140*R139*S139+O142*P140*Q139*R139*S139</f>
        <v>1.4652414131064E+17</v>
      </c>
      <c r="T145" s="21">
        <f t="array" ref="T145">O139*P139*Q139*R141*S142+O139*P139*Q139*R142*S141+O139*P139*Q140*R140*S142+O139*P139*Q140*R141*S141+O139*P139*Q140*R142*S140+O139*P139*Q141*R139*S142+O139*P139*Q141*R140*S141+O139*P139*Q141*R141*S140+O139*P139*Q141*R142*S139+O139*P139*Q142*R139*S141+O139*P139*Q142*R140*S140+O139*P139*Q142*R141*S139+O139*P140*Q139*R140*S142+O139*P140*Q139*R141*S141+O139*P140*Q139*R142*S140+O139*P140*Q140*R139*S142+O139*P140*Q140*R140*S141+O139*P140*Q140*R141*S140+O139*P140*Q140*R142*S139+O139*P140*Q141*R139*S141+O139*P140*Q141*R140*S140+O139*P140*Q141*R141*S139+O139*P140*Q142*R139*S140+O139*P140*Q142*R140*S139+O139*P141*Q139*R139*S142+O139*P141*Q139*R140*S141+O139*P141*Q139*R141*S140+O139*P141*Q139*R142*S139+O139*P141*Q140*R139*S141+O139*P141*Q140*R140*S140+O139*P141*Q140*R141*S139+O139*P141*Q141*R139*S140+O139*P141*Q141*R140*S139+O139*P141*Q142*R139*S139+O139*P142*Q139*R139*S141+O139*P142*Q139*R140*S140+O139*P142*Q139*R141*S139+O139*P142*Q140*R139*S140+O139*P142*Q140*R140*S139+O139*P142*Q141*R139*S139+O140*P139*Q139*R140*S142+O140*P139*Q139*R141*S141+O140*P139*Q139*R142*S140+O140*P139*Q140*R139*S142+O140*P139*Q140*R140*S141+O140*P139*Q140*R141*S140+O140*P139*Q140*R142*S139+O140*P139*Q141*R139*S141+O140*P139*Q141*R140*S140+O140*P139*Q141*R141*S139+O140*P139*Q142*R139*S140+O140*P139*Q142*R140*S139+O140*P140*Q139*R139*S142+O140*P140*Q139*R140*S141+O140*P140*Q139*R141*S140+O140*P140*Q139*R142*S139+O140*P140*Q140*R139*S141+O140*P140*Q140*R140*S140+O140*P140*Q140*R141*S139+O140*P140*Q141*R139*S140+O140*P140*Q141*R140*S139+O140*P140*Q142*R139*S139+O140*P141*Q139*R139*S141+O140*P141*Q139*R140*S140+O140*P141*Q139*R141*S139+O140*P141*Q140*R139*S140+O140*P141*Q140*R140*S139+O140*P141*Q141*R139*S139+O140*P142*Q139*R139*S140+O140*P142*Q139*R140*S139+O140*P142*Q140*R139*S139+O141*P139*Q139*R139*S142+O141*P139*Q139*R140*S141+O141*P139*Q139*R141*S140+O141*P139*Q139*R142*S139+O141*P139*Q140*R139*S141+O141*P139*Q140*R140*S140+O141*P139*Q140*R141*S139+O141*P139*Q141*R139*S140+O141*P139*Q141*R140*S139+O141*P139*Q142*R139*S139+O141*P140*Q139*R139*S141+O141*P140*Q139*R140*S140+O141*P140*Q139*R141*S139+O141*P140*Q140*R139*S140+O141*P140*Q140*R140*S139+O141*P140*Q141*R139*S139+O141*P141*Q139*R139*S140+O141*P141*Q139*R140*S139+O141*P141*Q140*R139*S139+O141*P142*Q139*R139*S139+O142*P139*Q139*R139*S141+O142*P139*Q139*R140*S140+O142*P139*Q139*R141*S139+O142*P139*Q140*R139*S140+O142*P139*Q140*R140*S139+O142*P139*Q141*R139*S139+O142*P140*Q139*R139*S140+O142*P140*Q139*R140*S139+O142*P140*Q140*R139*S139+O142*P141*Q139*R139*S139</f>
        <v>3.503939808574E+16</v>
      </c>
      <c r="U145" s="21">
        <f>O139*P139*Q139*R142*S142+O139*P139*Q140*R141*S142+O139*P139*Q140*R142*S141+O139*P139*Q141*R140*S142+O139*P139*Q141*R141*S141+O139*P139*Q141*R142*S140+O139*P139*Q142*R139*S142+O139*P139*Q142*R140*S141+O139*P139*Q142*R141*S140+O139*P139*Q142*R142*S139+O139*P140*Q139*R141*S142+O139*P140*Q139*R142*S141+O139*P140*Q140*R140*S142+O139*P140*Q140*R141*S141+O139*P140*Q140*R142*S140+O139*P140*Q141*R139*S142+O139*P140*Q141*R140*S141+O139*P140*Q141*R141*S140+O139*P140*Q141*R142*S139+O139*P140*Q142*R139*S141+O139*P140*Q142*R140*S140+O139*P140*Q142*R141*S139+O139*P141*Q139*R140*S142+O139*P141*Q139*R141*S141+O139*P141*Q139*R142*S140+O139*P141*Q140*R139*S142+O139*P141*Q140*R140*S141+O139*P141*Q140*R141*S140+O139*P141*Q140*R142*S139+O139*P141*Q141*R139*S141+O139*P141*Q141*R140*S140+O139*P141*Q141*R141*S139+O139*P141*Q142*R139*S140+O139*P141*Q142*R140*S139+O139*P142*Q139*R139*S142+O139*P142*Q139*R140*S141+O139*P142*Q139*R141*S140+O139*P142*Q139*R142*S139+O139*P142*Q140*R139*S141+O139*P142*Q140*R140*S140+O139*P142*Q140*R141*S139+O139*P142*Q141*R139*S140+O139*P142*Q141*R140*S139+O139*P142*Q142*R139*S139+O140*P139*Q139*R141*S142+O140*P139*Q139*R142*S141+O140*P139*Q140*R140*S142+O140*P139*Q140*R141*S141+O140*P139*Q140*R142*S140+O140*P139*Q141*R139*S142+O140*P139*Q141*R140*S141+O140*P139*Q141*R141*S140+O140*P139*Q141*R142*S139+O140*P139*Q142*R139*S141+O140*P139*Q142*R140*S140+O140*P139*Q142*R141*S139+O140*P140*Q139*R140*S142+O140*P140*Q139*R141*S141+O140*P140*Q139*R142*S140+O140*P140*Q140*R139*S142+O140*P140*Q140*R140*S141+O140*P140*Q140*R141*S140+O140*P140*Q140*R142*S139+O140*P140*Q141*R139*S141+O140*P140*Q141*R140*S140+O140*P140*Q141*R141*S139+O140*P140*Q142*R139*S140+O140*P140*Q142*R140*S139+O140*P141*Q139*R139*S142+O140*P141*Q139*R140*S141+O140*P141*Q139*R141*S140+O140*P141*Q139*R142*S139+O140*P141*Q140*R139*S141+O140*P141*Q140*R140*S140+O140*P141*Q140*R141*S139+O140*P141*Q141*R139*S140+O140*P141*Q141*R140*S139+O140*P141*Q142*R139*S139+O140*P142*Q139*R139*S141+O140*P142*Q139*R140*S140+O140*P142*Q139*R141*S139+O140*P142*Q140*R139*S140+O140*P142*Q140*R140*S139+O140*P142*Q141*R139*S139+O141*P139*Q139*R140*S142+O141*P139*Q139*R141*S141+O141*P139*Q139*R142*S140+O141*P139*Q140*R139*S142+O141*P139*Q140*R140*S141+O141*P139*Q140*R141*S140+O141*P139*Q140*R142*S139+O141*P139*Q141*R139*S141+O141*P139*Q141*R140*S140+O141*P139*Q141*R141*S139+O141*P139*Q142*R139*S140+O141*P139*Q142*R140*S139+O141*P140*Q139*R139*S142+O141*P140*Q139*R140*S141+O141*P140*Q139*R141*S140+O141*P140*Q139*R142*S139+O141*P140*Q140*R139*S141+O141*P140*Q140*R140*S140+O141*P140*Q140*R141*S139+O141*P140*Q141*R139*S140+O141*P140*Q141*R140*S139+O141*P140*Q142*R139*S139+O141*P141*Q139*R139*S141+O141*P141*Q139*R140*S140+O141*P141*Q139*R141*S139+O141*P141*Q140*R139*S140+O141*P141*Q140*R140*S139+O141*P141*Q141*R139*S139+O141*P142*Q139*R139*S140+O141*P142*Q139*R140*S139+O141*P142*Q140*R139*S139+O142*P139*Q139*R139*S142+O142*P139*Q139*R140*S141+O142*P139*Q139*R141*S140+O142*P139*Q139*R142*S139+O142*P139*Q140*R139*S141+O142*P139*Q140*R140*S140+O142*P139*Q140*R141*S139+O142*P139*Q141*R139*S140+O142*P139*Q141*R140*S139+O142*P139*Q142*R139*S139+O142*P140*Q139*R139*S141+O142*P140*Q139*R140*S140+O142*P140*Q139*R141*S139+O142*P140*Q140*R139*S140+O142*P140*Q140*R140*S139+O142*P140*Q141*R139*S139+O142*P141*Q139*R139*S140+O142*P141*Q139*R140*S139+O142*P141*Q140*R139*S139+O142*P142*Q139*R139*S139</f>
        <v>7120184110776000</v>
      </c>
      <c r="V145" s="21">
        <f>O139*P139*Q140*R142*S142+O139*P139*Q141*R141*S142+O139*P139*Q141*R142*S141+O139*P139*Q142*R140*S142+O139*P139*Q142*R141*S141+O139*P139*Q142*R142*S140+O139*P140*Q139*R142*S142+O139*P140*Q140*R141*S142+O139*P140*Q140*R142*S141+O139*P140*Q141*R140*S142+O139*P140*Q141*R141*S141+O139*P140*Q141*R142*S140+O139*P140*Q142*R139*S142+O139*P140*Q142*R140*S141+O139*P140*Q142*R141*S140+O139*P140*Q142*R142*S139+O139*P141*Q139*R141*S142+O139*P141*Q139*R142*S141+O139*P141*Q140*R140*S142+O139*P141*Q140*R141*S141+O139*P141*Q140*R142*S140+O139*P141*Q141*R139*S142+O139*P141*Q141*R140*S141+O139*P141*Q141*R141*S140+O139*P141*Q141*R142*S139+O139*P141*Q142*R139*S141+O139*P141*Q142*R140*S140+O139*P141*Q142*R141*S139+O139*P142*Q139*R140*S142+O139*P142*Q139*R141*S141+O139*P142*Q139*R142*S140+O139*P142*Q140*R139*S142+O139*P142*Q140*R140*S141+O139*P142*Q140*R141*S140+O139*P142*Q140*R142*S139+O139*P142*Q141*R139*S141+O139*P142*Q141*R140*S140+O139*P142*Q141*R141*S139+O139*P142*Q142*R139*S140+O139*P142*Q142*R140*S139+O140*P139*Q139*R142*S142+O140*P139*Q140*R141*S142+O140*P139*Q140*R142*S141+O140*P139*Q141*R140*S142+O140*P139*Q141*R141*S141+O140*P139*Q141*R142*S140+O140*P139*Q142*R139*S142+O140*P139*Q142*R140*S141+O140*P139*Q142*R141*S140+O140*P139*Q142*R142*S139+O140*P140*Q139*R141*S142+O140*P140*Q139*R142*S141+O140*P140*Q140*R140*S142+O140*P140*Q140*R141*S141+O140*P140*Q140*R142*S140+O140*P140*Q141*R139*S142+O140*P140*Q141*R140*S141+O140*P140*Q141*R141*S140+O140*P140*Q141*R142*S139+O140*P140*Q142*R139*S141+O140*P140*Q142*R140*S140+O140*P140*Q142*R141*S139+O140*P141*Q139*R140*S142+O140*P141*Q139*R141*S141+O140*P141*Q139*R142*S140+O140*P141*Q140*R139*S142+O140*P141*Q140*R140*S141+O140*P141*Q140*R141*S140+O140*P141*Q140*R142*S139+O140*P141*Q141*R139*S141+O140*P141*Q141*R140*S140+O140*P141*Q141*R141*S139+O140*P141*Q142*R139*S140+O140*P141*Q142*R140*S139+O140*P142*Q139*R139*S142+O140*P142*Q139*R140*S141+O140*P142*Q139*R141*S140+O140*P142*Q139*R142*S139+O140*P142*Q140*R139*S141+O140*P142*Q140*R140*S140+O140*P142*Q140*R141*S139+O140*P142*Q141*R139*S140+O140*P142*Q141*R140*S139+O140*P142*Q142*R139*S139+O141*P139*Q139*R141*S142+O141*P139*Q139*R142*S141+O141*P139*Q140*R140*S142+O141*P139*Q140*R141*S141+O141*P139*Q140*R142*S140+O141*P139*Q141*R139*S142+O141*P139*Q141*R140*S141+O141*P139*Q141*R141*S140+O141*P139*Q141*R142*S139+O141*P139*Q142*R139*S141+O141*P139*Q142*R140*S140+O141*P139*Q142*R141*S139+O141*P140*Q139*R140*S142+O141*P140*Q139*R141*S141+O141*P140*Q139*R142*S140+O141*P140*Q140*R139*S142+O141*P140*Q140*R140*S141+O141*P140*Q140*R141*S140+O141*P140*Q140*R142*S139+O141*P140*Q141*R139*S141+O141*P140*Q141*R140*S140+O141*P140*Q141*R141*S139+O141*P140*Q142*R139*S140+O141*P140*Q142*R140*S139+O141*P141*Q139*R139*S142+O141*P141*Q139*R140*S141+O141*P141*Q139*R141*S140+O141*P141*Q139*R142*S139+O141*P141*Q140*R139*S141+O141*P141*Q140*R140*S140+O141*P141*Q140*R141*S139+O141*P141*Q141*R139*S140+O141*P141*Q141*R140*S139+O141*P141*Q142*R139*S139+O141*P142*Q139*R139*S141+O141*P142*Q139*R140*S140+O141*P142*Q139*R141*S139+O141*P142*Q140*R139*S140+O141*P142*Q140*R140*S139+O141*P142*Q141*R139*S139+O142*P139*Q139*R140*S142+O142*P139*Q139*R141*S141+O142*P139*Q139*R142*S140+O142*P139*Q140*R139*S142+O142*P139*Q140*R140*S141+O142*P139*Q140*R141*S140+O142*P139*Q140*R142*S139+O142*P139*Q141*R139*S141+O142*P139*Q141*R140*S140+O142*P139*Q141*R141*S139+O142*P139*Q142*R139*S140+O142*P139*Q142*R140*S139+O142*P140*Q139*R139*S142+O142*P140*Q139*R140*S141+O142*P140*Q139*R141*S140+O142*P140*Q139*R142*S139+O142*P140*Q140*R139*S141+O142*P140*Q140*R140*S140+O142*P140*Q140*R141*S139+O142*P140*Q141*R139*S140+O142*P140*Q141*R140*S139+O142*P140*Q142*R139*S139+O142*P141*Q139*R139*S141+O142*P141*Q139*R140*S140+O142*P141*Q139*R141*S139+O142*P141*Q140*R139*S140+O142*P141*Q140*R140*S139+O142*P141*Q141*R139*S139+O142*P142*Q139*R139*S140+O142*P142*Q139*R140*S139+O142*P142*Q140*R139*S139</f>
        <v>1263970564090000</v>
      </c>
      <c r="W145" s="21">
        <f>O139*P139*Q141*R142*S142+O139*P139*Q142*R141*S142+O139*P139*Q142*R142*S141+O139*P140*Q140*R142*S142+O139*P140*Q141*R141*S142+O139*P140*Q141*R142*S141+O139*P140*Q142*R140*S142+O139*P140*Q142*R141*S141+O139*P140*Q142*R142*S140+O139*P141*Q139*R142*S142+O139*P141*Q140*R141*S142+O139*P141*Q140*R142*S141+O139*P141*Q141*R140*S142+O139*P141*Q141*R141*S141+O139*P141*Q141*R142*S140+O139*P141*Q142*R139*S142+O139*P141*Q142*R140*S141+O139*P141*Q142*R141*S140+O139*P141*Q142*R142*S139+O139*P142*Q139*R141*S142+O139*P142*Q139*R142*S141+O139*P142*Q140*R140*S142+O139*P142*Q140*R141*S141+O139*P142*Q140*R142*S140+O139*P142*Q141*R139*S142+O139*P142*Q141*R140*S141+O139*P142*Q141*R141*S140+O139*P142*Q141*R142*S139+O139*P142*Q142*R139*S141+O139*P142*Q142*R140*S140+O139*P142*Q142*R141*S139+O140*P139*Q140*R142*S142+O140*P139*Q141*R141*S142+O140*P139*Q141*R142*S141+O140*P139*Q142*R140*S142+O140*P139*Q142*R141*S141+O140*P139*Q142*R142*S140+O140*P140*Q139*R142*S142+O140*P140*Q140*R141*S142+O140*P140*Q140*R142*S141+O140*P140*Q141*R140*S142+O140*P140*Q141*R141*S141+O140*P140*Q141*R142*S140+O140*P140*Q142*R139*S142+O140*P140*Q142*R140*S141+O140*P140*Q142*R141*S140+O140*P140*Q142*R142*S139+O140*P141*Q139*R141*S142+O140*P141*Q139*R142*S141+O140*P141*Q140*R140*S142+O140*P141*Q140*R141*S141+O140*P141*Q140*R142*S140+O140*P141*Q141*R139*S142+O140*P141*Q141*R140*S141+O140*P141*Q141*R141*S140+O140*P141*Q141*R142*S139+O140*P141*Q142*R139*S141+O140*P141*Q142*R140*S140+O140*P141*Q142*R141*S139+O140*P142*Q139*R140*S142+O140*P142*Q139*R141*S141+O140*P142*Q139*R142*S140+O140*P142*Q140*R139*S142+O140*P142*Q140*R140*S141+O140*P142*Q140*R141*S140+O140*P142*Q140*R142*S139+O140*P142*Q141*R139*S141+O140*P142*Q141*R140*S140+O140*P142*Q141*R141*S139+O140*P142*Q142*R139*S140+O140*P142*Q142*R140*S139+O141*P139*Q139*R142*S142+O141*P139*Q140*R141*S142+O141*P139*Q140*R142*S141+O141*P139*Q141*R140*S142+O141*P139*Q141*R141*S141+O141*P139*Q141*R142*S140+O141*P139*Q142*R139*S142+O141*P139*Q142*R140*S141+O141*P139*Q142*R141*S140+O141*P139*Q142*R142*S139+O141*P140*Q139*R141*S142+O141*P140*Q139*R142*S141+O141*P140*Q140*R140*S142+O141*P140*Q140*R141*S141+O141*P140*Q140*R142*S140+O141*P140*Q141*R139*S142+O141*P140*Q141*R140*S141+O141*P140*Q141*R141*S140+O141*P140*Q141*R142*S139+O141*P140*Q142*R139*S141+O141*P140*Q142*R140*S140+O141*P140*Q142*R141*S139+O141*P141*Q139*R140*S142+O141*P141*Q139*R141*S141+O141*P141*Q139*R142*S140+O141*P141*Q140*R139*S142+O141*P141*Q140*R140*S141+O141*P141*Q140*R141*S140+O141*P141*Q140*R142*S139+O141*P141*Q141*R139*S141+O141*P141*Q141*R140*S140+O141*P141*Q141*R141*S139+O141*P141*Q142*R139*S140+O141*P141*Q142*R140*S139+O141*P142*Q139*R139*S142+O141*P142*Q139*R140*S141+O141*P142*Q139*R141*S140+O141*P142*Q139*R142*S139+O141*P142*Q140*R139*S141+O141*P142*Q140*R140*S140+O141*P142*Q140*R141*S139+O141*P142*Q141*R139*S140+O141*P142*Q141*R140*S139+O141*P142*Q142*R139*S139+O142*P139*Q139*R141*S142+O142*P139*Q139*R142*S141+O142*P139*Q140*R140*S142+O142*P139*Q140*R141*S141+O142*P139*Q140*R142*S140+O142*P139*Q141*R139*S142+O142*P139*Q141*R140*S141+O142*P139*Q141*R141*S140+O142*P139*Q141*R142*S139+O142*P139*Q142*R139*S141+O142*P139*Q142*R140*S140+O142*P139*Q142*R141*S139+O142*P140*Q139*R140*S142+O142*P140*Q139*R141*S141+O142*P140*Q139*R142*S140+O142*P140*Q140*R139*S142+O142*P140*Q140*R140*S141+O142*P140*Q140*R141*S140+O142*P140*Q140*R142*S139+O142*P140*Q141*R139*S141+O142*P140*Q141*R140*S140+O142*P140*Q141*R141*S139+O142*P140*Q142*R139*S140+O142*P140*Q142*R140*S139+O142*P141*Q139*R139*S142+O142*P141*Q139*R140*S141+O142*P141*Q139*R141*S140+O142*P141*Q139*R142*S139+O142*P141*Q140*R139*S141+O142*P141*Q140*R140*S140+O142*P141*Q140*R141*S139+O142*P141*Q141*R139*S140+O142*P141*Q141*R140*S139+O142*P141*Q142*R139*S139+O142*P142*Q139*R139*S141+O142*P142*Q139*R140*S140+O142*P142*Q139*R141*S139+O142*P142*Q140*R139*S140+O142*P142*Q140*R140*S139+O142*P142*Q141*R139*S139</f>
        <v>191780292396250</v>
      </c>
      <c r="X145" s="21">
        <f>O139*P139*Q142*R142*S142+O139*P140*Q141*R142*S142+O139*P140*Q142*R141*S142+O139*P140*Q142*R142*S141+O139*P141*Q140*R142*S142+O139*P141*Q141*R141*S142+O139*P141*Q141*R142*S141+O139*P141*Q142*R140*S142+O139*P141*Q142*R141*S141+O139*P141*Q142*R142*S140+O139*P142*Q139*R142*S142+O139*P142*Q140*R141*S142+O139*P142*Q140*R142*S141+O139*P142*Q141*R140*S142+O139*P142*Q141*R141*S141+O139*P142*Q141*R142*S140+O139*P142*Q142*R139*S142+O139*P142*Q142*R140*S141+O139*P142*Q142*R141*S140+O139*P142*Q142*R142*S139+O140*P139*Q141*R142*S142+O140*P139*Q142*R141*S142+O140*P139*Q142*R142*S141+O140*P140*Q140*R142*S142+O140*P140*Q141*R141*S142+O140*P140*Q141*R142*S141+O140*P140*Q142*R140*S142+O140*P140*Q142*R141*S141+O140*P140*Q142*R142*S140+O140*P141*Q139*R142*S142+O140*P141*Q140*R141*S142+O140*P141*Q140*R142*S141+O140*P141*Q141*R140*S142+O140*P141*Q141*R141*S141+O140*P141*Q141*R142*S140+O140*P141*Q142*R139*S142+O140*P141*Q142*R140*S141+O140*P141*Q142*R141*S140+O140*P141*Q142*R142*S139+O140*P142*Q139*R141*S142+O140*P142*Q139*R142*S141+O140*P142*Q140*R140*S142+O140*P142*Q140*R141*S141+O140*P142*Q140*R142*S140+O140*P142*Q141*R139*S142+O140*P142*Q141*R140*S141+O140*P142*Q141*R141*S140+O140*P142*Q141*R142*S139+O140*P142*Q142*R139*S141+O140*P142*Q142*R140*S140+O140*P142*Q142*R141*S139+O141*P139*Q140*R142*S142+O141*P139*Q141*R141*S142+O141*P139*Q141*R142*S141+O141*P139*Q142*R140*S142+O141*P139*Q142*R141*S141+O141*P139*Q142*R142*S140+O141*P140*Q139*R142*S142+O141*P140*Q140*R141*S142+O141*P140*Q140*R142*S141+O141*P140*Q141*R140*S142+O141*P140*Q141*R141*S141+O141*P140*Q141*R142*S140+O141*P140*Q142*R139*S142+O141*P140*Q142*R140*S141+O141*P140*Q142*R141*S140+O141*P140*Q142*R142*S139+O141*P141*Q139*R141*S142+O141*P141*Q139*R142*S141+O141*P141*Q140*R140*S142+O141*P141*Q140*R141*S141+O141*P141*Q140*R142*S140+O141*P141*Q141*R139*S142+O141*P141*Q141*R140*S141+O141*P141*Q141*R141*S140+O141*P141*Q141*R142*S139+O141*P141*Q142*R139*S141+O141*P141*Q142*R140*S140+O141*P141*Q142*R141*S139+O141*P142*Q139*R140*S142+O141*P142*Q139*R141*S141+O141*P142*Q139*R142*S140+O141*P142*Q140*R139*S142+O141*P142*Q140*R140*S141+O141*P142*Q140*R141*S140+O141*P142*Q140*R142*S139+O141*P142*Q141*R139*S141+O141*P142*Q141*R140*S140+O141*P142*Q141*R141*S139+O141*P142*Q142*R139*S140+O141*P142*Q142*R140*S139+O142*P139*Q139*R142*S142+O142*P139*Q140*R141*S142+O142*P139*Q140*R142*S141+O142*P139*Q141*R140*S142+O142*P139*Q141*R141*S141+O142*P139*Q141*R142*S140+O142*P139*Q142*R139*S142+O142*P139*Q142*R140*S141+O142*P139*Q142*R141*S140+O142*P139*Q142*R142*S139+O142*P140*Q139*R141*S142+O142*P140*Q139*R142*S141+O142*P140*Q140*R140*S142+O142*P140*Q140*R141*S141+O142*P140*Q140*R142*S140+O142*P140*Q141*R139*S142+O142*P140*Q141*R140*S141+O142*P140*Q141*R141*S140+O142*P140*Q141*R142*S139+O142*P140*Q142*R139*S141+O142*P140*Q142*R140*S140+O142*P140*Q142*R141*S139+O142*P141*Q139*R140*S142+O142*P141*Q139*R141*S141+O142*P141*Q139*R142*S140+O142*P141*Q140*R139*S142+O142*P141*Q140*R140*S141+O142*P141*Q140*R141*S140+O142*P141*Q140*R142*S139+O142*P141*Q141*R139*S141+O142*P141*Q141*R140*S140+O142*P141*Q141*R141*S139+O142*P141*Q142*R139*S140+O142*P141*Q142*R140*S139+O142*P142*Q139*R139*S142+O142*P142*Q139*R140*S141+O142*P142*Q139*R141*S140+O142*P142*Q139*R142*S139+O142*P142*Q140*R139*S141+O142*P142*Q140*R140*S140+O142*P142*Q140*R141*S139+O142*P142*Q141*R139*S140+O142*P142*Q141*R140*S139+O142*P142*Q142*R139*S139</f>
        <v>25149595832750</v>
      </c>
      <c r="Y145" s="21">
        <f>O139*P140*Q142*R142*S142+O139*P141*Q141*R142*S142+O139*P141*Q142*R141*S142+O139*P141*Q142*R142*S141+O139*P142*Q140*R142*S142+O139*P142*Q141*R141*S142+O139*P142*Q141*R142*S141+O139*P142*Q142*R140*S142+O139*P142*Q142*R141*S141+O139*P142*Q142*R142*S140+O140*P139*Q142*R142*S142+O140*P140*Q141*R142*S142+O140*P140*Q142*R141*S142+O140*P140*Q142*R142*S141+O140*P141*Q140*R142*S142+O140*P141*Q141*R141*S142+O140*P141*Q141*R142*S141+O140*P141*Q142*R140*S142+O140*P141*Q142*R141*S141+O140*P141*Q142*R142*S140+O140*P142*Q139*R142*S142+O140*P142*Q140*R141*S142+O140*P142*Q140*R142*S141+O140*P142*Q141*R140*S142+O140*P142*Q141*R141*S141+O140*P142*Q141*R142*S140+O140*P142*Q142*R139*S142+O140*P142*Q142*R140*S141+O140*P142*Q142*R141*S140+O140*P142*Q142*R142*S139+O141*P139*Q141*R142*S142+O141*P139*Q142*R141*S142+O141*P139*Q142*R142*S141+O141*P140*Q140*R142*S142+O141*P140*Q141*R141*S142+O141*P140*Q141*R142*S141+O141*P140*Q142*R140*S142+O141*P140*Q142*R141*S141+O141*P140*Q142*R142*S140+O141*P141*Q139*R142*S142+O141*P141*Q140*R141*S142+O141*P141*Q140*R142*S141+O141*P141*Q141*R140*S142+O141*P141*Q141*R141*S141+O141*P141*Q141*R142*S140+O141*P141*Q142*R139*S142+O141*P141*Q142*R140*S141+O141*P141*Q142*R141*S140+O141*P141*Q142*R142*S139+O141*P142*Q139*R141*S142+O141*P142*Q139*R142*S141+O141*P142*Q140*R140*S142+O141*P142*Q140*R141*S141+O141*P142*Q140*R142*S140+O141*P142*Q141*R139*S142+O141*P142*Q141*R140*S141+O141*P142*Q141*R141*S140+O141*P142*Q141*R142*S139+O141*P142*Q142*R139*S141+O141*P142*Q142*R140*S140+O141*P142*Q142*R141*S139+O142*P139*Q140*R142*S142+O142*P139*Q141*R141*S142+O142*P139*Q141*R142*S141+O142*P139*Q142*R140*S142+O142*P139*Q142*R141*S141+O142*P139*Q142*R142*S140+O142*P140*Q139*R142*S142+O142*P140*Q140*R141*S142+O142*P140*Q140*R142*S141+O142*P140*Q141*R140*S142+O142*P140*Q141*R141*S141+O142*P140*Q141*R142*S140+O142*P140*Q142*R139*S142+O142*P140*Q142*R140*S141+O142*P140*Q142*R141*S140+O142*P140*Q142*R142*S139+O142*P141*Q139*R141*S142+O142*P141*Q139*R142*S141+O142*P141*Q140*R140*S142+O142*P141*Q140*R141*S141+O142*P141*Q140*R142*S140+O142*P141*Q141*R139*S142+O142*P141*Q141*R140*S141+O142*P141*Q141*R141*S140+O142*P141*Q141*R142*S139+O142*P141*Q142*R139*S141+O142*P141*Q142*R140*S140+O142*P141*Q142*R141*S139+O142*P142*Q139*R140*S142+O142*P142*Q139*R141*S141+O142*P142*Q139*R142*S140+O142*P142*Q140*R139*S142+O142*P142*Q140*R140*S141+O142*P142*Q140*R141*S140+O142*P142*Q140*R142*S139+O142*P142*Q141*R139*S141+O142*P142*Q141*R140*S140+O142*P142*Q141*R141*S139+O142*P142*Q142*R139*S140+O142*P142*Q142*R140*S139</f>
        <v>2822878196875</v>
      </c>
      <c r="Z145" s="21">
        <f>O139*P141*Q142*R142*S142+O139*P142*Q141*R142*S142+O139*P142*Q142*R141*S142+O139*P142*Q142*R142*S141+O140*P140*Q142*R142*S142+O140*P141*Q141*R142*S142+O140*P141*Q142*R141*S142+O140*P141*Q142*R142*S141+O140*P142*Q140*R142*S142+O140*P142*Q141*R141*S142+O140*P142*Q141*R142*S141+O140*P142*Q142*R140*S142+O140*P142*Q142*R141*S141+O140*P142*Q142*R142*S140+O141*P139*Q142*R142*S142+O141*P140*Q141*R142*S142+O141*P140*Q142*R141*S142+O141*P140*Q142*R142*S141+O141*P141*Q140*R142*S142+O141*P141*Q141*R141*S142+O141*P141*Q141*R142*S141+O141*P141*Q142*R140*S142+O141*P141*Q142*R141*S141+O141*P141*Q142*R142*S140+O141*P142*Q139*R142*S142+O141*P142*Q140*R141*S142+O141*P142*Q140*R142*S141+O141*P142*Q141*R140*S142+O141*P142*Q141*R141*S141+O141*P142*Q141*R142*S140+O141*P142*Q142*R139*S142+O141*P142*Q142*R140*S141+O141*P142*Q142*R141*S140+O141*P142*Q142*R142*S139+O142*P139*Q141*R142*S142+O142*P139*Q142*R141*S142+O142*P139*Q142*R142*S141+O142*P140*Q140*R142*S142+O142*P140*Q141*R141*S142+O142*P140*Q141*R142*S141+O142*P140*Q142*R140*S142+O142*P140*Q142*R141*S141+O142*P140*Q142*R142*S140+O142*P141*Q139*R142*S142+O142*P141*Q140*R141*S142+O142*P141*Q140*R142*S141+O142*P141*Q141*R140*S142+O142*P141*Q141*R141*S141+O142*P141*Q141*R142*S140+O142*P141*Q142*R139*S142+O142*P141*Q142*R140*S141+O142*P141*Q142*R141*S140+O142*P141*Q142*R142*S139+O142*P142*Q139*R141*S142+O142*P142*Q139*R142*S141+O142*P142*Q140*R140*S142+O142*P142*Q140*R141*S141+O142*P142*Q140*R142*S140+O142*P142*Q141*R139*S142+O142*P142*Q141*R140*S141+O142*P142*Q141*R141*S140+O142*P142*Q141*R142*S139+O142*P142*Q142*R139*S141+O142*P142*Q142*R140*S140+O142*P142*Q142*R141*S139</f>
        <v>262896009375</v>
      </c>
      <c r="AA145" s="21">
        <f>O139*P142*Q142*R142*S142+O140*P141*Q142*R142*S142+O140*P142*Q141*R142*S142+O140*P142*Q142*R141*S142+O140*P142*Q142*R142*S141+O141*P140*Q142*R142*S142+O141*P141*Q141*R142*S142+O141*P141*Q142*R141*S142+O141*P141*Q142*R142*S141+O141*P142*Q140*R142*S142+O141*P142*Q141*R141*S142+O141*P142*Q141*R142*S141+O141*P142*Q142*R140*S142+O141*P142*Q142*R141*S141+O141*P142*Q142*R142*S140+O142*P139*Q142*R142*S142+O142*P140*Q141*R142*S142+O142*P140*Q142*R141*S142+O142*P140*Q142*R142*S141+O142*P141*Q140*R142*S142+O142*P141*Q141*R141*S142+O142*P141*Q141*R142*S141+O142*P141*Q142*R140*S142+O142*P141*Q142*R141*S141+O142*P141*Q142*R142*S140+O142*P142*Q139*R142*S142+O142*P142*Q140*R141*S142+O142*P142*Q140*R142*S141+O142*P142*Q141*R140*S142+O142*P142*Q141*R141*S141+O142*P142*Q141*R142*S140+O142*P142*Q142*R139*S142+O142*P142*Q142*R140*S141+O142*P142*Q142*R141*S140+O142*P142*Q142*R142*S139</f>
        <v>20026530000</v>
      </c>
      <c r="AB145" s="21">
        <f>O140*P142*Q142*R142*S142+O141*P141*Q142*R142*S142+O141*P142*Q141*R142*S142+O141*P142*Q142*R141*S142+O141*P142*Q142*R142*S141+O142*P140*Q142*R142*S142+O142*P141*Q141*R142*S142+O142*P141*Q142*R141*S142+O142*P141*Q142*R142*S141+O142*P142*Q140*R142*S142+O142*P142*Q141*R141*S142+O142*P142*Q141*R142*S141+O142*P142*Q142*R140*S142+O142*P142*Q142*R141*S141+O142*P142*Q142*R142*S140</f>
        <v>1172812500</v>
      </c>
      <c r="AC145" s="21">
        <f>O141*P142*Q142*R142*S142+O142*P141*Q142*R142*S142+O142*P142*Q141*R142*S142+O142*P142*Q142*R141*S142+O142*P142*Q142*R142*S141</f>
        <v>44296875</v>
      </c>
      <c r="AD145" s="20">
        <f>O142*P142*Q142*R142*S142</f>
        <v>759375</v>
      </c>
      <c r="AE145" s="1">
        <f>SUM(P145:AD145)</f>
        <v>5.25261782804736E+18</v>
      </c>
      <c r="BB145" s="59" t="str">
        <f>IFERROR($BC$3&amp;VLOOKUP(B147,'Pay Table'!$M$3:$N$18,2,FALSE)&amp;$BB$3&amp;C147&amp;$BD$3,"")</f>
        <v/>
      </c>
      <c r="BC145" s="49" t="str">
        <f>IFERROR($BC$3&amp;VLOOKUP(D147,'Pay Table'!$M$3:$N$18,2,FALSE)&amp;$BB$3&amp;E147&amp;$BD$3,"")</f>
        <v/>
      </c>
      <c r="BD145" s="49" t="str">
        <f>IFERROR($BC$3&amp;VLOOKUP(F147,'Pay Table'!$M$3:$N$18,2,FALSE)&amp;$BB$3&amp;G147&amp;$BD$3,"")</f>
        <v/>
      </c>
      <c r="BE145" s="49" t="str">
        <f>IFERROR($BC$3&amp;VLOOKUP(H147,'Pay Table'!$M$3:$N$18,2,FALSE)&amp;$BB$3&amp;I147&amp;$BD$3,"")</f>
        <v/>
      </c>
      <c r="BF145" s="60" t="str">
        <f>IFERROR($BC$3&amp;VLOOKUP(J147,'Pay Table'!$M$3:$N$18,2,FALSE)&amp;$BB$3&amp;K147&amp;$BD$3,"")</f>
        <v/>
      </c>
    </row>
    <row r="146" spans="1:58" ht="17.100000000000001" customHeight="1" x14ac:dyDescent="0.15">
      <c r="A146" s="14">
        <v>141</v>
      </c>
      <c r="N146" s="2" t="s">
        <v>36</v>
      </c>
      <c r="P146" s="1">
        <f t="shared" ref="P146:AD146" si="92">P145/$O$23</f>
        <v>0.26284299233983172</v>
      </c>
      <c r="Q146" s="1">
        <f t="shared" si="92"/>
        <v>0.13435648604560751</v>
      </c>
      <c r="R146" s="1">
        <f t="shared" si="92"/>
        <v>4.4313753814282451E-2</v>
      </c>
      <c r="S146" s="1">
        <f t="shared" si="92"/>
        <v>1.2778861220340857E-2</v>
      </c>
      <c r="T146" s="1">
        <f t="shared" si="92"/>
        <v>3.0559032892242839E-3</v>
      </c>
      <c r="U146" s="1">
        <f t="shared" si="92"/>
        <v>6.2097510895479588E-4</v>
      </c>
      <c r="V146" s="1">
        <f t="shared" si="92"/>
        <v>1.1023510720229116E-4</v>
      </c>
      <c r="W146" s="1">
        <f t="shared" si="92"/>
        <v>1.6725801764859802E-5</v>
      </c>
      <c r="X146" s="1">
        <f t="shared" si="92"/>
        <v>2.1933805038517392E-6</v>
      </c>
      <c r="Y146" s="1">
        <f t="shared" si="92"/>
        <v>2.4619266420619639E-7</v>
      </c>
      <c r="Z146" s="1">
        <f t="shared" si="92"/>
        <v>2.2928041680600517E-8</v>
      </c>
      <c r="AA146" s="1">
        <f t="shared" si="92"/>
        <v>1.7465807702802704E-9</v>
      </c>
      <c r="AB146" s="1">
        <f t="shared" si="92"/>
        <v>1.0228490705301066E-10</v>
      </c>
      <c r="AC146" s="1">
        <f t="shared" si="92"/>
        <v>3.8632788635129923E-12</v>
      </c>
      <c r="AD146" s="5">
        <f t="shared" si="92"/>
        <v>6.6227637660222722E-14</v>
      </c>
      <c r="AE146" s="1">
        <f>SUM(P146:AD146)</f>
        <v>0.45809839708121369</v>
      </c>
      <c r="BB146" s="59" t="str">
        <f>IFERROR($BC$3&amp;VLOOKUP(B148,'Pay Table'!$M$3:$N$18,2,FALSE)&amp;$BB$3&amp;C148&amp;$BD$3,"")</f>
        <v/>
      </c>
      <c r="BC146" s="49" t="str">
        <f>IFERROR($BC$3&amp;VLOOKUP(D148,'Pay Table'!$M$3:$N$18,2,FALSE)&amp;$BB$3&amp;E148&amp;$BD$3,"")</f>
        <v/>
      </c>
      <c r="BD146" s="49" t="str">
        <f>IFERROR($BC$3&amp;VLOOKUP(F148,'Pay Table'!$M$3:$N$18,2,FALSE)&amp;$BB$3&amp;G148&amp;$BD$3,"")</f>
        <v/>
      </c>
      <c r="BE146" s="49" t="str">
        <f>IFERROR($BC$3&amp;VLOOKUP(H148,'Pay Table'!$M$3:$N$18,2,FALSE)&amp;$BB$3&amp;I148&amp;$BD$3,"")</f>
        <v/>
      </c>
      <c r="BF146" s="60" t="str">
        <f>IFERROR($BC$3&amp;VLOOKUP(J148,'Pay Table'!$M$3:$N$18,2,FALSE)&amp;$BB$3&amp;K148&amp;$BD$3,"")</f>
        <v/>
      </c>
    </row>
    <row r="147" spans="1:58" ht="17.100000000000001" customHeight="1" x14ac:dyDescent="0.15">
      <c r="A147" s="14">
        <v>142</v>
      </c>
      <c r="N147" s="2" t="s">
        <v>222</v>
      </c>
      <c r="R147" s="1">
        <f>R146*Respin!P74*Respin!P74*Respin!P74</f>
        <v>3.5451003051425968E-4</v>
      </c>
      <c r="S147" s="1">
        <f>S146*Respin!P74*Respin!P74*(1-Respin!P74)*(1-Respin!P74)*COMBIN(4,2)+
S146*Respin!P74*Respin!P74*Respin!P74*(1-Respin!P74)*COMBIN(4,3)+
S146*Respin!P74*Respin!P74*Respin!P74*Respin!P74</f>
        <v>2.3104181086376278E-3</v>
      </c>
      <c r="T147" s="1">
        <f>T146*Respin!P74*(1-Respin!P74)*(1-Respin!P74)*(1-Respin!P74)*(1-Respin!P74)*COMBIN(5,1)+
T146*Respin!P74*Respin!P74*(1-Respin!P74)*(1-Respin!P74)*(1-Respin!P74)*COMBIN(5,2)+
T146*Respin!P74*Respin!P74*Respin!P74*(1-Respin!P74)*(1-Respin!P74)*COMBIN(5,3)+
T146*Respin!P74*Respin!P74*Respin!P74*Respin!P74*(1-Respin!P74)*COMBIN(5,4)+
T146*Respin!P74*Respin!P74*Respin!P74*Respin!P74*Respin!P74</f>
        <v>2.0545448994112709E-3</v>
      </c>
      <c r="X147" s="225"/>
      <c r="Y147" s="225"/>
      <c r="AD147" s="5"/>
      <c r="BB147" s="59" t="str">
        <f>IFERROR($BC$3&amp;VLOOKUP(B149,'Pay Table'!$M$3:$N$18,2,FALSE)&amp;$BB$3&amp;C149&amp;$BD$3,"")</f>
        <v/>
      </c>
      <c r="BC147" s="49" t="str">
        <f>IFERROR($BC$3&amp;VLOOKUP(D149,'Pay Table'!$M$3:$N$18,2,FALSE)&amp;$BB$3&amp;E149&amp;$BD$3,"")</f>
        <v/>
      </c>
      <c r="BD147" s="49" t="str">
        <f>IFERROR($BC$3&amp;VLOOKUP(F149,'Pay Table'!$M$3:$N$18,2,FALSE)&amp;$BB$3&amp;G149&amp;$BD$3,"")</f>
        <v/>
      </c>
      <c r="BE147" s="49" t="str">
        <f>IFERROR($BC$3&amp;VLOOKUP(H149,'Pay Table'!$M$3:$N$18,2,FALSE)&amp;$BB$3&amp;I149&amp;$BD$3,"")</f>
        <v/>
      </c>
      <c r="BF147" s="60" t="str">
        <f>IFERROR($BC$3&amp;VLOOKUP(J149,'Pay Table'!$M$3:$N$18,2,FALSE)&amp;$BB$3&amp;K149&amp;$BD$3,"")</f>
        <v/>
      </c>
    </row>
    <row r="148" spans="1:58" ht="17.100000000000001" customHeight="1" x14ac:dyDescent="0.15">
      <c r="A148" s="14">
        <v>143</v>
      </c>
      <c r="N148" s="8" t="s">
        <v>278</v>
      </c>
      <c r="O148" s="15">
        <v>0</v>
      </c>
      <c r="P148" s="246">
        <v>5.0000000000000001E-4</v>
      </c>
      <c r="Q148" s="246">
        <v>5.4999999999999997E-3</v>
      </c>
      <c r="R148" s="246">
        <v>1.9E-2</v>
      </c>
      <c r="S148" s="246">
        <v>0.03</v>
      </c>
      <c r="T148" s="246">
        <v>7.0000000000000007E-2</v>
      </c>
      <c r="U148" s="15">
        <v>1</v>
      </c>
      <c r="V148" s="15">
        <v>1</v>
      </c>
      <c r="W148" s="15">
        <v>1</v>
      </c>
      <c r="X148" s="15">
        <v>1</v>
      </c>
      <c r="Y148" s="15">
        <v>1</v>
      </c>
      <c r="Z148" s="15"/>
      <c r="AA148" s="15">
        <v>1</v>
      </c>
      <c r="AB148" s="15">
        <v>1</v>
      </c>
      <c r="AC148" s="15">
        <v>1</v>
      </c>
      <c r="AD148" s="16">
        <v>1</v>
      </c>
      <c r="BB148" s="59" t="str">
        <f>IFERROR($BC$3&amp;VLOOKUP(B150,'Pay Table'!$M$3:$N$18,2,FALSE)&amp;$BB$3&amp;C150&amp;$BD$3,"")</f>
        <v/>
      </c>
      <c r="BC148" s="49" t="str">
        <f>IFERROR($BC$3&amp;VLOOKUP(D150,'Pay Table'!$M$3:$N$18,2,FALSE)&amp;$BB$3&amp;E150&amp;$BD$3,"")</f>
        <v/>
      </c>
      <c r="BD148" s="49" t="str">
        <f>IFERROR($BC$3&amp;VLOOKUP(F150,'Pay Table'!$M$3:$N$18,2,FALSE)&amp;$BB$3&amp;G150&amp;$BD$3,"")</f>
        <v/>
      </c>
      <c r="BE148" s="49" t="str">
        <f>IFERROR($BC$3&amp;VLOOKUP(H150,'Pay Table'!$M$3:$N$18,2,FALSE)&amp;$BB$3&amp;I150&amp;$BD$3,"")</f>
        <v/>
      </c>
      <c r="BF148" s="60" t="str">
        <f>IFERROR($BC$3&amp;VLOOKUP(J150,'Pay Table'!$M$3:$N$18,2,FALSE)&amp;$BB$3&amp;K150&amp;$BD$3,"")</f>
        <v/>
      </c>
    </row>
    <row r="149" spans="1:58" ht="17.100000000000001" customHeight="1" x14ac:dyDescent="0.15">
      <c r="A149" s="14">
        <v>144</v>
      </c>
      <c r="BB149" s="59" t="str">
        <f>IFERROR($BC$3&amp;VLOOKUP(B151,'Pay Table'!$M$3:$N$18,2,FALSE)&amp;$BB$3&amp;C151&amp;$BD$3,"")</f>
        <v/>
      </c>
      <c r="BC149" s="49" t="str">
        <f>IFERROR($BC$3&amp;VLOOKUP(D151,'Pay Table'!$M$3:$N$18,2,FALSE)&amp;$BB$3&amp;E151&amp;$BD$3,"")</f>
        <v/>
      </c>
      <c r="BD149" s="49" t="str">
        <f>IFERROR($BC$3&amp;VLOOKUP(F151,'Pay Table'!$M$3:$N$18,2,FALSE)&amp;$BB$3&amp;G151&amp;$BD$3,"")</f>
        <v/>
      </c>
      <c r="BE149" s="49" t="str">
        <f>IFERROR($BC$3&amp;VLOOKUP(H151,'Pay Table'!$M$3:$N$18,2,FALSE)&amp;$BB$3&amp;I151&amp;$BD$3,"")</f>
        <v/>
      </c>
      <c r="BF149" s="60" t="str">
        <f>IFERROR($BC$3&amp;VLOOKUP(J151,'Pay Table'!$M$3:$N$18,2,FALSE)&amp;$BB$3&amp;K151&amp;$BD$3,"")</f>
        <v/>
      </c>
    </row>
    <row r="150" spans="1:58" ht="17.100000000000001" customHeight="1" x14ac:dyDescent="0.15">
      <c r="A150" s="14">
        <v>145</v>
      </c>
      <c r="N150" s="6" t="s">
        <v>279</v>
      </c>
      <c r="O150" s="6">
        <v>0</v>
      </c>
      <c r="P150" s="18">
        <v>1</v>
      </c>
      <c r="Q150" s="18">
        <v>2</v>
      </c>
      <c r="R150" s="18">
        <v>3</v>
      </c>
      <c r="S150" s="18">
        <v>4</v>
      </c>
      <c r="T150" s="18">
        <v>5</v>
      </c>
      <c r="U150" s="18">
        <v>6</v>
      </c>
      <c r="V150" s="18">
        <v>7</v>
      </c>
      <c r="W150" s="18">
        <v>8</v>
      </c>
      <c r="X150" s="18">
        <v>9</v>
      </c>
      <c r="Y150" s="36">
        <v>10</v>
      </c>
      <c r="BB150" s="59" t="str">
        <f>IFERROR($BC$3&amp;VLOOKUP(B152,'Pay Table'!$M$3:$N$18,2,FALSE)&amp;$BB$3&amp;C152&amp;$BD$3,"")</f>
        <v/>
      </c>
      <c r="BC150" s="49" t="str">
        <f>IFERROR($BC$3&amp;VLOOKUP(D152,'Pay Table'!$M$3:$N$18,2,FALSE)&amp;$BB$3&amp;E152&amp;$BD$3,"")</f>
        <v/>
      </c>
      <c r="BD150" s="49" t="str">
        <f>IFERROR($BC$3&amp;VLOOKUP(F152,'Pay Table'!$M$3:$N$18,2,FALSE)&amp;$BB$3&amp;G152&amp;$BD$3,"")</f>
        <v/>
      </c>
      <c r="BE150" s="49" t="str">
        <f>IFERROR($BC$3&amp;VLOOKUP(H152,'Pay Table'!$M$3:$N$18,2,FALSE)&amp;$BB$3&amp;I152&amp;$BD$3,"")</f>
        <v/>
      </c>
      <c r="BF150" s="60" t="str">
        <f>IFERROR($BC$3&amp;VLOOKUP(J152,'Pay Table'!$M$3:$N$18,2,FALSE)&amp;$BB$3&amp;K152&amp;$BD$3,"")</f>
        <v/>
      </c>
    </row>
    <row r="151" spans="1:58" ht="17.100000000000001" customHeight="1" x14ac:dyDescent="0.15">
      <c r="A151" s="14">
        <v>146</v>
      </c>
      <c r="N151" s="4">
        <v>1</v>
      </c>
      <c r="P151" s="21">
        <f>P146*(1-Respin!P74)</f>
        <v>0.21027439387186539</v>
      </c>
      <c r="Q151" s="21">
        <f>P146*Respin!P74</f>
        <v>5.2568598467966347E-2</v>
      </c>
      <c r="R151" s="21"/>
      <c r="S151" s="21"/>
      <c r="T151" s="21"/>
      <c r="U151" s="21"/>
      <c r="V151" s="21"/>
      <c r="W151" s="21"/>
      <c r="X151" s="21"/>
      <c r="Y151" s="20"/>
      <c r="BB151" s="59" t="str">
        <f>IFERROR($BC$3&amp;VLOOKUP(B153,'Pay Table'!$M$3:$N$18,2,FALSE)&amp;$BB$3&amp;C153&amp;$BD$3,"")</f>
        <v/>
      </c>
      <c r="BC151" s="49" t="str">
        <f>IFERROR($BC$3&amp;VLOOKUP(D153,'Pay Table'!$M$3:$N$18,2,FALSE)&amp;$BB$3&amp;E153&amp;$BD$3,"")</f>
        <v/>
      </c>
      <c r="BD151" s="49" t="str">
        <f>IFERROR($BC$3&amp;VLOOKUP(F153,'Pay Table'!$M$3:$N$18,2,FALSE)&amp;$BB$3&amp;G153&amp;$BD$3,"")</f>
        <v/>
      </c>
      <c r="BE151" s="49" t="str">
        <f>IFERROR($BC$3&amp;VLOOKUP(H153,'Pay Table'!$M$3:$N$18,2,FALSE)&amp;$BB$3&amp;I153&amp;$BD$3,"")</f>
        <v/>
      </c>
      <c r="BF151" s="60" t="str">
        <f>IFERROR($BC$3&amp;VLOOKUP(J153,'Pay Table'!$M$3:$N$18,2,FALSE)&amp;$BB$3&amp;K153&amp;$BD$3,"")</f>
        <v/>
      </c>
    </row>
    <row r="152" spans="1:58" ht="17.100000000000001" customHeight="1" x14ac:dyDescent="0.15">
      <c r="A152" s="14">
        <v>147</v>
      </c>
      <c r="N152" s="4">
        <v>2</v>
      </c>
      <c r="Q152" s="1">
        <f>Q146*(1-Respin!P74)*(1-Respin!P74)</f>
        <v>8.598815106918882E-2</v>
      </c>
      <c r="R152" s="1">
        <f>Q146*Respin!P74*(1-Respin!P74)*COMBIN(2,1)</f>
        <v>4.299407553459441E-2</v>
      </c>
      <c r="S152" s="1">
        <f>Q146*Respin!P74*Respin!P74</f>
        <v>5.3742594418243013E-3</v>
      </c>
      <c r="Y152" s="5"/>
      <c r="BB152" s="59" t="str">
        <f>IFERROR($BC$3&amp;VLOOKUP(B154,'Pay Table'!$M$3:$N$18,2,FALSE)&amp;$BB$3&amp;C154&amp;$BD$3,"")</f>
        <v/>
      </c>
      <c r="BC152" s="49" t="str">
        <f>IFERROR($BC$3&amp;VLOOKUP(D154,'Pay Table'!$M$3:$N$18,2,FALSE)&amp;$BB$3&amp;E154&amp;$BD$3,"")</f>
        <v/>
      </c>
      <c r="BD152" s="49" t="str">
        <f>IFERROR($BC$3&amp;VLOOKUP(F154,'Pay Table'!$M$3:$N$18,2,FALSE)&amp;$BB$3&amp;G154&amp;$BD$3,"")</f>
        <v/>
      </c>
      <c r="BE152" s="49" t="str">
        <f>IFERROR($BC$3&amp;VLOOKUP(H154,'Pay Table'!$M$3:$N$18,2,FALSE)&amp;$BB$3&amp;I154&amp;$BD$3,"")</f>
        <v/>
      </c>
      <c r="BF152" s="60" t="str">
        <f>IFERROR($BC$3&amp;VLOOKUP(J154,'Pay Table'!$M$3:$N$18,2,FALSE)&amp;$BB$3&amp;K154&amp;$BD$3,"")</f>
        <v/>
      </c>
    </row>
    <row r="153" spans="1:58" ht="17.100000000000001" customHeight="1" x14ac:dyDescent="0.15">
      <c r="A153" s="14">
        <v>148</v>
      </c>
      <c r="N153" s="4">
        <v>3</v>
      </c>
      <c r="R153" s="1">
        <f>R146*(1-Respin!P74)*(1-Respin!P74)*(1-Respin!P74)</f>
        <v>2.2688641952912619E-2</v>
      </c>
      <c r="S153" s="1">
        <f>R146*Respin!P74*(1-Respin!P74)*(1-Respin!P74)*COMBIN(3,1)</f>
        <v>1.7016481464684464E-2</v>
      </c>
      <c r="T153" s="1">
        <f>R146*Respin!P74*Respin!P74*(1-Respin!P74)*COMBIN(3,2)</f>
        <v>4.2541203661711161E-3</v>
      </c>
      <c r="U153" s="1">
        <f>R146*Respin!P74*Respin!P74*Respin!P74</f>
        <v>3.5451003051425968E-4</v>
      </c>
      <c r="Y153" s="5"/>
      <c r="BB153" s="59" t="str">
        <f>IFERROR($BC$3&amp;VLOOKUP(B155,'Pay Table'!$M$3:$N$18,2,FALSE)&amp;$BB$3&amp;C155&amp;$BD$3,"")</f>
        <v/>
      </c>
      <c r="BC153" s="49" t="str">
        <f>IFERROR($BC$3&amp;VLOOKUP(D155,'Pay Table'!$M$3:$N$18,2,FALSE)&amp;$BB$3&amp;E155&amp;$BD$3,"")</f>
        <v/>
      </c>
      <c r="BD153" s="49" t="str">
        <f>IFERROR($BC$3&amp;VLOOKUP(F155,'Pay Table'!$M$3:$N$18,2,FALSE)&amp;$BB$3&amp;G155&amp;$BD$3,"")</f>
        <v/>
      </c>
      <c r="BE153" s="49" t="str">
        <f>IFERROR($BC$3&amp;VLOOKUP(H155,'Pay Table'!$M$3:$N$18,2,FALSE)&amp;$BB$3&amp;I155&amp;$BD$3,"")</f>
        <v/>
      </c>
      <c r="BF153" s="60" t="str">
        <f>IFERROR($BC$3&amp;VLOOKUP(J155,'Pay Table'!$M$3:$N$18,2,FALSE)&amp;$BB$3&amp;K155&amp;$BD$3,"")</f>
        <v/>
      </c>
    </row>
    <row r="154" spans="1:58" ht="17.100000000000001" customHeight="1" x14ac:dyDescent="0.15">
      <c r="A154" s="14">
        <v>149</v>
      </c>
      <c r="N154" s="4">
        <v>4</v>
      </c>
      <c r="S154" s="1">
        <f>S146*(1-Respin!P74)*(1-Respin!P74)*(1-Respin!P74)*(1-Respin!P74)</f>
        <v>5.2342215558516163E-3</v>
      </c>
      <c r="T154" s="1">
        <f>S146*(1-Respin!P74)*(1-Respin!P74)*(1-Respin!P74)*Respin!P74*COMBIN(4,1)</f>
        <v>5.2342215558516163E-3</v>
      </c>
      <c r="U154" s="1">
        <f>S146*Respin!P74*Respin!P74*(1-Respin!P74)*(1-Respin!P74)*COMBIN(4,2)</f>
        <v>1.9628330834443562E-3</v>
      </c>
      <c r="V154" s="1">
        <f>S146*Respin!P74*Respin!P74*Respin!P74*(1-Respin!P74)*COMBIN(4,3)</f>
        <v>3.2713884724072602E-4</v>
      </c>
      <c r="W154" s="40">
        <f>S146*Respin!P74*Respin!P74*Respin!P74*Respin!P74</f>
        <v>2.0446177952545376E-5</v>
      </c>
      <c r="Y154" s="5"/>
      <c r="BB154" s="59" t="str">
        <f>IFERROR($BC$3&amp;VLOOKUP(B156,'Pay Table'!$M$3:$N$18,2,FALSE)&amp;$BB$3&amp;C156&amp;$BD$3,"")</f>
        <v/>
      </c>
      <c r="BC154" s="49" t="str">
        <f>IFERROR($BC$3&amp;VLOOKUP(D156,'Pay Table'!$M$3:$N$18,2,FALSE)&amp;$BB$3&amp;E156&amp;$BD$3,"")</f>
        <v/>
      </c>
      <c r="BD154" s="49" t="str">
        <f>IFERROR($BC$3&amp;VLOOKUP(F156,'Pay Table'!$M$3:$N$18,2,FALSE)&amp;$BB$3&amp;G156&amp;$BD$3,"")</f>
        <v/>
      </c>
      <c r="BE154" s="49" t="str">
        <f>IFERROR($BC$3&amp;VLOOKUP(H156,'Pay Table'!$M$3:$N$18,2,FALSE)&amp;$BB$3&amp;I156&amp;$BD$3,"")</f>
        <v/>
      </c>
      <c r="BF154" s="60" t="str">
        <f>IFERROR($BC$3&amp;VLOOKUP(J156,'Pay Table'!$M$3:$N$18,2,FALSE)&amp;$BB$3&amp;K156&amp;$BD$3,"")</f>
        <v/>
      </c>
    </row>
    <row r="155" spans="1:58" ht="17.100000000000001" customHeight="1" x14ac:dyDescent="0.15">
      <c r="A155" s="14">
        <v>150</v>
      </c>
      <c r="N155" s="19">
        <v>5</v>
      </c>
      <c r="O155" s="15"/>
      <c r="P155" s="15"/>
      <c r="Q155" s="15"/>
      <c r="R155" s="15"/>
      <c r="S155" s="15"/>
      <c r="T155" s="15">
        <f>T146*(1-Respin!P74)*(1-Respin!P74)*(1-Respin!P74)*(1-Respin!P74)*(1-Respin!P74)</f>
        <v>1.0013583898130136E-3</v>
      </c>
      <c r="U155" s="15">
        <f>T146*Respin!P74*(1-Respin!P74)*(1-Respin!P74)*(1-Respin!P74)*(1-Respin!P74)*COMBIN(5,1)</f>
        <v>1.251697987266267E-3</v>
      </c>
      <c r="V155" s="15">
        <f>T146*Respin!P74*Respin!P74*(1-Respin!P74)*(1-Respin!P74)*(1-Respin!P74)*COMBIN(5,2)</f>
        <v>6.2584899363313348E-4</v>
      </c>
      <c r="W155" s="15">
        <f>T146*Respin!P74*Respin!P74*Respin!P74*(1-Respin!P74)*(1-Respin!P74)*COMBIN(5,3)</f>
        <v>1.5646224840828337E-4</v>
      </c>
      <c r="X155" s="15">
        <f>T146*Respin!P74*Respin!P74*Respin!P74*Respin!P74*(1-Respin!P74)*COMBIN(5,4)</f>
        <v>1.9557781051035421E-5</v>
      </c>
      <c r="Y155" s="16">
        <f>T146*Respin!P74*Respin!P74*Respin!P74*Respin!P74*Respin!P74</f>
        <v>9.7788905255177111E-7</v>
      </c>
      <c r="BB155" s="59" t="str">
        <f>IFERROR($BC$3&amp;VLOOKUP(B157,'Pay Table'!$M$3:$N$18,2,FALSE)&amp;$BB$3&amp;C157&amp;$BD$3,"")</f>
        <v/>
      </c>
      <c r="BC155" s="49" t="str">
        <f>IFERROR($BC$3&amp;VLOOKUP(D157,'Pay Table'!$M$3:$N$18,2,FALSE)&amp;$BB$3&amp;E157&amp;$BD$3,"")</f>
        <v/>
      </c>
      <c r="BD155" s="49" t="str">
        <f>IFERROR($BC$3&amp;VLOOKUP(F157,'Pay Table'!$M$3:$N$18,2,FALSE)&amp;$BB$3&amp;G157&amp;$BD$3,"")</f>
        <v/>
      </c>
      <c r="BE155" s="49" t="str">
        <f>IFERROR($BC$3&amp;VLOOKUP(H157,'Pay Table'!$M$3:$N$18,2,FALSE)&amp;$BB$3&amp;I157&amp;$BD$3,"")</f>
        <v/>
      </c>
      <c r="BF155" s="60" t="str">
        <f>IFERROR($BC$3&amp;VLOOKUP(J157,'Pay Table'!$M$3:$N$18,2,FALSE)&amp;$BB$3&amp;K157&amp;$BD$3,"")</f>
        <v/>
      </c>
    </row>
    <row r="156" spans="1:58" ht="17.100000000000001" customHeight="1" x14ac:dyDescent="0.15">
      <c r="A156" s="14">
        <v>151</v>
      </c>
      <c r="O156" s="1">
        <v>1</v>
      </c>
      <c r="P156" s="1">
        <v>2</v>
      </c>
      <c r="Q156" s="1">
        <v>3</v>
      </c>
      <c r="R156" s="1">
        <v>4</v>
      </c>
      <c r="S156" s="1">
        <v>5</v>
      </c>
      <c r="BB156" s="59" t="str">
        <f>IFERROR($BC$3&amp;VLOOKUP(B158,'Pay Table'!$M$3:$N$18,2,FALSE)&amp;$BB$3&amp;C158&amp;$BD$3,"")</f>
        <v/>
      </c>
      <c r="BC156" s="49" t="str">
        <f>IFERROR($BC$3&amp;VLOOKUP(D158,'Pay Table'!$M$3:$N$18,2,FALSE)&amp;$BB$3&amp;E158&amp;$BD$3,"")</f>
        <v/>
      </c>
      <c r="BD156" s="49" t="str">
        <f>IFERROR($BC$3&amp;VLOOKUP(F158,'Pay Table'!$M$3:$N$18,2,FALSE)&amp;$BB$3&amp;G158&amp;$BD$3,"")</f>
        <v/>
      </c>
      <c r="BE156" s="49" t="str">
        <f>IFERROR($BC$3&amp;VLOOKUP(H158,'Pay Table'!$M$3:$N$18,2,FALSE)&amp;$BB$3&amp;I158&amp;$BD$3,"")</f>
        <v/>
      </c>
      <c r="BF156" s="60" t="str">
        <f>IFERROR($BC$3&amp;VLOOKUP(J158,'Pay Table'!$M$3:$N$18,2,FALSE)&amp;$BB$3&amp;K158&amp;$BD$3,"")</f>
        <v/>
      </c>
    </row>
    <row r="157" spans="1:58" ht="17.100000000000001" customHeight="1" x14ac:dyDescent="0.15">
      <c r="A157" s="14">
        <v>152</v>
      </c>
      <c r="N157" s="6" t="s">
        <v>280</v>
      </c>
      <c r="O157" s="18">
        <f>P151*P148</f>
        <v>1.051371969359327E-4</v>
      </c>
      <c r="P157" s="18">
        <f>SUM(Q151:Q152)*Q148</f>
        <v>7.6206212245435339E-4</v>
      </c>
      <c r="Q157" s="18">
        <f>SUM(R151:R155)*R148</f>
        <v>1.2479716322626336E-3</v>
      </c>
      <c r="R157" s="18">
        <f>SUM(S151:S155)*S148</f>
        <v>8.2874887387081146E-4</v>
      </c>
      <c r="S157" s="36">
        <f>SUM(T151:T155)*T148</f>
        <v>7.3427902182850245E-4</v>
      </c>
      <c r="T157" s="1">
        <f>SUM(O157:S157)</f>
        <v>3.6781988473522337E-3</v>
      </c>
      <c r="BB157" s="59" t="str">
        <f>IFERROR($BC$3&amp;VLOOKUP(B159,'Pay Table'!$M$3:$N$18,2,FALSE)&amp;$BB$3&amp;C159&amp;$BD$3,"")</f>
        <v/>
      </c>
      <c r="BC157" s="49" t="str">
        <f>IFERROR($BC$3&amp;VLOOKUP(D159,'Pay Table'!$M$3:$N$18,2,FALSE)&amp;$BB$3&amp;E159&amp;$BD$3,"")</f>
        <v/>
      </c>
      <c r="BD157" s="49" t="str">
        <f>IFERROR($BC$3&amp;VLOOKUP(F159,'Pay Table'!$M$3:$N$18,2,FALSE)&amp;$BB$3&amp;G159&amp;$BD$3,"")</f>
        <v/>
      </c>
      <c r="BE157" s="49" t="str">
        <f>IFERROR($BC$3&amp;VLOOKUP(H159,'Pay Table'!$M$3:$N$18,2,FALSE)&amp;$BB$3&amp;I159&amp;$BD$3,"")</f>
        <v/>
      </c>
      <c r="BF157" s="60" t="str">
        <f>IFERROR($BC$3&amp;VLOOKUP(J159,'Pay Table'!$M$3:$N$18,2,FALSE)&amp;$BB$3&amp;K159&amp;$BD$3,"")</f>
        <v/>
      </c>
    </row>
    <row r="158" spans="1:58" ht="17.100000000000001" customHeight="1" x14ac:dyDescent="0.15">
      <c r="A158" s="14">
        <v>153</v>
      </c>
      <c r="O158" s="23">
        <f t="shared" ref="O158:R158" si="93">O157/$T$157</f>
        <v>2.858388067072995E-2</v>
      </c>
      <c r="P158" s="23">
        <f t="shared" si="93"/>
        <v>0.20718350314391701</v>
      </c>
      <c r="Q158" s="23">
        <f t="shared" si="93"/>
        <v>0.33928878890302272</v>
      </c>
      <c r="R158" s="23">
        <f t="shared" si="93"/>
        <v>0.22531377673270431</v>
      </c>
      <c r="S158" s="23">
        <f>S157/$T$157</f>
        <v>0.19963005054962599</v>
      </c>
      <c r="T158" s="1">
        <f>1/T157</f>
        <v>271.87219655616337</v>
      </c>
      <c r="BB158" s="59" t="str">
        <f>IFERROR($BC$3&amp;VLOOKUP(B160,'Pay Table'!$M$3:$N$18,2,FALSE)&amp;$BB$3&amp;C160&amp;$BD$3,"")</f>
        <v/>
      </c>
      <c r="BC158" s="49" t="str">
        <f>IFERROR($BC$3&amp;VLOOKUP(D160,'Pay Table'!$M$3:$N$18,2,FALSE)&amp;$BB$3&amp;E160&amp;$BD$3,"")</f>
        <v/>
      </c>
      <c r="BD158" s="49" t="str">
        <f>IFERROR($BC$3&amp;VLOOKUP(F160,'Pay Table'!$M$3:$N$18,2,FALSE)&amp;$BB$3&amp;G160&amp;$BD$3,"")</f>
        <v/>
      </c>
      <c r="BE158" s="49" t="str">
        <f>IFERROR($BC$3&amp;VLOOKUP(H160,'Pay Table'!$M$3:$N$18,2,FALSE)&amp;$BB$3&amp;I160&amp;$BD$3,"")</f>
        <v/>
      </c>
      <c r="BF158" s="60" t="str">
        <f>IFERROR($BC$3&amp;VLOOKUP(J160,'Pay Table'!$M$3:$N$18,2,FALSE)&amp;$BB$3&amp;K160&amp;$BD$3,"")</f>
        <v/>
      </c>
    </row>
    <row r="159" spans="1:58" ht="17.100000000000001" customHeight="1" x14ac:dyDescent="0.15">
      <c r="A159" s="14">
        <v>154</v>
      </c>
      <c r="N159" s="1" t="s">
        <v>38</v>
      </c>
      <c r="O159" s="9">
        <f>SUM(O106:W115)/'Pay Table'!B2+S134</f>
        <v>0.31446141703140634</v>
      </c>
      <c r="P159" s="9"/>
      <c r="BB159" s="59" t="str">
        <f>IFERROR($BC$3&amp;VLOOKUP(B161,'Pay Table'!$M$3:$N$18,2,FALSE)&amp;$BB$3&amp;C161&amp;$BD$3,"")</f>
        <v/>
      </c>
      <c r="BC159" s="49" t="str">
        <f>IFERROR($BC$3&amp;VLOOKUP(D161,'Pay Table'!$M$3:$N$18,2,FALSE)&amp;$BB$3&amp;E161&amp;$BD$3,"")</f>
        <v/>
      </c>
      <c r="BD159" s="49" t="str">
        <f>IFERROR($BC$3&amp;VLOOKUP(F161,'Pay Table'!$M$3:$N$18,2,FALSE)&amp;$BB$3&amp;G161&amp;$BD$3,"")</f>
        <v/>
      </c>
      <c r="BE159" s="49" t="str">
        <f>IFERROR($BC$3&amp;VLOOKUP(H161,'Pay Table'!$M$3:$N$18,2,FALSE)&amp;$BB$3&amp;I161&amp;$BD$3,"")</f>
        <v/>
      </c>
      <c r="BF159" s="60" t="str">
        <f>IFERROR($BC$3&amp;VLOOKUP(J161,'Pay Table'!$M$3:$N$18,2,FALSE)&amp;$BB$3&amp;K161&amp;$BD$3,"")</f>
        <v/>
      </c>
    </row>
    <row r="160" spans="1:58" ht="17.100000000000001" customHeight="1" x14ac:dyDescent="0.15">
      <c r="A160" s="14">
        <v>155</v>
      </c>
      <c r="N160" s="1" t="s">
        <v>242</v>
      </c>
      <c r="O160" s="1">
        <v>0.31346590000000002</v>
      </c>
      <c r="Q160"/>
      <c r="R160"/>
      <c r="S160"/>
      <c r="T160">
        <f>T158*5</f>
        <v>1359.3609827808168</v>
      </c>
      <c r="U160"/>
      <c r="BB160" s="59" t="str">
        <f>IFERROR($BC$3&amp;VLOOKUP(B162,'Pay Table'!$M$3:$N$18,2,FALSE)&amp;$BB$3&amp;C162&amp;$BD$3,"")</f>
        <v/>
      </c>
      <c r="BC160" s="49" t="str">
        <f>IFERROR($BC$3&amp;VLOOKUP(D162,'Pay Table'!$M$3:$N$18,2,FALSE)&amp;$BB$3&amp;E162&amp;$BD$3,"")</f>
        <v/>
      </c>
      <c r="BD160" s="49" t="str">
        <f>IFERROR($BC$3&amp;VLOOKUP(F162,'Pay Table'!$M$3:$N$18,2,FALSE)&amp;$BB$3&amp;G162&amp;$BD$3,"")</f>
        <v/>
      </c>
      <c r="BE160" s="49" t="str">
        <f>IFERROR($BC$3&amp;VLOOKUP(H162,'Pay Table'!$M$3:$N$18,2,FALSE)&amp;$BB$3&amp;I162&amp;$BD$3,"")</f>
        <v/>
      </c>
      <c r="BF160" s="60" t="str">
        <f>IFERROR($BC$3&amp;VLOOKUP(J162,'Pay Table'!$M$3:$N$18,2,FALSE)&amp;$BB$3&amp;K162&amp;$BD$3,"")</f>
        <v/>
      </c>
    </row>
    <row r="161" spans="1:58" ht="17.100000000000001" customHeight="1" x14ac:dyDescent="0.15">
      <c r="A161" s="14">
        <v>156</v>
      </c>
      <c r="N161" s="1" t="s">
        <v>243</v>
      </c>
      <c r="O161" s="9">
        <f>O159</f>
        <v>0.31446141703140634</v>
      </c>
      <c r="BB161" s="59" t="str">
        <f>IFERROR($BC$3&amp;VLOOKUP(B163,'Pay Table'!$M$3:$N$18,2,FALSE)&amp;$BB$3&amp;C163&amp;$BD$3,"")</f>
        <v/>
      </c>
      <c r="BC161" s="49" t="str">
        <f>IFERROR($BC$3&amp;VLOOKUP(D163,'Pay Table'!$M$3:$N$18,2,FALSE)&amp;$BB$3&amp;E163&amp;$BD$3,"")</f>
        <v/>
      </c>
      <c r="BD161" s="49" t="str">
        <f>IFERROR($BC$3&amp;VLOOKUP(F163,'Pay Table'!$M$3:$N$18,2,FALSE)&amp;$BB$3&amp;G163&amp;$BD$3,"")</f>
        <v/>
      </c>
      <c r="BE161" s="49" t="str">
        <f>IFERROR($BC$3&amp;VLOOKUP(H163,'Pay Table'!$M$3:$N$18,2,FALSE)&amp;$BB$3&amp;I163&amp;$BD$3,"")</f>
        <v/>
      </c>
      <c r="BF161" s="60" t="str">
        <f>IFERROR($BC$3&amp;VLOOKUP(J163,'Pay Table'!$M$3:$N$18,2,FALSE)&amp;$BB$3&amp;K163&amp;$BD$3,"")</f>
        <v/>
      </c>
    </row>
    <row r="162" spans="1:58" ht="17.100000000000001" customHeight="1" x14ac:dyDescent="0.15">
      <c r="A162" s="14">
        <v>157</v>
      </c>
      <c r="N162" s="1" t="s">
        <v>349</v>
      </c>
      <c r="O162" s="1">
        <f>SUM(O134:R134)</f>
        <v>1.4472767031406342E-2</v>
      </c>
      <c r="BB162" s="59" t="str">
        <f>IFERROR($BC$3&amp;VLOOKUP(B164,'Pay Table'!$M$3:$N$18,2,FALSE)&amp;$BB$3&amp;C164&amp;$BD$3,"")</f>
        <v/>
      </c>
      <c r="BC162" s="49" t="str">
        <f>IFERROR($BC$3&amp;VLOOKUP(D164,'Pay Table'!$M$3:$N$18,2,FALSE)&amp;$BB$3&amp;E164&amp;$BD$3,"")</f>
        <v/>
      </c>
      <c r="BD162" s="49" t="str">
        <f>IFERROR($BC$3&amp;VLOOKUP(F164,'Pay Table'!$M$3:$N$18,2,FALSE)&amp;$BB$3&amp;G164&amp;$BD$3,"")</f>
        <v/>
      </c>
      <c r="BE162" s="49" t="str">
        <f>IFERROR($BC$3&amp;VLOOKUP(H164,'Pay Table'!$M$3:$N$18,2,FALSE)&amp;$BB$3&amp;I164&amp;$BD$3,"")</f>
        <v/>
      </c>
      <c r="BF162" s="60" t="str">
        <f>IFERROR($BC$3&amp;VLOOKUP(J164,'Pay Table'!$M$3:$N$18,2,FALSE)&amp;$BB$3&amp;K164&amp;$BD$3,"")</f>
        <v/>
      </c>
    </row>
    <row r="163" spans="1:58" ht="17.100000000000001" customHeight="1" x14ac:dyDescent="0.15">
      <c r="A163" s="14">
        <v>158</v>
      </c>
      <c r="N163" s="1" t="s">
        <v>39</v>
      </c>
      <c r="O163" s="1">
        <f>SUM(Q127:S127)</f>
        <v>6.3153892500682225E-3</v>
      </c>
      <c r="BB163" s="59" t="str">
        <f>IFERROR($BC$3&amp;VLOOKUP(B165,'Pay Table'!$M$3:$N$18,2,FALSE)&amp;$BB$3&amp;C165&amp;$BD$3,"")</f>
        <v/>
      </c>
      <c r="BC163" s="49" t="str">
        <f>IFERROR($BC$3&amp;VLOOKUP(D165,'Pay Table'!$M$3:$N$18,2,FALSE)&amp;$BB$3&amp;E165&amp;$BD$3,"")</f>
        <v/>
      </c>
      <c r="BD163" s="49" t="str">
        <f>IFERROR($BC$3&amp;VLOOKUP(F165,'Pay Table'!$M$3:$N$18,2,FALSE)&amp;$BB$3&amp;G165&amp;$BD$3,"")</f>
        <v/>
      </c>
      <c r="BE163" s="49" t="str">
        <f>IFERROR($BC$3&amp;VLOOKUP(H165,'Pay Table'!$M$3:$N$18,2,FALSE)&amp;$BB$3&amp;I165&amp;$BD$3,"")</f>
        <v/>
      </c>
      <c r="BF163" s="60" t="str">
        <f>IFERROR($BC$3&amp;VLOOKUP(J165,'Pay Table'!$M$3:$N$18,2,FALSE)&amp;$BB$3&amp;K165&amp;$BD$3,"")</f>
        <v/>
      </c>
    </row>
    <row r="164" spans="1:58" ht="17.100000000000001" customHeight="1" x14ac:dyDescent="0.15">
      <c r="A164" s="14">
        <v>159</v>
      </c>
      <c r="N164" s="1" t="s">
        <v>40</v>
      </c>
      <c r="O164" s="1">
        <f>1/O163</f>
        <v>158.34336735288286</v>
      </c>
      <c r="BB164" s="59" t="str">
        <f>IFERROR($BC$3&amp;VLOOKUP(B166,'Pay Table'!$M$3:$N$18,2,FALSE)&amp;$BB$3&amp;C166&amp;$BD$3,"")</f>
        <v/>
      </c>
      <c r="BC164" s="49" t="str">
        <f>IFERROR($BC$3&amp;VLOOKUP(D166,'Pay Table'!$M$3:$N$18,2,FALSE)&amp;$BB$3&amp;E166&amp;$BD$3,"")</f>
        <v/>
      </c>
      <c r="BD164" s="49" t="str">
        <f>IFERROR($BC$3&amp;VLOOKUP(F166,'Pay Table'!$M$3:$N$18,2,FALSE)&amp;$BB$3&amp;G166&amp;$BD$3,"")</f>
        <v/>
      </c>
      <c r="BE164" s="49" t="str">
        <f>IFERROR($BC$3&amp;VLOOKUP(H166,'Pay Table'!$M$3:$N$18,2,FALSE)&amp;$BB$3&amp;I166&amp;$BD$3,"")</f>
        <v/>
      </c>
      <c r="BF164" s="60" t="str">
        <f>IFERROR($BC$3&amp;VLOOKUP(J166,'Pay Table'!$M$3:$N$18,2,FALSE)&amp;$BB$3&amp;K166&amp;$BD$3,"")</f>
        <v/>
      </c>
    </row>
    <row r="165" spans="1:58" ht="17.100000000000001" customHeight="1" x14ac:dyDescent="0.15">
      <c r="A165" s="14">
        <v>160</v>
      </c>
      <c r="BB165" s="59" t="str">
        <f>IFERROR($BC$3&amp;VLOOKUP(B167,'Pay Table'!$M$3:$N$18,2,FALSE)&amp;$BB$3&amp;C167&amp;$BD$3,"")</f>
        <v/>
      </c>
      <c r="BC165" s="49" t="str">
        <f>IFERROR($BC$3&amp;VLOOKUP(D167,'Pay Table'!$M$3:$N$18,2,FALSE)&amp;$BB$3&amp;E167&amp;$BD$3,"")</f>
        <v/>
      </c>
      <c r="BD165" s="49" t="str">
        <f>IFERROR($BC$3&amp;VLOOKUP(F167,'Pay Table'!$M$3:$N$18,2,FALSE)&amp;$BB$3&amp;G167&amp;$BD$3,"")</f>
        <v/>
      </c>
      <c r="BE165" s="49" t="str">
        <f>IFERROR($BC$3&amp;VLOOKUP(H167,'Pay Table'!$M$3:$N$18,2,FALSE)&amp;$BB$3&amp;I167&amp;$BD$3,"")</f>
        <v/>
      </c>
      <c r="BF165" s="60" t="str">
        <f>IFERROR($BC$3&amp;VLOOKUP(J167,'Pay Table'!$M$3:$N$18,2,FALSE)&amp;$BB$3&amp;K167&amp;$BD$3,"")</f>
        <v/>
      </c>
    </row>
    <row r="166" spans="1:58" ht="17.100000000000001" customHeight="1" x14ac:dyDescent="0.25">
      <c r="A166" s="14">
        <v>161</v>
      </c>
      <c r="K166" s="39"/>
      <c r="N166" s="1" t="s">
        <v>71</v>
      </c>
      <c r="O166" s="1">
        <f>SUM(U146:AD146)+T147+S147+R147+T157</f>
        <v>9.1480722578422616E-3</v>
      </c>
      <c r="P166" s="110">
        <f>T157/O166</f>
        <v>0.40207365482919821</v>
      </c>
      <c r="BB166" s="59" t="str">
        <f>IFERROR($BC$3&amp;VLOOKUP(B168,'Pay Table'!$M$3:$N$18,2,FALSE)&amp;$BB$3&amp;C168&amp;$BD$3,"")</f>
        <v/>
      </c>
      <c r="BC166" s="49" t="str">
        <f>IFERROR($BC$3&amp;VLOOKUP(D168,'Pay Table'!$M$3:$N$18,2,FALSE)&amp;$BB$3&amp;E168&amp;$BD$3,"")</f>
        <v/>
      </c>
      <c r="BD166" s="49" t="str">
        <f>IFERROR($BC$3&amp;VLOOKUP(F168,'Pay Table'!$M$3:$N$18,2,FALSE)&amp;$BB$3&amp;G168&amp;$BD$3,"")</f>
        <v/>
      </c>
      <c r="BE166" s="49" t="str">
        <f>IFERROR($BC$3&amp;VLOOKUP(H168,'Pay Table'!$M$3:$N$18,2,FALSE)&amp;$BB$3&amp;I168&amp;$BD$3,"")</f>
        <v/>
      </c>
      <c r="BF166" s="60" t="str">
        <f>IFERROR($BC$3&amp;VLOOKUP(J168,'Pay Table'!$M$3:$N$18,2,FALSE)&amp;$BB$3&amp;K168&amp;$BD$3,"")</f>
        <v/>
      </c>
    </row>
    <row r="167" spans="1:58" ht="17.100000000000001" customHeight="1" x14ac:dyDescent="0.25">
      <c r="A167" s="14">
        <v>162</v>
      </c>
      <c r="K167" s="39"/>
      <c r="N167" s="1" t="s">
        <v>72</v>
      </c>
      <c r="O167" s="1">
        <f>1/O166</f>
        <v>109.31264771577877</v>
      </c>
      <c r="P167" s="110">
        <f>1-P166</f>
        <v>0.59792634517080179</v>
      </c>
      <c r="BB167" s="59" t="str">
        <f>IFERROR($BC$3&amp;VLOOKUP(B169,'Pay Table'!$M$3:$N$18,2,FALSE)&amp;$BB$3&amp;C169&amp;$BD$3,"")</f>
        <v/>
      </c>
      <c r="BC167" s="49" t="str">
        <f>IFERROR($BC$3&amp;VLOOKUP(D169,'Pay Table'!$M$3:$N$18,2,FALSE)&amp;$BB$3&amp;E169&amp;$BD$3,"")</f>
        <v/>
      </c>
      <c r="BD167" s="49" t="str">
        <f>IFERROR($BC$3&amp;VLOOKUP(F169,'Pay Table'!$M$3:$N$18,2,FALSE)&amp;$BB$3&amp;G169&amp;$BD$3,"")</f>
        <v/>
      </c>
      <c r="BE167" s="49" t="str">
        <f>IFERROR($BC$3&amp;VLOOKUP(H169,'Pay Table'!$M$3:$N$18,2,FALSE)&amp;$BB$3&amp;I169&amp;$BD$3,"")</f>
        <v/>
      </c>
      <c r="BF167" s="60" t="str">
        <f>IFERROR($BC$3&amp;VLOOKUP(J169,'Pay Table'!$M$3:$N$18,2,FALSE)&amp;$BB$3&amp;K169&amp;$BD$3,"")</f>
        <v/>
      </c>
    </row>
    <row r="168" spans="1:58" ht="17.100000000000001" customHeight="1" x14ac:dyDescent="0.25">
      <c r="A168" s="14">
        <v>163</v>
      </c>
      <c r="K168" s="39"/>
      <c r="BB168" s="59" t="str">
        <f>IFERROR($BC$3&amp;VLOOKUP(B170,'Pay Table'!$M$3:$N$18,2,FALSE)&amp;$BB$3&amp;C170&amp;$BD$3,"")</f>
        <v/>
      </c>
      <c r="BC168" s="49" t="str">
        <f>IFERROR($BC$3&amp;VLOOKUP(D170,'Pay Table'!$M$3:$N$18,2,FALSE)&amp;$BB$3&amp;E170&amp;$BD$3,"")</f>
        <v/>
      </c>
      <c r="BD168" s="49" t="str">
        <f>IFERROR($BC$3&amp;VLOOKUP(F170,'Pay Table'!$M$3:$N$18,2,FALSE)&amp;$BB$3&amp;G170&amp;$BD$3,"")</f>
        <v/>
      </c>
      <c r="BE168" s="49" t="str">
        <f>IFERROR($BC$3&amp;VLOOKUP(H170,'Pay Table'!$M$3:$N$18,2,FALSE)&amp;$BB$3&amp;I170&amp;$BD$3,"")</f>
        <v/>
      </c>
      <c r="BF168" s="60" t="str">
        <f>IFERROR($BC$3&amp;VLOOKUP(J170,'Pay Table'!$M$3:$N$18,2,FALSE)&amp;$BB$3&amp;K170&amp;$BD$3,"")</f>
        <v/>
      </c>
    </row>
    <row r="169" spans="1:58" ht="17.100000000000001" customHeight="1" x14ac:dyDescent="0.25">
      <c r="A169" s="14">
        <v>164</v>
      </c>
      <c r="K169" s="39"/>
      <c r="BB169" s="59" t="str">
        <f>IFERROR($BC$3&amp;VLOOKUP(B171,'Pay Table'!$M$3:$N$18,2,FALSE)&amp;$BB$3&amp;C171&amp;$BD$3,"")</f>
        <v/>
      </c>
      <c r="BC169" s="49" t="str">
        <f>IFERROR($BC$3&amp;VLOOKUP(D171,'Pay Table'!$M$3:$N$18,2,FALSE)&amp;$BB$3&amp;E171&amp;$BD$3,"")</f>
        <v/>
      </c>
      <c r="BD169" s="49" t="str">
        <f>IFERROR($BC$3&amp;VLOOKUP(F171,'Pay Table'!$M$3:$N$18,2,FALSE)&amp;$BB$3&amp;G171&amp;$BD$3,"")</f>
        <v/>
      </c>
      <c r="BE169" s="49" t="str">
        <f>IFERROR($BC$3&amp;VLOOKUP(H171,'Pay Table'!$M$3:$N$18,2,FALSE)&amp;$BB$3&amp;I171&amp;$BD$3,"")</f>
        <v/>
      </c>
      <c r="BF169" s="60" t="str">
        <f>IFERROR($BC$3&amp;VLOOKUP(J171,'Pay Table'!$M$3:$N$18,2,FALSE)&amp;$BB$3&amp;K171&amp;$BD$3,"")</f>
        <v/>
      </c>
    </row>
    <row r="170" spans="1:58" ht="17.100000000000001" customHeight="1" x14ac:dyDescent="0.25">
      <c r="A170" s="14">
        <v>165</v>
      </c>
      <c r="K170" s="39"/>
      <c r="BB170" s="59" t="str">
        <f>IFERROR($BC$3&amp;VLOOKUP(B172,'Pay Table'!$M$3:$N$18,2,FALSE)&amp;$BB$3&amp;C172&amp;$BD$3,"")</f>
        <v/>
      </c>
      <c r="BC170" s="49" t="str">
        <f>IFERROR($BC$3&amp;VLOOKUP(D172,'Pay Table'!$M$3:$N$18,2,FALSE)&amp;$BB$3&amp;E172&amp;$BD$3,"")</f>
        <v/>
      </c>
      <c r="BD170" s="49" t="str">
        <f>IFERROR($BC$3&amp;VLOOKUP(F172,'Pay Table'!$M$3:$N$18,2,FALSE)&amp;$BB$3&amp;G172&amp;$BD$3,"")</f>
        <v/>
      </c>
      <c r="BE170" s="49" t="str">
        <f>IFERROR($BC$3&amp;VLOOKUP(H172,'Pay Table'!$M$3:$N$18,2,FALSE)&amp;$BB$3&amp;I172&amp;$BD$3,"")</f>
        <v/>
      </c>
      <c r="BF170" s="60" t="str">
        <f>IFERROR($BC$3&amp;VLOOKUP(J172,'Pay Table'!$M$3:$N$18,2,FALSE)&amp;$BB$3&amp;K172&amp;$BD$3,"")</f>
        <v/>
      </c>
    </row>
    <row r="171" spans="1:58" ht="17.100000000000001" customHeight="1" x14ac:dyDescent="0.15">
      <c r="A171" s="14">
        <v>166</v>
      </c>
      <c r="BB171" s="59" t="str">
        <f>IFERROR($BC$3&amp;VLOOKUP(B173,'Pay Table'!$M$3:$N$18,2,FALSE)&amp;$BB$3&amp;C173&amp;$BD$3,"")</f>
        <v/>
      </c>
      <c r="BC171" s="49" t="str">
        <f>IFERROR($BC$3&amp;VLOOKUP(D173,'Pay Table'!$M$3:$N$18,2,FALSE)&amp;$BB$3&amp;E173&amp;$BD$3,"")</f>
        <v/>
      </c>
      <c r="BD171" s="49" t="str">
        <f>IFERROR($BC$3&amp;VLOOKUP(F173,'Pay Table'!$M$3:$N$18,2,FALSE)&amp;$BB$3&amp;G173&amp;$BD$3,"")</f>
        <v/>
      </c>
      <c r="BE171" s="49" t="str">
        <f>IFERROR($BC$3&amp;VLOOKUP(H173,'Pay Table'!$M$3:$N$18,2,FALSE)&amp;$BB$3&amp;I173&amp;$BD$3,"")</f>
        <v/>
      </c>
      <c r="BF171" s="60" t="str">
        <f>IFERROR($BC$3&amp;VLOOKUP(J173,'Pay Table'!$M$3:$N$18,2,FALSE)&amp;$BB$3&amp;K173&amp;$BD$3,"")</f>
        <v/>
      </c>
    </row>
    <row r="172" spans="1:58" ht="17.100000000000001" customHeight="1" x14ac:dyDescent="0.15">
      <c r="A172" s="14">
        <v>167</v>
      </c>
      <c r="BB172" s="59" t="str">
        <f>IFERROR($BC$3&amp;VLOOKUP(B174,'Pay Table'!$M$3:$N$18,2,FALSE)&amp;$BB$3&amp;C174&amp;$BD$3,"")</f>
        <v/>
      </c>
      <c r="BC172" s="49" t="str">
        <f>IFERROR($BC$3&amp;VLOOKUP(D174,'Pay Table'!$M$3:$N$18,2,FALSE)&amp;$BB$3&amp;E174&amp;$BD$3,"")</f>
        <v/>
      </c>
      <c r="BD172" s="49" t="str">
        <f>IFERROR($BC$3&amp;VLOOKUP(F174,'Pay Table'!$M$3:$N$18,2,FALSE)&amp;$BB$3&amp;G174&amp;$BD$3,"")</f>
        <v/>
      </c>
      <c r="BE172" s="49" t="str">
        <f>IFERROR($BC$3&amp;VLOOKUP(H174,'Pay Table'!$M$3:$N$18,2,FALSE)&amp;$BB$3&amp;I174&amp;$BD$3,"")</f>
        <v/>
      </c>
      <c r="BF172" s="60" t="str">
        <f>IFERROR($BC$3&amp;VLOOKUP(J174,'Pay Table'!$M$3:$N$18,2,FALSE)&amp;$BB$3&amp;K174&amp;$BD$3,"")</f>
        <v/>
      </c>
    </row>
    <row r="173" spans="1:58" ht="17.100000000000001" customHeight="1" x14ac:dyDescent="0.15">
      <c r="A173" s="14">
        <v>168</v>
      </c>
      <c r="BB173" s="59" t="str">
        <f>IFERROR($BC$3&amp;VLOOKUP(B175,'Pay Table'!$M$3:$N$18,2,FALSE)&amp;$BB$3&amp;C175&amp;$BD$3,"")</f>
        <v/>
      </c>
      <c r="BC173" s="49" t="str">
        <f>IFERROR($BC$3&amp;VLOOKUP(D175,'Pay Table'!$M$3:$N$18,2,FALSE)&amp;$BB$3&amp;E175&amp;$BD$3,"")</f>
        <v/>
      </c>
      <c r="BD173" s="49" t="str">
        <f>IFERROR($BC$3&amp;VLOOKUP(F175,'Pay Table'!$M$3:$N$18,2,FALSE)&amp;$BB$3&amp;G175&amp;$BD$3,"")</f>
        <v/>
      </c>
      <c r="BE173" s="49" t="str">
        <f>IFERROR($BC$3&amp;VLOOKUP(H175,'Pay Table'!$M$3:$N$18,2,FALSE)&amp;$BB$3&amp;I175&amp;$BD$3,"")</f>
        <v/>
      </c>
      <c r="BF173" s="60" t="str">
        <f>IFERROR($BC$3&amp;VLOOKUP(J175,'Pay Table'!$M$3:$N$18,2,FALSE)&amp;$BB$3&amp;K175&amp;$BD$3,"")</f>
        <v/>
      </c>
    </row>
    <row r="174" spans="1:58" ht="17.100000000000001" customHeight="1" x14ac:dyDescent="0.15">
      <c r="A174" s="14">
        <v>169</v>
      </c>
      <c r="BB174" s="59" t="str">
        <f>IFERROR($BC$3&amp;VLOOKUP(B176,'Pay Table'!$M$3:$N$18,2,FALSE)&amp;$BB$3&amp;C176&amp;$BD$3,"")</f>
        <v/>
      </c>
      <c r="BC174" s="49" t="str">
        <f>IFERROR($BC$3&amp;VLOOKUP(D176,'Pay Table'!$M$3:$N$18,2,FALSE)&amp;$BB$3&amp;E176&amp;$BD$3,"")</f>
        <v/>
      </c>
      <c r="BD174" s="49" t="str">
        <f>IFERROR($BC$3&amp;VLOOKUP(F176,'Pay Table'!$M$3:$N$18,2,FALSE)&amp;$BB$3&amp;G176&amp;$BD$3,"")</f>
        <v/>
      </c>
      <c r="BE174" s="49" t="str">
        <f>IFERROR($BC$3&amp;VLOOKUP(H176,'Pay Table'!$M$3:$N$18,2,FALSE)&amp;$BB$3&amp;I176&amp;$BD$3,"")</f>
        <v/>
      </c>
      <c r="BF174" s="60" t="str">
        <f>IFERROR($BC$3&amp;VLOOKUP(J176,'Pay Table'!$M$3:$N$18,2,FALSE)&amp;$BB$3&amp;K176&amp;$BD$3,"")</f>
        <v/>
      </c>
    </row>
    <row r="175" spans="1:58" ht="17.100000000000001" customHeight="1" x14ac:dyDescent="0.15">
      <c r="A175" s="14">
        <v>170</v>
      </c>
      <c r="BB175" s="59" t="str">
        <f>IFERROR($BC$3&amp;VLOOKUP(B177,'Pay Table'!$M$3:$N$18,2,FALSE)&amp;$BB$3&amp;C177&amp;$BD$3,"")</f>
        <v/>
      </c>
      <c r="BC175" s="49" t="str">
        <f>IFERROR($BC$3&amp;VLOOKUP(D177,'Pay Table'!$M$3:$N$18,2,FALSE)&amp;$BB$3&amp;E177&amp;$BD$3,"")</f>
        <v/>
      </c>
      <c r="BD175" s="49" t="str">
        <f>IFERROR($BC$3&amp;VLOOKUP(F177,'Pay Table'!$M$3:$N$18,2,FALSE)&amp;$BB$3&amp;G177&amp;$BD$3,"")</f>
        <v/>
      </c>
      <c r="BE175" s="49" t="str">
        <f>IFERROR($BC$3&amp;VLOOKUP(H177,'Pay Table'!$M$3:$N$18,2,FALSE)&amp;$BB$3&amp;I177&amp;$BD$3,"")</f>
        <v/>
      </c>
      <c r="BF175" s="60" t="str">
        <f>IFERROR($BC$3&amp;VLOOKUP(J177,'Pay Table'!$M$3:$N$18,2,FALSE)&amp;$BB$3&amp;K177&amp;$BD$3,"")</f>
        <v/>
      </c>
    </row>
    <row r="176" spans="1:58" ht="17.100000000000001" customHeight="1" x14ac:dyDescent="0.15">
      <c r="A176" s="14">
        <v>171</v>
      </c>
      <c r="BB176" s="59" t="str">
        <f>IFERROR($BC$3&amp;VLOOKUP(B178,'Pay Table'!$M$3:$N$18,2,FALSE)&amp;$BB$3&amp;C178&amp;$BD$3,"")</f>
        <v/>
      </c>
      <c r="BC176" s="49" t="str">
        <f>IFERROR($BC$3&amp;VLOOKUP(D178,'Pay Table'!$M$3:$N$18,2,FALSE)&amp;$BB$3&amp;E178&amp;$BD$3,"")</f>
        <v/>
      </c>
      <c r="BD176" s="49" t="str">
        <f>IFERROR($BC$3&amp;VLOOKUP(F178,'Pay Table'!$M$3:$N$18,2,FALSE)&amp;$BB$3&amp;G178&amp;$BD$3,"")</f>
        <v/>
      </c>
      <c r="BE176" s="49" t="str">
        <f>IFERROR($BC$3&amp;VLOOKUP(H178,'Pay Table'!$M$3:$N$18,2,FALSE)&amp;$BB$3&amp;I178&amp;$BD$3,"")</f>
        <v/>
      </c>
      <c r="BF176" s="60" t="str">
        <f>IFERROR($BC$3&amp;VLOOKUP(J178,'Pay Table'!$M$3:$N$18,2,FALSE)&amp;$BB$3&amp;K178&amp;$BD$3,"")</f>
        <v/>
      </c>
    </row>
    <row r="177" spans="1:58" ht="17.100000000000001" customHeight="1" x14ac:dyDescent="0.15">
      <c r="A177" s="14">
        <v>172</v>
      </c>
      <c r="BB177" s="59" t="str">
        <f>IFERROR($BC$3&amp;VLOOKUP(B179,'Pay Table'!$M$3:$N$18,2,FALSE)&amp;$BB$3&amp;C179&amp;$BD$3,"")</f>
        <v/>
      </c>
      <c r="BC177" s="49" t="str">
        <f>IFERROR($BC$3&amp;VLOOKUP(D179,'Pay Table'!$M$3:$N$18,2,FALSE)&amp;$BB$3&amp;E179&amp;$BD$3,"")</f>
        <v/>
      </c>
      <c r="BD177" s="49" t="str">
        <f>IFERROR($BC$3&amp;VLOOKUP(F179,'Pay Table'!$M$3:$N$18,2,FALSE)&amp;$BB$3&amp;G179&amp;$BD$3,"")</f>
        <v/>
      </c>
      <c r="BE177" s="49" t="str">
        <f>IFERROR($BC$3&amp;VLOOKUP(H179,'Pay Table'!$M$3:$N$18,2,FALSE)&amp;$BB$3&amp;I179&amp;$BD$3,"")</f>
        <v/>
      </c>
      <c r="BF177" s="60" t="str">
        <f>IFERROR($BC$3&amp;VLOOKUP(J179,'Pay Table'!$M$3:$N$18,2,FALSE)&amp;$BB$3&amp;K179&amp;$BD$3,"")</f>
        <v/>
      </c>
    </row>
    <row r="178" spans="1:58" ht="17.100000000000001" customHeight="1" x14ac:dyDescent="0.15">
      <c r="A178" s="14">
        <v>173</v>
      </c>
      <c r="BB178" s="59" t="str">
        <f>IFERROR($BC$3&amp;VLOOKUP(B180,'Pay Table'!$M$3:$N$18,2,FALSE)&amp;$BB$3&amp;C180&amp;$BD$3,"")</f>
        <v/>
      </c>
      <c r="BC178" s="49" t="str">
        <f>IFERROR($BC$3&amp;VLOOKUP(D180,'Pay Table'!$M$3:$N$18,2,FALSE)&amp;$BB$3&amp;E180&amp;$BD$3,"")</f>
        <v/>
      </c>
      <c r="BD178" s="49" t="str">
        <f>IFERROR($BC$3&amp;VLOOKUP(F180,'Pay Table'!$M$3:$N$18,2,FALSE)&amp;$BB$3&amp;G180&amp;$BD$3,"")</f>
        <v/>
      </c>
      <c r="BE178" s="49" t="str">
        <f>IFERROR($BC$3&amp;VLOOKUP(H180,'Pay Table'!$M$3:$N$18,2,FALSE)&amp;$BB$3&amp;I180&amp;$BD$3,"")</f>
        <v/>
      </c>
      <c r="BF178" s="60" t="str">
        <f>IFERROR($BC$3&amp;VLOOKUP(J180,'Pay Table'!$M$3:$N$18,2,FALSE)&amp;$BB$3&amp;K180&amp;$BD$3,"")</f>
        <v/>
      </c>
    </row>
    <row r="179" spans="1:58" ht="17.100000000000001" customHeight="1" x14ac:dyDescent="0.15">
      <c r="A179" s="14">
        <v>174</v>
      </c>
      <c r="BB179" s="59" t="str">
        <f>IFERROR($BC$3&amp;VLOOKUP(B181,'Pay Table'!$M$3:$N$18,2,FALSE)&amp;$BB$3&amp;C181&amp;$BD$3,"")</f>
        <v/>
      </c>
      <c r="BC179" s="49" t="str">
        <f>IFERROR($BC$3&amp;VLOOKUP(D181,'Pay Table'!$M$3:$N$18,2,FALSE)&amp;$BB$3&amp;E181&amp;$BD$3,"")</f>
        <v/>
      </c>
      <c r="BD179" s="49" t="str">
        <f>IFERROR($BC$3&amp;VLOOKUP(F181,'Pay Table'!$M$3:$N$18,2,FALSE)&amp;$BB$3&amp;G181&amp;$BD$3,"")</f>
        <v/>
      </c>
      <c r="BE179" s="49" t="str">
        <f>IFERROR($BC$3&amp;VLOOKUP(H181,'Pay Table'!$M$3:$N$18,2,FALSE)&amp;$BB$3&amp;I181&amp;$BD$3,"")</f>
        <v/>
      </c>
      <c r="BF179" s="60" t="str">
        <f>IFERROR($BC$3&amp;VLOOKUP(J181,'Pay Table'!$M$3:$N$18,2,FALSE)&amp;$BB$3&amp;K181&amp;$BD$3,"")</f>
        <v/>
      </c>
    </row>
    <row r="180" spans="1:58" ht="17.100000000000001" customHeight="1" x14ac:dyDescent="0.15">
      <c r="A180" s="14">
        <v>175</v>
      </c>
      <c r="BB180" s="59" t="str">
        <f>IFERROR($BC$3&amp;VLOOKUP(B182,'Pay Table'!$M$3:$N$18,2,FALSE)&amp;$BB$3&amp;C182&amp;$BD$3,"")</f>
        <v/>
      </c>
      <c r="BC180" s="49" t="str">
        <f>IFERROR($BC$3&amp;VLOOKUP(D182,'Pay Table'!$M$3:$N$18,2,FALSE)&amp;$BB$3&amp;E182&amp;$BD$3,"")</f>
        <v/>
      </c>
      <c r="BD180" s="49" t="str">
        <f>IFERROR($BC$3&amp;VLOOKUP(F182,'Pay Table'!$M$3:$N$18,2,FALSE)&amp;$BB$3&amp;G182&amp;$BD$3,"")</f>
        <v/>
      </c>
      <c r="BE180" s="49" t="str">
        <f>IFERROR($BC$3&amp;VLOOKUP(H182,'Pay Table'!$M$3:$N$18,2,FALSE)&amp;$BB$3&amp;I182&amp;$BD$3,"")</f>
        <v/>
      </c>
      <c r="BF180" s="60" t="str">
        <f>IFERROR($BC$3&amp;VLOOKUP(J182,'Pay Table'!$M$3:$N$18,2,FALSE)&amp;$BB$3&amp;K182&amp;$BD$3,"")</f>
        <v/>
      </c>
    </row>
    <row r="181" spans="1:58" ht="17.100000000000001" customHeight="1" x14ac:dyDescent="0.15">
      <c r="A181" s="14">
        <v>176</v>
      </c>
      <c r="BB181" s="59" t="str">
        <f>IFERROR($BC$3&amp;VLOOKUP(B183,'Pay Table'!$M$3:$N$18,2,FALSE)&amp;$BB$3&amp;C183&amp;$BD$3,"")</f>
        <v/>
      </c>
      <c r="BC181" s="49" t="str">
        <f>IFERROR($BC$3&amp;VLOOKUP(D183,'Pay Table'!$M$3:$N$18,2,FALSE)&amp;$BB$3&amp;E183&amp;$BD$3,"")</f>
        <v/>
      </c>
      <c r="BD181" s="49" t="str">
        <f>IFERROR($BC$3&amp;VLOOKUP(F183,'Pay Table'!$M$3:$N$18,2,FALSE)&amp;$BB$3&amp;G183&amp;$BD$3,"")</f>
        <v/>
      </c>
      <c r="BE181" s="49" t="str">
        <f>IFERROR($BC$3&amp;VLOOKUP(H183,'Pay Table'!$M$3:$N$18,2,FALSE)&amp;$BB$3&amp;I183&amp;$BD$3,"")</f>
        <v/>
      </c>
      <c r="BF181" s="60" t="str">
        <f>IFERROR($BC$3&amp;VLOOKUP(J183,'Pay Table'!$M$3:$N$18,2,FALSE)&amp;$BB$3&amp;K183&amp;$BD$3,"")</f>
        <v/>
      </c>
    </row>
    <row r="182" spans="1:58" ht="17.100000000000001" customHeight="1" x14ac:dyDescent="0.15">
      <c r="A182" s="14">
        <v>177</v>
      </c>
      <c r="BB182" s="59" t="str">
        <f>IFERROR($BC$3&amp;VLOOKUP(B184,'Pay Table'!$M$3:$N$18,2,FALSE)&amp;$BB$3&amp;C184&amp;$BD$3,"")</f>
        <v/>
      </c>
      <c r="BC182" s="49" t="str">
        <f>IFERROR($BC$3&amp;VLOOKUP(D184,'Pay Table'!$M$3:$N$18,2,FALSE)&amp;$BB$3&amp;E184&amp;$BD$3,"")</f>
        <v/>
      </c>
      <c r="BD182" s="49" t="str">
        <f>IFERROR($BC$3&amp;VLOOKUP(F184,'Pay Table'!$M$3:$N$18,2,FALSE)&amp;$BB$3&amp;G184&amp;$BD$3,"")</f>
        <v/>
      </c>
      <c r="BE182" s="49" t="str">
        <f>IFERROR($BC$3&amp;VLOOKUP(H184,'Pay Table'!$M$3:$N$18,2,FALSE)&amp;$BB$3&amp;I184&amp;$BD$3,"")</f>
        <v/>
      </c>
      <c r="BF182" s="60" t="str">
        <f>IFERROR($BC$3&amp;VLOOKUP(J184,'Pay Table'!$M$3:$N$18,2,FALSE)&amp;$BB$3&amp;K184&amp;$BD$3,"")</f>
        <v/>
      </c>
    </row>
    <row r="183" spans="1:58" ht="17.100000000000001" customHeight="1" x14ac:dyDescent="0.15">
      <c r="A183" s="14">
        <v>178</v>
      </c>
      <c r="BB183" s="59" t="str">
        <f>IFERROR($BC$3&amp;VLOOKUP(B185,'Pay Table'!$M$3:$N$18,2,FALSE)&amp;$BB$3&amp;C185&amp;$BD$3,"")</f>
        <v/>
      </c>
      <c r="BC183" s="49" t="str">
        <f>IFERROR($BC$3&amp;VLOOKUP(D185,'Pay Table'!$M$3:$N$18,2,FALSE)&amp;$BB$3&amp;E185&amp;$BD$3,"")</f>
        <v/>
      </c>
      <c r="BD183" s="49" t="str">
        <f>IFERROR($BC$3&amp;VLOOKUP(F185,'Pay Table'!$M$3:$N$18,2,FALSE)&amp;$BB$3&amp;G185&amp;$BD$3,"")</f>
        <v/>
      </c>
      <c r="BE183" s="49" t="str">
        <f>IFERROR($BC$3&amp;VLOOKUP(H185,'Pay Table'!$M$3:$N$18,2,FALSE)&amp;$BB$3&amp;I185&amp;$BD$3,"")</f>
        <v/>
      </c>
      <c r="BF183" s="60" t="str">
        <f>IFERROR($BC$3&amp;VLOOKUP(J185,'Pay Table'!$M$3:$N$18,2,FALSE)&amp;$BB$3&amp;K185&amp;$BD$3,"")</f>
        <v/>
      </c>
    </row>
    <row r="184" spans="1:58" ht="17.100000000000001" customHeight="1" x14ac:dyDescent="0.15">
      <c r="A184" s="14">
        <v>179</v>
      </c>
      <c r="BB184" s="59" t="str">
        <f>IFERROR($BC$3&amp;VLOOKUP(B186,'Pay Table'!$M$3:$N$18,2,FALSE)&amp;$BB$3&amp;C186&amp;$BD$3,"")</f>
        <v/>
      </c>
      <c r="BC184" s="49" t="str">
        <f>IFERROR($BC$3&amp;VLOOKUP(D186,'Pay Table'!$M$3:$N$18,2,FALSE)&amp;$BB$3&amp;E186&amp;$BD$3,"")</f>
        <v/>
      </c>
      <c r="BD184" s="49" t="str">
        <f>IFERROR($BC$3&amp;VLOOKUP(F186,'Pay Table'!$M$3:$N$18,2,FALSE)&amp;$BB$3&amp;G186&amp;$BD$3,"")</f>
        <v/>
      </c>
      <c r="BE184" s="49" t="str">
        <f>IFERROR($BC$3&amp;VLOOKUP(H186,'Pay Table'!$M$3:$N$18,2,FALSE)&amp;$BB$3&amp;I186&amp;$BD$3,"")</f>
        <v/>
      </c>
      <c r="BF184" s="60" t="str">
        <f>IFERROR($BC$3&amp;VLOOKUP(J186,'Pay Table'!$M$3:$N$18,2,FALSE)&amp;$BB$3&amp;K186&amp;$BD$3,"")</f>
        <v/>
      </c>
    </row>
    <row r="185" spans="1:58" ht="17.100000000000001" customHeight="1" x14ac:dyDescent="0.15">
      <c r="A185" s="14">
        <v>180</v>
      </c>
      <c r="BB185" s="59" t="str">
        <f>IFERROR($BC$3&amp;VLOOKUP(B187,'Pay Table'!$M$3:$N$18,2,FALSE)&amp;$BB$3&amp;C187&amp;$BD$3,"")</f>
        <v/>
      </c>
      <c r="BC185" s="49" t="str">
        <f>IFERROR($BC$3&amp;VLOOKUP(D187,'Pay Table'!$M$3:$N$18,2,FALSE)&amp;$BB$3&amp;E187&amp;$BD$3,"")</f>
        <v/>
      </c>
      <c r="BD185" s="49" t="str">
        <f>IFERROR($BC$3&amp;VLOOKUP(F187,'Pay Table'!$M$3:$N$18,2,FALSE)&amp;$BB$3&amp;G187&amp;$BD$3,"")</f>
        <v/>
      </c>
      <c r="BE185" s="49" t="str">
        <f>IFERROR($BC$3&amp;VLOOKUP(H187,'Pay Table'!$M$3:$N$18,2,FALSE)&amp;$BB$3&amp;I187&amp;$BD$3,"")</f>
        <v/>
      </c>
      <c r="BF185" s="60" t="str">
        <f>IFERROR($BC$3&amp;VLOOKUP(J187,'Pay Table'!$M$3:$N$18,2,FALSE)&amp;$BB$3&amp;K187&amp;$BD$3,"")</f>
        <v/>
      </c>
    </row>
    <row r="186" spans="1:58" ht="17.100000000000001" customHeight="1" x14ac:dyDescent="0.15">
      <c r="A186" s="14">
        <v>181</v>
      </c>
      <c r="BB186" s="59" t="str">
        <f>IFERROR($BC$3&amp;VLOOKUP(B188,'Pay Table'!$M$3:$N$18,2,FALSE)&amp;$BB$3&amp;C188&amp;$BD$3,"")</f>
        <v/>
      </c>
      <c r="BC186" s="49" t="str">
        <f>IFERROR($BC$3&amp;VLOOKUP(D188,'Pay Table'!$M$3:$N$18,2,FALSE)&amp;$BB$3&amp;E188&amp;$BD$3,"")</f>
        <v/>
      </c>
      <c r="BD186" s="49" t="str">
        <f>IFERROR($BC$3&amp;VLOOKUP(F188,'Pay Table'!$M$3:$N$18,2,FALSE)&amp;$BB$3&amp;G188&amp;$BD$3,"")</f>
        <v/>
      </c>
      <c r="BE186" s="49" t="str">
        <f>IFERROR($BC$3&amp;VLOOKUP(H188,'Pay Table'!$M$3:$N$18,2,FALSE)&amp;$BB$3&amp;I188&amp;$BD$3,"")</f>
        <v/>
      </c>
      <c r="BF186" s="60" t="str">
        <f>IFERROR($BC$3&amp;VLOOKUP(J188,'Pay Table'!$M$3:$N$18,2,FALSE)&amp;$BB$3&amp;K188&amp;$BD$3,"")</f>
        <v/>
      </c>
    </row>
    <row r="187" spans="1:58" ht="17.100000000000001" customHeight="1" x14ac:dyDescent="0.15">
      <c r="A187" s="14">
        <v>182</v>
      </c>
      <c r="BB187" s="59" t="str">
        <f>IFERROR($BC$3&amp;VLOOKUP(B189,'Pay Table'!$M$3:$N$18,2,FALSE)&amp;$BB$3&amp;C189&amp;$BD$3,"")</f>
        <v/>
      </c>
      <c r="BC187" s="49" t="str">
        <f>IFERROR($BC$3&amp;VLOOKUP(D189,'Pay Table'!$M$3:$N$18,2,FALSE)&amp;$BB$3&amp;E189&amp;$BD$3,"")</f>
        <v/>
      </c>
      <c r="BD187" s="49" t="str">
        <f>IFERROR($BC$3&amp;VLOOKUP(F189,'Pay Table'!$M$3:$N$18,2,FALSE)&amp;$BB$3&amp;G189&amp;$BD$3,"")</f>
        <v/>
      </c>
      <c r="BE187" s="49" t="str">
        <f>IFERROR($BC$3&amp;VLOOKUP(H189,'Pay Table'!$M$3:$N$18,2,FALSE)&amp;$BB$3&amp;I189&amp;$BD$3,"")</f>
        <v/>
      </c>
      <c r="BF187" s="60" t="str">
        <f>IFERROR($BC$3&amp;VLOOKUP(J189,'Pay Table'!$M$3:$N$18,2,FALSE)&amp;$BB$3&amp;K189&amp;$BD$3,"")</f>
        <v/>
      </c>
    </row>
    <row r="188" spans="1:58" ht="17.100000000000001" customHeight="1" x14ac:dyDescent="0.15">
      <c r="A188" s="14">
        <v>183</v>
      </c>
      <c r="BB188" s="59" t="str">
        <f>IFERROR($BC$3&amp;VLOOKUP(B190,'Pay Table'!$M$3:$N$18,2,FALSE)&amp;$BB$3&amp;C190&amp;$BD$3,"")</f>
        <v/>
      </c>
      <c r="BC188" s="49" t="str">
        <f>IFERROR($BC$3&amp;VLOOKUP(D190,'Pay Table'!$M$3:$N$18,2,FALSE)&amp;$BB$3&amp;E190&amp;$BD$3,"")</f>
        <v/>
      </c>
      <c r="BD188" s="49" t="str">
        <f>IFERROR($BC$3&amp;VLOOKUP(F190,'Pay Table'!$M$3:$N$18,2,FALSE)&amp;$BB$3&amp;G190&amp;$BD$3,"")</f>
        <v/>
      </c>
      <c r="BE188" s="49" t="str">
        <f>IFERROR($BC$3&amp;VLOOKUP(H190,'Pay Table'!$M$3:$N$18,2,FALSE)&amp;$BB$3&amp;I190&amp;$BD$3,"")</f>
        <v/>
      </c>
      <c r="BF188" s="60" t="str">
        <f>IFERROR($BC$3&amp;VLOOKUP(J190,'Pay Table'!$M$3:$N$18,2,FALSE)&amp;$BB$3&amp;K190&amp;$BD$3,"")</f>
        <v/>
      </c>
    </row>
    <row r="189" spans="1:58" ht="17.100000000000001" customHeight="1" x14ac:dyDescent="0.15">
      <c r="A189" s="14">
        <v>184</v>
      </c>
      <c r="BB189" s="59" t="str">
        <f>IFERROR($BC$3&amp;VLOOKUP(B191,'Pay Table'!$M$3:$N$18,2,FALSE)&amp;$BB$3&amp;C191&amp;$BD$3,"")</f>
        <v/>
      </c>
      <c r="BC189" s="49" t="str">
        <f>IFERROR($BC$3&amp;VLOOKUP(D191,'Pay Table'!$M$3:$N$18,2,FALSE)&amp;$BB$3&amp;E191&amp;$BD$3,"")</f>
        <v/>
      </c>
      <c r="BD189" s="49" t="str">
        <f>IFERROR($BC$3&amp;VLOOKUP(F191,'Pay Table'!$M$3:$N$18,2,FALSE)&amp;$BB$3&amp;G191&amp;$BD$3,"")</f>
        <v/>
      </c>
      <c r="BE189" s="49" t="str">
        <f>IFERROR($BC$3&amp;VLOOKUP(H191,'Pay Table'!$M$3:$N$18,2,FALSE)&amp;$BB$3&amp;I191&amp;$BD$3,"")</f>
        <v/>
      </c>
      <c r="BF189" s="60" t="str">
        <f>IFERROR($BC$3&amp;VLOOKUP(J191,'Pay Table'!$M$3:$N$18,2,FALSE)&amp;$BB$3&amp;K191&amp;$BD$3,"")</f>
        <v/>
      </c>
    </row>
    <row r="190" spans="1:58" ht="17.100000000000001" customHeight="1" x14ac:dyDescent="0.15">
      <c r="A190" s="14">
        <v>185</v>
      </c>
      <c r="BB190" s="59" t="str">
        <f>IFERROR($BC$3&amp;VLOOKUP(B192,'Pay Table'!$M$3:$N$18,2,FALSE)&amp;$BB$3&amp;C192&amp;$BD$3,"")</f>
        <v/>
      </c>
      <c r="BC190" s="49" t="str">
        <f>IFERROR($BC$3&amp;VLOOKUP(D192,'Pay Table'!$M$3:$N$18,2,FALSE)&amp;$BB$3&amp;E192&amp;$BD$3,"")</f>
        <v/>
      </c>
      <c r="BD190" s="49" t="str">
        <f>IFERROR($BC$3&amp;VLOOKUP(F192,'Pay Table'!$M$3:$N$18,2,FALSE)&amp;$BB$3&amp;G192&amp;$BD$3,"")</f>
        <v/>
      </c>
      <c r="BE190" s="49" t="str">
        <f>IFERROR($BC$3&amp;VLOOKUP(H192,'Pay Table'!$M$3:$N$18,2,FALSE)&amp;$BB$3&amp;I192&amp;$BD$3,"")</f>
        <v/>
      </c>
      <c r="BF190" s="60" t="str">
        <f>IFERROR($BC$3&amp;VLOOKUP(J192,'Pay Table'!$M$3:$N$18,2,FALSE)&amp;$BB$3&amp;K192&amp;$BD$3,"")</f>
        <v/>
      </c>
    </row>
    <row r="191" spans="1:58" ht="17.100000000000001" customHeight="1" x14ac:dyDescent="0.15">
      <c r="A191" s="14">
        <v>186</v>
      </c>
      <c r="BB191" s="59" t="str">
        <f>IFERROR($BC$3&amp;VLOOKUP(B193,'Pay Table'!$M$3:$N$18,2,FALSE)&amp;$BB$3&amp;C193&amp;$BD$3,"")</f>
        <v/>
      </c>
      <c r="BC191" s="49" t="str">
        <f>IFERROR($BC$3&amp;VLOOKUP(D193,'Pay Table'!$M$3:$N$18,2,FALSE)&amp;$BB$3&amp;E193&amp;$BD$3,"")</f>
        <v/>
      </c>
      <c r="BD191" s="49" t="str">
        <f>IFERROR($BC$3&amp;VLOOKUP(F193,'Pay Table'!$M$3:$N$18,2,FALSE)&amp;$BB$3&amp;G193&amp;$BD$3,"")</f>
        <v/>
      </c>
      <c r="BE191" s="49" t="str">
        <f>IFERROR($BC$3&amp;VLOOKUP(H193,'Pay Table'!$M$3:$N$18,2,FALSE)&amp;$BB$3&amp;I193&amp;$BD$3,"")</f>
        <v/>
      </c>
      <c r="BF191" s="60" t="str">
        <f>IFERROR($BC$3&amp;VLOOKUP(J193,'Pay Table'!$M$3:$N$18,2,FALSE)&amp;$BB$3&amp;K193&amp;$BD$3,"")</f>
        <v/>
      </c>
    </row>
    <row r="192" spans="1:58" ht="17.100000000000001" customHeight="1" x14ac:dyDescent="0.15">
      <c r="A192" s="14">
        <v>187</v>
      </c>
      <c r="BB192" s="59" t="str">
        <f>IFERROR($BC$3&amp;VLOOKUP(B194,'Pay Table'!$M$3:$N$18,2,FALSE)&amp;$BB$3&amp;C194&amp;$BD$3,"")</f>
        <v/>
      </c>
      <c r="BC192" s="49" t="str">
        <f>IFERROR($BC$3&amp;VLOOKUP(D194,'Pay Table'!$M$3:$N$18,2,FALSE)&amp;$BB$3&amp;E194&amp;$BD$3,"")</f>
        <v/>
      </c>
      <c r="BD192" s="49" t="str">
        <f>IFERROR($BC$3&amp;VLOOKUP(F194,'Pay Table'!$M$3:$N$18,2,FALSE)&amp;$BB$3&amp;G194&amp;$BD$3,"")</f>
        <v/>
      </c>
      <c r="BE192" s="49" t="str">
        <f>IFERROR($BC$3&amp;VLOOKUP(H194,'Pay Table'!$M$3:$N$18,2,FALSE)&amp;$BB$3&amp;I194&amp;$BD$3,"")</f>
        <v/>
      </c>
      <c r="BF192" s="60" t="str">
        <f>IFERROR($BC$3&amp;VLOOKUP(J194,'Pay Table'!$M$3:$N$18,2,FALSE)&amp;$BB$3&amp;K194&amp;$BD$3,"")</f>
        <v/>
      </c>
    </row>
    <row r="193" spans="1:58" ht="17.100000000000001" customHeight="1" x14ac:dyDescent="0.15">
      <c r="A193" s="14">
        <v>188</v>
      </c>
      <c r="BB193" s="59" t="str">
        <f>IFERROR($BC$3&amp;VLOOKUP(B195,'Pay Table'!$M$3:$N$18,2,FALSE)&amp;$BB$3&amp;C195&amp;$BD$3,"")</f>
        <v/>
      </c>
      <c r="BC193" s="49" t="str">
        <f>IFERROR($BC$3&amp;VLOOKUP(D195,'Pay Table'!$M$3:$N$18,2,FALSE)&amp;$BB$3&amp;E195&amp;$BD$3,"")</f>
        <v/>
      </c>
      <c r="BD193" s="49" t="str">
        <f>IFERROR($BC$3&amp;VLOOKUP(F195,'Pay Table'!$M$3:$N$18,2,FALSE)&amp;$BB$3&amp;G195&amp;$BD$3,"")</f>
        <v/>
      </c>
      <c r="BE193" s="49" t="str">
        <f>IFERROR($BC$3&amp;VLOOKUP(H195,'Pay Table'!$M$3:$N$18,2,FALSE)&amp;$BB$3&amp;I195&amp;$BD$3,"")</f>
        <v/>
      </c>
      <c r="BF193" s="60" t="str">
        <f>IFERROR($BC$3&amp;VLOOKUP(J195,'Pay Table'!$M$3:$N$18,2,FALSE)&amp;$BB$3&amp;K195&amp;$BD$3,"")</f>
        <v/>
      </c>
    </row>
    <row r="194" spans="1:58" ht="17.100000000000001" customHeight="1" x14ac:dyDescent="0.15">
      <c r="A194" s="14">
        <v>189</v>
      </c>
      <c r="BB194" s="59" t="str">
        <f>IFERROR($BC$3&amp;VLOOKUP(B196,'Pay Table'!$M$3:$N$18,2,FALSE)&amp;$BB$3&amp;C196&amp;$BD$3,"")</f>
        <v/>
      </c>
      <c r="BC194" s="49" t="str">
        <f>IFERROR($BC$3&amp;VLOOKUP(D196,'Pay Table'!$M$3:$N$18,2,FALSE)&amp;$BB$3&amp;E196&amp;$BD$3,"")</f>
        <v/>
      </c>
      <c r="BD194" s="49" t="str">
        <f>IFERROR($BC$3&amp;VLOOKUP(F196,'Pay Table'!$M$3:$N$18,2,FALSE)&amp;$BB$3&amp;G196&amp;$BD$3,"")</f>
        <v/>
      </c>
      <c r="BE194" s="49" t="str">
        <f>IFERROR($BC$3&amp;VLOOKUP(H196,'Pay Table'!$M$3:$N$18,2,FALSE)&amp;$BB$3&amp;I196&amp;$BD$3,"")</f>
        <v/>
      </c>
      <c r="BF194" s="60" t="str">
        <f>IFERROR($BC$3&amp;VLOOKUP(J196,'Pay Table'!$M$3:$N$18,2,FALSE)&amp;$BB$3&amp;K196&amp;$BD$3,"")</f>
        <v/>
      </c>
    </row>
    <row r="195" spans="1:58" ht="17.100000000000001" customHeight="1" x14ac:dyDescent="0.15">
      <c r="A195" s="14">
        <v>190</v>
      </c>
      <c r="BB195" s="59" t="str">
        <f>IFERROR($BC$3&amp;VLOOKUP(B197,'Pay Table'!$M$3:$N$18,2,FALSE)&amp;$BB$3&amp;C197&amp;$BD$3,"")</f>
        <v/>
      </c>
      <c r="BC195" s="49" t="str">
        <f>IFERROR($BC$3&amp;VLOOKUP(D197,'Pay Table'!$M$3:$N$18,2,FALSE)&amp;$BB$3&amp;E197&amp;$BD$3,"")</f>
        <v/>
      </c>
      <c r="BD195" s="49" t="str">
        <f>IFERROR($BC$3&amp;VLOOKUP(F197,'Pay Table'!$M$3:$N$18,2,FALSE)&amp;$BB$3&amp;G197&amp;$BD$3,"")</f>
        <v/>
      </c>
      <c r="BE195" s="49" t="str">
        <f>IFERROR($BC$3&amp;VLOOKUP(H197,'Pay Table'!$M$3:$N$18,2,FALSE)&amp;$BB$3&amp;I197&amp;$BD$3,"")</f>
        <v/>
      </c>
      <c r="BF195" s="60" t="str">
        <f>IFERROR($BC$3&amp;VLOOKUP(J197,'Pay Table'!$M$3:$N$18,2,FALSE)&amp;$BB$3&amp;K197&amp;$BD$3,"")</f>
        <v/>
      </c>
    </row>
    <row r="196" spans="1:58" ht="17.100000000000001" customHeight="1" x14ac:dyDescent="0.15">
      <c r="A196" s="14">
        <v>191</v>
      </c>
      <c r="BB196" s="59" t="str">
        <f>IFERROR($BC$3&amp;VLOOKUP(B198,'Pay Table'!$M$3:$N$18,2,FALSE)&amp;$BB$3&amp;C198&amp;$BD$3,"")</f>
        <v/>
      </c>
      <c r="BC196" s="49" t="str">
        <f>IFERROR($BC$3&amp;VLOOKUP(D198,'Pay Table'!$M$3:$N$18,2,FALSE)&amp;$BB$3&amp;E198&amp;$BD$3,"")</f>
        <v/>
      </c>
      <c r="BD196" s="49" t="str">
        <f>IFERROR($BC$3&amp;VLOOKUP(F198,'Pay Table'!$M$3:$N$18,2,FALSE)&amp;$BB$3&amp;G198&amp;$BD$3,"")</f>
        <v/>
      </c>
      <c r="BE196" s="49" t="str">
        <f>IFERROR($BC$3&amp;VLOOKUP(H198,'Pay Table'!$M$3:$N$18,2,FALSE)&amp;$BB$3&amp;I198&amp;$BD$3,"")</f>
        <v/>
      </c>
      <c r="BF196" s="60" t="str">
        <f>IFERROR($BC$3&amp;VLOOKUP(J198,'Pay Table'!$M$3:$N$18,2,FALSE)&amp;$BB$3&amp;K198&amp;$BD$3,"")</f>
        <v/>
      </c>
    </row>
    <row r="197" spans="1:58" ht="17.100000000000001" customHeight="1" x14ac:dyDescent="0.15">
      <c r="A197" s="14">
        <v>192</v>
      </c>
      <c r="BB197" s="59" t="str">
        <f>IFERROR($BC$3&amp;VLOOKUP(B199,'Pay Table'!$M$3:$N$18,2,FALSE)&amp;$BB$3&amp;C199&amp;$BD$3,"")</f>
        <v/>
      </c>
      <c r="BC197" s="49" t="str">
        <f>IFERROR($BC$3&amp;VLOOKUP(D199,'Pay Table'!$M$3:$N$18,2,FALSE)&amp;$BB$3&amp;E199&amp;$BD$3,"")</f>
        <v/>
      </c>
      <c r="BD197" s="49" t="str">
        <f>IFERROR($BC$3&amp;VLOOKUP(F199,'Pay Table'!$M$3:$N$18,2,FALSE)&amp;$BB$3&amp;G199&amp;$BD$3,"")</f>
        <v/>
      </c>
      <c r="BE197" s="49" t="str">
        <f>IFERROR($BC$3&amp;VLOOKUP(H199,'Pay Table'!$M$3:$N$18,2,FALSE)&amp;$BB$3&amp;I199&amp;$BD$3,"")</f>
        <v/>
      </c>
      <c r="BF197" s="60" t="str">
        <f>IFERROR($BC$3&amp;VLOOKUP(J199,'Pay Table'!$M$3:$N$18,2,FALSE)&amp;$BB$3&amp;K199&amp;$BD$3,"")</f>
        <v/>
      </c>
    </row>
    <row r="198" spans="1:58" ht="17.100000000000001" customHeight="1" x14ac:dyDescent="0.15">
      <c r="A198" s="14">
        <v>193</v>
      </c>
      <c r="BB198" s="59" t="str">
        <f>IFERROR($BC$3&amp;VLOOKUP(B200,'Pay Table'!$M$3:$N$18,2,FALSE)&amp;$BB$3&amp;C200&amp;$BD$3,"")</f>
        <v/>
      </c>
      <c r="BC198" s="49" t="str">
        <f>IFERROR($BC$3&amp;VLOOKUP(D200,'Pay Table'!$M$3:$N$18,2,FALSE)&amp;$BB$3&amp;E200&amp;$BD$3,"")</f>
        <v/>
      </c>
      <c r="BD198" s="49" t="str">
        <f>IFERROR($BC$3&amp;VLOOKUP(F200,'Pay Table'!$M$3:$N$18,2,FALSE)&amp;$BB$3&amp;G200&amp;$BD$3,"")</f>
        <v/>
      </c>
      <c r="BE198" s="49" t="str">
        <f>IFERROR($BC$3&amp;VLOOKUP(H200,'Pay Table'!$M$3:$N$18,2,FALSE)&amp;$BB$3&amp;I200&amp;$BD$3,"")</f>
        <v/>
      </c>
      <c r="BF198" s="60" t="str">
        <f>IFERROR($BC$3&amp;VLOOKUP(J200,'Pay Table'!$M$3:$N$18,2,FALSE)&amp;$BB$3&amp;K200&amp;$BD$3,"")</f>
        <v/>
      </c>
    </row>
    <row r="199" spans="1:58" ht="17.100000000000001" customHeight="1" x14ac:dyDescent="0.15">
      <c r="A199" s="14">
        <v>194</v>
      </c>
      <c r="BB199" s="59" t="str">
        <f>IFERROR($BC$3&amp;VLOOKUP(B201,'Pay Table'!$M$3:$N$18,2,FALSE)&amp;$BB$3&amp;C201&amp;$BD$3,"")</f>
        <v/>
      </c>
      <c r="BC199" s="49" t="str">
        <f>IFERROR($BC$3&amp;VLOOKUP(D201,'Pay Table'!$M$3:$N$18,2,FALSE)&amp;$BB$3&amp;E201&amp;$BD$3,"")</f>
        <v/>
      </c>
      <c r="BD199" s="49" t="str">
        <f>IFERROR($BC$3&amp;VLOOKUP(F201,'Pay Table'!$M$3:$N$18,2,FALSE)&amp;$BB$3&amp;G201&amp;$BD$3,"")</f>
        <v/>
      </c>
      <c r="BE199" s="49" t="str">
        <f>IFERROR($BC$3&amp;VLOOKUP(H201,'Pay Table'!$M$3:$N$18,2,FALSE)&amp;$BB$3&amp;I201&amp;$BD$3,"")</f>
        <v/>
      </c>
      <c r="BF199" s="60" t="str">
        <f>IFERROR($BC$3&amp;VLOOKUP(J201,'Pay Table'!$M$3:$N$18,2,FALSE)&amp;$BB$3&amp;K201&amp;$BD$3,"")</f>
        <v/>
      </c>
    </row>
    <row r="200" spans="1:58" ht="17.100000000000001" customHeight="1" x14ac:dyDescent="0.15">
      <c r="A200" s="14">
        <v>195</v>
      </c>
      <c r="BB200" s="59" t="str">
        <f>IFERROR($BC$3&amp;VLOOKUP(B202,'Pay Table'!$M$3:$N$18,2,FALSE)&amp;$BB$3&amp;C202&amp;$BD$3,"")</f>
        <v/>
      </c>
      <c r="BC200" s="49" t="str">
        <f>IFERROR($BC$3&amp;VLOOKUP(D202,'Pay Table'!$M$3:$N$18,2,FALSE)&amp;$BB$3&amp;E202&amp;$BD$3,"")</f>
        <v/>
      </c>
      <c r="BD200" s="49" t="str">
        <f>IFERROR($BC$3&amp;VLOOKUP(F202,'Pay Table'!$M$3:$N$18,2,FALSE)&amp;$BB$3&amp;G202&amp;$BD$3,"")</f>
        <v/>
      </c>
      <c r="BE200" s="49" t="str">
        <f>IFERROR($BC$3&amp;VLOOKUP(H202,'Pay Table'!$M$3:$N$18,2,FALSE)&amp;$BB$3&amp;I202&amp;$BD$3,"")</f>
        <v/>
      </c>
      <c r="BF200" s="60" t="str">
        <f>IFERROR($BC$3&amp;VLOOKUP(J202,'Pay Table'!$M$3:$N$18,2,FALSE)&amp;$BB$3&amp;K202&amp;$BD$3,"")</f>
        <v/>
      </c>
    </row>
    <row r="201" spans="1:58" ht="17.100000000000001" customHeight="1" x14ac:dyDescent="0.15">
      <c r="A201" s="14">
        <v>196</v>
      </c>
      <c r="BB201" s="26" t="str">
        <f>IFERROR($BC$3&amp;VLOOKUP(B203,'Pay Table'!$M$3:$N$18,2,FALSE)&amp;$BB$3&amp;C203&amp;$BD$3,"")</f>
        <v/>
      </c>
      <c r="BC201" s="1" t="str">
        <f>IFERROR($BC$3&amp;VLOOKUP(D203,'Pay Table'!$M$3:$N$18,2,FALSE)&amp;$BB$3&amp;E203&amp;$BD$3,"")</f>
        <v/>
      </c>
      <c r="BD201" s="1" t="str">
        <f>IFERROR($BC$3&amp;VLOOKUP(F203,'Pay Table'!$M$3:$N$18,2,FALSE)&amp;$BB$3&amp;G203&amp;$BD$3,"")</f>
        <v/>
      </c>
      <c r="BE201" s="1" t="str">
        <f>IFERROR($BC$3&amp;VLOOKUP(H203,'Pay Table'!$M$3:$N$18,2,FALSE)&amp;$BB$3&amp;I203&amp;$BD$3,"")</f>
        <v/>
      </c>
      <c r="BF201" s="27" t="str">
        <f>IFERROR($BC$3&amp;VLOOKUP(J203,'Pay Table'!$M$3:$N$18,2,FALSE)&amp;$BB$3&amp;K203&amp;$BD$3,"")</f>
        <v/>
      </c>
    </row>
    <row r="202" spans="1:58" ht="17.100000000000001" customHeight="1" x14ac:dyDescent="0.15">
      <c r="A202" s="14">
        <v>197</v>
      </c>
      <c r="BB202" s="26" t="str">
        <f>IFERROR($BC$3&amp;VLOOKUP(B204,'Pay Table'!$M$3:$N$18,2,FALSE)&amp;$BB$3&amp;C204&amp;$BD$3,"")</f>
        <v/>
      </c>
      <c r="BC202" s="1" t="str">
        <f>IFERROR($BC$3&amp;VLOOKUP(D204,'Pay Table'!$M$3:$N$18,2,FALSE)&amp;$BB$3&amp;E204&amp;$BD$3,"")</f>
        <v/>
      </c>
      <c r="BD202" s="1" t="str">
        <f>IFERROR($BC$3&amp;VLOOKUP(F204,'Pay Table'!$M$3:$N$18,2,FALSE)&amp;$BB$3&amp;G204&amp;$BD$3,"")</f>
        <v/>
      </c>
      <c r="BE202" s="1" t="str">
        <f>IFERROR($BC$3&amp;VLOOKUP(H204,'Pay Table'!$M$3:$N$18,2,FALSE)&amp;$BB$3&amp;I204&amp;$BD$3,"")</f>
        <v/>
      </c>
      <c r="BF202" s="27" t="str">
        <f>IFERROR($BC$3&amp;VLOOKUP(J204,'Pay Table'!$M$3:$N$18,2,FALSE)&amp;$BB$3&amp;K204&amp;$BD$3,"")</f>
        <v/>
      </c>
    </row>
    <row r="203" spans="1:58" ht="17.100000000000001" customHeight="1" x14ac:dyDescent="0.15">
      <c r="A203" s="14">
        <v>198</v>
      </c>
      <c r="BB203" s="26" t="str">
        <f>IFERROR($BC$3&amp;VLOOKUP(B205,'Pay Table'!$M$3:$N$18,2,FALSE)&amp;$BB$3&amp;C205&amp;$BD$3,"")</f>
        <v/>
      </c>
      <c r="BC203" s="1" t="str">
        <f>IFERROR($BC$3&amp;VLOOKUP(D205,'Pay Table'!$M$3:$N$18,2,FALSE)&amp;$BB$3&amp;E205&amp;$BD$3,"")</f>
        <v/>
      </c>
      <c r="BD203" s="1" t="str">
        <f>IFERROR($BC$3&amp;VLOOKUP(F205,'Pay Table'!$M$3:$N$18,2,FALSE)&amp;$BB$3&amp;G205&amp;$BD$3,"")</f>
        <v/>
      </c>
      <c r="BE203" s="1" t="str">
        <f>IFERROR($BC$3&amp;VLOOKUP(H205,'Pay Table'!$M$3:$N$18,2,FALSE)&amp;$BB$3&amp;I205&amp;$BD$3,"")</f>
        <v/>
      </c>
      <c r="BF203" s="27" t="str">
        <f>IFERROR($BC$3&amp;VLOOKUP(J205,'Pay Table'!$M$3:$N$18,2,FALSE)&amp;$BB$3&amp;K205&amp;$BD$3,"")</f>
        <v/>
      </c>
    </row>
    <row r="204" spans="1:58" ht="17.100000000000001" customHeight="1" x14ac:dyDescent="0.15">
      <c r="A204" s="14">
        <v>199</v>
      </c>
      <c r="BB204" s="26" t="str">
        <f>IFERROR($BC$3&amp;VLOOKUP(B206,'Pay Table'!$M$3:$N$18,2,FALSE)&amp;$BB$3&amp;C206&amp;$BD$3,"")</f>
        <v/>
      </c>
      <c r="BC204" s="1" t="str">
        <f>IFERROR($BC$3&amp;VLOOKUP(D206,'Pay Table'!$M$3:$N$18,2,FALSE)&amp;$BB$3&amp;E206&amp;$BD$3,"")</f>
        <v/>
      </c>
      <c r="BD204" s="1" t="str">
        <f>IFERROR($BC$3&amp;VLOOKUP(F206,'Pay Table'!$M$3:$N$18,2,FALSE)&amp;$BB$3&amp;G206&amp;$BD$3,"")</f>
        <v/>
      </c>
      <c r="BE204" s="1" t="str">
        <f>IFERROR($BC$3&amp;VLOOKUP(H206,'Pay Table'!$M$3:$N$18,2,FALSE)&amp;$BB$3&amp;I206&amp;$BD$3,"")</f>
        <v/>
      </c>
      <c r="BF204" s="27" t="str">
        <f>IFERROR($BC$3&amp;VLOOKUP(J206,'Pay Table'!$M$3:$N$18,2,FALSE)&amp;$BB$3&amp;K206&amp;$BD$3,"")</f>
        <v/>
      </c>
    </row>
    <row r="205" spans="1:58" ht="17.100000000000001" customHeight="1" x14ac:dyDescent="0.15">
      <c r="A205" s="14">
        <v>200</v>
      </c>
      <c r="BB205" s="26" t="str">
        <f>IFERROR($BC$3&amp;VLOOKUP(B207,'Pay Table'!$M$3:$N$18,2,FALSE)&amp;$BB$3&amp;C207&amp;$BD$3,"")</f>
        <v/>
      </c>
      <c r="BC205" s="1" t="str">
        <f>IFERROR($BC$3&amp;VLOOKUP(D207,'Pay Table'!$M$3:$N$18,2,FALSE)&amp;$BB$3&amp;E207&amp;$BD$3,"")</f>
        <v/>
      </c>
      <c r="BD205" s="1" t="str">
        <f>IFERROR($BC$3&amp;VLOOKUP(F207,'Pay Table'!$M$3:$N$18,2,FALSE)&amp;$BB$3&amp;G207&amp;$BD$3,"")</f>
        <v/>
      </c>
      <c r="BE205" s="1" t="str">
        <f>IFERROR($BC$3&amp;VLOOKUP(H207,'Pay Table'!$M$3:$N$18,2,FALSE)&amp;$BB$3&amp;I207&amp;$BD$3,"")</f>
        <v/>
      </c>
      <c r="BF205" s="27" t="str">
        <f>IFERROR($BC$3&amp;VLOOKUP(J207,'Pay Table'!$M$3:$N$18,2,FALSE)&amp;$BB$3&amp;K207&amp;$BD$3,"")</f>
        <v/>
      </c>
    </row>
    <row r="206" spans="1:58" ht="17.100000000000001" customHeight="1" x14ac:dyDescent="0.15">
      <c r="A206" s="14">
        <v>201</v>
      </c>
      <c r="BB206" s="26" t="str">
        <f>IFERROR($BC$3&amp;VLOOKUP(B208,'Pay Table'!$M$3:$N$18,2,FALSE)&amp;$BB$3&amp;C208&amp;$BD$3,"")</f>
        <v/>
      </c>
      <c r="BC206" s="1" t="str">
        <f>IFERROR($BC$3&amp;VLOOKUP(D208,'Pay Table'!$M$3:$N$18,2,FALSE)&amp;$BB$3&amp;E208&amp;$BD$3,"")</f>
        <v/>
      </c>
      <c r="BD206" s="1" t="str">
        <f>IFERROR($BC$3&amp;VLOOKUP(F208,'Pay Table'!$M$3:$N$18,2,FALSE)&amp;$BB$3&amp;G208&amp;$BD$3,"")</f>
        <v/>
      </c>
      <c r="BE206" s="1" t="str">
        <f>IFERROR($BC$3&amp;VLOOKUP(H208,'Pay Table'!$M$3:$N$18,2,FALSE)&amp;$BB$3&amp;I208&amp;$BD$3,"")</f>
        <v/>
      </c>
      <c r="BF206" s="27" t="str">
        <f>IFERROR($BC$3&amp;VLOOKUP(J208,'Pay Table'!$M$3:$N$18,2,FALSE)&amp;$BB$3&amp;K208&amp;$BD$3,"")</f>
        <v/>
      </c>
    </row>
    <row r="207" spans="1:58" ht="17.100000000000001" customHeight="1" x14ac:dyDescent="0.15">
      <c r="A207" s="14">
        <v>202</v>
      </c>
      <c r="BB207" s="26" t="str">
        <f>IFERROR($BC$3&amp;VLOOKUP(B209,'Pay Table'!$M$3:$N$18,2,FALSE)&amp;$BB$3&amp;C209&amp;$BD$3,"")</f>
        <v/>
      </c>
      <c r="BC207" s="1" t="str">
        <f>IFERROR($BC$3&amp;VLOOKUP(D209,'Pay Table'!$M$3:$N$18,2,FALSE)&amp;$BB$3&amp;E209&amp;$BD$3,"")</f>
        <v/>
      </c>
      <c r="BD207" s="1" t="str">
        <f>IFERROR($BC$3&amp;VLOOKUP(F209,'Pay Table'!$M$3:$N$18,2,FALSE)&amp;$BB$3&amp;G209&amp;$BD$3,"")</f>
        <v/>
      </c>
      <c r="BE207" s="1" t="str">
        <f>IFERROR($BC$3&amp;VLOOKUP(H209,'Pay Table'!$M$3:$N$18,2,FALSE)&amp;$BB$3&amp;I209&amp;$BD$3,"")</f>
        <v/>
      </c>
      <c r="BF207" s="27" t="str">
        <f>IFERROR($BC$3&amp;VLOOKUP(J209,'Pay Table'!$M$3:$N$18,2,FALSE)&amp;$BB$3&amp;K209&amp;$BD$3,"")</f>
        <v/>
      </c>
    </row>
    <row r="208" spans="1:58" ht="17.100000000000001" customHeight="1" x14ac:dyDescent="0.15">
      <c r="A208" s="14">
        <v>203</v>
      </c>
      <c r="BB208" s="26" t="str">
        <f>IFERROR($BC$3&amp;VLOOKUP(B210,'Pay Table'!$M$3:$N$18,2,FALSE)&amp;$BB$3&amp;C210&amp;$BD$3,"")</f>
        <v/>
      </c>
      <c r="BC208" s="1" t="str">
        <f>IFERROR($BC$3&amp;VLOOKUP(D210,'Pay Table'!$M$3:$N$18,2,FALSE)&amp;$BB$3&amp;E210&amp;$BD$3,"")</f>
        <v/>
      </c>
      <c r="BD208" s="1" t="str">
        <f>IFERROR($BC$3&amp;VLOOKUP(F210,'Pay Table'!$M$3:$N$18,2,FALSE)&amp;$BB$3&amp;G210&amp;$BD$3,"")</f>
        <v/>
      </c>
      <c r="BE208" s="1" t="str">
        <f>IFERROR($BC$3&amp;VLOOKUP(H210,'Pay Table'!$M$3:$N$18,2,FALSE)&amp;$BB$3&amp;I210&amp;$BD$3,"")</f>
        <v/>
      </c>
      <c r="BF208" s="27" t="str">
        <f>IFERROR($BC$3&amp;VLOOKUP(J210,'Pay Table'!$M$3:$N$18,2,FALSE)&amp;$BB$3&amp;K210&amp;$BD$3,"")</f>
        <v/>
      </c>
    </row>
    <row r="209" spans="1:58" ht="17.100000000000001" customHeight="1" x14ac:dyDescent="0.15">
      <c r="A209" s="14">
        <v>204</v>
      </c>
      <c r="BB209" s="26" t="str">
        <f>IFERROR($BC$3&amp;VLOOKUP(B211,'Pay Table'!$M$3:$N$18,2,FALSE)&amp;$BB$3&amp;C211&amp;$BD$3,"")</f>
        <v/>
      </c>
      <c r="BC209" s="1" t="str">
        <f>IFERROR($BC$3&amp;VLOOKUP(D211,'Pay Table'!$M$3:$N$18,2,FALSE)&amp;$BB$3&amp;E211&amp;$BD$3,"")</f>
        <v/>
      </c>
      <c r="BD209" s="1" t="str">
        <f>IFERROR($BC$3&amp;VLOOKUP(F211,'Pay Table'!$M$3:$N$18,2,FALSE)&amp;$BB$3&amp;G211&amp;$BD$3,"")</f>
        <v/>
      </c>
      <c r="BE209" s="1" t="str">
        <f>IFERROR($BC$3&amp;VLOOKUP(H211,'Pay Table'!$M$3:$N$18,2,FALSE)&amp;$BB$3&amp;I211&amp;$BD$3,"")</f>
        <v/>
      </c>
      <c r="BF209" s="27" t="str">
        <f>IFERROR($BC$3&amp;VLOOKUP(J211,'Pay Table'!$M$3:$N$18,2,FALSE)&amp;$BB$3&amp;K211&amp;$BD$3,"")</f>
        <v/>
      </c>
    </row>
    <row r="210" spans="1:58" ht="17.100000000000001" customHeight="1" x14ac:dyDescent="0.15">
      <c r="A210" s="14">
        <v>205</v>
      </c>
      <c r="BB210" s="26" t="str">
        <f>IFERROR($BC$3&amp;VLOOKUP(B212,'Pay Table'!$M$3:$N$18,2,FALSE)&amp;$BB$3&amp;C212&amp;$BD$3,"")</f>
        <v/>
      </c>
      <c r="BC210" s="1" t="str">
        <f>IFERROR($BC$3&amp;VLOOKUP(D212,'Pay Table'!$M$3:$N$18,2,FALSE)&amp;$BB$3&amp;E212&amp;$BD$3,"")</f>
        <v/>
      </c>
      <c r="BD210" s="1" t="str">
        <f>IFERROR($BC$3&amp;VLOOKUP(F212,'Pay Table'!$M$3:$N$18,2,FALSE)&amp;$BB$3&amp;G212&amp;$BD$3,"")</f>
        <v/>
      </c>
      <c r="BE210" s="1" t="str">
        <f>IFERROR($BC$3&amp;VLOOKUP(H212,'Pay Table'!$M$3:$N$18,2,FALSE)&amp;$BB$3&amp;I212&amp;$BD$3,"")</f>
        <v/>
      </c>
      <c r="BF210" s="27" t="str">
        <f>IFERROR($BC$3&amp;VLOOKUP(J212,'Pay Table'!$M$3:$N$18,2,FALSE)&amp;$BB$3&amp;K212&amp;$BD$3,"")</f>
        <v/>
      </c>
    </row>
    <row r="211" spans="1:58" ht="17.100000000000001" customHeight="1" x14ac:dyDescent="0.15">
      <c r="A211" s="14">
        <v>206</v>
      </c>
      <c r="BB211" s="26" t="str">
        <f>IFERROR($BC$3&amp;VLOOKUP(B213,'Pay Table'!$M$3:$N$18,2,FALSE)&amp;$BB$3&amp;C213&amp;$BD$3,"")</f>
        <v/>
      </c>
      <c r="BC211" s="1" t="str">
        <f>IFERROR($BC$3&amp;VLOOKUP(D213,'Pay Table'!$M$3:$N$18,2,FALSE)&amp;$BB$3&amp;E213&amp;$BD$3,"")</f>
        <v/>
      </c>
      <c r="BD211" s="1" t="str">
        <f>IFERROR($BC$3&amp;VLOOKUP(F213,'Pay Table'!$M$3:$N$18,2,FALSE)&amp;$BB$3&amp;G213&amp;$BD$3,"")</f>
        <v/>
      </c>
      <c r="BE211" s="1" t="str">
        <f>IFERROR($BC$3&amp;VLOOKUP(H213,'Pay Table'!$M$3:$N$18,2,FALSE)&amp;$BB$3&amp;I213&amp;$BD$3,"")</f>
        <v/>
      </c>
      <c r="BF211" s="27" t="str">
        <f>IFERROR($BC$3&amp;VLOOKUP(J213,'Pay Table'!$M$3:$N$18,2,FALSE)&amp;$BB$3&amp;K213&amp;$BD$3,"")</f>
        <v/>
      </c>
    </row>
    <row r="212" spans="1:58" ht="17.100000000000001" customHeight="1" x14ac:dyDescent="0.15">
      <c r="A212" s="14">
        <v>207</v>
      </c>
      <c r="BB212" s="26" t="str">
        <f>IFERROR($BC$3&amp;VLOOKUP(B214,'Pay Table'!$M$3:$N$18,2,FALSE)&amp;$BB$3&amp;C214&amp;$BD$3,"")</f>
        <v/>
      </c>
      <c r="BC212" s="1" t="str">
        <f>IFERROR($BC$3&amp;VLOOKUP(D214,'Pay Table'!$M$3:$N$18,2,FALSE)&amp;$BB$3&amp;E214&amp;$BD$3,"")</f>
        <v/>
      </c>
      <c r="BD212" s="1" t="str">
        <f>IFERROR($BC$3&amp;VLOOKUP(F214,'Pay Table'!$M$3:$N$18,2,FALSE)&amp;$BB$3&amp;G214&amp;$BD$3,"")</f>
        <v/>
      </c>
      <c r="BE212" s="1" t="str">
        <f>IFERROR($BC$3&amp;VLOOKUP(H214,'Pay Table'!$M$3:$N$18,2,FALSE)&amp;$BB$3&amp;I214&amp;$BD$3,"")</f>
        <v/>
      </c>
      <c r="BF212" s="27" t="str">
        <f>IFERROR($BC$3&amp;VLOOKUP(J214,'Pay Table'!$M$3:$N$18,2,FALSE)&amp;$BB$3&amp;K214&amp;$BD$3,"")</f>
        <v/>
      </c>
    </row>
    <row r="213" spans="1:58" ht="17.100000000000001" customHeight="1" x14ac:dyDescent="0.15">
      <c r="A213" s="14">
        <v>208</v>
      </c>
      <c r="BB213" s="26" t="str">
        <f>IFERROR($BC$3&amp;VLOOKUP(B215,'Pay Table'!$M$3:$N$18,2,FALSE)&amp;$BB$3&amp;C215&amp;$BD$3,"")</f>
        <v/>
      </c>
      <c r="BC213" s="1" t="str">
        <f>IFERROR($BC$3&amp;VLOOKUP(D215,'Pay Table'!$M$3:$N$18,2,FALSE)&amp;$BB$3&amp;E215&amp;$BD$3,"")</f>
        <v/>
      </c>
      <c r="BD213" s="1" t="str">
        <f>IFERROR($BC$3&amp;VLOOKUP(F215,'Pay Table'!$M$3:$N$18,2,FALSE)&amp;$BB$3&amp;G215&amp;$BD$3,"")</f>
        <v/>
      </c>
      <c r="BE213" s="1" t="str">
        <f>IFERROR($BC$3&amp;VLOOKUP(H215,'Pay Table'!$M$3:$N$18,2,FALSE)&amp;$BB$3&amp;I215&amp;$BD$3,"")</f>
        <v/>
      </c>
      <c r="BF213" s="27" t="str">
        <f>IFERROR($BC$3&amp;VLOOKUP(J215,'Pay Table'!$M$3:$N$18,2,FALSE)&amp;$BB$3&amp;K215&amp;$BD$3,"")</f>
        <v/>
      </c>
    </row>
    <row r="214" spans="1:58" ht="17.100000000000001" customHeight="1" x14ac:dyDescent="0.15">
      <c r="A214" s="14">
        <v>209</v>
      </c>
      <c r="BB214" s="26" t="str">
        <f>IFERROR($BC$3&amp;VLOOKUP(B216,'Pay Table'!$M$3:$N$18,2,FALSE)&amp;$BB$3&amp;C216&amp;$BD$3,"")</f>
        <v/>
      </c>
      <c r="BC214" s="1" t="str">
        <f>IFERROR($BC$3&amp;VLOOKUP(D216,'Pay Table'!$M$3:$N$18,2,FALSE)&amp;$BB$3&amp;E216&amp;$BD$3,"")</f>
        <v/>
      </c>
      <c r="BD214" s="1" t="str">
        <f>IFERROR($BC$3&amp;VLOOKUP(F216,'Pay Table'!$M$3:$N$18,2,FALSE)&amp;$BB$3&amp;G216&amp;$BD$3,"")</f>
        <v/>
      </c>
      <c r="BE214" s="1" t="str">
        <f>IFERROR($BC$3&amp;VLOOKUP(H216,'Pay Table'!$M$3:$N$18,2,FALSE)&amp;$BB$3&amp;I216&amp;$BD$3,"")</f>
        <v/>
      </c>
      <c r="BF214" s="27" t="str">
        <f>IFERROR($BC$3&amp;VLOOKUP(J216,'Pay Table'!$M$3:$N$18,2,FALSE)&amp;$BB$3&amp;K216&amp;$BD$3,"")</f>
        <v/>
      </c>
    </row>
    <row r="215" spans="1:58" ht="17.100000000000001" customHeight="1" x14ac:dyDescent="0.15">
      <c r="A215" s="14">
        <v>210</v>
      </c>
      <c r="BB215" s="26" t="str">
        <f>IFERROR($BC$3&amp;VLOOKUP(B217,'Pay Table'!$M$3:$N$18,2,FALSE)&amp;$BB$3&amp;C217&amp;$BD$3,"")</f>
        <v/>
      </c>
      <c r="BC215" s="1" t="str">
        <f>IFERROR($BC$3&amp;VLOOKUP(D217,'Pay Table'!$M$3:$N$18,2,FALSE)&amp;$BB$3&amp;E217&amp;$BD$3,"")</f>
        <v/>
      </c>
      <c r="BD215" s="1" t="str">
        <f>IFERROR($BC$3&amp;VLOOKUP(F217,'Pay Table'!$M$3:$N$18,2,FALSE)&amp;$BB$3&amp;G217&amp;$BD$3,"")</f>
        <v/>
      </c>
      <c r="BE215" s="1" t="str">
        <f>IFERROR($BC$3&amp;VLOOKUP(H217,'Pay Table'!$M$3:$N$18,2,FALSE)&amp;$BB$3&amp;I217&amp;$BD$3,"")</f>
        <v/>
      </c>
      <c r="BF215" s="27" t="str">
        <f>IFERROR($BC$3&amp;VLOOKUP(J217,'Pay Table'!$M$3:$N$18,2,FALSE)&amp;$BB$3&amp;K217&amp;$BD$3,"")</f>
        <v/>
      </c>
    </row>
    <row r="216" spans="1:58" ht="17.100000000000001" customHeight="1" x14ac:dyDescent="0.15">
      <c r="A216" s="14">
        <v>211</v>
      </c>
      <c r="BB216" s="26" t="str">
        <f>IFERROR($BC$3&amp;VLOOKUP(B218,'Pay Table'!$M$3:$N$18,2,FALSE)&amp;$BB$3&amp;C218&amp;$BD$3,"")</f>
        <v/>
      </c>
      <c r="BC216" s="1" t="str">
        <f>IFERROR($BC$3&amp;VLOOKUP(D218,'Pay Table'!$M$3:$N$18,2,FALSE)&amp;$BB$3&amp;E218&amp;$BD$3,"")</f>
        <v/>
      </c>
      <c r="BD216" s="1" t="str">
        <f>IFERROR($BC$3&amp;VLOOKUP(F218,'Pay Table'!$M$3:$N$18,2,FALSE)&amp;$BB$3&amp;G218&amp;$BD$3,"")</f>
        <v/>
      </c>
      <c r="BE216" s="1" t="str">
        <f>IFERROR($BC$3&amp;VLOOKUP(H218,'Pay Table'!$M$3:$N$18,2,FALSE)&amp;$BB$3&amp;I218&amp;$BD$3,"")</f>
        <v/>
      </c>
      <c r="BF216" s="27" t="str">
        <f>IFERROR($BC$3&amp;VLOOKUP(J218,'Pay Table'!$M$3:$N$18,2,FALSE)&amp;$BB$3&amp;K218&amp;$BD$3,"")</f>
        <v/>
      </c>
    </row>
    <row r="217" spans="1:58" ht="17.100000000000001" customHeight="1" x14ac:dyDescent="0.15">
      <c r="A217" s="14">
        <v>212</v>
      </c>
      <c r="BB217" s="26" t="str">
        <f>IFERROR($BC$3&amp;VLOOKUP(B219,'Pay Table'!$M$3:$N$18,2,FALSE)&amp;$BB$3&amp;C219&amp;$BD$3,"")</f>
        <v/>
      </c>
      <c r="BC217" s="1" t="str">
        <f>IFERROR($BC$3&amp;VLOOKUP(D219,'Pay Table'!$M$3:$N$18,2,FALSE)&amp;$BB$3&amp;E219&amp;$BD$3,"")</f>
        <v/>
      </c>
      <c r="BD217" s="1" t="str">
        <f>IFERROR($BC$3&amp;VLOOKUP(F219,'Pay Table'!$M$3:$N$18,2,FALSE)&amp;$BB$3&amp;G219&amp;$BD$3,"")</f>
        <v/>
      </c>
      <c r="BE217" s="1" t="str">
        <f>IFERROR($BC$3&amp;VLOOKUP(H219,'Pay Table'!$M$3:$N$18,2,FALSE)&amp;$BB$3&amp;I219&amp;$BD$3,"")</f>
        <v/>
      </c>
      <c r="BF217" s="27" t="str">
        <f>IFERROR($BC$3&amp;VLOOKUP(J219,'Pay Table'!$M$3:$N$18,2,FALSE)&amp;$BB$3&amp;K219&amp;$BD$3,"")</f>
        <v/>
      </c>
    </row>
    <row r="218" spans="1:58" ht="17.100000000000001" customHeight="1" x14ac:dyDescent="0.15">
      <c r="A218" s="14">
        <v>213</v>
      </c>
      <c r="BB218" s="26" t="str">
        <f>IFERROR($BC$3&amp;VLOOKUP(B220,'Pay Table'!$M$3:$N$18,2,FALSE)&amp;$BB$3&amp;C220&amp;$BD$3,"")</f>
        <v/>
      </c>
      <c r="BC218" s="1" t="str">
        <f>IFERROR($BC$3&amp;VLOOKUP(D220,'Pay Table'!$M$3:$N$18,2,FALSE)&amp;$BB$3&amp;E220&amp;$BD$3,"")</f>
        <v/>
      </c>
      <c r="BD218" s="1" t="str">
        <f>IFERROR($BC$3&amp;VLOOKUP(F220,'Pay Table'!$M$3:$N$18,2,FALSE)&amp;$BB$3&amp;G220&amp;$BD$3,"")</f>
        <v/>
      </c>
      <c r="BE218" s="1" t="str">
        <f>IFERROR($BC$3&amp;VLOOKUP(H220,'Pay Table'!$M$3:$N$18,2,FALSE)&amp;$BB$3&amp;I220&amp;$BD$3,"")</f>
        <v/>
      </c>
      <c r="BF218" s="27" t="str">
        <f>IFERROR($BC$3&amp;VLOOKUP(J220,'Pay Table'!$M$3:$N$18,2,FALSE)&amp;$BB$3&amp;K220&amp;$BD$3,"")</f>
        <v/>
      </c>
    </row>
    <row r="219" spans="1:58" ht="17.100000000000001" customHeight="1" x14ac:dyDescent="0.15">
      <c r="A219" s="14">
        <v>214</v>
      </c>
      <c r="BB219" s="26" t="str">
        <f>IFERROR($BC$3&amp;VLOOKUP(B221,'Pay Table'!$M$3:$N$18,2,FALSE)&amp;$BB$3&amp;C221&amp;$BD$3,"")</f>
        <v/>
      </c>
      <c r="BC219" s="1" t="str">
        <f>IFERROR($BC$3&amp;VLOOKUP(D221,'Pay Table'!$M$3:$N$18,2,FALSE)&amp;$BB$3&amp;E221&amp;$BD$3,"")</f>
        <v/>
      </c>
      <c r="BD219" s="1" t="str">
        <f>IFERROR($BC$3&amp;VLOOKUP(F221,'Pay Table'!$M$3:$N$18,2,FALSE)&amp;$BB$3&amp;G221&amp;$BD$3,"")</f>
        <v/>
      </c>
      <c r="BE219" s="1" t="str">
        <f>IFERROR($BC$3&amp;VLOOKUP(H221,'Pay Table'!$M$3:$N$18,2,FALSE)&amp;$BB$3&amp;I221&amp;$BD$3,"")</f>
        <v/>
      </c>
      <c r="BF219" s="27" t="str">
        <f>IFERROR($BC$3&amp;VLOOKUP(J221,'Pay Table'!$M$3:$N$18,2,FALSE)&amp;$BB$3&amp;K221&amp;$BD$3,"")</f>
        <v/>
      </c>
    </row>
    <row r="220" spans="1:58" ht="17.100000000000001" customHeight="1" x14ac:dyDescent="0.15">
      <c r="A220" s="14">
        <v>215</v>
      </c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BB220" s="26" t="str">
        <f>IFERROR($BC$3&amp;VLOOKUP(B222,'Pay Table'!$M$3:$N$18,2,FALSE)&amp;$BB$3&amp;C222&amp;$BD$3,"")</f>
        <v/>
      </c>
      <c r="BC220" s="1" t="str">
        <f>IFERROR($BC$3&amp;VLOOKUP(D222,'Pay Table'!$M$3:$N$18,2,FALSE)&amp;$BB$3&amp;E222&amp;$BD$3,"")</f>
        <v/>
      </c>
      <c r="BD220" s="1" t="str">
        <f>IFERROR($BC$3&amp;VLOOKUP(F222,'Pay Table'!$M$3:$N$18,2,FALSE)&amp;$BB$3&amp;G222&amp;$BD$3,"")</f>
        <v/>
      </c>
      <c r="BE220" s="1" t="str">
        <f>IFERROR($BC$3&amp;VLOOKUP(H222,'Pay Table'!$M$3:$N$18,2,FALSE)&amp;$BB$3&amp;I222&amp;$BD$3,"")</f>
        <v/>
      </c>
      <c r="BF220" s="27" t="str">
        <f>IFERROR($BC$3&amp;VLOOKUP(J222,'Pay Table'!$M$3:$N$18,2,FALSE)&amp;$BB$3&amp;K222&amp;$BD$3,"")</f>
        <v/>
      </c>
    </row>
    <row r="221" spans="1:58" ht="17.100000000000001" customHeight="1" x14ac:dyDescent="0.15">
      <c r="A221" s="14">
        <v>216</v>
      </c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BB221" s="26" t="str">
        <f>IFERROR($BC$3&amp;VLOOKUP(B223,'Pay Table'!$M$3:$N$18,2,FALSE)&amp;$BB$3&amp;C223&amp;$BD$3,"")</f>
        <v/>
      </c>
      <c r="BC221" s="1" t="str">
        <f>IFERROR($BC$3&amp;VLOOKUP(D223,'Pay Table'!$M$3:$N$18,2,FALSE)&amp;$BB$3&amp;E223&amp;$BD$3,"")</f>
        <v/>
      </c>
      <c r="BD221" s="1" t="str">
        <f>IFERROR($BC$3&amp;VLOOKUP(F223,'Pay Table'!$M$3:$N$18,2,FALSE)&amp;$BB$3&amp;G223&amp;$BD$3,"")</f>
        <v/>
      </c>
      <c r="BE221" s="1" t="str">
        <f>IFERROR($BC$3&amp;VLOOKUP(H223,'Pay Table'!$M$3:$N$18,2,FALSE)&amp;$BB$3&amp;I223&amp;$BD$3,"")</f>
        <v/>
      </c>
      <c r="BF221" s="27" t="str">
        <f>IFERROR($BC$3&amp;VLOOKUP(J223,'Pay Table'!$M$3:$N$18,2,FALSE)&amp;$BB$3&amp;K223&amp;$BD$3,"")</f>
        <v/>
      </c>
    </row>
    <row r="222" spans="1:58" ht="17.100000000000001" customHeight="1" x14ac:dyDescent="0.15">
      <c r="A222" s="14">
        <v>217</v>
      </c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BB222" s="26" t="str">
        <f>IFERROR($BC$3&amp;VLOOKUP(B224,'Pay Table'!$M$3:$N$18,2,FALSE)&amp;$BB$3&amp;C224&amp;$BD$3,"")</f>
        <v/>
      </c>
      <c r="BC222" s="1" t="str">
        <f>IFERROR($BC$3&amp;VLOOKUP(D224,'Pay Table'!$M$3:$N$18,2,FALSE)&amp;$BB$3&amp;E224&amp;$BD$3,"")</f>
        <v/>
      </c>
      <c r="BD222" s="1" t="str">
        <f>IFERROR($BC$3&amp;VLOOKUP(F224,'Pay Table'!$M$3:$N$18,2,FALSE)&amp;$BB$3&amp;G224&amp;$BD$3,"")</f>
        <v/>
      </c>
      <c r="BE222" s="1" t="str">
        <f>IFERROR($BC$3&amp;VLOOKUP(H224,'Pay Table'!$M$3:$N$18,2,FALSE)&amp;$BB$3&amp;I224&amp;$BD$3,"")</f>
        <v/>
      </c>
      <c r="BF222" s="27" t="str">
        <f>IFERROR($BC$3&amp;VLOOKUP(J224,'Pay Table'!$M$3:$N$18,2,FALSE)&amp;$BB$3&amp;K224&amp;$BD$3,"")</f>
        <v/>
      </c>
    </row>
    <row r="223" spans="1:58" ht="17.100000000000001" customHeight="1" x14ac:dyDescent="0.15">
      <c r="A223" s="14">
        <v>218</v>
      </c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BB223" s="26" t="str">
        <f>IFERROR($BC$3&amp;VLOOKUP(B225,'Pay Table'!$M$3:$N$18,2,FALSE)&amp;$BB$3&amp;C225&amp;$BD$3,"")</f>
        <v/>
      </c>
      <c r="BC223" s="1" t="str">
        <f>IFERROR($BC$3&amp;VLOOKUP(D225,'Pay Table'!$M$3:$N$18,2,FALSE)&amp;$BB$3&amp;E225&amp;$BD$3,"")</f>
        <v/>
      </c>
      <c r="BD223" s="1" t="str">
        <f>IFERROR($BC$3&amp;VLOOKUP(F225,'Pay Table'!$M$3:$N$18,2,FALSE)&amp;$BB$3&amp;G225&amp;$BD$3,"")</f>
        <v/>
      </c>
      <c r="BE223" s="1" t="str">
        <f>IFERROR($BC$3&amp;VLOOKUP(H225,'Pay Table'!$M$3:$N$18,2,FALSE)&amp;$BB$3&amp;I225&amp;$BD$3,"")</f>
        <v/>
      </c>
      <c r="BF223" s="27" t="str">
        <f>IFERROR($BC$3&amp;VLOOKUP(J225,'Pay Table'!$M$3:$N$18,2,FALSE)&amp;$BB$3&amp;K225&amp;$BD$3,"")</f>
        <v/>
      </c>
    </row>
    <row r="224" spans="1:58" ht="17.100000000000001" customHeight="1" x14ac:dyDescent="0.15">
      <c r="BB224" s="26" t="str">
        <f>IFERROR($BC$3&amp;VLOOKUP(B226,'Pay Table'!$M$3:$N$18,2,FALSE)&amp;$BB$3&amp;C226&amp;$BD$3,"")</f>
        <v/>
      </c>
      <c r="BC224" s="1" t="str">
        <f>IFERROR($BC$3&amp;VLOOKUP(D226,'Pay Table'!$M$3:$N$18,2,FALSE)&amp;$BB$3&amp;E226&amp;$BD$3,"")</f>
        <v/>
      </c>
      <c r="BD224" s="1" t="str">
        <f>IFERROR($BC$3&amp;VLOOKUP(F226,'Pay Table'!$M$3:$N$18,2,FALSE)&amp;$BB$3&amp;G226&amp;$BD$3,"")</f>
        <v/>
      </c>
      <c r="BE224" s="1" t="str">
        <f>IFERROR($BC$3&amp;VLOOKUP(H226,'Pay Table'!$M$3:$N$18,2,FALSE)&amp;$BB$3&amp;I226&amp;$BD$3,"")</f>
        <v/>
      </c>
      <c r="BF224" s="27" t="str">
        <f>IFERROR($BC$3&amp;VLOOKUP(J226,'Pay Table'!$M$3:$N$18,2,FALSE)&amp;$BB$3&amp;K226&amp;$BD$3,"")</f>
        <v/>
      </c>
    </row>
    <row r="225" spans="54:58" ht="17.100000000000001" customHeight="1" x14ac:dyDescent="0.15">
      <c r="BB225" s="26" t="str">
        <f>IFERROR($BC$3&amp;VLOOKUP(B227,'Pay Table'!$M$3:$N$18,2,FALSE)&amp;$BB$3&amp;C227&amp;$BD$3,"")</f>
        <v/>
      </c>
      <c r="BC225" s="1" t="str">
        <f>IFERROR($BC$3&amp;VLOOKUP(D227,'Pay Table'!$M$3:$N$18,2,FALSE)&amp;$BB$3&amp;E227&amp;$BD$3,"")</f>
        <v/>
      </c>
      <c r="BD225" s="1" t="str">
        <f>IFERROR($BC$3&amp;VLOOKUP(F227,'Pay Table'!$M$3:$N$18,2,FALSE)&amp;$BB$3&amp;G227&amp;$BD$3,"")</f>
        <v/>
      </c>
      <c r="BE225" s="1" t="str">
        <f>IFERROR($BC$3&amp;VLOOKUP(H227,'Pay Table'!$M$3:$N$18,2,FALSE)&amp;$BB$3&amp;I227&amp;$BD$3,"")</f>
        <v/>
      </c>
      <c r="BF225" s="27" t="str">
        <f>IFERROR($BC$3&amp;VLOOKUP(J227,'Pay Table'!$M$3:$N$18,2,FALSE)&amp;$BB$3&amp;K227&amp;$BD$3,"")</f>
        <v/>
      </c>
    </row>
    <row r="226" spans="54:58" ht="17.100000000000001" customHeight="1" x14ac:dyDescent="0.15">
      <c r="BB226" s="26" t="str">
        <f>IFERROR($BC$3&amp;VLOOKUP(B228,'Pay Table'!$M$3:$N$18,2,FALSE)&amp;$BB$3&amp;C228&amp;$BD$3,"")</f>
        <v/>
      </c>
      <c r="BC226" s="1" t="str">
        <f>IFERROR($BC$3&amp;VLOOKUP(D228,'Pay Table'!$M$3:$N$18,2,FALSE)&amp;$BB$3&amp;E228&amp;$BD$3,"")</f>
        <v/>
      </c>
      <c r="BD226" s="1" t="str">
        <f>IFERROR($BC$3&amp;VLOOKUP(F228,'Pay Table'!$M$3:$N$18,2,FALSE)&amp;$BB$3&amp;G228&amp;$BD$3,"")</f>
        <v/>
      </c>
      <c r="BE226" s="1" t="str">
        <f>IFERROR($BC$3&amp;VLOOKUP(H228,'Pay Table'!$M$3:$N$18,2,FALSE)&amp;$BB$3&amp;I228&amp;$BD$3,"")</f>
        <v/>
      </c>
      <c r="BF226" s="27" t="str">
        <f>IFERROR($BC$3&amp;VLOOKUP(J228,'Pay Table'!$M$3:$N$18,2,FALSE)&amp;$BB$3&amp;K228&amp;$BD$3,"")</f>
        <v/>
      </c>
    </row>
    <row r="227" spans="54:58" ht="17.100000000000001" customHeight="1" x14ac:dyDescent="0.15">
      <c r="BB227" s="26" t="str">
        <f>IFERROR($BC$3&amp;VLOOKUP(B229,'Pay Table'!$M$3:$N$18,2,FALSE)&amp;$BB$3&amp;C229&amp;$BD$3,"")</f>
        <v/>
      </c>
      <c r="BC227" s="1" t="str">
        <f>IFERROR($BC$3&amp;VLOOKUP(D229,'Pay Table'!$M$3:$N$18,2,FALSE)&amp;$BB$3&amp;E229&amp;$BD$3,"")</f>
        <v/>
      </c>
      <c r="BD227" s="1" t="str">
        <f>IFERROR($BC$3&amp;VLOOKUP(F229,'Pay Table'!$M$3:$N$18,2,FALSE)&amp;$BB$3&amp;G229&amp;$BD$3,"")</f>
        <v/>
      </c>
      <c r="BE227" s="1" t="str">
        <f>IFERROR($BC$3&amp;VLOOKUP(H229,'Pay Table'!$M$3:$N$18,2,FALSE)&amp;$BB$3&amp;I229&amp;$BD$3,"")</f>
        <v/>
      </c>
      <c r="BF227" s="27" t="str">
        <f>IFERROR($BC$3&amp;VLOOKUP(J229,'Pay Table'!$M$3:$N$18,2,FALSE)&amp;$BB$3&amp;K229&amp;$BD$3,"")</f>
        <v/>
      </c>
    </row>
    <row r="228" spans="54:58" ht="17.100000000000001" customHeight="1" x14ac:dyDescent="0.15">
      <c r="BB228" s="26" t="str">
        <f>IFERROR($BC$3&amp;VLOOKUP(B230,'Pay Table'!$M$3:$N$18,2,FALSE)&amp;$BB$3&amp;C230&amp;$BD$3,"")</f>
        <v/>
      </c>
      <c r="BC228" s="1" t="str">
        <f>IFERROR($BC$3&amp;VLOOKUP(D230,'Pay Table'!$M$3:$N$18,2,FALSE)&amp;$BB$3&amp;E230&amp;$BD$3,"")</f>
        <v/>
      </c>
      <c r="BD228" s="1" t="str">
        <f>IFERROR($BC$3&amp;VLOOKUP(F230,'Pay Table'!$M$3:$N$18,2,FALSE)&amp;$BB$3&amp;G230&amp;$BD$3,"")</f>
        <v/>
      </c>
      <c r="BE228" s="1" t="str">
        <f>IFERROR($BC$3&amp;VLOOKUP(H230,'Pay Table'!$M$3:$N$18,2,FALSE)&amp;$BB$3&amp;I230&amp;$BD$3,"")</f>
        <v/>
      </c>
      <c r="BF228" s="27" t="str">
        <f>IFERROR($BC$3&amp;VLOOKUP(J230,'Pay Table'!$M$3:$N$18,2,FALSE)&amp;$BB$3&amp;K230&amp;$BD$3,"")</f>
        <v/>
      </c>
    </row>
    <row r="229" spans="54:58" ht="17.100000000000001" customHeight="1" x14ac:dyDescent="0.15">
      <c r="BB229" s="26" t="str">
        <f>IFERROR($BC$3&amp;VLOOKUP(B231,'Pay Table'!$M$3:$N$18,2,FALSE)&amp;$BB$3&amp;C231&amp;$BD$3,"")</f>
        <v/>
      </c>
      <c r="BC229" s="1" t="str">
        <f>IFERROR($BC$3&amp;VLOOKUP(D231,'Pay Table'!$M$3:$N$18,2,FALSE)&amp;$BB$3&amp;E231&amp;$BD$3,"")</f>
        <v/>
      </c>
      <c r="BD229" s="1" t="str">
        <f>IFERROR($BC$3&amp;VLOOKUP(F231,'Pay Table'!$M$3:$N$18,2,FALSE)&amp;$BB$3&amp;G231&amp;$BD$3,"")</f>
        <v/>
      </c>
      <c r="BE229" s="1" t="str">
        <f>IFERROR($BC$3&amp;VLOOKUP(H231,'Pay Table'!$M$3:$N$18,2,FALSE)&amp;$BB$3&amp;I231&amp;$BD$3,"")</f>
        <v/>
      </c>
      <c r="BF229" s="27" t="str">
        <f>IFERROR($BC$3&amp;VLOOKUP(J231,'Pay Table'!$M$3:$N$18,2,FALSE)&amp;$BB$3&amp;K231&amp;$BD$3,"")</f>
        <v/>
      </c>
    </row>
    <row r="230" spans="54:58" ht="17.100000000000001" customHeight="1" x14ac:dyDescent="0.15">
      <c r="BB230" s="26" t="str">
        <f>IFERROR($BC$3&amp;VLOOKUP(B232,'Pay Table'!$M$3:$N$18,2,FALSE)&amp;$BB$3&amp;C232&amp;$BD$3,"")</f>
        <v/>
      </c>
      <c r="BC230" s="1" t="str">
        <f>IFERROR($BC$3&amp;VLOOKUP(D232,'Pay Table'!$M$3:$N$18,2,FALSE)&amp;$BB$3&amp;E232&amp;$BD$3,"")</f>
        <v/>
      </c>
      <c r="BD230" s="1" t="str">
        <f>IFERROR($BC$3&amp;VLOOKUP(F232,'Pay Table'!$M$3:$N$18,2,FALSE)&amp;$BB$3&amp;G232&amp;$BD$3,"")</f>
        <v/>
      </c>
      <c r="BE230" s="1" t="str">
        <f>IFERROR($BC$3&amp;VLOOKUP(H232,'Pay Table'!$M$3:$N$18,2,FALSE)&amp;$BB$3&amp;I232&amp;$BD$3,"")</f>
        <v/>
      </c>
      <c r="BF230" s="27" t="str">
        <f>IFERROR($BC$3&amp;VLOOKUP(J232,'Pay Table'!$M$3:$N$18,2,FALSE)&amp;$BB$3&amp;K232&amp;$BD$3,"")</f>
        <v/>
      </c>
    </row>
    <row r="231" spans="54:58" ht="17.100000000000001" customHeight="1" x14ac:dyDescent="0.15">
      <c r="BB231" s="26" t="str">
        <f>IFERROR($BC$3&amp;VLOOKUP(B233,'Pay Table'!$M$3:$N$18,2,FALSE)&amp;$BB$3&amp;C233&amp;$BD$3,"")</f>
        <v/>
      </c>
      <c r="BC231" s="1" t="str">
        <f>IFERROR($BC$3&amp;VLOOKUP(D233,'Pay Table'!$M$3:$N$18,2,FALSE)&amp;$BB$3&amp;E233&amp;$BD$3,"")</f>
        <v/>
      </c>
      <c r="BD231" s="1" t="str">
        <f>IFERROR($BC$3&amp;VLOOKUP(F233,'Pay Table'!$M$3:$N$18,2,FALSE)&amp;$BB$3&amp;G233&amp;$BD$3,"")</f>
        <v/>
      </c>
      <c r="BE231" s="1" t="str">
        <f>IFERROR($BC$3&amp;VLOOKUP(H233,'Pay Table'!$M$3:$N$18,2,FALSE)&amp;$BB$3&amp;I233&amp;$BD$3,"")</f>
        <v/>
      </c>
      <c r="BF231" s="27" t="str">
        <f>IFERROR($BC$3&amp;VLOOKUP(J233,'Pay Table'!$M$3:$N$18,2,FALSE)&amp;$BB$3&amp;K233&amp;$BD$3,"")</f>
        <v/>
      </c>
    </row>
    <row r="232" spans="54:58" ht="17.100000000000001" customHeight="1" x14ac:dyDescent="0.15">
      <c r="BB232" s="26" t="str">
        <f>IFERROR($BC$3&amp;VLOOKUP(B234,'Pay Table'!$M$3:$N$18,2,FALSE)&amp;$BB$3&amp;C234&amp;$BD$3,"")</f>
        <v/>
      </c>
      <c r="BC232" s="1" t="str">
        <f>IFERROR($BC$3&amp;VLOOKUP(D234,'Pay Table'!$M$3:$N$18,2,FALSE)&amp;$BB$3&amp;E234&amp;$BD$3,"")</f>
        <v/>
      </c>
      <c r="BD232" s="1" t="str">
        <f>IFERROR($BC$3&amp;VLOOKUP(F234,'Pay Table'!$M$3:$N$18,2,FALSE)&amp;$BB$3&amp;G234&amp;$BD$3,"")</f>
        <v/>
      </c>
      <c r="BE232" s="1" t="str">
        <f>IFERROR($BC$3&amp;VLOOKUP(H234,'Pay Table'!$M$3:$N$18,2,FALSE)&amp;$BB$3&amp;I234&amp;$BD$3,"")</f>
        <v/>
      </c>
      <c r="BF232" s="27" t="str">
        <f>IFERROR($BC$3&amp;VLOOKUP(J234,'Pay Table'!$M$3:$N$18,2,FALSE)&amp;$BB$3&amp;K234&amp;$BD$3,"")</f>
        <v/>
      </c>
    </row>
    <row r="233" spans="54:58" ht="17.100000000000001" customHeight="1" x14ac:dyDescent="0.15">
      <c r="BB233" s="26" t="str">
        <f>IFERROR($BC$3&amp;VLOOKUP(B235,'Pay Table'!$M$3:$N$18,2,FALSE)&amp;$BB$3&amp;C235&amp;$BD$3,"")</f>
        <v/>
      </c>
      <c r="BC233" s="1" t="str">
        <f>IFERROR($BC$3&amp;VLOOKUP(D235,'Pay Table'!$M$3:$N$18,2,FALSE)&amp;$BB$3&amp;E235&amp;$BD$3,"")</f>
        <v/>
      </c>
      <c r="BD233" s="1" t="str">
        <f>IFERROR($BC$3&amp;VLOOKUP(F235,'Pay Table'!$M$3:$N$18,2,FALSE)&amp;$BB$3&amp;G235&amp;$BD$3,"")</f>
        <v/>
      </c>
      <c r="BE233" s="1" t="str">
        <f>IFERROR($BC$3&amp;VLOOKUP(H235,'Pay Table'!$M$3:$N$18,2,FALSE)&amp;$BB$3&amp;I235&amp;$BD$3,"")</f>
        <v/>
      </c>
      <c r="BF233" s="27" t="str">
        <f>IFERROR($BC$3&amp;VLOOKUP(J235,'Pay Table'!$M$3:$N$18,2,FALSE)&amp;$BB$3&amp;K235&amp;$BD$3,"")</f>
        <v/>
      </c>
    </row>
    <row r="234" spans="54:58" ht="17.100000000000001" customHeight="1" x14ac:dyDescent="0.15">
      <c r="BB234" s="26" t="str">
        <f>IFERROR($BC$3&amp;VLOOKUP(B236,'Pay Table'!$M$3:$N$18,2,FALSE)&amp;$BB$3&amp;C236&amp;$BD$3,"")</f>
        <v/>
      </c>
      <c r="BC234" s="1" t="str">
        <f>IFERROR($BC$3&amp;VLOOKUP(D236,'Pay Table'!$M$3:$N$18,2,FALSE)&amp;$BB$3&amp;E236&amp;$BD$3,"")</f>
        <v/>
      </c>
      <c r="BD234" s="1" t="str">
        <f>IFERROR($BC$3&amp;VLOOKUP(F236,'Pay Table'!$M$3:$N$18,2,FALSE)&amp;$BB$3&amp;G236&amp;$BD$3,"")</f>
        <v/>
      </c>
      <c r="BE234" s="1" t="str">
        <f>IFERROR($BC$3&amp;VLOOKUP(H236,'Pay Table'!$M$3:$N$18,2,FALSE)&amp;$BB$3&amp;I236&amp;$BD$3,"")</f>
        <v/>
      </c>
      <c r="BF234" s="27" t="str">
        <f>IFERROR($BC$3&amp;VLOOKUP(J236,'Pay Table'!$M$3:$N$18,2,FALSE)&amp;$BB$3&amp;K236&amp;$BD$3,"")</f>
        <v/>
      </c>
    </row>
    <row r="235" spans="54:58" ht="17.100000000000001" customHeight="1" x14ac:dyDescent="0.15">
      <c r="BB235" s="26" t="str">
        <f>IFERROR($BC$3&amp;VLOOKUP(B237,'Pay Table'!$M$3:$N$18,2,FALSE)&amp;$BB$3&amp;C237&amp;$BD$3,"")</f>
        <v/>
      </c>
      <c r="BC235" s="1" t="str">
        <f>IFERROR($BC$3&amp;VLOOKUP(D237,'Pay Table'!$M$3:$N$18,2,FALSE)&amp;$BB$3&amp;E237&amp;$BD$3,"")</f>
        <v/>
      </c>
      <c r="BD235" s="1" t="str">
        <f>IFERROR($BC$3&amp;VLOOKUP(F237,'Pay Table'!$M$3:$N$18,2,FALSE)&amp;$BB$3&amp;G237&amp;$BD$3,"")</f>
        <v/>
      </c>
      <c r="BE235" s="1" t="str">
        <f>IFERROR($BC$3&amp;VLOOKUP(H237,'Pay Table'!$M$3:$N$18,2,FALSE)&amp;$BB$3&amp;I237&amp;$BD$3,"")</f>
        <v/>
      </c>
      <c r="BF235" s="27" t="str">
        <f>IFERROR($BC$3&amp;VLOOKUP(J237,'Pay Table'!$M$3:$N$18,2,FALSE)&amp;$BB$3&amp;K237&amp;$BD$3,"")</f>
        <v/>
      </c>
    </row>
    <row r="236" spans="54:58" ht="17.100000000000001" customHeight="1" x14ac:dyDescent="0.15">
      <c r="BB236" s="26" t="str">
        <f>IFERROR($BC$3&amp;VLOOKUP(B238,'Pay Table'!$M$3:$N$18,2,FALSE)&amp;$BB$3&amp;C238&amp;$BD$3,"")</f>
        <v/>
      </c>
      <c r="BC236" s="1" t="str">
        <f>IFERROR($BC$3&amp;VLOOKUP(D238,'Pay Table'!$M$3:$N$18,2,FALSE)&amp;$BB$3&amp;E238&amp;$BD$3,"")</f>
        <v/>
      </c>
      <c r="BD236" s="1" t="str">
        <f>IFERROR($BC$3&amp;VLOOKUP(F238,'Pay Table'!$M$3:$N$18,2,FALSE)&amp;$BB$3&amp;G238&amp;$BD$3,"")</f>
        <v/>
      </c>
      <c r="BE236" s="1" t="str">
        <f>IFERROR($BC$3&amp;VLOOKUP(H238,'Pay Table'!$M$3:$N$18,2,FALSE)&amp;$BB$3&amp;I238&amp;$BD$3,"")</f>
        <v/>
      </c>
      <c r="BF236" s="27" t="str">
        <f>IFERROR($BC$3&amp;VLOOKUP(J238,'Pay Table'!$M$3:$N$18,2,FALSE)&amp;$BB$3&amp;K238&amp;$BD$3,"")</f>
        <v/>
      </c>
    </row>
    <row r="237" spans="54:58" ht="17.100000000000001" customHeight="1" x14ac:dyDescent="0.15">
      <c r="BB237" s="26" t="str">
        <f>IFERROR($BC$3&amp;VLOOKUP(B239,'Pay Table'!$M$3:$N$18,2,FALSE)&amp;$BB$3&amp;C239&amp;$BD$3,"")</f>
        <v/>
      </c>
      <c r="BC237" s="1" t="str">
        <f>IFERROR($BC$3&amp;VLOOKUP(D239,'Pay Table'!$M$3:$N$18,2,FALSE)&amp;$BB$3&amp;E239&amp;$BD$3,"")</f>
        <v/>
      </c>
      <c r="BD237" s="1" t="str">
        <f>IFERROR($BC$3&amp;VLOOKUP(F239,'Pay Table'!$M$3:$N$18,2,FALSE)&amp;$BB$3&amp;G239&amp;$BD$3,"")</f>
        <v/>
      </c>
      <c r="BE237" s="1" t="str">
        <f>IFERROR($BC$3&amp;VLOOKUP(H239,'Pay Table'!$M$3:$N$18,2,FALSE)&amp;$BB$3&amp;I239&amp;$BD$3,"")</f>
        <v/>
      </c>
      <c r="BF237" s="27" t="str">
        <f>IFERROR($BC$3&amp;VLOOKUP(J239,'Pay Table'!$M$3:$N$18,2,FALSE)&amp;$BB$3&amp;K239&amp;$BD$3,"")</f>
        <v/>
      </c>
    </row>
    <row r="238" spans="54:58" ht="17.100000000000001" customHeight="1" x14ac:dyDescent="0.15">
      <c r="BB238" s="26" t="str">
        <f>IFERROR($BC$3&amp;VLOOKUP(B240,'Pay Table'!$M$3:$N$18,2,FALSE)&amp;$BB$3&amp;C240&amp;$BD$3,"")</f>
        <v/>
      </c>
      <c r="BC238" s="1" t="str">
        <f>IFERROR($BC$3&amp;VLOOKUP(D240,'Pay Table'!$M$3:$N$18,2,FALSE)&amp;$BB$3&amp;E240&amp;$BD$3,"")</f>
        <v/>
      </c>
      <c r="BD238" s="1" t="str">
        <f>IFERROR($BC$3&amp;VLOOKUP(F240,'Pay Table'!$M$3:$N$18,2,FALSE)&amp;$BB$3&amp;G240&amp;$BD$3,"")</f>
        <v/>
      </c>
      <c r="BE238" s="1" t="str">
        <f>IFERROR($BC$3&amp;VLOOKUP(H240,'Pay Table'!$M$3:$N$18,2,FALSE)&amp;$BB$3&amp;I240&amp;$BD$3,"")</f>
        <v/>
      </c>
      <c r="BF238" s="27" t="str">
        <f>IFERROR($BC$3&amp;VLOOKUP(J240,'Pay Table'!$M$3:$N$18,2,FALSE)&amp;$BB$3&amp;K240&amp;$BD$3,"")</f>
        <v/>
      </c>
    </row>
    <row r="239" spans="54:58" ht="17.100000000000001" customHeight="1" x14ac:dyDescent="0.15">
      <c r="BB239" s="26" t="str">
        <f>IFERROR($BC$3&amp;VLOOKUP(B241,'Pay Table'!$M$3:$N$18,2,FALSE)&amp;$BB$3&amp;C241&amp;$BD$3,"")</f>
        <v/>
      </c>
      <c r="BC239" s="1" t="str">
        <f>IFERROR($BC$3&amp;VLOOKUP(D241,'Pay Table'!$M$3:$N$18,2,FALSE)&amp;$BB$3&amp;E241&amp;$BD$3,"")</f>
        <v/>
      </c>
      <c r="BD239" s="1" t="str">
        <f>IFERROR($BC$3&amp;VLOOKUP(F241,'Pay Table'!$M$3:$N$18,2,FALSE)&amp;$BB$3&amp;G241&amp;$BD$3,"")</f>
        <v/>
      </c>
      <c r="BE239" s="1" t="str">
        <f>IFERROR($BC$3&amp;VLOOKUP(H241,'Pay Table'!$M$3:$N$18,2,FALSE)&amp;$BB$3&amp;I241&amp;$BD$3,"")</f>
        <v/>
      </c>
      <c r="BF239" s="27" t="str">
        <f>IFERROR($BC$3&amp;VLOOKUP(J241,'Pay Table'!$M$3:$N$18,2,FALSE)&amp;$BB$3&amp;K241&amp;$BD$3,"")</f>
        <v/>
      </c>
    </row>
    <row r="240" spans="54:58" ht="17.100000000000001" customHeight="1" x14ac:dyDescent="0.15">
      <c r="BB240" s="26" t="str">
        <f>IFERROR($BC$3&amp;VLOOKUP(B242,'Pay Table'!$M$3:$N$18,2,FALSE)&amp;$BB$3&amp;C242&amp;$BD$3,"")</f>
        <v/>
      </c>
      <c r="BC240" s="1" t="str">
        <f>IFERROR($BC$3&amp;VLOOKUP(D242,'Pay Table'!$M$3:$N$18,2,FALSE)&amp;$BB$3&amp;E242&amp;$BD$3,"")</f>
        <v/>
      </c>
      <c r="BD240" s="1" t="str">
        <f>IFERROR($BC$3&amp;VLOOKUP(F242,'Pay Table'!$M$3:$N$18,2,FALSE)&amp;$BB$3&amp;G242&amp;$BD$3,"")</f>
        <v/>
      </c>
      <c r="BE240" s="1" t="str">
        <f>IFERROR($BC$3&amp;VLOOKUP(H242,'Pay Table'!$M$3:$N$18,2,FALSE)&amp;$BB$3&amp;I242&amp;$BD$3,"")</f>
        <v/>
      </c>
      <c r="BF240" s="27" t="str">
        <f>IFERROR($BC$3&amp;VLOOKUP(J242,'Pay Table'!$M$3:$N$18,2,FALSE)&amp;$BB$3&amp;K242&amp;$BD$3,"")</f>
        <v/>
      </c>
    </row>
    <row r="241" spans="54:58" ht="17.100000000000001" customHeight="1" x14ac:dyDescent="0.15">
      <c r="BB241" s="26" t="str">
        <f>IFERROR($BC$3&amp;VLOOKUP(B243,'Pay Table'!$M$3:$N$18,2,FALSE)&amp;$BB$3&amp;C243&amp;$BD$3,"")</f>
        <v/>
      </c>
      <c r="BC241" s="1" t="str">
        <f>IFERROR($BC$3&amp;VLOOKUP(D243,'Pay Table'!$M$3:$N$18,2,FALSE)&amp;$BB$3&amp;E243&amp;$BD$3,"")</f>
        <v/>
      </c>
      <c r="BD241" s="1" t="str">
        <f>IFERROR($BC$3&amp;VLOOKUP(F243,'Pay Table'!$M$3:$N$18,2,FALSE)&amp;$BB$3&amp;G243&amp;$BD$3,"")</f>
        <v/>
      </c>
      <c r="BE241" s="1" t="str">
        <f>IFERROR($BC$3&amp;VLOOKUP(H243,'Pay Table'!$M$3:$N$18,2,FALSE)&amp;$BB$3&amp;I243&amp;$BD$3,"")</f>
        <v/>
      </c>
      <c r="BF241" s="27" t="str">
        <f>IFERROR($BC$3&amp;VLOOKUP(J243,'Pay Table'!$M$3:$N$18,2,FALSE)&amp;$BB$3&amp;K243&amp;$BD$3,"")</f>
        <v/>
      </c>
    </row>
    <row r="242" spans="54:58" ht="17.100000000000001" customHeight="1" x14ac:dyDescent="0.15">
      <c r="BB242" s="26" t="str">
        <f>IFERROR($BC$3&amp;VLOOKUP(B244,'Pay Table'!$M$3:$N$18,2,FALSE)&amp;$BB$3&amp;C244&amp;$BD$3,"")</f>
        <v/>
      </c>
      <c r="BC242" s="1" t="str">
        <f>IFERROR($BC$3&amp;VLOOKUP(D244,'Pay Table'!$M$3:$N$18,2,FALSE)&amp;$BB$3&amp;E244&amp;$BD$3,"")</f>
        <v/>
      </c>
      <c r="BD242" s="1" t="str">
        <f>IFERROR($BC$3&amp;VLOOKUP(F244,'Pay Table'!$M$3:$N$18,2,FALSE)&amp;$BB$3&amp;G244&amp;$BD$3,"")</f>
        <v/>
      </c>
      <c r="BE242" s="1" t="str">
        <f>IFERROR($BC$3&amp;VLOOKUP(H244,'Pay Table'!$M$3:$N$18,2,FALSE)&amp;$BB$3&amp;I244&amp;$BD$3,"")</f>
        <v/>
      </c>
      <c r="BF242" s="27" t="str">
        <f>IFERROR($BC$3&amp;VLOOKUP(J244,'Pay Table'!$M$3:$N$18,2,FALSE)&amp;$BB$3&amp;K244&amp;$BD$3,"")</f>
        <v/>
      </c>
    </row>
    <row r="243" spans="54:58" ht="17.100000000000001" customHeight="1" x14ac:dyDescent="0.15">
      <c r="BB243" s="26" t="str">
        <f>IFERROR($BC$3&amp;VLOOKUP(B245,'Pay Table'!$M$3:$N$18,2,FALSE)&amp;$BB$3&amp;C245&amp;$BD$3,"")</f>
        <v/>
      </c>
      <c r="BC243" s="1" t="str">
        <f>IFERROR($BC$3&amp;VLOOKUP(D245,'Pay Table'!$M$3:$N$18,2,FALSE)&amp;$BB$3&amp;E245&amp;$BD$3,"")</f>
        <v/>
      </c>
      <c r="BD243" s="1" t="str">
        <f>IFERROR($BC$3&amp;VLOOKUP(F245,'Pay Table'!$M$3:$N$18,2,FALSE)&amp;$BB$3&amp;G245&amp;$BD$3,"")</f>
        <v/>
      </c>
      <c r="BE243" s="1" t="str">
        <f>IFERROR($BC$3&amp;VLOOKUP(H245,'Pay Table'!$M$3:$N$18,2,FALSE)&amp;$BB$3&amp;I245&amp;$BD$3,"")</f>
        <v/>
      </c>
      <c r="BF243" s="27" t="str">
        <f>IFERROR($BC$3&amp;VLOOKUP(J245,'Pay Table'!$M$3:$N$18,2,FALSE)&amp;$BB$3&amp;K245&amp;$BD$3,"")</f>
        <v/>
      </c>
    </row>
    <row r="244" spans="54:58" ht="17.100000000000001" customHeight="1" x14ac:dyDescent="0.15">
      <c r="BB244" s="26" t="str">
        <f>IFERROR($BC$3&amp;VLOOKUP(B246,'Pay Table'!$M$3:$N$18,2,FALSE)&amp;$BB$3&amp;C246&amp;$BD$3,"")</f>
        <v/>
      </c>
      <c r="BC244" s="1" t="str">
        <f>IFERROR($BC$3&amp;VLOOKUP(D246,'Pay Table'!$M$3:$N$18,2,FALSE)&amp;$BB$3&amp;E246&amp;$BD$3,"")</f>
        <v/>
      </c>
      <c r="BD244" s="1" t="str">
        <f>IFERROR($BC$3&amp;VLOOKUP(F246,'Pay Table'!$M$3:$N$18,2,FALSE)&amp;$BB$3&amp;G246&amp;$BD$3,"")</f>
        <v/>
      </c>
      <c r="BE244" s="1" t="str">
        <f>IFERROR($BC$3&amp;VLOOKUP(H246,'Pay Table'!$M$3:$N$18,2,FALSE)&amp;$BB$3&amp;I246&amp;$BD$3,"")</f>
        <v/>
      </c>
      <c r="BF244" s="27" t="str">
        <f>IFERROR($BC$3&amp;VLOOKUP(J246,'Pay Table'!$M$3:$N$18,2,FALSE)&amp;$BB$3&amp;K246&amp;$BD$3,"")</f>
        <v/>
      </c>
    </row>
    <row r="245" spans="54:58" ht="17.100000000000001" customHeight="1" x14ac:dyDescent="0.15">
      <c r="BB245" s="26" t="str">
        <f>IFERROR($BC$3&amp;VLOOKUP(B247,'Pay Table'!$M$3:$N$18,2,FALSE)&amp;$BB$3&amp;C247&amp;$BD$3,"")</f>
        <v/>
      </c>
      <c r="BC245" s="1" t="str">
        <f>IFERROR($BC$3&amp;VLOOKUP(D247,'Pay Table'!$M$3:$N$18,2,FALSE)&amp;$BB$3&amp;E247&amp;$BD$3,"")</f>
        <v/>
      </c>
      <c r="BD245" s="1" t="str">
        <f>IFERROR($BC$3&amp;VLOOKUP(F247,'Pay Table'!$M$3:$N$18,2,FALSE)&amp;$BB$3&amp;G247&amp;$BD$3,"")</f>
        <v/>
      </c>
      <c r="BE245" s="1" t="str">
        <f>IFERROR($BC$3&amp;VLOOKUP(H247,'Pay Table'!$M$3:$N$18,2,FALSE)&amp;$BB$3&amp;I247&amp;$BD$3,"")</f>
        <v/>
      </c>
      <c r="BF245" s="27" t="str">
        <f>IFERROR($BC$3&amp;VLOOKUP(J247,'Pay Table'!$M$3:$N$18,2,FALSE)&amp;$BB$3&amp;K247&amp;$BD$3,"")</f>
        <v/>
      </c>
    </row>
    <row r="246" spans="54:58" ht="17.100000000000001" customHeight="1" x14ac:dyDescent="0.15">
      <c r="BB246" s="26" t="str">
        <f>IFERROR($BC$3&amp;VLOOKUP(B248,'Pay Table'!$M$3:$N$18,2,FALSE)&amp;$BB$3&amp;C248&amp;$BD$3,"")</f>
        <v/>
      </c>
      <c r="BC246" s="1" t="str">
        <f>IFERROR($BC$3&amp;VLOOKUP(D248,'Pay Table'!$M$3:$N$18,2,FALSE)&amp;$BB$3&amp;E248&amp;$BD$3,"")</f>
        <v/>
      </c>
      <c r="BD246" s="1" t="str">
        <f>IFERROR($BC$3&amp;VLOOKUP(F248,'Pay Table'!$M$3:$N$18,2,FALSE)&amp;$BB$3&amp;G248&amp;$BD$3,"")</f>
        <v/>
      </c>
      <c r="BE246" s="1" t="str">
        <f>IFERROR($BC$3&amp;VLOOKUP(H248,'Pay Table'!$M$3:$N$18,2,FALSE)&amp;$BB$3&amp;I248&amp;$BD$3,"")</f>
        <v/>
      </c>
      <c r="BF246" s="27" t="str">
        <f>IFERROR($BC$3&amp;VLOOKUP(J248,'Pay Table'!$M$3:$N$18,2,FALSE)&amp;$BB$3&amp;K248&amp;$BD$3,"")</f>
        <v/>
      </c>
    </row>
    <row r="247" spans="54:58" ht="17.100000000000001" customHeight="1" x14ac:dyDescent="0.15">
      <c r="BB247" s="26" t="str">
        <f>IFERROR($BC$3&amp;VLOOKUP(B249,'Pay Table'!$M$3:$N$18,2,FALSE)&amp;$BB$3&amp;C249&amp;$BD$3,"")</f>
        <v/>
      </c>
      <c r="BC247" s="1" t="str">
        <f>IFERROR($BC$3&amp;VLOOKUP(D249,'Pay Table'!$M$3:$N$18,2,FALSE)&amp;$BB$3&amp;E249&amp;$BD$3,"")</f>
        <v/>
      </c>
      <c r="BD247" s="1" t="str">
        <f>IFERROR($BC$3&amp;VLOOKUP(F249,'Pay Table'!$M$3:$N$18,2,FALSE)&amp;$BB$3&amp;G249&amp;$BD$3,"")</f>
        <v/>
      </c>
      <c r="BE247" s="1" t="str">
        <f>IFERROR($BC$3&amp;VLOOKUP(H249,'Pay Table'!$M$3:$N$18,2,FALSE)&amp;$BB$3&amp;I249&amp;$BD$3,"")</f>
        <v/>
      </c>
      <c r="BF247" s="27" t="str">
        <f>IFERROR($BC$3&amp;VLOOKUP(J249,'Pay Table'!$M$3:$N$18,2,FALSE)&amp;$BB$3&amp;K249&amp;$BD$3,"")</f>
        <v/>
      </c>
    </row>
    <row r="248" spans="54:58" ht="17.100000000000001" customHeight="1" x14ac:dyDescent="0.15">
      <c r="BB248" s="26" t="str">
        <f>IFERROR($BC$3&amp;VLOOKUP(B250,'Pay Table'!$M$3:$N$18,2,FALSE)&amp;$BB$3&amp;C250&amp;$BD$3,"")</f>
        <v/>
      </c>
      <c r="BC248" s="1" t="str">
        <f>IFERROR($BC$3&amp;VLOOKUP(D250,'Pay Table'!$M$3:$N$18,2,FALSE)&amp;$BB$3&amp;E250&amp;$BD$3,"")</f>
        <v/>
      </c>
      <c r="BD248" s="1" t="str">
        <f>IFERROR($BC$3&amp;VLOOKUP(F250,'Pay Table'!$M$3:$N$18,2,FALSE)&amp;$BB$3&amp;G250&amp;$BD$3,"")</f>
        <v/>
      </c>
      <c r="BE248" s="1" t="str">
        <f>IFERROR($BC$3&amp;VLOOKUP(H250,'Pay Table'!$M$3:$N$18,2,FALSE)&amp;$BB$3&amp;I250&amp;$BD$3,"")</f>
        <v/>
      </c>
      <c r="BF248" s="27" t="str">
        <f>IFERROR($BC$3&amp;VLOOKUP(J250,'Pay Table'!$M$3:$N$18,2,FALSE)&amp;$BB$3&amp;K250&amp;$BD$3,"")</f>
        <v/>
      </c>
    </row>
    <row r="249" spans="54:58" ht="17.100000000000001" customHeight="1" x14ac:dyDescent="0.15">
      <c r="BB249" s="26" t="str">
        <f>IFERROR($BC$3&amp;VLOOKUP(B251,'Pay Table'!$M$3:$N$18,2,FALSE)&amp;$BB$3&amp;C251&amp;$BD$3,"")</f>
        <v/>
      </c>
      <c r="BC249" s="1" t="str">
        <f>IFERROR($BC$3&amp;VLOOKUP(D251,'Pay Table'!$M$3:$N$18,2,FALSE)&amp;$BB$3&amp;E251&amp;$BD$3,"")</f>
        <v/>
      </c>
      <c r="BD249" s="1" t="str">
        <f>IFERROR($BC$3&amp;VLOOKUP(F251,'Pay Table'!$M$3:$N$18,2,FALSE)&amp;$BB$3&amp;G251&amp;$BD$3,"")</f>
        <v/>
      </c>
      <c r="BE249" s="1" t="str">
        <f>IFERROR($BC$3&amp;VLOOKUP(H251,'Pay Table'!$M$3:$N$18,2,FALSE)&amp;$BB$3&amp;I251&amp;$BD$3,"")</f>
        <v/>
      </c>
      <c r="BF249" s="27" t="str">
        <f>IFERROR($BC$3&amp;VLOOKUP(J251,'Pay Table'!$M$3:$N$18,2,FALSE)&amp;$BB$3&amp;K251&amp;$BD$3,"")</f>
        <v/>
      </c>
    </row>
    <row r="250" spans="54:58" ht="17.100000000000001" customHeight="1" x14ac:dyDescent="0.15">
      <c r="BB250" s="26" t="str">
        <f>IFERROR($BC$3&amp;VLOOKUP(B252,'Pay Table'!$M$3:$N$18,2,FALSE)&amp;$BB$3&amp;C252&amp;$BD$3,"")</f>
        <v/>
      </c>
      <c r="BC250" s="1" t="str">
        <f>IFERROR($BC$3&amp;VLOOKUP(D252,'Pay Table'!$M$3:$N$18,2,FALSE)&amp;$BB$3&amp;E252&amp;$BD$3,"")</f>
        <v/>
      </c>
      <c r="BD250" s="1" t="str">
        <f>IFERROR($BC$3&amp;VLOOKUP(F252,'Pay Table'!$M$3:$N$18,2,FALSE)&amp;$BB$3&amp;G252&amp;$BD$3,"")</f>
        <v/>
      </c>
      <c r="BE250" s="1" t="str">
        <f>IFERROR($BC$3&amp;VLOOKUP(H252,'Pay Table'!$M$3:$N$18,2,FALSE)&amp;$BB$3&amp;I252&amp;$BD$3,"")</f>
        <v/>
      </c>
      <c r="BF250" s="27" t="str">
        <f>IFERROR($BC$3&amp;VLOOKUP(J252,'Pay Table'!$M$3:$N$18,2,FALSE)&amp;$BB$3&amp;K252&amp;$BD$3,"")</f>
        <v/>
      </c>
    </row>
    <row r="251" spans="54:58" ht="17.100000000000001" customHeight="1" x14ac:dyDescent="0.15">
      <c r="BB251" s="26" t="str">
        <f>IFERROR($BC$3&amp;VLOOKUP(B253,'Pay Table'!$M$3:$N$18,2,FALSE)&amp;$BB$3&amp;C253&amp;$BD$3,"")</f>
        <v/>
      </c>
      <c r="BC251" s="1" t="str">
        <f>IFERROR($BC$3&amp;VLOOKUP(D253,'Pay Table'!$M$3:$N$18,2,FALSE)&amp;$BB$3&amp;E253&amp;$BD$3,"")</f>
        <v/>
      </c>
      <c r="BD251" s="1" t="str">
        <f>IFERROR($BC$3&amp;VLOOKUP(F253,'Pay Table'!$M$3:$N$18,2,FALSE)&amp;$BB$3&amp;G253&amp;$BD$3,"")</f>
        <v/>
      </c>
      <c r="BE251" s="1" t="str">
        <f>IFERROR($BC$3&amp;VLOOKUP(H253,'Pay Table'!$M$3:$N$18,2,FALSE)&amp;$BB$3&amp;I253&amp;$BD$3,"")</f>
        <v/>
      </c>
      <c r="BF251" s="27" t="str">
        <f>IFERROR($BC$3&amp;VLOOKUP(J253,'Pay Table'!$M$3:$N$18,2,FALSE)&amp;$BB$3&amp;K253&amp;$BD$3,"")</f>
        <v/>
      </c>
    </row>
    <row r="252" spans="54:58" ht="17.100000000000001" customHeight="1" x14ac:dyDescent="0.15">
      <c r="BB252" s="26" t="str">
        <f>IFERROR($BC$3&amp;VLOOKUP(B254,'Pay Table'!$M$3:$N$18,2,FALSE)&amp;$BB$3&amp;C254&amp;$BD$3,"")</f>
        <v/>
      </c>
      <c r="BC252" s="1" t="str">
        <f>IFERROR($BC$3&amp;VLOOKUP(D254,'Pay Table'!$M$3:$N$18,2,FALSE)&amp;$BB$3&amp;E254&amp;$BD$3,"")</f>
        <v/>
      </c>
      <c r="BD252" s="1" t="str">
        <f>IFERROR($BC$3&amp;VLOOKUP(F254,'Pay Table'!$M$3:$N$18,2,FALSE)&amp;$BB$3&amp;G254&amp;$BD$3,"")</f>
        <v/>
      </c>
      <c r="BE252" s="1" t="str">
        <f>IFERROR($BC$3&amp;VLOOKUP(H254,'Pay Table'!$M$3:$N$18,2,FALSE)&amp;$BB$3&amp;I254&amp;$BD$3,"")</f>
        <v/>
      </c>
      <c r="BF252" s="27" t="str">
        <f>IFERROR($BC$3&amp;VLOOKUP(J254,'Pay Table'!$M$3:$N$18,2,FALSE)&amp;$BB$3&amp;K254&amp;$BD$3,"")</f>
        <v/>
      </c>
    </row>
    <row r="253" spans="54:58" ht="17.100000000000001" customHeight="1" x14ac:dyDescent="0.15">
      <c r="BB253" s="26" t="str">
        <f>IFERROR($BC$3&amp;VLOOKUP(B255,'Pay Table'!$M$3:$N$18,2,FALSE)&amp;$BB$3&amp;C255&amp;$BD$3,"")</f>
        <v/>
      </c>
      <c r="BC253" s="1" t="str">
        <f>IFERROR($BC$3&amp;VLOOKUP(D255,'Pay Table'!$M$3:$N$18,2,FALSE)&amp;$BB$3&amp;E255&amp;$BD$3,"")</f>
        <v/>
      </c>
      <c r="BD253" s="1" t="str">
        <f>IFERROR($BC$3&amp;VLOOKUP(F255,'Pay Table'!$M$3:$N$18,2,FALSE)&amp;$BB$3&amp;G255&amp;$BD$3,"")</f>
        <v/>
      </c>
      <c r="BE253" s="1" t="str">
        <f>IFERROR($BC$3&amp;VLOOKUP(H255,'Pay Table'!$M$3:$N$18,2,FALSE)&amp;$BB$3&amp;I255&amp;$BD$3,"")</f>
        <v/>
      </c>
      <c r="BF253" s="27" t="str">
        <f>IFERROR($BC$3&amp;VLOOKUP(J255,'Pay Table'!$M$3:$N$18,2,FALSE)&amp;$BB$3&amp;K255&amp;$BD$3,"")</f>
        <v/>
      </c>
    </row>
    <row r="254" spans="54:58" ht="17.100000000000001" customHeight="1" x14ac:dyDescent="0.15">
      <c r="BB254" s="26" t="str">
        <f>IFERROR($BC$3&amp;VLOOKUP(B256,'Pay Table'!$M$3:$N$18,2,FALSE)&amp;$BB$3&amp;C256&amp;$BD$3,"")</f>
        <v/>
      </c>
      <c r="BC254" s="1" t="str">
        <f>IFERROR($BC$3&amp;VLOOKUP(D256,'Pay Table'!$M$3:$N$18,2,FALSE)&amp;$BB$3&amp;E256&amp;$BD$3,"")</f>
        <v/>
      </c>
      <c r="BD254" s="1" t="str">
        <f>IFERROR($BC$3&amp;VLOOKUP(F256,'Pay Table'!$M$3:$N$18,2,FALSE)&amp;$BB$3&amp;G256&amp;$BD$3,"")</f>
        <v/>
      </c>
      <c r="BE254" s="1" t="str">
        <f>IFERROR($BC$3&amp;VLOOKUP(H256,'Pay Table'!$M$3:$N$18,2,FALSE)&amp;$BB$3&amp;I256&amp;$BD$3,"")</f>
        <v/>
      </c>
      <c r="BF254" s="27" t="str">
        <f>IFERROR($BC$3&amp;VLOOKUP(J256,'Pay Table'!$M$3:$N$18,2,FALSE)&amp;$BB$3&amp;K256&amp;$BD$3,"")</f>
        <v/>
      </c>
    </row>
    <row r="255" spans="54:58" ht="17.100000000000001" customHeight="1" x14ac:dyDescent="0.15">
      <c r="BB255" s="26" t="str">
        <f>IFERROR($BC$3&amp;VLOOKUP(B257,'Pay Table'!$M$3:$N$18,2,FALSE)&amp;$BB$3&amp;C257&amp;$BD$3,"")</f>
        <v/>
      </c>
      <c r="BC255" s="1" t="str">
        <f>IFERROR($BC$3&amp;VLOOKUP(D257,'Pay Table'!$M$3:$N$18,2,FALSE)&amp;$BB$3&amp;E257&amp;$BD$3,"")</f>
        <v/>
      </c>
      <c r="BD255" s="1" t="str">
        <f>IFERROR($BC$3&amp;VLOOKUP(F257,'Pay Table'!$M$3:$N$18,2,FALSE)&amp;$BB$3&amp;G257&amp;$BD$3,"")</f>
        <v/>
      </c>
      <c r="BE255" s="1" t="str">
        <f>IFERROR($BC$3&amp;VLOOKUP(H257,'Pay Table'!$M$3:$N$18,2,FALSE)&amp;$BB$3&amp;I257&amp;$BD$3,"")</f>
        <v/>
      </c>
      <c r="BF255" s="27" t="str">
        <f>IFERROR($BC$3&amp;VLOOKUP(J257,'Pay Table'!$M$3:$N$18,2,FALSE)&amp;$BB$3&amp;K257&amp;$BD$3,"")</f>
        <v/>
      </c>
    </row>
    <row r="256" spans="54:58" ht="17.100000000000001" customHeight="1" x14ac:dyDescent="0.15">
      <c r="BB256" s="26" t="str">
        <f>IFERROR($BC$3&amp;VLOOKUP(B258,'Pay Table'!$M$3:$N$18,2,FALSE)&amp;$BB$3&amp;C258&amp;$BD$3,"")</f>
        <v/>
      </c>
      <c r="BC256" s="1" t="str">
        <f>IFERROR($BC$3&amp;VLOOKUP(D258,'Pay Table'!$M$3:$N$18,2,FALSE)&amp;$BB$3&amp;E258&amp;$BD$3,"")</f>
        <v/>
      </c>
      <c r="BD256" s="1" t="str">
        <f>IFERROR($BC$3&amp;VLOOKUP(F258,'Pay Table'!$M$3:$N$18,2,FALSE)&amp;$BB$3&amp;G258&amp;$BD$3,"")</f>
        <v/>
      </c>
      <c r="BE256" s="1" t="str">
        <f>IFERROR($BC$3&amp;VLOOKUP(H258,'Pay Table'!$M$3:$N$18,2,FALSE)&amp;$BB$3&amp;I258&amp;$BD$3,"")</f>
        <v/>
      </c>
      <c r="BF256" s="27" t="str">
        <f>IFERROR($BC$3&amp;VLOOKUP(J258,'Pay Table'!$M$3:$N$18,2,FALSE)&amp;$BB$3&amp;K258&amp;$BD$3,"")</f>
        <v/>
      </c>
    </row>
    <row r="257" spans="54:58" ht="17.100000000000001" customHeight="1" x14ac:dyDescent="0.15">
      <c r="BB257" s="26" t="str">
        <f>IFERROR($BC$3&amp;VLOOKUP(B259,'Pay Table'!$M$3:$N$18,2,FALSE)&amp;$BB$3&amp;C259&amp;$BD$3,"")</f>
        <v/>
      </c>
      <c r="BC257" s="1" t="str">
        <f>IFERROR($BC$3&amp;VLOOKUP(D259,'Pay Table'!$M$3:$N$18,2,FALSE)&amp;$BB$3&amp;E259&amp;$BD$3,"")</f>
        <v/>
      </c>
      <c r="BD257" s="1" t="str">
        <f>IFERROR($BC$3&amp;VLOOKUP(F259,'Pay Table'!$M$3:$N$18,2,FALSE)&amp;$BB$3&amp;G259&amp;$BD$3,"")</f>
        <v/>
      </c>
      <c r="BE257" s="1" t="str">
        <f>IFERROR($BC$3&amp;VLOOKUP(H259,'Pay Table'!$M$3:$N$18,2,FALSE)&amp;$BB$3&amp;I259&amp;$BD$3,"")</f>
        <v/>
      </c>
      <c r="BF257" s="27" t="str">
        <f>IFERROR($BC$3&amp;VLOOKUP(J259,'Pay Table'!$M$3:$N$18,2,FALSE)&amp;$BB$3&amp;K259&amp;$BD$3,"")</f>
        <v/>
      </c>
    </row>
    <row r="258" spans="54:58" ht="17.100000000000001" customHeight="1" x14ac:dyDescent="0.15">
      <c r="BB258" s="26" t="str">
        <f>IFERROR($BC$3&amp;VLOOKUP(B260,'Pay Table'!$M$3:$N$18,2,FALSE)&amp;$BB$3&amp;C260&amp;$BD$3,"")</f>
        <v/>
      </c>
      <c r="BC258" s="1" t="str">
        <f>IFERROR($BC$3&amp;VLOOKUP(D260,'Pay Table'!$M$3:$N$18,2,FALSE)&amp;$BB$3&amp;E260&amp;$BD$3,"")</f>
        <v/>
      </c>
      <c r="BD258" s="1" t="str">
        <f>IFERROR($BC$3&amp;VLOOKUP(F260,'Pay Table'!$M$3:$N$18,2,FALSE)&amp;$BB$3&amp;G260&amp;$BD$3,"")</f>
        <v/>
      </c>
      <c r="BE258" s="1" t="str">
        <f>IFERROR($BC$3&amp;VLOOKUP(H260,'Pay Table'!$M$3:$N$18,2,FALSE)&amp;$BB$3&amp;I260&amp;$BD$3,"")</f>
        <v/>
      </c>
      <c r="BF258" s="27" t="str">
        <f>IFERROR($BC$3&amp;VLOOKUP(J260,'Pay Table'!$M$3:$N$18,2,FALSE)&amp;$BB$3&amp;K260&amp;$BD$3,"")</f>
        <v/>
      </c>
    </row>
    <row r="259" spans="54:58" ht="17.100000000000001" customHeight="1" x14ac:dyDescent="0.15">
      <c r="BB259" s="26" t="str">
        <f>IFERROR($BC$3&amp;VLOOKUP(B261,'Pay Table'!$M$3:$N$18,2,FALSE)&amp;$BB$3&amp;C261&amp;$BD$3,"")</f>
        <v/>
      </c>
      <c r="BC259" s="1" t="str">
        <f>IFERROR($BC$3&amp;VLOOKUP(D261,'Pay Table'!$M$3:$N$18,2,FALSE)&amp;$BB$3&amp;E261&amp;$BD$3,"")</f>
        <v/>
      </c>
      <c r="BD259" s="1" t="str">
        <f>IFERROR($BC$3&amp;VLOOKUP(F261,'Pay Table'!$M$3:$N$18,2,FALSE)&amp;$BB$3&amp;G261&amp;$BD$3,"")</f>
        <v/>
      </c>
      <c r="BE259" s="1" t="str">
        <f>IFERROR($BC$3&amp;VLOOKUP(H261,'Pay Table'!$M$3:$N$18,2,FALSE)&amp;$BB$3&amp;I261&amp;$BD$3,"")</f>
        <v/>
      </c>
      <c r="BF259" s="27" t="str">
        <f>IFERROR($BC$3&amp;VLOOKUP(J261,'Pay Table'!$M$3:$N$18,2,FALSE)&amp;$BB$3&amp;K261&amp;$BD$3,"")</f>
        <v/>
      </c>
    </row>
    <row r="260" spans="54:58" ht="17.100000000000001" customHeight="1" x14ac:dyDescent="0.15">
      <c r="BB260" s="26" t="str">
        <f>IFERROR($BC$3&amp;VLOOKUP(B262,'Pay Table'!$M$3:$N$18,2,FALSE)&amp;$BB$3&amp;C262&amp;$BD$3,"")</f>
        <v/>
      </c>
      <c r="BC260" s="1" t="str">
        <f>IFERROR($BC$3&amp;VLOOKUP(D262,'Pay Table'!$M$3:$N$18,2,FALSE)&amp;$BB$3&amp;E262&amp;$BD$3,"")</f>
        <v/>
      </c>
      <c r="BD260" s="1" t="str">
        <f>IFERROR($BC$3&amp;VLOOKUP(F262,'Pay Table'!$M$3:$N$18,2,FALSE)&amp;$BB$3&amp;G262&amp;$BD$3,"")</f>
        <v/>
      </c>
      <c r="BE260" s="1" t="str">
        <f>IFERROR($BC$3&amp;VLOOKUP(H262,'Pay Table'!$M$3:$N$18,2,FALSE)&amp;$BB$3&amp;I262&amp;$BD$3,"")</f>
        <v/>
      </c>
      <c r="BF260" s="27" t="str">
        <f>IFERROR($BC$3&amp;VLOOKUP(J262,'Pay Table'!$M$3:$N$18,2,FALSE)&amp;$BB$3&amp;K262&amp;$BD$3,"")</f>
        <v/>
      </c>
    </row>
    <row r="261" spans="54:58" ht="17.100000000000001" customHeight="1" x14ac:dyDescent="0.15">
      <c r="BB261" s="26" t="str">
        <f>IFERROR($BC$3&amp;VLOOKUP(B263,'Pay Table'!$M$3:$N$18,2,FALSE)&amp;$BB$3&amp;C263&amp;$BD$3,"")</f>
        <v/>
      </c>
      <c r="BC261" s="1" t="str">
        <f>IFERROR($BC$3&amp;VLOOKUP(D263,'Pay Table'!$M$3:$N$18,2,FALSE)&amp;$BB$3&amp;E263&amp;$BD$3,"")</f>
        <v/>
      </c>
      <c r="BD261" s="1" t="str">
        <f>IFERROR($BC$3&amp;VLOOKUP(F263,'Pay Table'!$M$3:$N$18,2,FALSE)&amp;$BB$3&amp;G263&amp;$BD$3,"")</f>
        <v/>
      </c>
      <c r="BE261" s="1" t="str">
        <f>IFERROR($BC$3&amp;VLOOKUP(H263,'Pay Table'!$M$3:$N$18,2,FALSE)&amp;$BB$3&amp;I263&amp;$BD$3,"")</f>
        <v/>
      </c>
      <c r="BF261" s="27" t="str">
        <f>IFERROR($BC$3&amp;VLOOKUP(J263,'Pay Table'!$M$3:$N$18,2,FALSE)&amp;$BB$3&amp;K263&amp;$BD$3,"")</f>
        <v/>
      </c>
    </row>
    <row r="262" spans="54:58" ht="17.100000000000001" customHeight="1" x14ac:dyDescent="0.15">
      <c r="BB262" s="26" t="str">
        <f>IFERROR($BC$3&amp;VLOOKUP(B264,'Pay Table'!$M$3:$N$18,2,FALSE)&amp;$BB$3&amp;C264&amp;$BD$3,"")</f>
        <v/>
      </c>
      <c r="BC262" s="1" t="str">
        <f>IFERROR($BC$3&amp;VLOOKUP(D264,'Pay Table'!$M$3:$N$18,2,FALSE)&amp;$BB$3&amp;E264&amp;$BD$3,"")</f>
        <v/>
      </c>
      <c r="BD262" s="1" t="str">
        <f>IFERROR($BC$3&amp;VLOOKUP(F264,'Pay Table'!$M$3:$N$18,2,FALSE)&amp;$BB$3&amp;G264&amp;$BD$3,"")</f>
        <v/>
      </c>
      <c r="BE262" s="1" t="str">
        <f>IFERROR($BC$3&amp;VLOOKUP(H264,'Pay Table'!$M$3:$N$18,2,FALSE)&amp;$BB$3&amp;I264&amp;$BD$3,"")</f>
        <v/>
      </c>
      <c r="BF262" s="27" t="str">
        <f>IFERROR($BC$3&amp;VLOOKUP(J264,'Pay Table'!$M$3:$N$18,2,FALSE)&amp;$BB$3&amp;K264&amp;$BD$3,"")</f>
        <v/>
      </c>
    </row>
    <row r="263" spans="54:58" ht="17.100000000000001" customHeight="1" x14ac:dyDescent="0.15">
      <c r="BB263" s="26" t="str">
        <f>IFERROR($BC$3&amp;VLOOKUP(B265,'Pay Table'!$M$3:$N$18,2,FALSE)&amp;$BB$3&amp;C265&amp;$BD$3,"")</f>
        <v/>
      </c>
      <c r="BC263" s="1" t="str">
        <f>IFERROR($BC$3&amp;VLOOKUP(D265,'Pay Table'!$M$3:$N$18,2,FALSE)&amp;$BB$3&amp;E265&amp;$BD$3,"")</f>
        <v/>
      </c>
      <c r="BD263" s="1" t="str">
        <f>IFERROR($BC$3&amp;VLOOKUP(F265,'Pay Table'!$M$3:$N$18,2,FALSE)&amp;$BB$3&amp;G265&amp;$BD$3,"")</f>
        <v/>
      </c>
      <c r="BE263" s="1" t="str">
        <f>IFERROR($BC$3&amp;VLOOKUP(H265,'Pay Table'!$M$3:$N$18,2,FALSE)&amp;$BB$3&amp;I265&amp;$BD$3,"")</f>
        <v/>
      </c>
      <c r="BF263" s="27" t="str">
        <f>IFERROR($BC$3&amp;VLOOKUP(J265,'Pay Table'!$M$3:$N$18,2,FALSE)&amp;$BB$3&amp;K265&amp;$BD$3,"")</f>
        <v/>
      </c>
    </row>
    <row r="264" spans="54:58" ht="17.100000000000001" customHeight="1" x14ac:dyDescent="0.15">
      <c r="BB264" s="26" t="str">
        <f>IFERROR($BC$3&amp;VLOOKUP(B266,'Pay Table'!$M$3:$N$18,2,FALSE)&amp;$BB$3&amp;C266&amp;$BD$3,"")</f>
        <v/>
      </c>
      <c r="BC264" s="1" t="str">
        <f>IFERROR($BC$3&amp;VLOOKUP(D266,'Pay Table'!$M$3:$N$18,2,FALSE)&amp;$BB$3&amp;E266&amp;$BD$3,"")</f>
        <v/>
      </c>
      <c r="BD264" s="1" t="str">
        <f>IFERROR($BC$3&amp;VLOOKUP(F266,'Pay Table'!$M$3:$N$18,2,FALSE)&amp;$BB$3&amp;G266&amp;$BD$3,"")</f>
        <v/>
      </c>
      <c r="BE264" s="1" t="str">
        <f>IFERROR($BC$3&amp;VLOOKUP(H266,'Pay Table'!$M$3:$N$18,2,FALSE)&amp;$BB$3&amp;I266&amp;$BD$3,"")</f>
        <v/>
      </c>
      <c r="BF264" s="27" t="str">
        <f>IFERROR($BC$3&amp;VLOOKUP(J266,'Pay Table'!$M$3:$N$18,2,FALSE)&amp;$BB$3&amp;K266&amp;$BD$3,"")</f>
        <v/>
      </c>
    </row>
    <row r="265" spans="54:58" ht="17.100000000000001" customHeight="1" x14ac:dyDescent="0.15">
      <c r="BB265" s="26" t="str">
        <f>IFERROR($BC$3&amp;VLOOKUP(B267,'Pay Table'!$M$3:$N$18,2,FALSE)&amp;$BB$3&amp;C267&amp;$BD$3,"")</f>
        <v/>
      </c>
      <c r="BC265" s="1" t="str">
        <f>IFERROR($BC$3&amp;VLOOKUP(D267,'Pay Table'!$M$3:$N$18,2,FALSE)&amp;$BB$3&amp;E267&amp;$BD$3,"")</f>
        <v/>
      </c>
      <c r="BD265" s="1" t="str">
        <f>IFERROR($BC$3&amp;VLOOKUP(F267,'Pay Table'!$M$3:$N$18,2,FALSE)&amp;$BB$3&amp;G267&amp;$BD$3,"")</f>
        <v/>
      </c>
      <c r="BE265" s="1" t="str">
        <f>IFERROR($BC$3&amp;VLOOKUP(H267,'Pay Table'!$M$3:$N$18,2,FALSE)&amp;$BB$3&amp;I267&amp;$BD$3,"")</f>
        <v/>
      </c>
      <c r="BF265" s="27" t="str">
        <f>IFERROR($BC$3&amp;VLOOKUP(J267,'Pay Table'!$M$3:$N$18,2,FALSE)&amp;$BB$3&amp;K267&amp;$BD$3,"")</f>
        <v/>
      </c>
    </row>
    <row r="266" spans="54:58" ht="17.100000000000001" customHeight="1" x14ac:dyDescent="0.15">
      <c r="BB266" s="26" t="str">
        <f>IFERROR($BC$3&amp;VLOOKUP(B268,'Pay Table'!$M$3:$N$18,2,FALSE)&amp;$BB$3&amp;C268&amp;$BD$3,"")</f>
        <v/>
      </c>
      <c r="BC266" s="1" t="str">
        <f>IFERROR($BC$3&amp;VLOOKUP(D268,'Pay Table'!$M$3:$N$18,2,FALSE)&amp;$BB$3&amp;E268&amp;$BD$3,"")</f>
        <v/>
      </c>
      <c r="BD266" s="1" t="str">
        <f>IFERROR($BC$3&amp;VLOOKUP(F268,'Pay Table'!$M$3:$N$18,2,FALSE)&amp;$BB$3&amp;G268&amp;$BD$3,"")</f>
        <v/>
      </c>
      <c r="BE266" s="1" t="str">
        <f>IFERROR($BC$3&amp;VLOOKUP(H268,'Pay Table'!$M$3:$N$18,2,FALSE)&amp;$BB$3&amp;I268&amp;$BD$3,"")</f>
        <v/>
      </c>
      <c r="BF266" s="27" t="str">
        <f>IFERROR($BC$3&amp;VLOOKUP(J268,'Pay Table'!$M$3:$N$18,2,FALSE)&amp;$BB$3&amp;K268&amp;$BD$3,"")</f>
        <v/>
      </c>
    </row>
    <row r="267" spans="54:58" ht="17.100000000000001" customHeight="1" x14ac:dyDescent="0.15">
      <c r="BB267" s="26" t="str">
        <f>IFERROR($BC$3&amp;VLOOKUP(B269,'Pay Table'!$M$3:$N$18,2,FALSE)&amp;$BB$3&amp;C269&amp;$BD$3,"")</f>
        <v/>
      </c>
      <c r="BC267" s="1" t="str">
        <f>IFERROR($BC$3&amp;VLOOKUP(D269,'Pay Table'!$M$3:$N$18,2,FALSE)&amp;$BB$3&amp;E269&amp;$BD$3,"")</f>
        <v/>
      </c>
      <c r="BD267" s="1" t="str">
        <f>IFERROR($BC$3&amp;VLOOKUP(F269,'Pay Table'!$M$3:$N$18,2,FALSE)&amp;$BB$3&amp;G269&amp;$BD$3,"")</f>
        <v/>
      </c>
      <c r="BE267" s="1" t="str">
        <f>IFERROR($BC$3&amp;VLOOKUP(H269,'Pay Table'!$M$3:$N$18,2,FALSE)&amp;$BB$3&amp;I269&amp;$BD$3,"")</f>
        <v/>
      </c>
      <c r="BF267" s="27" t="str">
        <f>IFERROR($BC$3&amp;VLOOKUP(J269,'Pay Table'!$M$3:$N$18,2,FALSE)&amp;$BB$3&amp;K269&amp;$BD$3,"")</f>
        <v/>
      </c>
    </row>
    <row r="268" spans="54:58" ht="17.100000000000001" customHeight="1" x14ac:dyDescent="0.15">
      <c r="BB268" s="26" t="str">
        <f>IFERROR($BC$3&amp;VLOOKUP(B270,'Pay Table'!$M$3:$N$18,2,FALSE)&amp;$BB$3&amp;C270&amp;$BD$3,"")</f>
        <v/>
      </c>
      <c r="BC268" s="1" t="str">
        <f>IFERROR($BC$3&amp;VLOOKUP(D270,'Pay Table'!$M$3:$N$18,2,FALSE)&amp;$BB$3&amp;E270&amp;$BD$3,"")</f>
        <v/>
      </c>
      <c r="BD268" s="1" t="str">
        <f>IFERROR($BC$3&amp;VLOOKUP(F270,'Pay Table'!$M$3:$N$18,2,FALSE)&amp;$BB$3&amp;G270&amp;$BD$3,"")</f>
        <v/>
      </c>
      <c r="BE268" s="1" t="str">
        <f>IFERROR($BC$3&amp;VLOOKUP(H270,'Pay Table'!$M$3:$N$18,2,FALSE)&amp;$BB$3&amp;I270&amp;$BD$3,"")</f>
        <v/>
      </c>
      <c r="BF268" s="27" t="str">
        <f>IFERROR($BC$3&amp;VLOOKUP(J270,'Pay Table'!$M$3:$N$18,2,FALSE)&amp;$BB$3&amp;K270&amp;$BD$3,"")</f>
        <v/>
      </c>
    </row>
    <row r="269" spans="54:58" ht="17.100000000000001" customHeight="1" x14ac:dyDescent="0.15">
      <c r="BB269" s="26" t="str">
        <f>IFERROR($BC$3&amp;VLOOKUP(B271,'Pay Table'!$M$3:$N$18,2,FALSE)&amp;$BB$3&amp;C271&amp;$BD$3,"")</f>
        <v/>
      </c>
      <c r="BC269" s="1" t="str">
        <f>IFERROR($BC$3&amp;VLOOKUP(D271,'Pay Table'!$M$3:$N$18,2,FALSE)&amp;$BB$3&amp;E271&amp;$BD$3,"")</f>
        <v/>
      </c>
      <c r="BD269" s="1" t="str">
        <f>IFERROR($BC$3&amp;VLOOKUP(F271,'Pay Table'!$M$3:$N$18,2,FALSE)&amp;$BB$3&amp;G271&amp;$BD$3,"")</f>
        <v/>
      </c>
      <c r="BE269" s="1" t="str">
        <f>IFERROR($BC$3&amp;VLOOKUP(H271,'Pay Table'!$M$3:$N$18,2,FALSE)&amp;$BB$3&amp;I271&amp;$BD$3,"")</f>
        <v/>
      </c>
      <c r="BF269" s="27" t="str">
        <f>IFERROR($BC$3&amp;VLOOKUP(J271,'Pay Table'!$M$3:$N$18,2,FALSE)&amp;$BB$3&amp;K271&amp;$BD$3,"")</f>
        <v/>
      </c>
    </row>
    <row r="270" spans="54:58" ht="17.100000000000001" customHeight="1" x14ac:dyDescent="0.15">
      <c r="BB270" s="26" t="str">
        <f>IFERROR($BC$3&amp;VLOOKUP(B272,'Pay Table'!$M$3:$N$18,2,FALSE)&amp;$BB$3&amp;C272&amp;$BD$3,"")</f>
        <v/>
      </c>
      <c r="BC270" s="1" t="str">
        <f>IFERROR($BC$3&amp;VLOOKUP(D272,'Pay Table'!$M$3:$N$18,2,FALSE)&amp;$BB$3&amp;E272&amp;$BD$3,"")</f>
        <v/>
      </c>
      <c r="BD270" s="1" t="str">
        <f>IFERROR($BC$3&amp;VLOOKUP(F272,'Pay Table'!$M$3:$N$18,2,FALSE)&amp;$BB$3&amp;G272&amp;$BD$3,"")</f>
        <v/>
      </c>
      <c r="BE270" s="1" t="str">
        <f>IFERROR($BC$3&amp;VLOOKUP(H272,'Pay Table'!$M$3:$N$18,2,FALSE)&amp;$BB$3&amp;I272&amp;$BD$3,"")</f>
        <v/>
      </c>
      <c r="BF270" s="27" t="str">
        <f>IFERROR($BC$3&amp;VLOOKUP(J272,'Pay Table'!$M$3:$N$18,2,FALSE)&amp;$BB$3&amp;K272&amp;$BD$3,"")</f>
        <v/>
      </c>
    </row>
    <row r="271" spans="54:58" ht="17.100000000000001" customHeight="1" x14ac:dyDescent="0.15">
      <c r="BB271" s="26" t="str">
        <f>IFERROR($BC$3&amp;VLOOKUP(B273,'Pay Table'!$M$3:$N$18,2,FALSE)&amp;$BB$3&amp;C273&amp;$BD$3,"")</f>
        <v/>
      </c>
      <c r="BC271" s="1" t="str">
        <f>IFERROR($BC$3&amp;VLOOKUP(D273,'Pay Table'!$M$3:$N$18,2,FALSE)&amp;$BB$3&amp;E273&amp;$BD$3,"")</f>
        <v/>
      </c>
      <c r="BD271" s="1" t="str">
        <f>IFERROR($BC$3&amp;VLOOKUP(F273,'Pay Table'!$M$3:$N$18,2,FALSE)&amp;$BB$3&amp;G273&amp;$BD$3,"")</f>
        <v/>
      </c>
      <c r="BE271" s="1" t="str">
        <f>IFERROR($BC$3&amp;VLOOKUP(H273,'Pay Table'!$M$3:$N$18,2,FALSE)&amp;$BB$3&amp;I273&amp;$BD$3,"")</f>
        <v/>
      </c>
      <c r="BF271" s="27" t="str">
        <f>IFERROR($BC$3&amp;VLOOKUP(J273,'Pay Table'!$M$3:$N$18,2,FALSE)&amp;$BB$3&amp;K273&amp;$BD$3,"")</f>
        <v/>
      </c>
    </row>
    <row r="272" spans="54:58" ht="17.100000000000001" customHeight="1" x14ac:dyDescent="0.15">
      <c r="BB272" s="26" t="str">
        <f>IFERROR($BC$3&amp;VLOOKUP(B274,'Pay Table'!$M$3:$N$18,2,FALSE)&amp;$BB$3&amp;C274&amp;$BD$3,"")</f>
        <v/>
      </c>
      <c r="BC272" s="1" t="str">
        <f>IFERROR($BC$3&amp;VLOOKUP(D274,'Pay Table'!$M$3:$N$18,2,FALSE)&amp;$BB$3&amp;E274&amp;$BD$3,"")</f>
        <v/>
      </c>
      <c r="BD272" s="1" t="str">
        <f>IFERROR($BC$3&amp;VLOOKUP(F274,'Pay Table'!$M$3:$N$18,2,FALSE)&amp;$BB$3&amp;G274&amp;$BD$3,"")</f>
        <v/>
      </c>
      <c r="BE272" s="1" t="str">
        <f>IFERROR($BC$3&amp;VLOOKUP(H274,'Pay Table'!$M$3:$N$18,2,FALSE)&amp;$BB$3&amp;I274&amp;$BD$3,"")</f>
        <v/>
      </c>
      <c r="BF272" s="27" t="str">
        <f>IFERROR($BC$3&amp;VLOOKUP(J274,'Pay Table'!$M$3:$N$18,2,FALSE)&amp;$BB$3&amp;K274&amp;$BD$3,"")</f>
        <v/>
      </c>
    </row>
    <row r="273" spans="54:58" ht="17.100000000000001" customHeight="1" x14ac:dyDescent="0.15">
      <c r="BB273" s="26" t="str">
        <f>IFERROR($BC$3&amp;VLOOKUP(B275,'Pay Table'!$M$3:$N$18,2,FALSE)&amp;$BB$3&amp;C275&amp;$BD$3,"")</f>
        <v/>
      </c>
      <c r="BC273" s="1" t="str">
        <f>IFERROR($BC$3&amp;VLOOKUP(D275,'Pay Table'!$M$3:$N$18,2,FALSE)&amp;$BB$3&amp;E275&amp;$BD$3,"")</f>
        <v/>
      </c>
      <c r="BD273" s="1" t="str">
        <f>IFERROR($BC$3&amp;VLOOKUP(F275,'Pay Table'!$M$3:$N$18,2,FALSE)&amp;$BB$3&amp;G275&amp;$BD$3,"")</f>
        <v/>
      </c>
      <c r="BE273" s="1" t="str">
        <f>IFERROR($BC$3&amp;VLOOKUP(H275,'Pay Table'!$M$3:$N$18,2,FALSE)&amp;$BB$3&amp;I275&amp;$BD$3,"")</f>
        <v/>
      </c>
      <c r="BF273" s="27" t="str">
        <f>IFERROR($BC$3&amp;VLOOKUP(J275,'Pay Table'!$M$3:$N$18,2,FALSE)&amp;$BB$3&amp;K275&amp;$BD$3,"")</f>
        <v/>
      </c>
    </row>
    <row r="274" spans="54:58" ht="17.100000000000001" customHeight="1" x14ac:dyDescent="0.15">
      <c r="BB274" s="26" t="str">
        <f>IFERROR($BC$3&amp;VLOOKUP(B276,'Pay Table'!$M$3:$N$18,2,FALSE)&amp;$BB$3&amp;C276&amp;$BD$3,"")</f>
        <v/>
      </c>
      <c r="BC274" s="1" t="str">
        <f>IFERROR($BC$3&amp;VLOOKUP(D276,'Pay Table'!$M$3:$N$18,2,FALSE)&amp;$BB$3&amp;E276&amp;$BD$3,"")</f>
        <v/>
      </c>
      <c r="BD274" s="1" t="str">
        <f>IFERROR($BC$3&amp;VLOOKUP(F276,'Pay Table'!$M$3:$N$18,2,FALSE)&amp;$BB$3&amp;G276&amp;$BD$3,"")</f>
        <v/>
      </c>
      <c r="BE274" s="1" t="str">
        <f>IFERROR($BC$3&amp;VLOOKUP(H276,'Pay Table'!$M$3:$N$18,2,FALSE)&amp;$BB$3&amp;I276&amp;$BD$3,"")</f>
        <v/>
      </c>
      <c r="BF274" s="27" t="str">
        <f>IFERROR($BC$3&amp;VLOOKUP(J276,'Pay Table'!$M$3:$N$18,2,FALSE)&amp;$BB$3&amp;K276&amp;$BD$3,"")</f>
        <v/>
      </c>
    </row>
    <row r="275" spans="54:58" ht="17.100000000000001" customHeight="1" x14ac:dyDescent="0.15">
      <c r="BB275" s="26" t="str">
        <f>IFERROR($BC$3&amp;VLOOKUP(B277,'Pay Table'!$M$3:$N$18,2,FALSE)&amp;$BB$3&amp;C277&amp;$BD$3,"")</f>
        <v/>
      </c>
      <c r="BC275" s="1" t="str">
        <f>IFERROR($BC$3&amp;VLOOKUP(D277,'Pay Table'!$M$3:$N$18,2,FALSE)&amp;$BB$3&amp;E277&amp;$BD$3,"")</f>
        <v/>
      </c>
      <c r="BD275" s="1" t="str">
        <f>IFERROR($BC$3&amp;VLOOKUP(F277,'Pay Table'!$M$3:$N$18,2,FALSE)&amp;$BB$3&amp;G277&amp;$BD$3,"")</f>
        <v/>
      </c>
      <c r="BE275" s="1" t="str">
        <f>IFERROR($BC$3&amp;VLOOKUP(H277,'Pay Table'!$M$3:$N$18,2,FALSE)&amp;$BB$3&amp;I277&amp;$BD$3,"")</f>
        <v/>
      </c>
      <c r="BF275" s="27" t="str">
        <f>IFERROR($BC$3&amp;VLOOKUP(J277,'Pay Table'!$M$3:$N$18,2,FALSE)&amp;$BB$3&amp;K277&amp;$BD$3,"")</f>
        <v/>
      </c>
    </row>
    <row r="276" spans="54:58" ht="17.100000000000001" customHeight="1" x14ac:dyDescent="0.15">
      <c r="BB276" s="26" t="str">
        <f>IFERROR($BC$3&amp;VLOOKUP(B278,'Pay Table'!$M$3:$N$18,2,FALSE)&amp;$BB$3&amp;C278&amp;$BD$3,"")</f>
        <v/>
      </c>
      <c r="BC276" s="1" t="str">
        <f>IFERROR($BC$3&amp;VLOOKUP(D278,'Pay Table'!$M$3:$N$18,2,FALSE)&amp;$BB$3&amp;E278&amp;$BD$3,"")</f>
        <v/>
      </c>
      <c r="BD276" s="1" t="str">
        <f>IFERROR($BC$3&amp;VLOOKUP(F278,'Pay Table'!$M$3:$N$18,2,FALSE)&amp;$BB$3&amp;G278&amp;$BD$3,"")</f>
        <v/>
      </c>
      <c r="BE276" s="1" t="str">
        <f>IFERROR($BC$3&amp;VLOOKUP(H278,'Pay Table'!$M$3:$N$18,2,FALSE)&amp;$BB$3&amp;I278&amp;$BD$3,"")</f>
        <v/>
      </c>
      <c r="BF276" s="27" t="str">
        <f>IFERROR($BC$3&amp;VLOOKUP(J278,'Pay Table'!$M$3:$N$18,2,FALSE)&amp;$BB$3&amp;K278&amp;$BD$3,"")</f>
        <v/>
      </c>
    </row>
    <row r="277" spans="54:58" ht="17.100000000000001" customHeight="1" x14ac:dyDescent="0.15">
      <c r="BB277" s="26" t="str">
        <f>IFERROR($BC$3&amp;VLOOKUP(B279,'Pay Table'!$M$3:$N$18,2,FALSE)&amp;$BB$3&amp;C279&amp;$BD$3,"")</f>
        <v/>
      </c>
      <c r="BC277" s="1" t="str">
        <f>IFERROR($BC$3&amp;VLOOKUP(D279,'Pay Table'!$M$3:$N$18,2,FALSE)&amp;$BB$3&amp;E279&amp;$BD$3,"")</f>
        <v/>
      </c>
      <c r="BD277" s="1" t="str">
        <f>IFERROR($BC$3&amp;VLOOKUP(F279,'Pay Table'!$M$3:$N$18,2,FALSE)&amp;$BB$3&amp;G279&amp;$BD$3,"")</f>
        <v/>
      </c>
      <c r="BE277" s="1" t="str">
        <f>IFERROR($BC$3&amp;VLOOKUP(H279,'Pay Table'!$M$3:$N$18,2,FALSE)&amp;$BB$3&amp;I279&amp;$BD$3,"")</f>
        <v/>
      </c>
      <c r="BF277" s="27" t="str">
        <f>IFERROR($BC$3&amp;VLOOKUP(J279,'Pay Table'!$M$3:$N$18,2,FALSE)&amp;$BB$3&amp;K279&amp;$BD$3,"")</f>
        <v/>
      </c>
    </row>
    <row r="278" spans="54:58" ht="17.100000000000001" customHeight="1" x14ac:dyDescent="0.15">
      <c r="BB278" s="26" t="str">
        <f>IFERROR($BC$3&amp;VLOOKUP(B280,'Pay Table'!$M$3:$N$18,2,FALSE)&amp;$BB$3&amp;C280&amp;$BD$3,"")</f>
        <v/>
      </c>
      <c r="BC278" s="1" t="str">
        <f>IFERROR($BC$3&amp;VLOOKUP(D280,'Pay Table'!$M$3:$N$18,2,FALSE)&amp;$BB$3&amp;E280&amp;$BD$3,"")</f>
        <v/>
      </c>
      <c r="BD278" s="1" t="str">
        <f>IFERROR($BC$3&amp;VLOOKUP(F280,'Pay Table'!$M$3:$N$18,2,FALSE)&amp;$BB$3&amp;G280&amp;$BD$3,"")</f>
        <v/>
      </c>
      <c r="BE278" s="1" t="str">
        <f>IFERROR($BC$3&amp;VLOOKUP(H280,'Pay Table'!$M$3:$N$18,2,FALSE)&amp;$BB$3&amp;I280&amp;$BD$3,"")</f>
        <v/>
      </c>
      <c r="BF278" s="27" t="str">
        <f>IFERROR($BC$3&amp;VLOOKUP(J280,'Pay Table'!$M$3:$N$18,2,FALSE)&amp;$BB$3&amp;K280&amp;$BD$3,"")</f>
        <v/>
      </c>
    </row>
    <row r="279" spans="54:58" ht="17.100000000000001" customHeight="1" x14ac:dyDescent="0.15">
      <c r="BB279" s="26" t="str">
        <f>IFERROR($BC$3&amp;VLOOKUP(B281,'Pay Table'!$M$3:$N$18,2,FALSE)&amp;$BB$3&amp;C281&amp;$BD$3,"")</f>
        <v/>
      </c>
      <c r="BC279" s="1" t="str">
        <f>IFERROR($BC$3&amp;VLOOKUP(D281,'Pay Table'!$M$3:$N$18,2,FALSE)&amp;$BB$3&amp;E281&amp;$BD$3,"")</f>
        <v/>
      </c>
      <c r="BD279" s="1" t="str">
        <f>IFERROR($BC$3&amp;VLOOKUP(F281,'Pay Table'!$M$3:$N$18,2,FALSE)&amp;$BB$3&amp;G281&amp;$BD$3,"")</f>
        <v/>
      </c>
      <c r="BE279" s="1" t="str">
        <f>IFERROR($BC$3&amp;VLOOKUP(H281,'Pay Table'!$M$3:$N$18,2,FALSE)&amp;$BB$3&amp;I281&amp;$BD$3,"")</f>
        <v/>
      </c>
      <c r="BF279" s="27" t="str">
        <f>IFERROR($BC$3&amp;VLOOKUP(J281,'Pay Table'!$M$3:$N$18,2,FALSE)&amp;$BB$3&amp;K281&amp;$BD$3,"")</f>
        <v/>
      </c>
    </row>
    <row r="280" spans="54:58" ht="17.100000000000001" customHeight="1" x14ac:dyDescent="0.15">
      <c r="BB280" s="26" t="str">
        <f>IFERROR($BC$3&amp;VLOOKUP(B282,'Pay Table'!$M$3:$N$18,2,FALSE)&amp;$BB$3&amp;C282&amp;$BD$3,"")</f>
        <v/>
      </c>
      <c r="BC280" s="1" t="str">
        <f>IFERROR($BC$3&amp;VLOOKUP(D282,'Pay Table'!$M$3:$N$18,2,FALSE)&amp;$BB$3&amp;E282&amp;$BD$3,"")</f>
        <v/>
      </c>
      <c r="BD280" s="1" t="str">
        <f>IFERROR($BC$3&amp;VLOOKUP(F282,'Pay Table'!$M$3:$N$18,2,FALSE)&amp;$BB$3&amp;G282&amp;$BD$3,"")</f>
        <v/>
      </c>
      <c r="BE280" s="1" t="str">
        <f>IFERROR($BC$3&amp;VLOOKUP(H282,'Pay Table'!$M$3:$N$18,2,FALSE)&amp;$BB$3&amp;I282&amp;$BD$3,"")</f>
        <v/>
      </c>
      <c r="BF280" s="27" t="str">
        <f>IFERROR($BC$3&amp;VLOOKUP(J282,'Pay Table'!$M$3:$N$18,2,FALSE)&amp;$BB$3&amp;K282&amp;$BD$3,"")</f>
        <v/>
      </c>
    </row>
    <row r="281" spans="54:58" ht="17.100000000000001" customHeight="1" x14ac:dyDescent="0.15">
      <c r="BB281" s="26" t="str">
        <f>IFERROR($BC$3&amp;VLOOKUP(B283,'Pay Table'!$M$3:$N$18,2,FALSE)&amp;$BB$3&amp;C283&amp;$BD$3,"")</f>
        <v/>
      </c>
      <c r="BC281" s="1" t="str">
        <f>IFERROR($BC$3&amp;VLOOKUP(D283,'Pay Table'!$M$3:$N$18,2,FALSE)&amp;$BB$3&amp;E283&amp;$BD$3,"")</f>
        <v/>
      </c>
      <c r="BD281" s="1" t="str">
        <f>IFERROR($BC$3&amp;VLOOKUP(F283,'Pay Table'!$M$3:$N$18,2,FALSE)&amp;$BB$3&amp;G283&amp;$BD$3,"")</f>
        <v/>
      </c>
      <c r="BE281" s="1" t="str">
        <f>IFERROR($BC$3&amp;VLOOKUP(H283,'Pay Table'!$M$3:$N$18,2,FALSE)&amp;$BB$3&amp;I283&amp;$BD$3,"")</f>
        <v/>
      </c>
      <c r="BF281" s="27" t="str">
        <f>IFERROR($BC$3&amp;VLOOKUP(J283,'Pay Table'!$M$3:$N$18,2,FALSE)&amp;$BB$3&amp;K283&amp;$BD$3,"")</f>
        <v/>
      </c>
    </row>
    <row r="282" spans="54:58" ht="17.100000000000001" customHeight="1" x14ac:dyDescent="0.15">
      <c r="BB282" s="26" t="str">
        <f>IFERROR($BC$3&amp;VLOOKUP(B284,'Pay Table'!$M$3:$N$18,2,FALSE)&amp;$BB$3&amp;C284&amp;$BD$3,"")</f>
        <v/>
      </c>
      <c r="BC282" s="1" t="str">
        <f>IFERROR($BC$3&amp;VLOOKUP(D284,'Pay Table'!$M$3:$N$18,2,FALSE)&amp;$BB$3&amp;E284&amp;$BD$3,"")</f>
        <v/>
      </c>
      <c r="BD282" s="1" t="str">
        <f>IFERROR($BC$3&amp;VLOOKUP(F284,'Pay Table'!$M$3:$N$18,2,FALSE)&amp;$BB$3&amp;G284&amp;$BD$3,"")</f>
        <v/>
      </c>
      <c r="BE282" s="1" t="str">
        <f>IFERROR($BC$3&amp;VLOOKUP(H284,'Pay Table'!$M$3:$N$18,2,FALSE)&amp;$BB$3&amp;I284&amp;$BD$3,"")</f>
        <v/>
      </c>
      <c r="BF282" s="27" t="str">
        <f>IFERROR($BC$3&amp;VLOOKUP(J284,'Pay Table'!$M$3:$N$18,2,FALSE)&amp;$BB$3&amp;K284&amp;$BD$3,"")</f>
        <v/>
      </c>
    </row>
    <row r="283" spans="54:58" ht="17.100000000000001" customHeight="1" x14ac:dyDescent="0.15">
      <c r="BB283" s="26" t="str">
        <f>IFERROR($BC$3&amp;VLOOKUP(B285,'Pay Table'!$M$3:$N$18,2,FALSE)&amp;$BB$3&amp;C285&amp;$BD$3,"")</f>
        <v/>
      </c>
      <c r="BC283" s="1" t="str">
        <f>IFERROR($BC$3&amp;VLOOKUP(D285,'Pay Table'!$M$3:$N$18,2,FALSE)&amp;$BB$3&amp;E285&amp;$BD$3,"")</f>
        <v/>
      </c>
      <c r="BD283" s="1" t="str">
        <f>IFERROR($BC$3&amp;VLOOKUP(F285,'Pay Table'!$M$3:$N$18,2,FALSE)&amp;$BB$3&amp;G285&amp;$BD$3,"")</f>
        <v/>
      </c>
      <c r="BE283" s="1" t="str">
        <f>IFERROR($BC$3&amp;VLOOKUP(H285,'Pay Table'!$M$3:$N$18,2,FALSE)&amp;$BB$3&amp;I285&amp;$BD$3,"")</f>
        <v/>
      </c>
      <c r="BF283" s="27" t="str">
        <f>IFERROR($BC$3&amp;VLOOKUP(J285,'Pay Table'!$M$3:$N$18,2,FALSE)&amp;$BB$3&amp;K285&amp;$BD$3,"")</f>
        <v/>
      </c>
    </row>
    <row r="284" spans="54:58" ht="17.100000000000001" customHeight="1" x14ac:dyDescent="0.15">
      <c r="BB284" s="26" t="str">
        <f>IFERROR($BC$3&amp;VLOOKUP(B286,'Pay Table'!$M$3:$N$18,2,FALSE)&amp;$BB$3&amp;C286&amp;$BD$3,"")</f>
        <v/>
      </c>
      <c r="BC284" s="1" t="str">
        <f>IFERROR($BC$3&amp;VLOOKUP(D286,'Pay Table'!$M$3:$N$18,2,FALSE)&amp;$BB$3&amp;E286&amp;$BD$3,"")</f>
        <v/>
      </c>
      <c r="BD284" s="1" t="str">
        <f>IFERROR($BC$3&amp;VLOOKUP(F286,'Pay Table'!$M$3:$N$18,2,FALSE)&amp;$BB$3&amp;G286&amp;$BD$3,"")</f>
        <v/>
      </c>
      <c r="BE284" s="1" t="str">
        <f>IFERROR($BC$3&amp;VLOOKUP(H286,'Pay Table'!$M$3:$N$18,2,FALSE)&amp;$BB$3&amp;I286&amp;$BD$3,"")</f>
        <v/>
      </c>
      <c r="BF284" s="27" t="str">
        <f>IFERROR($BC$3&amp;VLOOKUP(J286,'Pay Table'!$M$3:$N$18,2,FALSE)&amp;$BB$3&amp;K286&amp;$BD$3,"")</f>
        <v/>
      </c>
    </row>
    <row r="285" spans="54:58" ht="17.100000000000001" customHeight="1" x14ac:dyDescent="0.15">
      <c r="BB285" s="26" t="str">
        <f>IFERROR($BC$3&amp;VLOOKUP(B287,'Pay Table'!$M$3:$N$18,2,FALSE)&amp;$BB$3&amp;C287&amp;$BD$3,"")</f>
        <v/>
      </c>
      <c r="BC285" s="1" t="str">
        <f>IFERROR($BC$3&amp;VLOOKUP(D287,'Pay Table'!$M$3:$N$18,2,FALSE)&amp;$BB$3&amp;E287&amp;$BD$3,"")</f>
        <v/>
      </c>
      <c r="BD285" s="1" t="str">
        <f>IFERROR($BC$3&amp;VLOOKUP(F287,'Pay Table'!$M$3:$N$18,2,FALSE)&amp;$BB$3&amp;G287&amp;$BD$3,"")</f>
        <v/>
      </c>
      <c r="BE285" s="1" t="str">
        <f>IFERROR($BC$3&amp;VLOOKUP(H287,'Pay Table'!$M$3:$N$18,2,FALSE)&amp;$BB$3&amp;I287&amp;$BD$3,"")</f>
        <v/>
      </c>
      <c r="BF285" s="27" t="str">
        <f>IFERROR($BC$3&amp;VLOOKUP(J287,'Pay Table'!$M$3:$N$18,2,FALSE)&amp;$BB$3&amp;K287&amp;$BD$3,"")</f>
        <v/>
      </c>
    </row>
    <row r="286" spans="54:58" ht="17.100000000000001" customHeight="1" x14ac:dyDescent="0.15">
      <c r="BB286" s="26" t="str">
        <f>IFERROR($BC$3&amp;VLOOKUP(B288,'Pay Table'!$M$3:$N$18,2,FALSE)&amp;$BB$3&amp;C288&amp;$BD$3,"")</f>
        <v/>
      </c>
      <c r="BC286" s="1" t="str">
        <f>IFERROR($BC$3&amp;VLOOKUP(D288,'Pay Table'!$M$3:$N$18,2,FALSE)&amp;$BB$3&amp;E288&amp;$BD$3,"")</f>
        <v/>
      </c>
      <c r="BD286" s="1" t="str">
        <f>IFERROR($BC$3&amp;VLOOKUP(F288,'Pay Table'!$M$3:$N$18,2,FALSE)&amp;$BB$3&amp;G288&amp;$BD$3,"")</f>
        <v/>
      </c>
      <c r="BE286" s="1" t="str">
        <f>IFERROR($BC$3&amp;VLOOKUP(H288,'Pay Table'!$M$3:$N$18,2,FALSE)&amp;$BB$3&amp;I288&amp;$BD$3,"")</f>
        <v/>
      </c>
      <c r="BF286" s="27" t="str">
        <f>IFERROR($BC$3&amp;VLOOKUP(J288,'Pay Table'!$M$3:$N$18,2,FALSE)&amp;$BB$3&amp;K288&amp;$BD$3,"")</f>
        <v/>
      </c>
    </row>
    <row r="287" spans="54:58" ht="17.100000000000001" customHeight="1" x14ac:dyDescent="0.15">
      <c r="BB287" s="26" t="str">
        <f>IFERROR($BC$3&amp;VLOOKUP(B289,'Pay Table'!$M$3:$N$18,2,FALSE)&amp;$BB$3&amp;C289&amp;$BD$3,"")</f>
        <v/>
      </c>
      <c r="BC287" s="1" t="str">
        <f>IFERROR($BC$3&amp;VLOOKUP(D289,'Pay Table'!$M$3:$N$18,2,FALSE)&amp;$BB$3&amp;E289&amp;$BD$3,"")</f>
        <v/>
      </c>
      <c r="BD287" s="1" t="str">
        <f>IFERROR($BC$3&amp;VLOOKUP(F289,'Pay Table'!$M$3:$N$18,2,FALSE)&amp;$BB$3&amp;G289&amp;$BD$3,"")</f>
        <v/>
      </c>
      <c r="BE287" s="1" t="str">
        <f>IFERROR($BC$3&amp;VLOOKUP(H289,'Pay Table'!$M$3:$N$18,2,FALSE)&amp;$BB$3&amp;I289&amp;$BD$3,"")</f>
        <v/>
      </c>
      <c r="BF287" s="27" t="str">
        <f>IFERROR($BC$3&amp;VLOOKUP(J289,'Pay Table'!$M$3:$N$18,2,FALSE)&amp;$BB$3&amp;K289&amp;$BD$3,"")</f>
        <v/>
      </c>
    </row>
    <row r="288" spans="54:58" ht="17.100000000000001" customHeight="1" x14ac:dyDescent="0.15">
      <c r="BB288" s="26" t="str">
        <f>IFERROR($BC$3&amp;VLOOKUP(B290,'Pay Table'!$M$3:$N$18,2,FALSE)&amp;$BB$3&amp;C290&amp;$BD$3,"")</f>
        <v/>
      </c>
      <c r="BC288" s="1" t="str">
        <f>IFERROR($BC$3&amp;VLOOKUP(D290,'Pay Table'!$M$3:$N$18,2,FALSE)&amp;$BB$3&amp;E290&amp;$BD$3,"")</f>
        <v/>
      </c>
      <c r="BD288" s="1" t="str">
        <f>IFERROR($BC$3&amp;VLOOKUP(F290,'Pay Table'!$M$3:$N$18,2,FALSE)&amp;$BB$3&amp;G290&amp;$BD$3,"")</f>
        <v/>
      </c>
      <c r="BE288" s="1" t="str">
        <f>IFERROR($BC$3&amp;VLOOKUP(H290,'Pay Table'!$M$3:$N$18,2,FALSE)&amp;$BB$3&amp;I290&amp;$BD$3,"")</f>
        <v/>
      </c>
      <c r="BF288" s="27" t="str">
        <f>IFERROR($BC$3&amp;VLOOKUP(J290,'Pay Table'!$M$3:$N$18,2,FALSE)&amp;$BB$3&amp;K290&amp;$BD$3,"")</f>
        <v/>
      </c>
    </row>
    <row r="289" spans="54:58" ht="17.100000000000001" customHeight="1" x14ac:dyDescent="0.15">
      <c r="BB289" s="26" t="str">
        <f>IFERROR($BC$3&amp;VLOOKUP(B291,'Pay Table'!$M$3:$N$18,2,FALSE)&amp;$BB$3&amp;C291&amp;$BD$3,"")</f>
        <v/>
      </c>
      <c r="BC289" s="1" t="str">
        <f>IFERROR($BC$3&amp;VLOOKUP(D291,'Pay Table'!$M$3:$N$18,2,FALSE)&amp;$BB$3&amp;E291&amp;$BD$3,"")</f>
        <v/>
      </c>
      <c r="BD289" s="1" t="str">
        <f>IFERROR($BC$3&amp;VLOOKUP(F291,'Pay Table'!$M$3:$N$18,2,FALSE)&amp;$BB$3&amp;G291&amp;$BD$3,"")</f>
        <v/>
      </c>
      <c r="BE289" s="1" t="str">
        <f>IFERROR($BC$3&amp;VLOOKUP(H291,'Pay Table'!$M$3:$N$18,2,FALSE)&amp;$BB$3&amp;I291&amp;$BD$3,"")</f>
        <v/>
      </c>
      <c r="BF289" s="27" t="str">
        <f>IFERROR($BC$3&amp;VLOOKUP(J291,'Pay Table'!$M$3:$N$18,2,FALSE)&amp;$BB$3&amp;K291&amp;$BD$3,"")</f>
        <v/>
      </c>
    </row>
    <row r="290" spans="54:58" x14ac:dyDescent="0.15">
      <c r="BB290" s="26" t="str">
        <f>IFERROR($BC$3&amp;VLOOKUP(B292,'Pay Table'!$M$3:$N$18,2,FALSE)&amp;$BB$3&amp;C292&amp;$BD$3,"")</f>
        <v/>
      </c>
      <c r="BC290" s="1" t="str">
        <f>IFERROR($BC$3&amp;VLOOKUP(D292,'Pay Table'!$M$3:$N$18,2,FALSE)&amp;$BB$3&amp;E292&amp;$BD$3,"")</f>
        <v/>
      </c>
      <c r="BD290" s="1" t="str">
        <f>IFERROR($BC$3&amp;VLOOKUP(F292,'Pay Table'!$M$3:$N$18,2,FALSE)&amp;$BB$3&amp;G292&amp;$BD$3,"")</f>
        <v/>
      </c>
      <c r="BE290" s="1" t="str">
        <f>IFERROR($BC$3&amp;VLOOKUP(H292,'Pay Table'!$M$3:$N$18,2,FALSE)&amp;$BB$3&amp;I292&amp;$BD$3,"")</f>
        <v/>
      </c>
      <c r="BF290" s="27" t="str">
        <f>IFERROR($BC$3&amp;VLOOKUP(J292,'Pay Table'!$M$3:$N$18,2,FALSE)&amp;$BB$3&amp;K292&amp;$BD$3,"")</f>
        <v/>
      </c>
    </row>
    <row r="291" spans="54:58" x14ac:dyDescent="0.15">
      <c r="BB291" s="26" t="str">
        <f>IFERROR($BC$3&amp;VLOOKUP(B293,'Pay Table'!$M$3:$N$18,2,FALSE)&amp;$BB$3&amp;C293&amp;$BD$3,"")</f>
        <v/>
      </c>
      <c r="BC291" s="1" t="str">
        <f>IFERROR($BC$3&amp;VLOOKUP(D293,'Pay Table'!$M$3:$N$18,2,FALSE)&amp;$BB$3&amp;E293&amp;$BD$3,"")</f>
        <v/>
      </c>
      <c r="BD291" s="1" t="str">
        <f>IFERROR($BC$3&amp;VLOOKUP(F293,'Pay Table'!$M$3:$N$18,2,FALSE)&amp;$BB$3&amp;G293&amp;$BD$3,"")</f>
        <v/>
      </c>
      <c r="BE291" s="1" t="str">
        <f>IFERROR($BC$3&amp;VLOOKUP(H293,'Pay Table'!$M$3:$N$18,2,FALSE)&amp;$BB$3&amp;I293&amp;$BD$3,"")</f>
        <v/>
      </c>
      <c r="BF291" s="27" t="str">
        <f>IFERROR($BC$3&amp;VLOOKUP(J293,'Pay Table'!$M$3:$N$18,2,FALSE)&amp;$BB$3&amp;K293&amp;$BD$3,"")</f>
        <v/>
      </c>
    </row>
    <row r="292" spans="54:58" x14ac:dyDescent="0.15">
      <c r="BB292" s="26" t="str">
        <f>IFERROR($BC$3&amp;VLOOKUP(B294,'Pay Table'!$M$3:$N$18,2,FALSE)&amp;$BB$3&amp;C294&amp;$BD$3,"")</f>
        <v/>
      </c>
      <c r="BC292" s="1" t="str">
        <f>IFERROR($BC$3&amp;VLOOKUP(D294,'Pay Table'!$M$3:$N$18,2,FALSE)&amp;$BB$3&amp;E294&amp;$BD$3,"")</f>
        <v/>
      </c>
      <c r="BD292" s="1" t="str">
        <f>IFERROR($BC$3&amp;VLOOKUP(F294,'Pay Table'!$M$3:$N$18,2,FALSE)&amp;$BB$3&amp;G294&amp;$BD$3,"")</f>
        <v/>
      </c>
      <c r="BE292" s="1" t="str">
        <f>IFERROR($BC$3&amp;VLOOKUP(H294,'Pay Table'!$M$3:$N$18,2,FALSE)&amp;$BB$3&amp;I294&amp;$BD$3,"")</f>
        <v/>
      </c>
      <c r="BF292" s="27" t="str">
        <f>IFERROR($BC$3&amp;VLOOKUP(J294,'Pay Table'!$M$3:$N$18,2,FALSE)&amp;$BB$3&amp;K294&amp;$BD$3,"")</f>
        <v/>
      </c>
    </row>
    <row r="293" spans="54:58" x14ac:dyDescent="0.15">
      <c r="BB293" s="26" t="str">
        <f>IFERROR($BC$3&amp;VLOOKUP(B295,'Pay Table'!$M$3:$N$18,2,FALSE)&amp;$BB$3&amp;C295&amp;$BD$3,"")</f>
        <v/>
      </c>
      <c r="BC293" s="1" t="str">
        <f>IFERROR($BC$3&amp;VLOOKUP(D295,'Pay Table'!$M$3:$N$18,2,FALSE)&amp;$BB$3&amp;E295&amp;$BD$3,"")</f>
        <v/>
      </c>
      <c r="BD293" s="1" t="str">
        <f>IFERROR($BC$3&amp;VLOOKUP(F295,'Pay Table'!$M$3:$N$18,2,FALSE)&amp;$BB$3&amp;G295&amp;$BD$3,"")</f>
        <v/>
      </c>
      <c r="BE293" s="1" t="str">
        <f>IFERROR($BC$3&amp;VLOOKUP(H295,'Pay Table'!$M$3:$N$18,2,FALSE)&amp;$BB$3&amp;I295&amp;$BD$3,"")</f>
        <v/>
      </c>
      <c r="BF293" s="27" t="str">
        <f>IFERROR($BC$3&amp;VLOOKUP(J295,'Pay Table'!$M$3:$N$18,2,FALSE)&amp;$BB$3&amp;K295&amp;$BD$3,"")</f>
        <v/>
      </c>
    </row>
    <row r="294" spans="54:58" x14ac:dyDescent="0.15">
      <c r="BB294" s="26" t="str">
        <f>IFERROR($BC$3&amp;VLOOKUP(B296,'Pay Table'!$M$3:$N$18,2,FALSE)&amp;$BB$3&amp;C296&amp;$BD$3,"")</f>
        <v/>
      </c>
      <c r="BC294" s="1" t="str">
        <f>IFERROR($BC$3&amp;VLOOKUP(D296,'Pay Table'!$M$3:$N$18,2,FALSE)&amp;$BB$3&amp;E296&amp;$BD$3,"")</f>
        <v/>
      </c>
      <c r="BD294" s="1" t="str">
        <f>IFERROR($BC$3&amp;VLOOKUP(F296,'Pay Table'!$M$3:$N$18,2,FALSE)&amp;$BB$3&amp;G296&amp;$BD$3,"")</f>
        <v/>
      </c>
      <c r="BE294" s="1" t="str">
        <f>IFERROR($BC$3&amp;VLOOKUP(H296,'Pay Table'!$M$3:$N$18,2,FALSE)&amp;$BB$3&amp;I296&amp;$BD$3,"")</f>
        <v/>
      </c>
      <c r="BF294" s="27" t="str">
        <f>IFERROR($BC$3&amp;VLOOKUP(J296,'Pay Table'!$M$3:$N$18,2,FALSE)&amp;$BB$3&amp;K296&amp;$BD$3,"")</f>
        <v/>
      </c>
    </row>
    <row r="295" spans="54:58" x14ac:dyDescent="0.15">
      <c r="BB295" s="26" t="str">
        <f>IFERROR($BC$3&amp;VLOOKUP(B297,'Pay Table'!$M$3:$N$18,2,FALSE)&amp;$BB$3&amp;C297&amp;$BD$3,"")</f>
        <v/>
      </c>
      <c r="BC295" s="1" t="str">
        <f>IFERROR($BC$3&amp;VLOOKUP(D297,'Pay Table'!$M$3:$N$18,2,FALSE)&amp;$BB$3&amp;E297&amp;$BD$3,"")</f>
        <v/>
      </c>
      <c r="BD295" s="1" t="str">
        <f>IFERROR($BC$3&amp;VLOOKUP(F297,'Pay Table'!$M$3:$N$18,2,FALSE)&amp;$BB$3&amp;G297&amp;$BD$3,"")</f>
        <v/>
      </c>
      <c r="BE295" s="1" t="str">
        <f>IFERROR($BC$3&amp;VLOOKUP(H297,'Pay Table'!$M$3:$N$18,2,FALSE)&amp;$BB$3&amp;I297&amp;$BD$3,"")</f>
        <v/>
      </c>
      <c r="BF295" s="27" t="str">
        <f>IFERROR($BC$3&amp;VLOOKUP(J297,'Pay Table'!$M$3:$N$18,2,FALSE)&amp;$BB$3&amp;K297&amp;$BD$3,"")</f>
        <v/>
      </c>
    </row>
    <row r="296" spans="54:58" x14ac:dyDescent="0.15">
      <c r="BB296" s="26" t="str">
        <f>IFERROR($BC$3&amp;VLOOKUP(B298,'Pay Table'!$M$3:$N$18,2,FALSE)&amp;$BB$3&amp;C298&amp;$BD$3,"")</f>
        <v/>
      </c>
      <c r="BC296" s="1" t="str">
        <f>IFERROR($BC$3&amp;VLOOKUP(D298,'Pay Table'!$M$3:$N$18,2,FALSE)&amp;$BB$3&amp;E298&amp;$BD$3,"")</f>
        <v/>
      </c>
      <c r="BD296" s="1" t="str">
        <f>IFERROR($BC$3&amp;VLOOKUP(F298,'Pay Table'!$M$3:$N$18,2,FALSE)&amp;$BB$3&amp;G298&amp;$BD$3,"")</f>
        <v/>
      </c>
      <c r="BE296" s="1" t="str">
        <f>IFERROR($BC$3&amp;VLOOKUP(H298,'Pay Table'!$M$3:$N$18,2,FALSE)&amp;$BB$3&amp;I298&amp;$BD$3,"")</f>
        <v/>
      </c>
      <c r="BF296" s="27" t="str">
        <f>IFERROR($BC$3&amp;VLOOKUP(J298,'Pay Table'!$M$3:$N$18,2,FALSE)&amp;$BB$3&amp;K298&amp;$BD$3,"")</f>
        <v/>
      </c>
    </row>
    <row r="297" spans="54:58" x14ac:dyDescent="0.15">
      <c r="BB297" s="26" t="str">
        <f>IFERROR($BC$3&amp;VLOOKUP(B299,'Pay Table'!$M$3:$N$18,2,FALSE)&amp;$BB$3&amp;C299&amp;$BD$3,"")</f>
        <v/>
      </c>
      <c r="BC297" s="1" t="str">
        <f>IFERROR($BC$3&amp;VLOOKUP(D299,'Pay Table'!$M$3:$N$18,2,FALSE)&amp;$BB$3&amp;E299&amp;$BD$3,"")</f>
        <v/>
      </c>
      <c r="BD297" s="1" t="str">
        <f>IFERROR($BC$3&amp;VLOOKUP(F299,'Pay Table'!$M$3:$N$18,2,FALSE)&amp;$BB$3&amp;G299&amp;$BD$3,"")</f>
        <v/>
      </c>
      <c r="BE297" s="1" t="str">
        <f>IFERROR($BC$3&amp;VLOOKUP(H299,'Pay Table'!$M$3:$N$18,2,FALSE)&amp;$BB$3&amp;I299&amp;$BD$3,"")</f>
        <v/>
      </c>
      <c r="BF297" s="27" t="str">
        <f>IFERROR($BC$3&amp;VLOOKUP(J299,'Pay Table'!$M$3:$N$18,2,FALSE)&amp;$BB$3&amp;K299&amp;$BD$3,"")</f>
        <v/>
      </c>
    </row>
    <row r="298" spans="54:58" x14ac:dyDescent="0.15">
      <c r="BB298" s="26" t="str">
        <f>IFERROR($BC$3&amp;VLOOKUP(B300,'Pay Table'!$M$3:$N$18,2,FALSE)&amp;$BB$3&amp;C300&amp;$BD$3,"")</f>
        <v/>
      </c>
      <c r="BC298" s="1" t="str">
        <f>IFERROR($BC$3&amp;VLOOKUP(D300,'Pay Table'!$M$3:$N$18,2,FALSE)&amp;$BB$3&amp;E300&amp;$BD$3,"")</f>
        <v/>
      </c>
      <c r="BD298" s="1" t="str">
        <f>IFERROR($BC$3&amp;VLOOKUP(F300,'Pay Table'!$M$3:$N$18,2,FALSE)&amp;$BB$3&amp;G300&amp;$BD$3,"")</f>
        <v/>
      </c>
      <c r="BE298" s="1" t="str">
        <f>IFERROR($BC$3&amp;VLOOKUP(H300,'Pay Table'!$M$3:$N$18,2,FALSE)&amp;$BB$3&amp;I300&amp;$BD$3,"")</f>
        <v/>
      </c>
      <c r="BF298" s="27" t="str">
        <f>IFERROR($BC$3&amp;VLOOKUP(J300,'Pay Table'!$M$3:$N$18,2,FALSE)&amp;$BB$3&amp;K300&amp;$BD$3,"")</f>
        <v/>
      </c>
    </row>
    <row r="299" spans="54:58" x14ac:dyDescent="0.15">
      <c r="BB299" s="26" t="str">
        <f>IFERROR($BC$3&amp;VLOOKUP(B301,'Pay Table'!$M$3:$N$18,2,FALSE)&amp;$BB$3&amp;C301&amp;$BD$3,"")</f>
        <v/>
      </c>
      <c r="BC299" s="1" t="str">
        <f>IFERROR($BC$3&amp;VLOOKUP(D301,'Pay Table'!$M$3:$N$18,2,FALSE)&amp;$BB$3&amp;E301&amp;$BD$3,"")</f>
        <v/>
      </c>
      <c r="BD299" s="1" t="str">
        <f>IFERROR($BC$3&amp;VLOOKUP(F301,'Pay Table'!$M$3:$N$18,2,FALSE)&amp;$BB$3&amp;G301&amp;$BD$3,"")</f>
        <v/>
      </c>
      <c r="BE299" s="1" t="str">
        <f>IFERROR($BC$3&amp;VLOOKUP(H301,'Pay Table'!$M$3:$N$18,2,FALSE)&amp;$BB$3&amp;I301&amp;$BD$3,"")</f>
        <v/>
      </c>
      <c r="BF299" s="27" t="str">
        <f>IFERROR($BC$3&amp;VLOOKUP(J301,'Pay Table'!$M$3:$N$18,2,FALSE)&amp;$BB$3&amp;K301&amp;$BD$3,"")</f>
        <v/>
      </c>
    </row>
    <row r="300" spans="54:58" x14ac:dyDescent="0.15">
      <c r="BB300" s="26" t="str">
        <f>IFERROR($BC$3&amp;VLOOKUP(B302,'Pay Table'!$M$3:$N$18,2,FALSE)&amp;$BB$3&amp;C302&amp;$BD$3,"")</f>
        <v/>
      </c>
      <c r="BC300" s="1" t="str">
        <f>IFERROR($BC$3&amp;VLOOKUP(D302,'Pay Table'!$M$3:$N$18,2,FALSE)&amp;$BB$3&amp;E302&amp;$BD$3,"")</f>
        <v/>
      </c>
      <c r="BD300" s="1" t="str">
        <f>IFERROR($BC$3&amp;VLOOKUP(F302,'Pay Table'!$M$3:$N$18,2,FALSE)&amp;$BB$3&amp;G302&amp;$BD$3,"")</f>
        <v/>
      </c>
      <c r="BE300" s="1" t="str">
        <f>IFERROR($BC$3&amp;VLOOKUP(H302,'Pay Table'!$M$3:$N$18,2,FALSE)&amp;$BB$3&amp;I302&amp;$BD$3,"")</f>
        <v/>
      </c>
      <c r="BF300" s="27" t="str">
        <f>IFERROR($BC$3&amp;VLOOKUP(J302,'Pay Table'!$M$3:$N$18,2,FALSE)&amp;$BB$3&amp;K302&amp;$BD$3,"")</f>
        <v/>
      </c>
    </row>
    <row r="301" spans="54:58" x14ac:dyDescent="0.15">
      <c r="BB301" s="26" t="str">
        <f>IFERROR($BC$3&amp;VLOOKUP(B303,'Pay Table'!$M$3:$N$18,2,FALSE)&amp;$BB$3&amp;C303&amp;$BD$3,"")</f>
        <v/>
      </c>
      <c r="BC301" s="1" t="str">
        <f>IFERROR($BC$3&amp;VLOOKUP(D303,'Pay Table'!$M$3:$N$18,2,FALSE)&amp;$BB$3&amp;E303&amp;$BD$3,"")</f>
        <v/>
      </c>
      <c r="BD301" s="1" t="str">
        <f>IFERROR($BC$3&amp;VLOOKUP(F303,'Pay Table'!$M$3:$N$18,2,FALSE)&amp;$BB$3&amp;G303&amp;$BD$3,"")</f>
        <v/>
      </c>
      <c r="BE301" s="1" t="str">
        <f>IFERROR($BC$3&amp;VLOOKUP(H303,'Pay Table'!$M$3:$N$18,2,FALSE)&amp;$BB$3&amp;I303&amp;$BD$3,"")</f>
        <v/>
      </c>
      <c r="BF301" s="27" t="str">
        <f>IFERROR($BC$3&amp;VLOOKUP(J303,'Pay Table'!$M$3:$N$18,2,FALSE)&amp;$BB$3&amp;K303&amp;$BD$3,"")</f>
        <v/>
      </c>
    </row>
    <row r="302" spans="54:58" x14ac:dyDescent="0.15">
      <c r="BB302" s="26" t="str">
        <f>IFERROR($BC$3&amp;VLOOKUP(B304,'Pay Table'!$M$3:$N$18,2,FALSE)&amp;$BB$3&amp;C304&amp;$BD$3,"")</f>
        <v/>
      </c>
      <c r="BC302" s="1" t="str">
        <f>IFERROR($BC$3&amp;VLOOKUP(D304,'Pay Table'!$M$3:$N$18,2,FALSE)&amp;$BB$3&amp;E304&amp;$BD$3,"")</f>
        <v/>
      </c>
      <c r="BD302" s="1" t="str">
        <f>IFERROR($BC$3&amp;VLOOKUP(F304,'Pay Table'!$M$3:$N$18,2,FALSE)&amp;$BB$3&amp;G304&amp;$BD$3,"")</f>
        <v/>
      </c>
      <c r="BE302" s="1" t="str">
        <f>IFERROR($BC$3&amp;VLOOKUP(H304,'Pay Table'!$M$3:$N$18,2,FALSE)&amp;$BB$3&amp;I304&amp;$BD$3,"")</f>
        <v/>
      </c>
      <c r="BF302" s="27" t="str">
        <f>IFERROR($BC$3&amp;VLOOKUP(J304,'Pay Table'!$M$3:$N$18,2,FALSE)&amp;$BB$3&amp;K304&amp;$BD$3,"")</f>
        <v/>
      </c>
    </row>
    <row r="303" spans="54:58" x14ac:dyDescent="0.15">
      <c r="BB303" s="26" t="str">
        <f>IFERROR($BC$3&amp;VLOOKUP(B305,'Pay Table'!$M$3:$N$18,2,FALSE)&amp;$BB$3&amp;C305&amp;$BD$3,"")</f>
        <v/>
      </c>
      <c r="BC303" s="1" t="str">
        <f>IFERROR($BC$3&amp;VLOOKUP(D305,'Pay Table'!$M$3:$N$18,2,FALSE)&amp;$BB$3&amp;E305&amp;$BD$3,"")</f>
        <v/>
      </c>
      <c r="BD303" s="1" t="str">
        <f>IFERROR($BC$3&amp;VLOOKUP(F305,'Pay Table'!$M$3:$N$18,2,FALSE)&amp;$BB$3&amp;G305&amp;$BD$3,"")</f>
        <v/>
      </c>
      <c r="BE303" s="1" t="str">
        <f>IFERROR($BC$3&amp;VLOOKUP(H305,'Pay Table'!$M$3:$N$18,2,FALSE)&amp;$BB$3&amp;I305&amp;$BD$3,"")</f>
        <v/>
      </c>
      <c r="BF303" s="27" t="str">
        <f>IFERROR($BC$3&amp;VLOOKUP(J305,'Pay Table'!$M$3:$N$18,2,FALSE)&amp;$BB$3&amp;K305&amp;$BD$3,"")</f>
        <v/>
      </c>
    </row>
    <row r="304" spans="54:58" x14ac:dyDescent="0.15">
      <c r="BB304" s="26" t="str">
        <f>IFERROR($BC$3&amp;VLOOKUP(B306,'Pay Table'!$M$3:$N$18,2,FALSE)&amp;$BB$3&amp;C306&amp;$BD$3,"")</f>
        <v/>
      </c>
      <c r="BC304" s="1" t="str">
        <f>IFERROR($BC$3&amp;VLOOKUP(D306,'Pay Table'!$M$3:$N$18,2,FALSE)&amp;$BB$3&amp;E306&amp;$BD$3,"")</f>
        <v/>
      </c>
      <c r="BD304" s="1" t="str">
        <f>IFERROR($BC$3&amp;VLOOKUP(F306,'Pay Table'!$M$3:$N$18,2,FALSE)&amp;$BB$3&amp;G306&amp;$BD$3,"")</f>
        <v/>
      </c>
      <c r="BE304" s="1" t="str">
        <f>IFERROR($BC$3&amp;VLOOKUP(H306,'Pay Table'!$M$3:$N$18,2,FALSE)&amp;$BB$3&amp;I306&amp;$BD$3,"")</f>
        <v/>
      </c>
      <c r="BF304" s="27" t="str">
        <f>IFERROR($BC$3&amp;VLOOKUP(J306,'Pay Table'!$M$3:$N$18,2,FALSE)&amp;$BB$3&amp;K306&amp;$BD$3,"")</f>
        <v/>
      </c>
    </row>
    <row r="305" spans="54:58" x14ac:dyDescent="0.15">
      <c r="BB305" s="26" t="str">
        <f>IFERROR($BC$3&amp;VLOOKUP(B307,'Pay Table'!$M$3:$N$18,2,FALSE)&amp;$BB$3&amp;C307&amp;$BD$3,"")</f>
        <v/>
      </c>
      <c r="BC305" s="1" t="str">
        <f>IFERROR($BC$3&amp;VLOOKUP(D307,'Pay Table'!$M$3:$N$18,2,FALSE)&amp;$BB$3&amp;E307&amp;$BD$3,"")</f>
        <v/>
      </c>
      <c r="BD305" s="1" t="str">
        <f>IFERROR($BC$3&amp;VLOOKUP(F307,'Pay Table'!$M$3:$N$18,2,FALSE)&amp;$BB$3&amp;G307&amp;$BD$3,"")</f>
        <v/>
      </c>
      <c r="BE305" s="1" t="str">
        <f>IFERROR($BC$3&amp;VLOOKUP(H307,'Pay Table'!$M$3:$N$18,2,FALSE)&amp;$BB$3&amp;I307&amp;$BD$3,"")</f>
        <v/>
      </c>
      <c r="BF305" s="27" t="str">
        <f>IFERROR($BC$3&amp;VLOOKUP(J307,'Pay Table'!$M$3:$N$18,2,FALSE)&amp;$BB$3&amp;K307&amp;$BD$3,"")</f>
        <v/>
      </c>
    </row>
    <row r="306" spans="54:58" x14ac:dyDescent="0.15">
      <c r="BB306" s="26" t="str">
        <f>IFERROR($BC$3&amp;VLOOKUP(B308,'Pay Table'!$M$3:$N$18,2,FALSE)&amp;$BB$3&amp;C308&amp;$BD$3,"")</f>
        <v/>
      </c>
      <c r="BC306" s="1" t="str">
        <f>IFERROR($BC$3&amp;VLOOKUP(D308,'Pay Table'!$M$3:$N$18,2,FALSE)&amp;$BB$3&amp;E308&amp;$BD$3,"")</f>
        <v/>
      </c>
      <c r="BD306" s="1" t="str">
        <f>IFERROR($BC$3&amp;VLOOKUP(F308,'Pay Table'!$M$3:$N$18,2,FALSE)&amp;$BB$3&amp;G308&amp;$BD$3,"")</f>
        <v/>
      </c>
      <c r="BE306" s="1" t="str">
        <f>IFERROR($BC$3&amp;VLOOKUP(H308,'Pay Table'!$M$3:$N$18,2,FALSE)&amp;$BB$3&amp;I308&amp;$BD$3,"")</f>
        <v/>
      </c>
      <c r="BF306" s="27" t="str">
        <f>IFERROR($BC$3&amp;VLOOKUP(J308,'Pay Table'!$M$3:$N$18,2,FALSE)&amp;$BB$3&amp;K308&amp;$BD$3,"")</f>
        <v/>
      </c>
    </row>
    <row r="307" spans="54:58" x14ac:dyDescent="0.15">
      <c r="BB307" s="26" t="str">
        <f>IFERROR($BC$3&amp;VLOOKUP(B309,'Pay Table'!$M$3:$N$18,2,FALSE)&amp;$BB$3&amp;C309&amp;$BD$3,"")</f>
        <v/>
      </c>
      <c r="BC307" s="1" t="str">
        <f>IFERROR($BC$3&amp;VLOOKUP(D309,'Pay Table'!$M$3:$N$18,2,FALSE)&amp;$BB$3&amp;E309&amp;$BD$3,"")</f>
        <v/>
      </c>
      <c r="BD307" s="1" t="str">
        <f>IFERROR($BC$3&amp;VLOOKUP(F309,'Pay Table'!$M$3:$N$18,2,FALSE)&amp;$BB$3&amp;G309&amp;$BD$3,"")</f>
        <v/>
      </c>
      <c r="BE307" s="1" t="str">
        <f>IFERROR($BC$3&amp;VLOOKUP(H309,'Pay Table'!$M$3:$N$18,2,FALSE)&amp;$BB$3&amp;I309&amp;$BD$3,"")</f>
        <v/>
      </c>
      <c r="BF307" s="27" t="str">
        <f>IFERROR($BC$3&amp;VLOOKUP(J309,'Pay Table'!$M$3:$N$18,2,FALSE)&amp;$BB$3&amp;K309&amp;$BD$3,"")</f>
        <v/>
      </c>
    </row>
    <row r="308" spans="54:58" x14ac:dyDescent="0.15">
      <c r="BB308" s="26" t="str">
        <f>IFERROR($BC$3&amp;VLOOKUP(B310,'Pay Table'!$M$3:$N$18,2,FALSE)&amp;$BB$3&amp;C310&amp;$BD$3,"")</f>
        <v/>
      </c>
      <c r="BC308" s="1" t="str">
        <f>IFERROR($BC$3&amp;VLOOKUP(D310,'Pay Table'!$M$3:$N$18,2,FALSE)&amp;$BB$3&amp;E310&amp;$BD$3,"")</f>
        <v/>
      </c>
      <c r="BD308" s="1" t="str">
        <f>IFERROR($BC$3&amp;VLOOKUP(F310,'Pay Table'!$M$3:$N$18,2,FALSE)&amp;$BB$3&amp;G310&amp;$BD$3,"")</f>
        <v/>
      </c>
      <c r="BE308" s="1" t="str">
        <f>IFERROR($BC$3&amp;VLOOKUP(H310,'Pay Table'!$M$3:$N$18,2,FALSE)&amp;$BB$3&amp;I310&amp;$BD$3,"")</f>
        <v/>
      </c>
      <c r="BF308" s="27" t="str">
        <f>IFERROR($BC$3&amp;VLOOKUP(J310,'Pay Table'!$M$3:$N$18,2,FALSE)&amp;$BB$3&amp;K310&amp;$BD$3,"")</f>
        <v/>
      </c>
    </row>
    <row r="309" spans="54:58" x14ac:dyDescent="0.15">
      <c r="BB309" s="26" t="str">
        <f>IFERROR($BC$3&amp;VLOOKUP(B311,'Pay Table'!$M$3:$N$18,2,FALSE)&amp;$BB$3&amp;C311&amp;$BD$3,"")</f>
        <v/>
      </c>
      <c r="BC309" s="1" t="str">
        <f>IFERROR($BC$3&amp;VLOOKUP(D311,'Pay Table'!$M$3:$N$18,2,FALSE)&amp;$BB$3&amp;E311&amp;$BD$3,"")</f>
        <v/>
      </c>
      <c r="BD309" s="1" t="str">
        <f>IFERROR($BC$3&amp;VLOOKUP(F311,'Pay Table'!$M$3:$N$18,2,FALSE)&amp;$BB$3&amp;G311&amp;$BD$3,"")</f>
        <v/>
      </c>
      <c r="BE309" s="1" t="str">
        <f>IFERROR($BC$3&amp;VLOOKUP(H311,'Pay Table'!$M$3:$N$18,2,FALSE)&amp;$BB$3&amp;I311&amp;$BD$3,"")</f>
        <v/>
      </c>
      <c r="BF309" s="27" t="str">
        <f>IFERROR($BC$3&amp;VLOOKUP(J311,'Pay Table'!$M$3:$N$18,2,FALSE)&amp;$BB$3&amp;K311&amp;$BD$3,"")</f>
        <v/>
      </c>
    </row>
    <row r="310" spans="54:58" x14ac:dyDescent="0.15">
      <c r="BB310" s="26" t="str">
        <f>IFERROR($BC$3&amp;VLOOKUP(B312,'Pay Table'!$M$3:$N$18,2,FALSE)&amp;$BB$3&amp;C312&amp;$BD$3,"")</f>
        <v/>
      </c>
      <c r="BC310" s="1" t="str">
        <f>IFERROR($BC$3&amp;VLOOKUP(D312,'Pay Table'!$M$3:$N$18,2,FALSE)&amp;$BB$3&amp;E312&amp;$BD$3,"")</f>
        <v/>
      </c>
      <c r="BD310" s="1" t="str">
        <f>IFERROR($BC$3&amp;VLOOKUP(F312,'Pay Table'!$M$3:$N$18,2,FALSE)&amp;$BB$3&amp;G312&amp;$BD$3,"")</f>
        <v/>
      </c>
      <c r="BE310" s="1" t="str">
        <f>IFERROR($BC$3&amp;VLOOKUP(H312,'Pay Table'!$M$3:$N$18,2,FALSE)&amp;$BB$3&amp;I312&amp;$BD$3,"")</f>
        <v/>
      </c>
      <c r="BF310" s="27" t="str">
        <f>IFERROR($BC$3&amp;VLOOKUP(J312,'Pay Table'!$M$3:$N$18,2,FALSE)&amp;$BB$3&amp;K312&amp;$BD$3,"")</f>
        <v/>
      </c>
    </row>
    <row r="311" spans="54:58" x14ac:dyDescent="0.15">
      <c r="BB311" s="26" t="str">
        <f>IFERROR($BC$3&amp;VLOOKUP(B313,'Pay Table'!$M$3:$N$18,2,FALSE)&amp;$BB$3&amp;C313&amp;$BD$3,"")</f>
        <v/>
      </c>
      <c r="BC311" s="1" t="str">
        <f>IFERROR($BC$3&amp;VLOOKUP(D313,'Pay Table'!$M$3:$N$18,2,FALSE)&amp;$BB$3&amp;E313&amp;$BD$3,"")</f>
        <v/>
      </c>
      <c r="BD311" s="1" t="str">
        <f>IFERROR($BC$3&amp;VLOOKUP(F313,'Pay Table'!$M$3:$N$18,2,FALSE)&amp;$BB$3&amp;G313&amp;$BD$3,"")</f>
        <v/>
      </c>
      <c r="BE311" s="1" t="str">
        <f>IFERROR($BC$3&amp;VLOOKUP(H313,'Pay Table'!$M$3:$N$18,2,FALSE)&amp;$BB$3&amp;I313&amp;$BD$3,"")</f>
        <v/>
      </c>
      <c r="BF311" s="27" t="str">
        <f>IFERROR($BC$3&amp;VLOOKUP(J313,'Pay Table'!$M$3:$N$18,2,FALSE)&amp;$BB$3&amp;K313&amp;$BD$3,"")</f>
        <v/>
      </c>
    </row>
    <row r="312" spans="54:58" x14ac:dyDescent="0.15">
      <c r="BB312" s="26" t="str">
        <f>IFERROR($BC$3&amp;VLOOKUP(B314,'Pay Table'!$M$3:$N$18,2,FALSE)&amp;$BB$3&amp;C314&amp;$BD$3,"")</f>
        <v/>
      </c>
      <c r="BC312" s="1" t="str">
        <f>IFERROR($BC$3&amp;VLOOKUP(D314,'Pay Table'!$M$3:$N$18,2,FALSE)&amp;$BB$3&amp;E314&amp;$BD$3,"")</f>
        <v/>
      </c>
      <c r="BD312" s="1" t="str">
        <f>IFERROR($BC$3&amp;VLOOKUP(F314,'Pay Table'!$M$3:$N$18,2,FALSE)&amp;$BB$3&amp;G314&amp;$BD$3,"")</f>
        <v/>
      </c>
      <c r="BE312" s="1" t="str">
        <f>IFERROR($BC$3&amp;VLOOKUP(H314,'Pay Table'!$M$3:$N$18,2,FALSE)&amp;$BB$3&amp;I314&amp;$BD$3,"")</f>
        <v/>
      </c>
      <c r="BF312" s="27" t="str">
        <f>IFERROR($BC$3&amp;VLOOKUP(J314,'Pay Table'!$M$3:$N$18,2,FALSE)&amp;$BB$3&amp;K314&amp;$BD$3,"")</f>
        <v/>
      </c>
    </row>
    <row r="313" spans="54:58" x14ac:dyDescent="0.15">
      <c r="BB313" s="26" t="str">
        <f>IFERROR($BC$3&amp;VLOOKUP(B315,'Pay Table'!$M$3:$N$18,2,FALSE)&amp;$BB$3&amp;C315&amp;$BD$3,"")</f>
        <v/>
      </c>
      <c r="BC313" s="1" t="str">
        <f>IFERROR($BC$3&amp;VLOOKUP(D315,'Pay Table'!$M$3:$N$18,2,FALSE)&amp;$BB$3&amp;E315&amp;$BD$3,"")</f>
        <v/>
      </c>
      <c r="BD313" s="1" t="str">
        <f>IFERROR($BC$3&amp;VLOOKUP(F315,'Pay Table'!$M$3:$N$18,2,FALSE)&amp;$BB$3&amp;G315&amp;$BD$3,"")</f>
        <v/>
      </c>
      <c r="BE313" s="1" t="str">
        <f>IFERROR($BC$3&amp;VLOOKUP(H315,'Pay Table'!$M$3:$N$18,2,FALSE)&amp;$BB$3&amp;I315&amp;$BD$3,"")</f>
        <v/>
      </c>
      <c r="BF313" s="27" t="str">
        <f>IFERROR($BC$3&amp;VLOOKUP(J315,'Pay Table'!$M$3:$N$18,2,FALSE)&amp;$BB$3&amp;K315&amp;$BD$3,"")</f>
        <v/>
      </c>
    </row>
    <row r="314" spans="54:58" x14ac:dyDescent="0.15">
      <c r="BB314" s="26" t="str">
        <f>IFERROR($BC$3&amp;VLOOKUP(B316,'Pay Table'!$M$3:$N$18,2,FALSE)&amp;$BB$3&amp;C316&amp;$BD$3,"")</f>
        <v/>
      </c>
      <c r="BC314" s="1" t="str">
        <f>IFERROR($BC$3&amp;VLOOKUP(D316,'Pay Table'!$M$3:$N$18,2,FALSE)&amp;$BB$3&amp;E316&amp;$BD$3,"")</f>
        <v/>
      </c>
      <c r="BD314" s="1" t="str">
        <f>IFERROR($BC$3&amp;VLOOKUP(F316,'Pay Table'!$M$3:$N$18,2,FALSE)&amp;$BB$3&amp;G316&amp;$BD$3,"")</f>
        <v/>
      </c>
      <c r="BE314" s="1" t="str">
        <f>IFERROR($BC$3&amp;VLOOKUP(H316,'Pay Table'!$M$3:$N$18,2,FALSE)&amp;$BB$3&amp;I316&amp;$BD$3,"")</f>
        <v/>
      </c>
      <c r="BF314" s="27" t="str">
        <f>IFERROR($BC$3&amp;VLOOKUP(J316,'Pay Table'!$M$3:$N$18,2,FALSE)&amp;$BB$3&amp;K316&amp;$BD$3,"")</f>
        <v/>
      </c>
    </row>
    <row r="315" spans="54:58" x14ac:dyDescent="0.15">
      <c r="BB315" s="26" t="str">
        <f>IFERROR($BC$3&amp;VLOOKUP(B317,'Pay Table'!$M$3:$N$18,2,FALSE)&amp;$BB$3&amp;C317&amp;$BD$3,"")</f>
        <v/>
      </c>
      <c r="BC315" s="1" t="str">
        <f>IFERROR($BC$3&amp;VLOOKUP(D317,'Pay Table'!$M$3:$N$18,2,FALSE)&amp;$BB$3&amp;E317&amp;$BD$3,"")</f>
        <v/>
      </c>
      <c r="BD315" s="1" t="str">
        <f>IFERROR($BC$3&amp;VLOOKUP(F317,'Pay Table'!$M$3:$N$18,2,FALSE)&amp;$BB$3&amp;G317&amp;$BD$3,"")</f>
        <v/>
      </c>
      <c r="BE315" s="1" t="str">
        <f>IFERROR($BC$3&amp;VLOOKUP(H317,'Pay Table'!$M$3:$N$18,2,FALSE)&amp;$BB$3&amp;I317&amp;$BD$3,"")</f>
        <v/>
      </c>
      <c r="BF315" s="27" t="str">
        <f>IFERROR($BC$3&amp;VLOOKUP(J317,'Pay Table'!$M$3:$N$18,2,FALSE)&amp;$BB$3&amp;K317&amp;$BD$3,"")</f>
        <v/>
      </c>
    </row>
    <row r="316" spans="54:58" x14ac:dyDescent="0.15">
      <c r="BB316" s="26" t="str">
        <f>IFERROR($BC$3&amp;VLOOKUP(B318,'Pay Table'!$M$3:$N$18,2,FALSE)&amp;$BB$3&amp;C318&amp;$BD$3,"")</f>
        <v/>
      </c>
      <c r="BC316" s="1" t="str">
        <f>IFERROR($BC$3&amp;VLOOKUP(D318,'Pay Table'!$M$3:$N$18,2,FALSE)&amp;$BB$3&amp;E318&amp;$BD$3,"")</f>
        <v/>
      </c>
      <c r="BD316" s="1" t="str">
        <f>IFERROR($BC$3&amp;VLOOKUP(F318,'Pay Table'!$M$3:$N$18,2,FALSE)&amp;$BB$3&amp;G318&amp;$BD$3,"")</f>
        <v/>
      </c>
      <c r="BE316" s="1" t="str">
        <f>IFERROR($BC$3&amp;VLOOKUP(H318,'Pay Table'!$M$3:$N$18,2,FALSE)&amp;$BB$3&amp;I318&amp;$BD$3,"")</f>
        <v/>
      </c>
      <c r="BF316" s="27" t="str">
        <f>IFERROR($BC$3&amp;VLOOKUP(J318,'Pay Table'!$M$3:$N$18,2,FALSE)&amp;$BB$3&amp;K318&amp;$BD$3,"")</f>
        <v/>
      </c>
    </row>
    <row r="317" spans="54:58" x14ac:dyDescent="0.15">
      <c r="BB317" s="26" t="str">
        <f>IFERROR($BC$3&amp;VLOOKUP(B319,'Pay Table'!$M$3:$N$18,2,FALSE)&amp;$BB$3&amp;C319&amp;$BD$3,"")</f>
        <v/>
      </c>
      <c r="BC317" s="1" t="str">
        <f>IFERROR($BC$3&amp;VLOOKUP(D319,'Pay Table'!$M$3:$N$18,2,FALSE)&amp;$BB$3&amp;E319&amp;$BD$3,"")</f>
        <v/>
      </c>
      <c r="BD317" s="1" t="str">
        <f>IFERROR($BC$3&amp;VLOOKUP(F319,'Pay Table'!$M$3:$N$18,2,FALSE)&amp;$BB$3&amp;G319&amp;$BD$3,"")</f>
        <v/>
      </c>
      <c r="BE317" s="1" t="str">
        <f>IFERROR($BC$3&amp;VLOOKUP(H319,'Pay Table'!$M$3:$N$18,2,FALSE)&amp;$BB$3&amp;I319&amp;$BD$3,"")</f>
        <v/>
      </c>
      <c r="BF317" s="27" t="str">
        <f>IFERROR($BC$3&amp;VLOOKUP(J319,'Pay Table'!$M$3:$N$18,2,FALSE)&amp;$BB$3&amp;K319&amp;$BD$3,"")</f>
        <v/>
      </c>
    </row>
    <row r="318" spans="54:58" x14ac:dyDescent="0.15">
      <c r="BB318" s="26" t="str">
        <f>IFERROR($BC$3&amp;VLOOKUP(B320,'Pay Table'!$M$3:$N$18,2,FALSE)&amp;$BB$3&amp;C320&amp;$BD$3,"")</f>
        <v/>
      </c>
      <c r="BC318" s="1" t="str">
        <f>IFERROR($BC$3&amp;VLOOKUP(D320,'Pay Table'!$M$3:$N$18,2,FALSE)&amp;$BB$3&amp;E320&amp;$BD$3,"")</f>
        <v/>
      </c>
      <c r="BD318" s="1" t="str">
        <f>IFERROR($BC$3&amp;VLOOKUP(F320,'Pay Table'!$M$3:$N$18,2,FALSE)&amp;$BB$3&amp;G320&amp;$BD$3,"")</f>
        <v/>
      </c>
      <c r="BE318" s="1" t="str">
        <f>IFERROR($BC$3&amp;VLOOKUP(H320,'Pay Table'!$M$3:$N$18,2,FALSE)&amp;$BB$3&amp;I320&amp;$BD$3,"")</f>
        <v/>
      </c>
      <c r="BF318" s="27" t="str">
        <f>IFERROR($BC$3&amp;VLOOKUP(J320,'Pay Table'!$M$3:$N$18,2,FALSE)&amp;$BB$3&amp;K320&amp;$BD$3,"")</f>
        <v/>
      </c>
    </row>
    <row r="319" spans="54:58" x14ac:dyDescent="0.15">
      <c r="BB319" s="26" t="str">
        <f>IFERROR($BC$3&amp;VLOOKUP(B321,'Pay Table'!$M$3:$N$18,2,FALSE)&amp;$BB$3&amp;C321&amp;$BD$3,"")</f>
        <v/>
      </c>
      <c r="BC319" s="1" t="str">
        <f>IFERROR($BC$3&amp;VLOOKUP(D321,'Pay Table'!$M$3:$N$18,2,FALSE)&amp;$BB$3&amp;E321&amp;$BD$3,"")</f>
        <v/>
      </c>
      <c r="BD319" s="1" t="str">
        <f>IFERROR($BC$3&amp;VLOOKUP(F321,'Pay Table'!$M$3:$N$18,2,FALSE)&amp;$BB$3&amp;G321&amp;$BD$3,"")</f>
        <v/>
      </c>
      <c r="BE319" s="1" t="str">
        <f>IFERROR($BC$3&amp;VLOOKUP(H321,'Pay Table'!$M$3:$N$18,2,FALSE)&amp;$BB$3&amp;I321&amp;$BD$3,"")</f>
        <v/>
      </c>
      <c r="BF319" s="27" t="str">
        <f>IFERROR($BC$3&amp;VLOOKUP(J321,'Pay Table'!$M$3:$N$18,2,FALSE)&amp;$BB$3&amp;K321&amp;$BD$3,"")</f>
        <v/>
      </c>
    </row>
    <row r="320" spans="54:58" x14ac:dyDescent="0.15">
      <c r="BB320" s="26" t="str">
        <f>IFERROR($BC$3&amp;VLOOKUP(B322,'Pay Table'!$M$3:$N$18,2,FALSE)&amp;$BB$3&amp;C322&amp;$BD$3,"")</f>
        <v/>
      </c>
      <c r="BC320" s="1" t="str">
        <f>IFERROR($BC$3&amp;VLOOKUP(D322,'Pay Table'!$M$3:$N$18,2,FALSE)&amp;$BB$3&amp;E322&amp;$BD$3,"")</f>
        <v/>
      </c>
      <c r="BD320" s="1" t="str">
        <f>IFERROR($BC$3&amp;VLOOKUP(F322,'Pay Table'!$M$3:$N$18,2,FALSE)&amp;$BB$3&amp;G322&amp;$BD$3,"")</f>
        <v/>
      </c>
      <c r="BE320" s="1" t="str">
        <f>IFERROR($BC$3&amp;VLOOKUP(H322,'Pay Table'!$M$3:$N$18,2,FALSE)&amp;$BB$3&amp;I322&amp;$BD$3,"")</f>
        <v/>
      </c>
      <c r="BF320" s="27" t="str">
        <f>IFERROR($BC$3&amp;VLOOKUP(J322,'Pay Table'!$M$3:$N$18,2,FALSE)&amp;$BB$3&amp;K322&amp;$BD$3,"")</f>
        <v/>
      </c>
    </row>
    <row r="321" spans="54:58" x14ac:dyDescent="0.15">
      <c r="BB321" s="26" t="str">
        <f>IFERROR($BC$3&amp;VLOOKUP(B323,'Pay Table'!$M$3:$N$18,2,FALSE)&amp;$BB$3&amp;C323&amp;$BD$3,"")</f>
        <v/>
      </c>
      <c r="BC321" s="1" t="str">
        <f>IFERROR($BC$3&amp;VLOOKUP(D323,'Pay Table'!$M$3:$N$18,2,FALSE)&amp;$BB$3&amp;E323&amp;$BD$3,"")</f>
        <v/>
      </c>
      <c r="BD321" s="1" t="str">
        <f>IFERROR($BC$3&amp;VLOOKUP(F323,'Pay Table'!$M$3:$N$18,2,FALSE)&amp;$BB$3&amp;G323&amp;$BD$3,"")</f>
        <v/>
      </c>
      <c r="BE321" s="1" t="str">
        <f>IFERROR($BC$3&amp;VLOOKUP(H323,'Pay Table'!$M$3:$N$18,2,FALSE)&amp;$BB$3&amp;I323&amp;$BD$3,"")</f>
        <v/>
      </c>
      <c r="BF321" s="27" t="str">
        <f>IFERROR($BC$3&amp;VLOOKUP(J323,'Pay Table'!$M$3:$N$18,2,FALSE)&amp;$BB$3&amp;K323&amp;$BD$3,"")</f>
        <v/>
      </c>
    </row>
    <row r="322" spans="54:58" x14ac:dyDescent="0.15">
      <c r="BB322" s="26" t="str">
        <f>IFERROR($BC$3&amp;VLOOKUP(B324,'Pay Table'!$M$3:$N$18,2,FALSE)&amp;$BB$3&amp;C324&amp;$BD$3,"")</f>
        <v/>
      </c>
      <c r="BC322" s="1" t="str">
        <f>IFERROR($BC$3&amp;VLOOKUP(D324,'Pay Table'!$M$3:$N$18,2,FALSE)&amp;$BB$3&amp;E324&amp;$BD$3,"")</f>
        <v/>
      </c>
      <c r="BD322" s="1" t="str">
        <f>IFERROR($BC$3&amp;VLOOKUP(F324,'Pay Table'!$M$3:$N$18,2,FALSE)&amp;$BB$3&amp;G324&amp;$BD$3,"")</f>
        <v/>
      </c>
      <c r="BE322" s="1" t="str">
        <f>IFERROR($BC$3&amp;VLOOKUP(H324,'Pay Table'!$M$3:$N$18,2,FALSE)&amp;$BB$3&amp;I324&amp;$BD$3,"")</f>
        <v/>
      </c>
      <c r="BF322" s="27" t="str">
        <f>IFERROR($BC$3&amp;VLOOKUP(J324,'Pay Table'!$M$3:$N$18,2,FALSE)&amp;$BB$3&amp;K324&amp;$BD$3,"")</f>
        <v/>
      </c>
    </row>
    <row r="323" spans="54:58" x14ac:dyDescent="0.15">
      <c r="BB323" s="26" t="str">
        <f>IFERROR($BC$3&amp;VLOOKUP(B325,'Pay Table'!$M$3:$N$18,2,FALSE)&amp;$BB$3&amp;C325&amp;$BD$3,"")</f>
        <v/>
      </c>
      <c r="BC323" s="1" t="str">
        <f>IFERROR($BC$3&amp;VLOOKUP(D325,'Pay Table'!$M$3:$N$18,2,FALSE)&amp;$BB$3&amp;E325&amp;$BD$3,"")</f>
        <v/>
      </c>
      <c r="BD323" s="1" t="str">
        <f>IFERROR($BC$3&amp;VLOOKUP(F325,'Pay Table'!$M$3:$N$18,2,FALSE)&amp;$BB$3&amp;G325&amp;$BD$3,"")</f>
        <v/>
      </c>
      <c r="BE323" s="1" t="str">
        <f>IFERROR($BC$3&amp;VLOOKUP(H325,'Pay Table'!$M$3:$N$18,2,FALSE)&amp;$BB$3&amp;I325&amp;$BD$3,"")</f>
        <v/>
      </c>
      <c r="BF323" s="27" t="str">
        <f>IFERROR($BC$3&amp;VLOOKUP(J325,'Pay Table'!$M$3:$N$18,2,FALSE)&amp;$BB$3&amp;K325&amp;$BD$3,"")</f>
        <v/>
      </c>
    </row>
    <row r="324" spans="54:58" x14ac:dyDescent="0.15">
      <c r="BB324" s="26" t="str">
        <f>IFERROR($BC$3&amp;VLOOKUP(B326,'Pay Table'!$M$3:$N$18,2,FALSE)&amp;$BB$3&amp;C326&amp;$BD$3,"")</f>
        <v/>
      </c>
      <c r="BC324" s="1" t="str">
        <f>IFERROR($BC$3&amp;VLOOKUP(D326,'Pay Table'!$M$3:$N$18,2,FALSE)&amp;$BB$3&amp;E326&amp;$BD$3,"")</f>
        <v/>
      </c>
      <c r="BD324" s="1" t="str">
        <f>IFERROR($BC$3&amp;VLOOKUP(F326,'Pay Table'!$M$3:$N$18,2,FALSE)&amp;$BB$3&amp;G326&amp;$BD$3,"")</f>
        <v/>
      </c>
      <c r="BE324" s="1" t="str">
        <f>IFERROR($BC$3&amp;VLOOKUP(H326,'Pay Table'!$M$3:$N$18,2,FALSE)&amp;$BB$3&amp;I326&amp;$BD$3,"")</f>
        <v/>
      </c>
      <c r="BF324" s="27" t="str">
        <f>IFERROR($BC$3&amp;VLOOKUP(J326,'Pay Table'!$M$3:$N$18,2,FALSE)&amp;$BB$3&amp;K326&amp;$BD$3,"")</f>
        <v/>
      </c>
    </row>
    <row r="325" spans="54:58" x14ac:dyDescent="0.15">
      <c r="BB325" s="26" t="str">
        <f>IFERROR($BC$3&amp;VLOOKUP(B327,'Pay Table'!$M$3:$N$18,2,FALSE)&amp;$BB$3&amp;C327&amp;$BD$3,"")</f>
        <v/>
      </c>
      <c r="BC325" s="1" t="str">
        <f>IFERROR($BC$3&amp;VLOOKUP(D327,'Pay Table'!$M$3:$N$18,2,FALSE)&amp;$BB$3&amp;E327&amp;$BD$3,"")</f>
        <v/>
      </c>
      <c r="BD325" s="1" t="str">
        <f>IFERROR($BC$3&amp;VLOOKUP(F327,'Pay Table'!$M$3:$N$18,2,FALSE)&amp;$BB$3&amp;G327&amp;$BD$3,"")</f>
        <v/>
      </c>
      <c r="BE325" s="1" t="str">
        <f>IFERROR($BC$3&amp;VLOOKUP(H327,'Pay Table'!$M$3:$N$18,2,FALSE)&amp;$BB$3&amp;I327&amp;$BD$3,"")</f>
        <v/>
      </c>
      <c r="BF325" s="27" t="str">
        <f>IFERROR($BC$3&amp;VLOOKUP(J327,'Pay Table'!$M$3:$N$18,2,FALSE)&amp;$BB$3&amp;K327&amp;$BD$3,"")</f>
        <v/>
      </c>
    </row>
    <row r="326" spans="54:58" x14ac:dyDescent="0.15">
      <c r="BB326" s="26" t="str">
        <f>IFERROR($BC$3&amp;VLOOKUP(B328,'Pay Table'!$M$3:$N$18,2,FALSE)&amp;$BB$3&amp;C328&amp;$BD$3,"")</f>
        <v/>
      </c>
      <c r="BC326" s="1" t="str">
        <f>IFERROR($BC$3&amp;VLOOKUP(D328,'Pay Table'!$M$3:$N$18,2,FALSE)&amp;$BB$3&amp;E328&amp;$BD$3,"")</f>
        <v/>
      </c>
      <c r="BD326" s="1" t="str">
        <f>IFERROR($BC$3&amp;VLOOKUP(F328,'Pay Table'!$M$3:$N$18,2,FALSE)&amp;$BB$3&amp;G328&amp;$BD$3,"")</f>
        <v/>
      </c>
      <c r="BE326" s="1" t="str">
        <f>IFERROR($BC$3&amp;VLOOKUP(H328,'Pay Table'!$M$3:$N$18,2,FALSE)&amp;$BB$3&amp;I328&amp;$BD$3,"")</f>
        <v/>
      </c>
      <c r="BF326" s="27" t="str">
        <f>IFERROR($BC$3&amp;VLOOKUP(J328,'Pay Table'!$M$3:$N$18,2,FALSE)&amp;$BB$3&amp;K328&amp;$BD$3,"")</f>
        <v/>
      </c>
    </row>
    <row r="327" spans="54:58" x14ac:dyDescent="0.15">
      <c r="BB327" s="26" t="str">
        <f>IFERROR($BC$3&amp;VLOOKUP(B329,'Pay Table'!$M$3:$N$18,2,FALSE)&amp;$BB$3&amp;C329&amp;$BD$3,"")</f>
        <v/>
      </c>
      <c r="BC327" s="1" t="str">
        <f>IFERROR($BC$3&amp;VLOOKUP(D329,'Pay Table'!$M$3:$N$18,2,FALSE)&amp;$BB$3&amp;E329&amp;$BD$3,"")</f>
        <v/>
      </c>
      <c r="BD327" s="1" t="str">
        <f>IFERROR($BC$3&amp;VLOOKUP(F329,'Pay Table'!$M$3:$N$18,2,FALSE)&amp;$BB$3&amp;G329&amp;$BD$3,"")</f>
        <v/>
      </c>
      <c r="BE327" s="1" t="str">
        <f>IFERROR($BC$3&amp;VLOOKUP(H329,'Pay Table'!$M$3:$N$18,2,FALSE)&amp;$BB$3&amp;I329&amp;$BD$3,"")</f>
        <v/>
      </c>
      <c r="BF327" s="27" t="str">
        <f>IFERROR($BC$3&amp;VLOOKUP(J329,'Pay Table'!$M$3:$N$18,2,FALSE)&amp;$BB$3&amp;K329&amp;$BD$3,"")</f>
        <v/>
      </c>
    </row>
    <row r="328" spans="54:58" x14ac:dyDescent="0.15">
      <c r="BB328" s="26" t="str">
        <f>IFERROR($BC$3&amp;VLOOKUP(B330,'Pay Table'!$M$3:$N$18,2,FALSE)&amp;$BB$3&amp;C330&amp;$BD$3,"")</f>
        <v/>
      </c>
      <c r="BC328" s="1" t="str">
        <f>IFERROR($BC$3&amp;VLOOKUP(D330,'Pay Table'!$M$3:$N$18,2,FALSE)&amp;$BB$3&amp;E330&amp;$BD$3,"")</f>
        <v/>
      </c>
      <c r="BD328" s="1" t="str">
        <f>IFERROR($BC$3&amp;VLOOKUP(F330,'Pay Table'!$M$3:$N$18,2,FALSE)&amp;$BB$3&amp;G330&amp;$BD$3,"")</f>
        <v/>
      </c>
      <c r="BE328" s="1" t="str">
        <f>IFERROR($BC$3&amp;VLOOKUP(H330,'Pay Table'!$M$3:$N$18,2,FALSE)&amp;$BB$3&amp;I330&amp;$BD$3,"")</f>
        <v/>
      </c>
      <c r="BF328" s="27" t="str">
        <f>IFERROR($BC$3&amp;VLOOKUP(J330,'Pay Table'!$M$3:$N$18,2,FALSE)&amp;$BB$3&amp;K330&amp;$BD$3,"")</f>
        <v/>
      </c>
    </row>
    <row r="329" spans="54:58" x14ac:dyDescent="0.15">
      <c r="BB329" s="26" t="str">
        <f>IFERROR($BC$3&amp;VLOOKUP(B331,'Pay Table'!$M$3:$N$18,2,FALSE)&amp;$BB$3&amp;C331&amp;$BD$3,"")</f>
        <v/>
      </c>
      <c r="BC329" s="1" t="str">
        <f>IFERROR($BC$3&amp;VLOOKUP(D331,'Pay Table'!$M$3:$N$18,2,FALSE)&amp;$BB$3&amp;E331&amp;$BD$3,"")</f>
        <v/>
      </c>
      <c r="BD329" s="1" t="str">
        <f>IFERROR($BC$3&amp;VLOOKUP(F331,'Pay Table'!$M$3:$N$18,2,FALSE)&amp;$BB$3&amp;G331&amp;$BD$3,"")</f>
        <v/>
      </c>
      <c r="BE329" s="1" t="str">
        <f>IFERROR($BC$3&amp;VLOOKUP(H331,'Pay Table'!$M$3:$N$18,2,FALSE)&amp;$BB$3&amp;I331&amp;$BD$3,"")</f>
        <v/>
      </c>
      <c r="BF329" s="27" t="str">
        <f>IFERROR($BC$3&amp;VLOOKUP(J331,'Pay Table'!$M$3:$N$18,2,FALSE)&amp;$BB$3&amp;K331&amp;$BD$3,"")</f>
        <v/>
      </c>
    </row>
    <row r="330" spans="54:58" x14ac:dyDescent="0.15">
      <c r="BB330" s="26" t="str">
        <f>IFERROR($BC$3&amp;VLOOKUP(B332,'Pay Table'!$M$3:$N$18,2,FALSE)&amp;$BB$3&amp;C332&amp;$BD$3,"")</f>
        <v/>
      </c>
      <c r="BC330" s="1" t="str">
        <f>IFERROR($BC$3&amp;VLOOKUP(D332,'Pay Table'!$M$3:$N$18,2,FALSE)&amp;$BB$3&amp;E332&amp;$BD$3,"")</f>
        <v/>
      </c>
      <c r="BD330" s="1" t="str">
        <f>IFERROR($BC$3&amp;VLOOKUP(F332,'Pay Table'!$M$3:$N$18,2,FALSE)&amp;$BB$3&amp;G332&amp;$BD$3,"")</f>
        <v/>
      </c>
      <c r="BE330" s="1" t="str">
        <f>IFERROR($BC$3&amp;VLOOKUP(H332,'Pay Table'!$M$3:$N$18,2,FALSE)&amp;$BB$3&amp;I332&amp;$BD$3,"")</f>
        <v/>
      </c>
      <c r="BF330" s="27" t="str">
        <f>IFERROR($BC$3&amp;VLOOKUP(J332,'Pay Table'!$M$3:$N$18,2,FALSE)&amp;$BB$3&amp;K332&amp;$BD$3,"")</f>
        <v/>
      </c>
    </row>
    <row r="331" spans="54:58" x14ac:dyDescent="0.15">
      <c r="BB331" s="26" t="str">
        <f>IFERROR($BC$3&amp;VLOOKUP(B333,'Pay Table'!$M$3:$N$18,2,FALSE)&amp;$BB$3&amp;C333&amp;$BD$3,"")</f>
        <v/>
      </c>
      <c r="BC331" s="1" t="str">
        <f>IFERROR($BC$3&amp;VLOOKUP(D333,'Pay Table'!$M$3:$N$18,2,FALSE)&amp;$BB$3&amp;E333&amp;$BD$3,"")</f>
        <v/>
      </c>
      <c r="BD331" s="1" t="str">
        <f>IFERROR($BC$3&amp;VLOOKUP(F333,'Pay Table'!$M$3:$N$18,2,FALSE)&amp;$BB$3&amp;G333&amp;$BD$3,"")</f>
        <v/>
      </c>
      <c r="BE331" s="1" t="str">
        <f>IFERROR($BC$3&amp;VLOOKUP(H333,'Pay Table'!$M$3:$N$18,2,FALSE)&amp;$BB$3&amp;I333&amp;$BD$3,"")</f>
        <v/>
      </c>
      <c r="BF331" s="27" t="str">
        <f>IFERROR($BC$3&amp;VLOOKUP(J333,'Pay Table'!$M$3:$N$18,2,FALSE)&amp;$BB$3&amp;K333&amp;$BD$3,"")</f>
        <v/>
      </c>
    </row>
    <row r="332" spans="54:58" x14ac:dyDescent="0.15">
      <c r="BB332" s="26" t="str">
        <f>IFERROR($BC$3&amp;VLOOKUP(B334,'Pay Table'!$M$3:$N$18,2,FALSE)&amp;$BB$3&amp;C334&amp;$BD$3,"")</f>
        <v/>
      </c>
      <c r="BC332" s="1" t="str">
        <f>IFERROR($BC$3&amp;VLOOKUP(D334,'Pay Table'!$M$3:$N$18,2,FALSE)&amp;$BB$3&amp;E334&amp;$BD$3,"")</f>
        <v/>
      </c>
      <c r="BD332" s="1" t="str">
        <f>IFERROR($BC$3&amp;VLOOKUP(F334,'Pay Table'!$M$3:$N$18,2,FALSE)&amp;$BB$3&amp;G334&amp;$BD$3,"")</f>
        <v/>
      </c>
      <c r="BE332" s="1" t="str">
        <f>IFERROR($BC$3&amp;VLOOKUP(H334,'Pay Table'!$M$3:$N$18,2,FALSE)&amp;$BB$3&amp;I334&amp;$BD$3,"")</f>
        <v/>
      </c>
      <c r="BF332" s="27" t="str">
        <f>IFERROR($BC$3&amp;VLOOKUP(J334,'Pay Table'!$M$3:$N$18,2,FALSE)&amp;$BB$3&amp;K334&amp;$BD$3,"")</f>
        <v/>
      </c>
    </row>
    <row r="333" spans="54:58" x14ac:dyDescent="0.15">
      <c r="BB333" s="26" t="str">
        <f>IFERROR($BC$3&amp;VLOOKUP(B335,'Pay Table'!$M$3:$N$18,2,FALSE)&amp;$BB$3&amp;C335&amp;$BD$3,"")</f>
        <v/>
      </c>
      <c r="BC333" s="1" t="str">
        <f>IFERROR($BC$3&amp;VLOOKUP(D335,'Pay Table'!$M$3:$N$18,2,FALSE)&amp;$BB$3&amp;E335&amp;$BD$3,"")</f>
        <v/>
      </c>
      <c r="BD333" s="1" t="str">
        <f>IFERROR($BC$3&amp;VLOOKUP(F335,'Pay Table'!$M$3:$N$18,2,FALSE)&amp;$BB$3&amp;G335&amp;$BD$3,"")</f>
        <v/>
      </c>
      <c r="BE333" s="1" t="str">
        <f>IFERROR($BC$3&amp;VLOOKUP(H335,'Pay Table'!$M$3:$N$18,2,FALSE)&amp;$BB$3&amp;I335&amp;$BD$3,"")</f>
        <v/>
      </c>
      <c r="BF333" s="27" t="str">
        <f>IFERROR($BC$3&amp;VLOOKUP(J335,'Pay Table'!$M$3:$N$18,2,FALSE)&amp;$BB$3&amp;K335&amp;$BD$3,"")</f>
        <v/>
      </c>
    </row>
    <row r="334" spans="54:58" x14ac:dyDescent="0.15">
      <c r="BB334" s="26" t="str">
        <f>IFERROR($BC$3&amp;VLOOKUP(B336,'Pay Table'!$M$3:$N$18,2,FALSE)&amp;$BB$3&amp;C336&amp;$BD$3,"")</f>
        <v/>
      </c>
      <c r="BC334" s="1" t="str">
        <f>IFERROR($BC$3&amp;VLOOKUP(D336,'Pay Table'!$M$3:$N$18,2,FALSE)&amp;$BB$3&amp;E336&amp;$BD$3,"")</f>
        <v/>
      </c>
      <c r="BD334" s="1" t="str">
        <f>IFERROR($BC$3&amp;VLOOKUP(F336,'Pay Table'!$M$3:$N$18,2,FALSE)&amp;$BB$3&amp;G336&amp;$BD$3,"")</f>
        <v/>
      </c>
      <c r="BE334" s="1" t="str">
        <f>IFERROR($BC$3&amp;VLOOKUP(H336,'Pay Table'!$M$3:$N$18,2,FALSE)&amp;$BB$3&amp;I336&amp;$BD$3,"")</f>
        <v/>
      </c>
      <c r="BF334" s="27" t="str">
        <f>IFERROR($BC$3&amp;VLOOKUP(J336,'Pay Table'!$M$3:$N$18,2,FALSE)&amp;$BB$3&amp;K336&amp;$BD$3,"")</f>
        <v/>
      </c>
    </row>
    <row r="335" spans="54:58" x14ac:dyDescent="0.15">
      <c r="BB335" s="26" t="str">
        <f>IFERROR($BC$3&amp;VLOOKUP(B337,'Pay Table'!$M$3:$N$18,2,FALSE)&amp;$BB$3&amp;C337&amp;$BD$3,"")</f>
        <v/>
      </c>
      <c r="BC335" s="1" t="str">
        <f>IFERROR($BC$3&amp;VLOOKUP(D337,'Pay Table'!$M$3:$N$18,2,FALSE)&amp;$BB$3&amp;E337&amp;$BD$3,"")</f>
        <v/>
      </c>
      <c r="BD335" s="1" t="str">
        <f>IFERROR($BC$3&amp;VLOOKUP(F337,'Pay Table'!$M$3:$N$18,2,FALSE)&amp;$BB$3&amp;G337&amp;$BD$3,"")</f>
        <v/>
      </c>
      <c r="BE335" s="1" t="str">
        <f>IFERROR($BC$3&amp;VLOOKUP(H337,'Pay Table'!$M$3:$N$18,2,FALSE)&amp;$BB$3&amp;I337&amp;$BD$3,"")</f>
        <v/>
      </c>
      <c r="BF335" s="27" t="str">
        <f>IFERROR($BC$3&amp;VLOOKUP(J337,'Pay Table'!$M$3:$N$18,2,FALSE)&amp;$BB$3&amp;K337&amp;$BD$3,"")</f>
        <v/>
      </c>
    </row>
    <row r="336" spans="54:58" x14ac:dyDescent="0.15">
      <c r="BB336" s="26" t="str">
        <f>IFERROR($BC$3&amp;VLOOKUP(B338,'Pay Table'!$M$3:$N$18,2,FALSE)&amp;$BB$3&amp;C338&amp;$BD$3,"")</f>
        <v/>
      </c>
      <c r="BC336" s="1" t="str">
        <f>IFERROR($BC$3&amp;VLOOKUP(D338,'Pay Table'!$M$3:$N$18,2,FALSE)&amp;$BB$3&amp;E338&amp;$BD$3,"")</f>
        <v/>
      </c>
      <c r="BD336" s="1" t="str">
        <f>IFERROR($BC$3&amp;VLOOKUP(F338,'Pay Table'!$M$3:$N$18,2,FALSE)&amp;$BB$3&amp;G338&amp;$BD$3,"")</f>
        <v/>
      </c>
      <c r="BE336" s="1" t="str">
        <f>IFERROR($BC$3&amp;VLOOKUP(H338,'Pay Table'!$M$3:$N$18,2,FALSE)&amp;$BB$3&amp;I338&amp;$BD$3,"")</f>
        <v/>
      </c>
      <c r="BF336" s="27" t="str">
        <f>IFERROR($BC$3&amp;VLOOKUP(J338,'Pay Table'!$M$3:$N$18,2,FALSE)&amp;$BB$3&amp;K338&amp;$BD$3,"")</f>
        <v/>
      </c>
    </row>
    <row r="337" spans="54:58" x14ac:dyDescent="0.15">
      <c r="BB337" s="26" t="str">
        <f>IFERROR($BC$3&amp;VLOOKUP(B339,'Pay Table'!$M$3:$N$18,2,FALSE)&amp;$BB$3&amp;C339&amp;$BD$3,"")</f>
        <v/>
      </c>
      <c r="BC337" s="1" t="str">
        <f>IFERROR($BC$3&amp;VLOOKUP(D339,'Pay Table'!$M$3:$N$18,2,FALSE)&amp;$BB$3&amp;E339&amp;$BD$3,"")</f>
        <v/>
      </c>
      <c r="BD337" s="1" t="str">
        <f>IFERROR($BC$3&amp;VLOOKUP(F339,'Pay Table'!$M$3:$N$18,2,FALSE)&amp;$BB$3&amp;G339&amp;$BD$3,"")</f>
        <v/>
      </c>
      <c r="BE337" s="1" t="str">
        <f>IFERROR($BC$3&amp;VLOOKUP(H339,'Pay Table'!$M$3:$N$18,2,FALSE)&amp;$BB$3&amp;I339&amp;$BD$3,"")</f>
        <v/>
      </c>
      <c r="BF337" s="27" t="str">
        <f>IFERROR($BC$3&amp;VLOOKUP(J339,'Pay Table'!$M$3:$N$18,2,FALSE)&amp;$BB$3&amp;K339&amp;$BD$3,"")</f>
        <v/>
      </c>
    </row>
    <row r="338" spans="54:58" x14ac:dyDescent="0.15">
      <c r="BB338" s="26" t="str">
        <f>IFERROR($BC$3&amp;VLOOKUP(B340,'Pay Table'!$M$3:$N$18,2,FALSE)&amp;$BB$3&amp;C340&amp;$BD$3,"")</f>
        <v/>
      </c>
      <c r="BC338" s="1" t="str">
        <f>IFERROR($BC$3&amp;VLOOKUP(D340,'Pay Table'!$M$3:$N$18,2,FALSE)&amp;$BB$3&amp;E340&amp;$BD$3,"")</f>
        <v/>
      </c>
      <c r="BD338" s="1" t="str">
        <f>IFERROR($BC$3&amp;VLOOKUP(F340,'Pay Table'!$M$3:$N$18,2,FALSE)&amp;$BB$3&amp;G340&amp;$BD$3,"")</f>
        <v/>
      </c>
      <c r="BE338" s="1" t="str">
        <f>IFERROR($BC$3&amp;VLOOKUP(H340,'Pay Table'!$M$3:$N$18,2,FALSE)&amp;$BB$3&amp;I340&amp;$BD$3,"")</f>
        <v/>
      </c>
      <c r="BF338" s="27" t="str">
        <f>IFERROR($BC$3&amp;VLOOKUP(J340,'Pay Table'!$M$3:$N$18,2,FALSE)&amp;$BB$3&amp;K340&amp;$BD$3,"")</f>
        <v/>
      </c>
    </row>
    <row r="339" spans="54:58" x14ac:dyDescent="0.15">
      <c r="BB339" s="26" t="str">
        <f>IFERROR($BC$3&amp;VLOOKUP(B341,'Pay Table'!$M$3:$N$18,2,FALSE)&amp;$BB$3&amp;C341&amp;$BD$3,"")</f>
        <v/>
      </c>
      <c r="BC339" s="1" t="str">
        <f>IFERROR($BC$3&amp;VLOOKUP(D341,'Pay Table'!$M$3:$N$18,2,FALSE)&amp;$BB$3&amp;E341&amp;$BD$3,"")</f>
        <v/>
      </c>
      <c r="BD339" s="1" t="str">
        <f>IFERROR($BC$3&amp;VLOOKUP(F341,'Pay Table'!$M$3:$N$18,2,FALSE)&amp;$BB$3&amp;G341&amp;$BD$3,"")</f>
        <v/>
      </c>
      <c r="BE339" s="1" t="str">
        <f>IFERROR($BC$3&amp;VLOOKUP(H341,'Pay Table'!$M$3:$N$18,2,FALSE)&amp;$BB$3&amp;I341&amp;$BD$3,"")</f>
        <v/>
      </c>
      <c r="BF339" s="27" t="str">
        <f>IFERROR($BC$3&amp;VLOOKUP(J341,'Pay Table'!$M$3:$N$18,2,FALSE)&amp;$BB$3&amp;K341&amp;$BD$3,"")</f>
        <v/>
      </c>
    </row>
    <row r="340" spans="54:58" x14ac:dyDescent="0.15">
      <c r="BB340" s="26" t="str">
        <f>IFERROR($BC$3&amp;VLOOKUP(B342,'Pay Table'!$M$3:$N$18,2,FALSE)&amp;$BB$3&amp;C342&amp;$BD$3,"")</f>
        <v/>
      </c>
      <c r="BC340" s="1" t="str">
        <f>IFERROR($BC$3&amp;VLOOKUP(D342,'Pay Table'!$M$3:$N$18,2,FALSE)&amp;$BB$3&amp;E342&amp;$BD$3,"")</f>
        <v/>
      </c>
      <c r="BD340" s="1" t="str">
        <f>IFERROR($BC$3&amp;VLOOKUP(F342,'Pay Table'!$M$3:$N$18,2,FALSE)&amp;$BB$3&amp;G342&amp;$BD$3,"")</f>
        <v/>
      </c>
      <c r="BE340" s="1" t="str">
        <f>IFERROR($BC$3&amp;VLOOKUP(H342,'Pay Table'!$M$3:$N$18,2,FALSE)&amp;$BB$3&amp;I342&amp;$BD$3,"")</f>
        <v/>
      </c>
      <c r="BF340" s="27" t="str">
        <f>IFERROR($BC$3&amp;VLOOKUP(J342,'Pay Table'!$M$3:$N$18,2,FALSE)&amp;$BB$3&amp;K342&amp;$BD$3,"")</f>
        <v/>
      </c>
    </row>
    <row r="341" spans="54:58" x14ac:dyDescent="0.15">
      <c r="BB341" s="26" t="str">
        <f>IFERROR($BC$3&amp;VLOOKUP(B343,'Pay Table'!$M$3:$N$18,2,FALSE)&amp;$BB$3&amp;C343&amp;$BD$3,"")</f>
        <v/>
      </c>
      <c r="BC341" s="1" t="str">
        <f>IFERROR($BC$3&amp;VLOOKUP(D343,'Pay Table'!$M$3:$N$18,2,FALSE)&amp;$BB$3&amp;E343&amp;$BD$3,"")</f>
        <v/>
      </c>
      <c r="BD341" s="1" t="str">
        <f>IFERROR($BC$3&amp;VLOOKUP(F343,'Pay Table'!$M$3:$N$18,2,FALSE)&amp;$BB$3&amp;G343&amp;$BD$3,"")</f>
        <v/>
      </c>
      <c r="BE341" s="1" t="str">
        <f>IFERROR($BC$3&amp;VLOOKUP(H343,'Pay Table'!$M$3:$N$18,2,FALSE)&amp;$BB$3&amp;I343&amp;$BD$3,"")</f>
        <v/>
      </c>
      <c r="BF341" s="27" t="str">
        <f>IFERROR($BC$3&amp;VLOOKUP(J343,'Pay Table'!$M$3:$N$18,2,FALSE)&amp;$BB$3&amp;K343&amp;$BD$3,"")</f>
        <v/>
      </c>
    </row>
    <row r="342" spans="54:58" x14ac:dyDescent="0.15">
      <c r="BB342" s="26" t="str">
        <f>IFERROR($BC$3&amp;VLOOKUP(B344,'Pay Table'!$M$3:$N$18,2,FALSE)&amp;$BB$3&amp;C344&amp;$BD$3,"")</f>
        <v/>
      </c>
      <c r="BC342" s="1" t="str">
        <f>IFERROR($BC$3&amp;VLOOKUP(D344,'Pay Table'!$M$3:$N$18,2,FALSE)&amp;$BB$3&amp;E344&amp;$BD$3,"")</f>
        <v/>
      </c>
      <c r="BD342" s="1" t="str">
        <f>IFERROR($BC$3&amp;VLOOKUP(F344,'Pay Table'!$M$3:$N$18,2,FALSE)&amp;$BB$3&amp;G344&amp;$BD$3,"")</f>
        <v/>
      </c>
      <c r="BE342" s="1" t="str">
        <f>IFERROR($BC$3&amp;VLOOKUP(H344,'Pay Table'!$M$3:$N$18,2,FALSE)&amp;$BB$3&amp;I344&amp;$BD$3,"")</f>
        <v/>
      </c>
      <c r="BF342" s="27" t="str">
        <f>IFERROR($BC$3&amp;VLOOKUP(J344,'Pay Table'!$M$3:$N$18,2,FALSE)&amp;$BB$3&amp;K344&amp;$BD$3,"")</f>
        <v/>
      </c>
    </row>
    <row r="343" spans="54:58" x14ac:dyDescent="0.15">
      <c r="BB343" s="26" t="str">
        <f>IFERROR($BC$3&amp;VLOOKUP(B345,'Pay Table'!$M$3:$N$18,2,FALSE)&amp;$BB$3&amp;C345&amp;$BD$3,"")</f>
        <v/>
      </c>
      <c r="BC343" s="1" t="str">
        <f>IFERROR($BC$3&amp;VLOOKUP(D345,'Pay Table'!$M$3:$N$18,2,FALSE)&amp;$BB$3&amp;E345&amp;$BD$3,"")</f>
        <v/>
      </c>
      <c r="BD343" s="1" t="str">
        <f>IFERROR($BC$3&amp;VLOOKUP(F345,'Pay Table'!$M$3:$N$18,2,FALSE)&amp;$BB$3&amp;G345&amp;$BD$3,"")</f>
        <v/>
      </c>
      <c r="BE343" s="1" t="str">
        <f>IFERROR($BC$3&amp;VLOOKUP(H345,'Pay Table'!$M$3:$N$18,2,FALSE)&amp;$BB$3&amp;I345&amp;$BD$3,"")</f>
        <v/>
      </c>
      <c r="BF343" s="27" t="str">
        <f>IFERROR($BC$3&amp;VLOOKUP(J345,'Pay Table'!$M$3:$N$18,2,FALSE)&amp;$BB$3&amp;K345&amp;$BD$3,"")</f>
        <v/>
      </c>
    </row>
    <row r="344" spans="54:58" x14ac:dyDescent="0.15">
      <c r="BB344" s="26" t="str">
        <f>IFERROR($BC$3&amp;VLOOKUP(B346,'Pay Table'!$M$3:$N$18,2,FALSE)&amp;$BB$3&amp;C346&amp;$BD$3,"")</f>
        <v/>
      </c>
      <c r="BC344" s="1" t="str">
        <f>IFERROR($BC$3&amp;VLOOKUP(D346,'Pay Table'!$M$3:$N$18,2,FALSE)&amp;$BB$3&amp;E346&amp;$BD$3,"")</f>
        <v/>
      </c>
      <c r="BD344" s="1" t="str">
        <f>IFERROR($BC$3&amp;VLOOKUP(F346,'Pay Table'!$M$3:$N$18,2,FALSE)&amp;$BB$3&amp;G346&amp;$BD$3,"")</f>
        <v/>
      </c>
      <c r="BE344" s="1" t="str">
        <f>IFERROR($BC$3&amp;VLOOKUP(H346,'Pay Table'!$M$3:$N$18,2,FALSE)&amp;$BB$3&amp;I346&amp;$BD$3,"")</f>
        <v/>
      </c>
      <c r="BF344" s="27" t="str">
        <f>IFERROR($BC$3&amp;VLOOKUP(J346,'Pay Table'!$M$3:$N$18,2,FALSE)&amp;$BB$3&amp;K346&amp;$BD$3,"")</f>
        <v/>
      </c>
    </row>
    <row r="345" spans="54:58" x14ac:dyDescent="0.15">
      <c r="BB345" s="26" t="str">
        <f>IFERROR($BC$3&amp;VLOOKUP(B347,'Pay Table'!$M$3:$N$18,2,FALSE)&amp;$BB$3&amp;C347&amp;$BD$3,"")</f>
        <v/>
      </c>
      <c r="BC345" s="1" t="str">
        <f>IFERROR($BC$3&amp;VLOOKUP(D347,'Pay Table'!$M$3:$N$18,2,FALSE)&amp;$BB$3&amp;E347&amp;$BD$3,"")</f>
        <v/>
      </c>
      <c r="BD345" s="1" t="str">
        <f>IFERROR($BC$3&amp;VLOOKUP(F347,'Pay Table'!$M$3:$N$18,2,FALSE)&amp;$BB$3&amp;G347&amp;$BD$3,"")</f>
        <v/>
      </c>
      <c r="BE345" s="1" t="str">
        <f>IFERROR($BC$3&amp;VLOOKUP(H347,'Pay Table'!$M$3:$N$18,2,FALSE)&amp;$BB$3&amp;I347&amp;$BD$3,"")</f>
        <v/>
      </c>
      <c r="BF345" s="27" t="str">
        <f>IFERROR($BC$3&amp;VLOOKUP(J347,'Pay Table'!$M$3:$N$18,2,FALSE)&amp;$BB$3&amp;K347&amp;$BD$3,"")</f>
        <v/>
      </c>
    </row>
    <row r="346" spans="54:58" x14ac:dyDescent="0.15">
      <c r="BB346" s="26" t="str">
        <f>IFERROR($BC$3&amp;VLOOKUP(B348,'Pay Table'!$M$3:$N$18,2,FALSE)&amp;$BB$3&amp;C348&amp;$BD$3,"")</f>
        <v/>
      </c>
      <c r="BC346" s="1" t="str">
        <f>IFERROR($BC$3&amp;VLOOKUP(D348,'Pay Table'!$M$3:$N$18,2,FALSE)&amp;$BB$3&amp;E348&amp;$BD$3,"")</f>
        <v/>
      </c>
      <c r="BD346" s="1" t="str">
        <f>IFERROR($BC$3&amp;VLOOKUP(F348,'Pay Table'!$M$3:$N$18,2,FALSE)&amp;$BB$3&amp;G348&amp;$BD$3,"")</f>
        <v/>
      </c>
      <c r="BE346" s="1" t="str">
        <f>IFERROR($BC$3&amp;VLOOKUP(H348,'Pay Table'!$M$3:$N$18,2,FALSE)&amp;$BB$3&amp;I348&amp;$BD$3,"")</f>
        <v/>
      </c>
      <c r="BF346" s="27" t="str">
        <f>IFERROR($BC$3&amp;VLOOKUP(J348,'Pay Table'!$M$3:$N$18,2,FALSE)&amp;$BB$3&amp;K348&amp;$BD$3,"")</f>
        <v/>
      </c>
    </row>
    <row r="347" spans="54:58" x14ac:dyDescent="0.15">
      <c r="BB347" s="26" t="str">
        <f>IFERROR($BC$3&amp;VLOOKUP(B349,'Pay Table'!$M$3:$N$18,2,FALSE)&amp;$BB$3&amp;C349&amp;$BD$3,"")</f>
        <v/>
      </c>
      <c r="BC347" s="1" t="str">
        <f>IFERROR($BC$3&amp;VLOOKUP(D349,'Pay Table'!$M$3:$N$18,2,FALSE)&amp;$BB$3&amp;E349&amp;$BD$3,"")</f>
        <v/>
      </c>
      <c r="BD347" s="1" t="str">
        <f>IFERROR($BC$3&amp;VLOOKUP(F349,'Pay Table'!$M$3:$N$18,2,FALSE)&amp;$BB$3&amp;G349&amp;$BD$3,"")</f>
        <v/>
      </c>
      <c r="BE347" s="1" t="str">
        <f>IFERROR($BC$3&amp;VLOOKUP(H349,'Pay Table'!$M$3:$N$18,2,FALSE)&amp;$BB$3&amp;I349&amp;$BD$3,"")</f>
        <v/>
      </c>
      <c r="BF347" s="27" t="str">
        <f>IFERROR($BC$3&amp;VLOOKUP(J349,'Pay Table'!$M$3:$N$18,2,FALSE)&amp;$BB$3&amp;K349&amp;$BD$3,"")</f>
        <v/>
      </c>
    </row>
    <row r="348" spans="54:58" x14ac:dyDescent="0.15">
      <c r="BB348" s="26" t="str">
        <f>IFERROR($BC$3&amp;VLOOKUP(B350,'Pay Table'!$M$3:$N$18,2,FALSE)&amp;$BB$3&amp;C350&amp;$BD$3,"")</f>
        <v/>
      </c>
      <c r="BC348" s="1" t="str">
        <f>IFERROR($BC$3&amp;VLOOKUP(D350,'Pay Table'!$M$3:$N$18,2,FALSE)&amp;$BB$3&amp;E350&amp;$BD$3,"")</f>
        <v/>
      </c>
      <c r="BD348" s="1" t="str">
        <f>IFERROR($BC$3&amp;VLOOKUP(F350,'Pay Table'!$M$3:$N$18,2,FALSE)&amp;$BB$3&amp;G350&amp;$BD$3,"")</f>
        <v/>
      </c>
      <c r="BE348" s="1" t="str">
        <f>IFERROR($BC$3&amp;VLOOKUP(H350,'Pay Table'!$M$3:$N$18,2,FALSE)&amp;$BB$3&amp;I350&amp;$BD$3,"")</f>
        <v/>
      </c>
      <c r="BF348" s="27" t="str">
        <f>IFERROR($BC$3&amp;VLOOKUP(J350,'Pay Table'!$M$3:$N$18,2,FALSE)&amp;$BB$3&amp;K350&amp;$BD$3,"")</f>
        <v/>
      </c>
    </row>
    <row r="349" spans="54:58" x14ac:dyDescent="0.15">
      <c r="BB349" s="26" t="str">
        <f>IFERROR($BC$3&amp;VLOOKUP(B351,'Pay Table'!$M$3:$N$18,2,FALSE)&amp;$BB$3&amp;C351&amp;$BD$3,"")</f>
        <v/>
      </c>
      <c r="BC349" s="1" t="str">
        <f>IFERROR($BC$3&amp;VLOOKUP(D351,'Pay Table'!$M$3:$N$18,2,FALSE)&amp;$BB$3&amp;E351&amp;$BD$3,"")</f>
        <v/>
      </c>
      <c r="BD349" s="1" t="str">
        <f>IFERROR($BC$3&amp;VLOOKUP(F351,'Pay Table'!$M$3:$N$18,2,FALSE)&amp;$BB$3&amp;G351&amp;$BD$3,"")</f>
        <v/>
      </c>
      <c r="BE349" s="1" t="str">
        <f>IFERROR($BC$3&amp;VLOOKUP(H351,'Pay Table'!$M$3:$N$18,2,FALSE)&amp;$BB$3&amp;I351&amp;$BD$3,"")</f>
        <v/>
      </c>
      <c r="BF349" s="27" t="str">
        <f>IFERROR($BC$3&amp;VLOOKUP(J351,'Pay Table'!$M$3:$N$18,2,FALSE)&amp;$BB$3&amp;K351&amp;$BD$3,"")</f>
        <v/>
      </c>
    </row>
    <row r="350" spans="54:58" x14ac:dyDescent="0.15">
      <c r="BB350" s="26" t="str">
        <f>IFERROR($BC$3&amp;VLOOKUP(B352,'Pay Table'!$M$3:$N$18,2,FALSE)&amp;$BB$3&amp;C352&amp;$BD$3,"")</f>
        <v/>
      </c>
      <c r="BC350" s="1" t="str">
        <f>IFERROR($BC$3&amp;VLOOKUP(D352,'Pay Table'!$M$3:$N$18,2,FALSE)&amp;$BB$3&amp;E352&amp;$BD$3,"")</f>
        <v/>
      </c>
      <c r="BD350" s="1" t="str">
        <f>IFERROR($BC$3&amp;VLOOKUP(F352,'Pay Table'!$M$3:$N$18,2,FALSE)&amp;$BB$3&amp;G352&amp;$BD$3,"")</f>
        <v/>
      </c>
      <c r="BE350" s="1" t="str">
        <f>IFERROR($BC$3&amp;VLOOKUP(H352,'Pay Table'!$M$3:$N$18,2,FALSE)&amp;$BB$3&amp;I352&amp;$BD$3,"")</f>
        <v/>
      </c>
      <c r="BF350" s="27" t="str">
        <f>IFERROR($BC$3&amp;VLOOKUP(J352,'Pay Table'!$M$3:$N$18,2,FALSE)&amp;$BB$3&amp;K352&amp;$BD$3,"")</f>
        <v/>
      </c>
    </row>
    <row r="351" spans="54:58" x14ac:dyDescent="0.15">
      <c r="BB351" s="26" t="str">
        <f>IFERROR($BC$3&amp;VLOOKUP(B353,'Pay Table'!$M$3:$N$18,2,FALSE)&amp;$BB$3&amp;C353&amp;$BD$3,"")</f>
        <v/>
      </c>
      <c r="BC351" s="1" t="str">
        <f>IFERROR($BC$3&amp;VLOOKUP(D353,'Pay Table'!$M$3:$N$18,2,FALSE)&amp;$BB$3&amp;E353&amp;$BD$3,"")</f>
        <v/>
      </c>
      <c r="BD351" s="1" t="str">
        <f>IFERROR($BC$3&amp;VLOOKUP(F353,'Pay Table'!$M$3:$N$18,2,FALSE)&amp;$BB$3&amp;G353&amp;$BD$3,"")</f>
        <v/>
      </c>
      <c r="BE351" s="1" t="str">
        <f>IFERROR($BC$3&amp;VLOOKUP(H353,'Pay Table'!$M$3:$N$18,2,FALSE)&amp;$BB$3&amp;I353&amp;$BD$3,"")</f>
        <v/>
      </c>
      <c r="BF351" s="27" t="str">
        <f>IFERROR($BC$3&amp;VLOOKUP(J353,'Pay Table'!$M$3:$N$18,2,FALSE)&amp;$BB$3&amp;K353&amp;$BD$3,"")</f>
        <v/>
      </c>
    </row>
    <row r="352" spans="54:58" x14ac:dyDescent="0.15">
      <c r="BB352" s="26" t="str">
        <f>IFERROR($BC$3&amp;VLOOKUP(B354,'Pay Table'!$M$3:$N$18,2,FALSE)&amp;$BB$3&amp;C354&amp;$BD$3,"")</f>
        <v/>
      </c>
      <c r="BC352" s="1" t="str">
        <f>IFERROR($BC$3&amp;VLOOKUP(D354,'Pay Table'!$M$3:$N$18,2,FALSE)&amp;$BB$3&amp;E354&amp;$BD$3,"")</f>
        <v/>
      </c>
      <c r="BD352" s="1" t="str">
        <f>IFERROR($BC$3&amp;VLOOKUP(F354,'Pay Table'!$M$3:$N$18,2,FALSE)&amp;$BB$3&amp;G354&amp;$BD$3,"")</f>
        <v/>
      </c>
      <c r="BE352" s="1" t="str">
        <f>IFERROR($BC$3&amp;VLOOKUP(H354,'Pay Table'!$M$3:$N$18,2,FALSE)&amp;$BB$3&amp;I354&amp;$BD$3,"")</f>
        <v/>
      </c>
      <c r="BF352" s="27" t="str">
        <f>IFERROR($BC$3&amp;VLOOKUP(J354,'Pay Table'!$M$3:$N$18,2,FALSE)&amp;$BB$3&amp;K354&amp;$BD$3,"")</f>
        <v/>
      </c>
    </row>
    <row r="353" spans="54:58" x14ac:dyDescent="0.15">
      <c r="BB353" s="26" t="str">
        <f>IFERROR($BC$3&amp;VLOOKUP(B355,'Pay Table'!$M$3:$N$18,2,FALSE)&amp;$BB$3&amp;C355&amp;$BD$3,"")</f>
        <v/>
      </c>
      <c r="BC353" s="1" t="str">
        <f>IFERROR($BC$3&amp;VLOOKUP(D355,'Pay Table'!$M$3:$N$18,2,FALSE)&amp;$BB$3&amp;E355&amp;$BD$3,"")</f>
        <v/>
      </c>
      <c r="BD353" s="1" t="str">
        <f>IFERROR($BC$3&amp;VLOOKUP(F355,'Pay Table'!$M$3:$N$18,2,FALSE)&amp;$BB$3&amp;G355&amp;$BD$3,"")</f>
        <v/>
      </c>
      <c r="BE353" s="1" t="str">
        <f>IFERROR($BC$3&amp;VLOOKUP(H355,'Pay Table'!$M$3:$N$18,2,FALSE)&amp;$BB$3&amp;I355&amp;$BD$3,"")</f>
        <v/>
      </c>
      <c r="BF353" s="27" t="str">
        <f>IFERROR($BC$3&amp;VLOOKUP(J355,'Pay Table'!$M$3:$N$18,2,FALSE)&amp;$BB$3&amp;K355&amp;$BD$3,"")</f>
        <v/>
      </c>
    </row>
    <row r="354" spans="54:58" x14ac:dyDescent="0.15">
      <c r="BB354" s="26" t="str">
        <f>IFERROR($BC$3&amp;VLOOKUP(B356,'Pay Table'!$M$3:$N$18,2,FALSE)&amp;$BB$3&amp;C356&amp;$BD$3,"")</f>
        <v/>
      </c>
      <c r="BC354" s="1" t="str">
        <f>IFERROR($BC$3&amp;VLOOKUP(D356,'Pay Table'!$M$3:$N$18,2,FALSE)&amp;$BB$3&amp;E356&amp;$BD$3,"")</f>
        <v/>
      </c>
      <c r="BD354" s="1" t="str">
        <f>IFERROR($BC$3&amp;VLOOKUP(F356,'Pay Table'!$M$3:$N$18,2,FALSE)&amp;$BB$3&amp;G356&amp;$BD$3,"")</f>
        <v/>
      </c>
      <c r="BE354" s="1" t="str">
        <f>IFERROR($BC$3&amp;VLOOKUP(H356,'Pay Table'!$M$3:$N$18,2,FALSE)&amp;$BB$3&amp;I356&amp;$BD$3,"")</f>
        <v/>
      </c>
      <c r="BF354" s="27" t="str">
        <f>IFERROR($BC$3&amp;VLOOKUP(J356,'Pay Table'!$M$3:$N$18,2,FALSE)&amp;$BB$3&amp;K356&amp;$BD$3,"")</f>
        <v/>
      </c>
    </row>
    <row r="355" spans="54:58" x14ac:dyDescent="0.15">
      <c r="BB355" s="26" t="str">
        <f>IFERROR($BC$3&amp;VLOOKUP(B357,'Pay Table'!$M$3:$N$18,2,FALSE)&amp;$BB$3&amp;C357&amp;$BD$3,"")</f>
        <v/>
      </c>
      <c r="BC355" s="1" t="str">
        <f>IFERROR($BC$3&amp;VLOOKUP(D357,'Pay Table'!$M$3:$N$18,2,FALSE)&amp;$BB$3&amp;E357&amp;$BD$3,"")</f>
        <v/>
      </c>
      <c r="BD355" s="1" t="str">
        <f>IFERROR($BC$3&amp;VLOOKUP(F357,'Pay Table'!$M$3:$N$18,2,FALSE)&amp;$BB$3&amp;G357&amp;$BD$3,"")</f>
        <v/>
      </c>
      <c r="BE355" s="1" t="str">
        <f>IFERROR($BC$3&amp;VLOOKUP(H357,'Pay Table'!$M$3:$N$18,2,FALSE)&amp;$BB$3&amp;I357&amp;$BD$3,"")</f>
        <v/>
      </c>
      <c r="BF355" s="27" t="str">
        <f>IFERROR($BC$3&amp;VLOOKUP(J357,'Pay Table'!$M$3:$N$18,2,FALSE)&amp;$BB$3&amp;K357&amp;$BD$3,"")</f>
        <v/>
      </c>
    </row>
    <row r="356" spans="54:58" x14ac:dyDescent="0.15">
      <c r="BB356" s="26" t="str">
        <f>IFERROR($BC$3&amp;VLOOKUP(B358,'Pay Table'!$M$3:$N$18,2,FALSE)&amp;$BB$3&amp;C358&amp;$BD$3,"")</f>
        <v/>
      </c>
      <c r="BC356" s="1" t="str">
        <f>IFERROR($BC$3&amp;VLOOKUP(D358,'Pay Table'!$M$3:$N$18,2,FALSE)&amp;$BB$3&amp;E358&amp;$BD$3,"")</f>
        <v/>
      </c>
      <c r="BD356" s="1" t="str">
        <f>IFERROR($BC$3&amp;VLOOKUP(F358,'Pay Table'!$M$3:$N$18,2,FALSE)&amp;$BB$3&amp;G358&amp;$BD$3,"")</f>
        <v/>
      </c>
      <c r="BE356" s="1" t="str">
        <f>IFERROR($BC$3&amp;VLOOKUP(H358,'Pay Table'!$M$3:$N$18,2,FALSE)&amp;$BB$3&amp;I358&amp;$BD$3,"")</f>
        <v/>
      </c>
      <c r="BF356" s="27" t="str">
        <f>IFERROR($BC$3&amp;VLOOKUP(J358,'Pay Table'!$M$3:$N$18,2,FALSE)&amp;$BB$3&amp;K358&amp;$BD$3,"")</f>
        <v/>
      </c>
    </row>
    <row r="357" spans="54:58" x14ac:dyDescent="0.15">
      <c r="BB357" s="26" t="str">
        <f>IFERROR($BC$3&amp;VLOOKUP(B359,'Pay Table'!$M$3:$N$18,2,FALSE)&amp;$BB$3&amp;C359&amp;$BD$3,"")</f>
        <v/>
      </c>
      <c r="BC357" s="1" t="str">
        <f>IFERROR($BC$3&amp;VLOOKUP(D359,'Pay Table'!$M$3:$N$18,2,FALSE)&amp;$BB$3&amp;E359&amp;$BD$3,"")</f>
        <v/>
      </c>
      <c r="BD357" s="1" t="str">
        <f>IFERROR($BC$3&amp;VLOOKUP(F359,'Pay Table'!$M$3:$N$18,2,FALSE)&amp;$BB$3&amp;G359&amp;$BD$3,"")</f>
        <v/>
      </c>
      <c r="BE357" s="1" t="str">
        <f>IFERROR($BC$3&amp;VLOOKUP(H359,'Pay Table'!$M$3:$N$18,2,FALSE)&amp;$BB$3&amp;I359&amp;$BD$3,"")</f>
        <v/>
      </c>
      <c r="BF357" s="27" t="str">
        <f>IFERROR($BC$3&amp;VLOOKUP(J359,'Pay Table'!$M$3:$N$18,2,FALSE)&amp;$BB$3&amp;K359&amp;$BD$3,"")</f>
        <v/>
      </c>
    </row>
    <row r="358" spans="54:58" x14ac:dyDescent="0.15">
      <c r="BB358" s="26" t="str">
        <f>IFERROR($BC$3&amp;VLOOKUP(B360,'Pay Table'!$M$3:$N$18,2,FALSE)&amp;$BB$3&amp;C360&amp;$BD$3,"")</f>
        <v/>
      </c>
      <c r="BC358" s="1" t="str">
        <f>IFERROR($BC$3&amp;VLOOKUP(D360,'Pay Table'!$M$3:$N$18,2,FALSE)&amp;$BB$3&amp;E360&amp;$BD$3,"")</f>
        <v/>
      </c>
      <c r="BD358" s="1" t="str">
        <f>IFERROR($BC$3&amp;VLOOKUP(F360,'Pay Table'!$M$3:$N$18,2,FALSE)&amp;$BB$3&amp;G360&amp;$BD$3,"")</f>
        <v/>
      </c>
      <c r="BE358" s="1" t="str">
        <f>IFERROR($BC$3&amp;VLOOKUP(H360,'Pay Table'!$M$3:$N$18,2,FALSE)&amp;$BB$3&amp;I360&amp;$BD$3,"")</f>
        <v/>
      </c>
      <c r="BF358" s="27" t="str">
        <f>IFERROR($BC$3&amp;VLOOKUP(J360,'Pay Table'!$M$3:$N$18,2,FALSE)&amp;$BB$3&amp;K360&amp;$BD$3,"")</f>
        <v/>
      </c>
    </row>
    <row r="359" spans="54:58" x14ac:dyDescent="0.15">
      <c r="BB359" s="26" t="str">
        <f>IFERROR($BC$3&amp;VLOOKUP(B361,'Pay Table'!$M$3:$N$18,2,FALSE)&amp;$BB$3&amp;C361&amp;$BD$3,"")</f>
        <v/>
      </c>
      <c r="BC359" s="1" t="str">
        <f>IFERROR($BC$3&amp;VLOOKUP(D361,'Pay Table'!$M$3:$N$18,2,FALSE)&amp;$BB$3&amp;E361&amp;$BD$3,"")</f>
        <v/>
      </c>
      <c r="BD359" s="1" t="str">
        <f>IFERROR($BC$3&amp;VLOOKUP(F361,'Pay Table'!$M$3:$N$18,2,FALSE)&amp;$BB$3&amp;G361&amp;$BD$3,"")</f>
        <v/>
      </c>
      <c r="BE359" s="1" t="str">
        <f>IFERROR($BC$3&amp;VLOOKUP(H361,'Pay Table'!$M$3:$N$18,2,FALSE)&amp;$BB$3&amp;I361&amp;$BD$3,"")</f>
        <v/>
      </c>
      <c r="BF359" s="27" t="str">
        <f>IFERROR($BC$3&amp;VLOOKUP(J361,'Pay Table'!$M$3:$N$18,2,FALSE)&amp;$BB$3&amp;K361&amp;$BD$3,"")</f>
        <v/>
      </c>
    </row>
    <row r="360" spans="54:58" x14ac:dyDescent="0.15">
      <c r="BB360" s="26" t="str">
        <f>IFERROR($BC$3&amp;VLOOKUP(B362,'Pay Table'!$M$3:$N$18,2,FALSE)&amp;$BB$3&amp;C362&amp;$BD$3,"")</f>
        <v/>
      </c>
      <c r="BC360" s="1" t="str">
        <f>IFERROR($BC$3&amp;VLOOKUP(D362,'Pay Table'!$M$3:$N$18,2,FALSE)&amp;$BB$3&amp;E362&amp;$BD$3,"")</f>
        <v/>
      </c>
      <c r="BD360" s="1" t="str">
        <f>IFERROR($BC$3&amp;VLOOKUP(F362,'Pay Table'!$M$3:$N$18,2,FALSE)&amp;$BB$3&amp;G362&amp;$BD$3,"")</f>
        <v/>
      </c>
      <c r="BE360" s="1" t="str">
        <f>IFERROR($BC$3&amp;VLOOKUP(H362,'Pay Table'!$M$3:$N$18,2,FALSE)&amp;$BB$3&amp;I362&amp;$BD$3,"")</f>
        <v/>
      </c>
      <c r="BF360" s="27" t="str">
        <f>IFERROR($BC$3&amp;VLOOKUP(J362,'Pay Table'!$M$3:$N$18,2,FALSE)&amp;$BB$3&amp;K362&amp;$BD$3,"")</f>
        <v/>
      </c>
    </row>
    <row r="361" spans="54:58" x14ac:dyDescent="0.15">
      <c r="BB361" s="26" t="str">
        <f>IFERROR($BC$3&amp;VLOOKUP(B363,'Pay Table'!$M$3:$N$18,2,FALSE)&amp;$BB$3&amp;C363&amp;$BD$3,"")</f>
        <v/>
      </c>
      <c r="BC361" s="1" t="str">
        <f>IFERROR($BC$3&amp;VLOOKUP(D363,'Pay Table'!$M$3:$N$18,2,FALSE)&amp;$BB$3&amp;E363&amp;$BD$3,"")</f>
        <v/>
      </c>
      <c r="BD361" s="1" t="str">
        <f>IFERROR($BC$3&amp;VLOOKUP(F363,'Pay Table'!$M$3:$N$18,2,FALSE)&amp;$BB$3&amp;G363&amp;$BD$3,"")</f>
        <v/>
      </c>
      <c r="BE361" s="1" t="str">
        <f>IFERROR($BC$3&amp;VLOOKUP(H363,'Pay Table'!$M$3:$N$18,2,FALSE)&amp;$BB$3&amp;I363&amp;$BD$3,"")</f>
        <v/>
      </c>
      <c r="BF361" s="27" t="str">
        <f>IFERROR($BC$3&amp;VLOOKUP(J363,'Pay Table'!$M$3:$N$18,2,FALSE)&amp;$BB$3&amp;K363&amp;$BD$3,"")</f>
        <v/>
      </c>
    </row>
    <row r="362" spans="54:58" x14ac:dyDescent="0.15">
      <c r="BB362" s="26" t="str">
        <f>IFERROR($BC$3&amp;VLOOKUP(B364,'Pay Table'!$M$3:$N$18,2,FALSE)&amp;$BB$3&amp;C364&amp;$BD$3,"")</f>
        <v/>
      </c>
      <c r="BC362" s="1" t="str">
        <f>IFERROR($BC$3&amp;VLOOKUP(D364,'Pay Table'!$M$3:$N$18,2,FALSE)&amp;$BB$3&amp;E364&amp;$BD$3,"")</f>
        <v/>
      </c>
      <c r="BD362" s="1" t="str">
        <f>IFERROR($BC$3&amp;VLOOKUP(F364,'Pay Table'!$M$3:$N$18,2,FALSE)&amp;$BB$3&amp;G364&amp;$BD$3,"")</f>
        <v/>
      </c>
      <c r="BE362" s="1" t="str">
        <f>IFERROR($BC$3&amp;VLOOKUP(H364,'Pay Table'!$M$3:$N$18,2,FALSE)&amp;$BB$3&amp;I364&amp;$BD$3,"")</f>
        <v/>
      </c>
      <c r="BF362" s="27" t="str">
        <f>IFERROR($BC$3&amp;VLOOKUP(J364,'Pay Table'!$M$3:$N$18,2,FALSE)&amp;$BB$3&amp;K364&amp;$BD$3,"")</f>
        <v/>
      </c>
    </row>
    <row r="363" spans="54:58" x14ac:dyDescent="0.15">
      <c r="BB363" s="26" t="str">
        <f>IFERROR($BC$3&amp;VLOOKUP(B365,'Pay Table'!$M$3:$N$18,2,FALSE)&amp;$BB$3&amp;C365&amp;$BD$3,"")</f>
        <v/>
      </c>
      <c r="BC363" s="1" t="str">
        <f>IFERROR($BC$3&amp;VLOOKUP(D365,'Pay Table'!$M$3:$N$18,2,FALSE)&amp;$BB$3&amp;E365&amp;$BD$3,"")</f>
        <v/>
      </c>
      <c r="BD363" s="1" t="str">
        <f>IFERROR($BC$3&amp;VLOOKUP(F365,'Pay Table'!$M$3:$N$18,2,FALSE)&amp;$BB$3&amp;G365&amp;$BD$3,"")</f>
        <v/>
      </c>
      <c r="BE363" s="1" t="str">
        <f>IFERROR($BC$3&amp;VLOOKUP(H365,'Pay Table'!$M$3:$N$18,2,FALSE)&amp;$BB$3&amp;I365&amp;$BD$3,"")</f>
        <v/>
      </c>
      <c r="BF363" s="27" t="str">
        <f>IFERROR($BC$3&amp;VLOOKUP(J365,'Pay Table'!$M$3:$N$18,2,FALSE)&amp;$BB$3&amp;K365&amp;$BD$3,"")</f>
        <v/>
      </c>
    </row>
    <row r="364" spans="54:58" x14ac:dyDescent="0.15">
      <c r="BB364" s="26" t="str">
        <f>IFERROR($BC$3&amp;VLOOKUP(B366,'Pay Table'!$M$3:$N$18,2,FALSE)&amp;$BB$3&amp;C366&amp;$BD$3,"")</f>
        <v/>
      </c>
      <c r="BC364" s="1" t="str">
        <f>IFERROR($BC$3&amp;VLOOKUP(D366,'Pay Table'!$M$3:$N$18,2,FALSE)&amp;$BB$3&amp;E366&amp;$BD$3,"")</f>
        <v/>
      </c>
      <c r="BD364" s="1" t="str">
        <f>IFERROR($BC$3&amp;VLOOKUP(F366,'Pay Table'!$M$3:$N$18,2,FALSE)&amp;$BB$3&amp;G366&amp;$BD$3,"")</f>
        <v/>
      </c>
      <c r="BE364" s="1" t="str">
        <f>IFERROR($BC$3&amp;VLOOKUP(H366,'Pay Table'!$M$3:$N$18,2,FALSE)&amp;$BB$3&amp;I366&amp;$BD$3,"")</f>
        <v/>
      </c>
      <c r="BF364" s="27" t="str">
        <f>IFERROR($BC$3&amp;VLOOKUP(J366,'Pay Table'!$M$3:$N$18,2,FALSE)&amp;$BB$3&amp;K366&amp;$BD$3,"")</f>
        <v/>
      </c>
    </row>
    <row r="365" spans="54:58" x14ac:dyDescent="0.15">
      <c r="BB365" s="26" t="str">
        <f>IFERROR($BC$3&amp;VLOOKUP(B367,'Pay Table'!$M$3:$N$18,2,FALSE)&amp;$BB$3&amp;C367&amp;$BD$3,"")</f>
        <v/>
      </c>
      <c r="BC365" s="1" t="str">
        <f>IFERROR($BC$3&amp;VLOOKUP(D367,'Pay Table'!$M$3:$N$18,2,FALSE)&amp;$BB$3&amp;E367&amp;$BD$3,"")</f>
        <v/>
      </c>
      <c r="BD365" s="1" t="str">
        <f>IFERROR($BC$3&amp;VLOOKUP(F367,'Pay Table'!$M$3:$N$18,2,FALSE)&amp;$BB$3&amp;G367&amp;$BD$3,"")</f>
        <v/>
      </c>
      <c r="BE365" s="1" t="str">
        <f>IFERROR($BC$3&amp;VLOOKUP(H367,'Pay Table'!$M$3:$N$18,2,FALSE)&amp;$BB$3&amp;I367&amp;$BD$3,"")</f>
        <v/>
      </c>
      <c r="BF365" s="27" t="str">
        <f>IFERROR($BC$3&amp;VLOOKUP(J367,'Pay Table'!$M$3:$N$18,2,FALSE)&amp;$BB$3&amp;K367&amp;$BD$3,"")</f>
        <v/>
      </c>
    </row>
    <row r="366" spans="54:58" x14ac:dyDescent="0.15">
      <c r="BB366" s="26" t="str">
        <f>IFERROR($BC$3&amp;VLOOKUP(B368,'Pay Table'!$M$3:$N$18,2,FALSE)&amp;$BB$3&amp;C368&amp;$BD$3,"")</f>
        <v/>
      </c>
      <c r="BC366" s="1" t="str">
        <f>IFERROR($BC$3&amp;VLOOKUP(D368,'Pay Table'!$M$3:$N$18,2,FALSE)&amp;$BB$3&amp;E368&amp;$BD$3,"")</f>
        <v/>
      </c>
      <c r="BD366" s="1" t="str">
        <f>IFERROR($BC$3&amp;VLOOKUP(F368,'Pay Table'!$M$3:$N$18,2,FALSE)&amp;$BB$3&amp;G368&amp;$BD$3,"")</f>
        <v/>
      </c>
      <c r="BE366" s="1" t="str">
        <f>IFERROR($BC$3&amp;VLOOKUP(H368,'Pay Table'!$M$3:$N$18,2,FALSE)&amp;$BB$3&amp;I368&amp;$BD$3,"")</f>
        <v/>
      </c>
      <c r="BF366" s="27" t="str">
        <f>IFERROR($BC$3&amp;VLOOKUP(J368,'Pay Table'!$M$3:$N$18,2,FALSE)&amp;$BB$3&amp;K368&amp;$BD$3,"")</f>
        <v/>
      </c>
    </row>
    <row r="367" spans="54:58" x14ac:dyDescent="0.15">
      <c r="BB367" s="26" t="str">
        <f>IFERROR($BC$3&amp;VLOOKUP(B369,'Pay Table'!$M$3:$N$18,2,FALSE)&amp;$BB$3&amp;C369&amp;$BD$3,"")</f>
        <v/>
      </c>
      <c r="BC367" s="1" t="str">
        <f>IFERROR($BC$3&amp;VLOOKUP(D369,'Pay Table'!$M$3:$N$18,2,FALSE)&amp;$BB$3&amp;E369&amp;$BD$3,"")</f>
        <v/>
      </c>
      <c r="BD367" s="1" t="str">
        <f>IFERROR($BC$3&amp;VLOOKUP(F369,'Pay Table'!$M$3:$N$18,2,FALSE)&amp;$BB$3&amp;G369&amp;$BD$3,"")</f>
        <v/>
      </c>
      <c r="BE367" s="1" t="str">
        <f>IFERROR($BC$3&amp;VLOOKUP(H369,'Pay Table'!$M$3:$N$18,2,FALSE)&amp;$BB$3&amp;I369&amp;$BD$3,"")</f>
        <v/>
      </c>
      <c r="BF367" s="27" t="str">
        <f>IFERROR($BC$3&amp;VLOOKUP(J369,'Pay Table'!$M$3:$N$18,2,FALSE)&amp;$BB$3&amp;K369&amp;$BD$3,"")</f>
        <v/>
      </c>
    </row>
    <row r="368" spans="54:58" x14ac:dyDescent="0.15">
      <c r="BB368" s="26" t="str">
        <f>IFERROR($BC$3&amp;VLOOKUP(B370,'Pay Table'!$M$3:$N$18,2,FALSE)&amp;$BB$3&amp;C370&amp;$BD$3,"")</f>
        <v/>
      </c>
      <c r="BC368" s="1" t="str">
        <f>IFERROR($BC$3&amp;VLOOKUP(D370,'Pay Table'!$M$3:$N$18,2,FALSE)&amp;$BB$3&amp;E370&amp;$BD$3,"")</f>
        <v/>
      </c>
      <c r="BD368" s="1" t="str">
        <f>IFERROR($BC$3&amp;VLOOKUP(F370,'Pay Table'!$M$3:$N$18,2,FALSE)&amp;$BB$3&amp;G370&amp;$BD$3,"")</f>
        <v/>
      </c>
      <c r="BE368" s="1" t="str">
        <f>IFERROR($BC$3&amp;VLOOKUP(H370,'Pay Table'!$M$3:$N$18,2,FALSE)&amp;$BB$3&amp;I370&amp;$BD$3,"")</f>
        <v/>
      </c>
      <c r="BF368" s="27" t="str">
        <f>IFERROR($BC$3&amp;VLOOKUP(J370,'Pay Table'!$M$3:$N$18,2,FALSE)&amp;$BB$3&amp;K370&amp;$BD$3,"")</f>
        <v/>
      </c>
    </row>
    <row r="369" spans="54:58" x14ac:dyDescent="0.15">
      <c r="BB369" s="26" t="str">
        <f>IFERROR($BC$3&amp;VLOOKUP(B371,'Pay Table'!$M$3:$N$18,2,FALSE)&amp;$BB$3&amp;C371&amp;$BD$3,"")</f>
        <v/>
      </c>
      <c r="BC369" s="1" t="str">
        <f>IFERROR($BC$3&amp;VLOOKUP(D371,'Pay Table'!$M$3:$N$18,2,FALSE)&amp;$BB$3&amp;E371&amp;$BD$3,"")</f>
        <v/>
      </c>
      <c r="BD369" s="1" t="str">
        <f>IFERROR($BC$3&amp;VLOOKUP(F371,'Pay Table'!$M$3:$N$18,2,FALSE)&amp;$BB$3&amp;G371&amp;$BD$3,"")</f>
        <v/>
      </c>
      <c r="BE369" s="1" t="str">
        <f>IFERROR($BC$3&amp;VLOOKUP(H371,'Pay Table'!$M$3:$N$18,2,FALSE)&amp;$BB$3&amp;I371&amp;$BD$3,"")</f>
        <v/>
      </c>
      <c r="BF369" s="27" t="str">
        <f>IFERROR($BC$3&amp;VLOOKUP(J371,'Pay Table'!$M$3:$N$18,2,FALSE)&amp;$BB$3&amp;K371&amp;$BD$3,"")</f>
        <v/>
      </c>
    </row>
    <row r="370" spans="54:58" x14ac:dyDescent="0.15">
      <c r="BB370" s="26" t="str">
        <f>IFERROR($BC$3&amp;VLOOKUP(B372,'Pay Table'!$M$3:$N$18,2,FALSE)&amp;$BB$3&amp;C372&amp;$BD$3,"")</f>
        <v/>
      </c>
      <c r="BC370" s="1" t="str">
        <f>IFERROR($BC$3&amp;VLOOKUP(D372,'Pay Table'!$M$3:$N$18,2,FALSE)&amp;$BB$3&amp;E372&amp;$BD$3,"")</f>
        <v/>
      </c>
      <c r="BD370" s="1" t="str">
        <f>IFERROR($BC$3&amp;VLOOKUP(F372,'Pay Table'!$M$3:$N$18,2,FALSE)&amp;$BB$3&amp;G372&amp;$BD$3,"")</f>
        <v/>
      </c>
      <c r="BE370" s="1" t="str">
        <f>IFERROR($BC$3&amp;VLOOKUP(H372,'Pay Table'!$M$3:$N$18,2,FALSE)&amp;$BB$3&amp;I372&amp;$BD$3,"")</f>
        <v/>
      </c>
      <c r="BF370" s="27" t="str">
        <f>IFERROR($BC$3&amp;VLOOKUP(J372,'Pay Table'!$M$3:$N$18,2,FALSE)&amp;$BB$3&amp;K372&amp;$BD$3,"")</f>
        <v/>
      </c>
    </row>
    <row r="371" spans="54:58" x14ac:dyDescent="0.15">
      <c r="BB371" s="26" t="str">
        <f>IFERROR($BC$3&amp;VLOOKUP(B373,'Pay Table'!$M$3:$N$18,2,FALSE)&amp;$BB$3&amp;C373&amp;$BD$3,"")</f>
        <v/>
      </c>
      <c r="BC371" s="1" t="str">
        <f>IFERROR($BC$3&amp;VLOOKUP(D373,'Pay Table'!$M$3:$N$18,2,FALSE)&amp;$BB$3&amp;E373&amp;$BD$3,"")</f>
        <v/>
      </c>
      <c r="BD371" s="1" t="str">
        <f>IFERROR($BC$3&amp;VLOOKUP(F373,'Pay Table'!$M$3:$N$18,2,FALSE)&amp;$BB$3&amp;G373&amp;$BD$3,"")</f>
        <v/>
      </c>
      <c r="BE371" s="1" t="str">
        <f>IFERROR($BC$3&amp;VLOOKUP(H373,'Pay Table'!$M$3:$N$18,2,FALSE)&amp;$BB$3&amp;I373&amp;$BD$3,"")</f>
        <v/>
      </c>
      <c r="BF371" s="27" t="str">
        <f>IFERROR($BC$3&amp;VLOOKUP(J373,'Pay Table'!$M$3:$N$18,2,FALSE)&amp;$BB$3&amp;K373&amp;$BD$3,"")</f>
        <v/>
      </c>
    </row>
    <row r="372" spans="54:58" x14ac:dyDescent="0.15">
      <c r="BB372" s="26" t="str">
        <f>IFERROR($BC$3&amp;VLOOKUP(B374,'Pay Table'!$M$3:$N$18,2,FALSE)&amp;$BB$3&amp;C374&amp;$BD$3,"")</f>
        <v/>
      </c>
      <c r="BC372" s="1" t="str">
        <f>IFERROR($BC$3&amp;VLOOKUP(D374,'Pay Table'!$M$3:$N$18,2,FALSE)&amp;$BB$3&amp;E374&amp;$BD$3,"")</f>
        <v/>
      </c>
      <c r="BD372" s="1" t="str">
        <f>IFERROR($BC$3&amp;VLOOKUP(F374,'Pay Table'!$M$3:$N$18,2,FALSE)&amp;$BB$3&amp;G374&amp;$BD$3,"")</f>
        <v/>
      </c>
      <c r="BE372" s="1" t="str">
        <f>IFERROR($BC$3&amp;VLOOKUP(H374,'Pay Table'!$M$3:$N$18,2,FALSE)&amp;$BB$3&amp;I374&amp;$BD$3,"")</f>
        <v/>
      </c>
      <c r="BF372" s="27" t="str">
        <f>IFERROR($BC$3&amp;VLOOKUP(J374,'Pay Table'!$M$3:$N$18,2,FALSE)&amp;$BB$3&amp;K374&amp;$BD$3,"")</f>
        <v/>
      </c>
    </row>
    <row r="373" spans="54:58" x14ac:dyDescent="0.15">
      <c r="BB373" s="26" t="str">
        <f>IFERROR($BC$3&amp;VLOOKUP(B375,'Pay Table'!$M$3:$N$18,2,FALSE)&amp;$BB$3&amp;C375&amp;$BD$3,"")</f>
        <v/>
      </c>
      <c r="BC373" s="1" t="str">
        <f>IFERROR($BC$3&amp;VLOOKUP(D375,'Pay Table'!$M$3:$N$18,2,FALSE)&amp;$BB$3&amp;E375&amp;$BD$3,"")</f>
        <v/>
      </c>
      <c r="BD373" s="1" t="str">
        <f>IFERROR($BC$3&amp;VLOOKUP(F375,'Pay Table'!$M$3:$N$18,2,FALSE)&amp;$BB$3&amp;G375&amp;$BD$3,"")</f>
        <v/>
      </c>
      <c r="BE373" s="1" t="str">
        <f>IFERROR($BC$3&amp;VLOOKUP(H375,'Pay Table'!$M$3:$N$18,2,FALSE)&amp;$BB$3&amp;I375&amp;$BD$3,"")</f>
        <v/>
      </c>
      <c r="BF373" s="27" t="str">
        <f>IFERROR($BC$3&amp;VLOOKUP(J375,'Pay Table'!$M$3:$N$18,2,FALSE)&amp;$BB$3&amp;K375&amp;$BD$3,"")</f>
        <v/>
      </c>
    </row>
    <row r="374" spans="54:58" x14ac:dyDescent="0.15">
      <c r="BB374" s="26" t="str">
        <f>IFERROR($BC$3&amp;VLOOKUP(B376,'Pay Table'!$M$3:$N$18,2,FALSE)&amp;$BB$3&amp;C376&amp;$BD$3,"")</f>
        <v/>
      </c>
      <c r="BC374" s="1" t="str">
        <f>IFERROR($BC$3&amp;VLOOKUP(D376,'Pay Table'!$M$3:$N$18,2,FALSE)&amp;$BB$3&amp;E376&amp;$BD$3,"")</f>
        <v/>
      </c>
      <c r="BD374" s="1" t="str">
        <f>IFERROR($BC$3&amp;VLOOKUP(F376,'Pay Table'!$M$3:$N$18,2,FALSE)&amp;$BB$3&amp;G376&amp;$BD$3,"")</f>
        <v/>
      </c>
      <c r="BE374" s="1" t="str">
        <f>IFERROR($BC$3&amp;VLOOKUP(H376,'Pay Table'!$M$3:$N$18,2,FALSE)&amp;$BB$3&amp;I376&amp;$BD$3,"")</f>
        <v/>
      </c>
      <c r="BF374" s="27" t="str">
        <f>IFERROR($BC$3&amp;VLOOKUP(J376,'Pay Table'!$M$3:$N$18,2,FALSE)&amp;$BB$3&amp;K376&amp;$BD$3,"")</f>
        <v/>
      </c>
    </row>
    <row r="375" spans="54:58" x14ac:dyDescent="0.15">
      <c r="BB375" s="26" t="str">
        <f>IFERROR($BC$3&amp;VLOOKUP(B377,'Pay Table'!$M$3:$N$18,2,FALSE)&amp;$BB$3&amp;C377&amp;$BD$3,"")</f>
        <v/>
      </c>
      <c r="BC375" s="1" t="str">
        <f>IFERROR($BC$3&amp;VLOOKUP(D377,'Pay Table'!$M$3:$N$18,2,FALSE)&amp;$BB$3&amp;E377&amp;$BD$3,"")</f>
        <v/>
      </c>
      <c r="BD375" s="1" t="str">
        <f>IFERROR($BC$3&amp;VLOOKUP(F377,'Pay Table'!$M$3:$N$18,2,FALSE)&amp;$BB$3&amp;G377&amp;$BD$3,"")</f>
        <v/>
      </c>
      <c r="BE375" s="1" t="str">
        <f>IFERROR($BC$3&amp;VLOOKUP(H377,'Pay Table'!$M$3:$N$18,2,FALSE)&amp;$BB$3&amp;I377&amp;$BD$3,"")</f>
        <v/>
      </c>
      <c r="BF375" s="27" t="str">
        <f>IFERROR($BC$3&amp;VLOOKUP(J377,'Pay Table'!$M$3:$N$18,2,FALSE)&amp;$BB$3&amp;K377&amp;$BD$3,"")</f>
        <v/>
      </c>
    </row>
    <row r="376" spans="54:58" x14ac:dyDescent="0.15">
      <c r="BB376" s="26" t="str">
        <f>IFERROR($BC$3&amp;VLOOKUP(B378,'Pay Table'!$M$3:$N$18,2,FALSE)&amp;$BB$3&amp;C378&amp;$BD$3,"")</f>
        <v/>
      </c>
      <c r="BC376" s="1" t="str">
        <f>IFERROR($BC$3&amp;VLOOKUP(D378,'Pay Table'!$M$3:$N$18,2,FALSE)&amp;$BB$3&amp;E378&amp;$BD$3,"")</f>
        <v/>
      </c>
      <c r="BD376" s="1" t="str">
        <f>IFERROR($BC$3&amp;VLOOKUP(F378,'Pay Table'!$M$3:$N$18,2,FALSE)&amp;$BB$3&amp;G378&amp;$BD$3,"")</f>
        <v/>
      </c>
      <c r="BE376" s="1" t="str">
        <f>IFERROR($BC$3&amp;VLOOKUP(H378,'Pay Table'!$M$3:$N$18,2,FALSE)&amp;$BB$3&amp;I378&amp;$BD$3,"")</f>
        <v/>
      </c>
      <c r="BF376" s="27" t="str">
        <f>IFERROR($BC$3&amp;VLOOKUP(J378,'Pay Table'!$M$3:$N$18,2,FALSE)&amp;$BB$3&amp;K378&amp;$BD$3,"")</f>
        <v/>
      </c>
    </row>
    <row r="377" spans="54:58" x14ac:dyDescent="0.15">
      <c r="BB377" s="26" t="str">
        <f>IFERROR($BC$3&amp;VLOOKUP(B379,'Pay Table'!$M$3:$N$18,2,FALSE)&amp;$BB$3&amp;C379&amp;$BD$3,"")</f>
        <v/>
      </c>
      <c r="BC377" s="1" t="str">
        <f>IFERROR($BC$3&amp;VLOOKUP(D379,'Pay Table'!$M$3:$N$18,2,FALSE)&amp;$BB$3&amp;E379&amp;$BD$3,"")</f>
        <v/>
      </c>
      <c r="BD377" s="1" t="str">
        <f>IFERROR($BC$3&amp;VLOOKUP(F379,'Pay Table'!$M$3:$N$18,2,FALSE)&amp;$BB$3&amp;G379&amp;$BD$3,"")</f>
        <v/>
      </c>
      <c r="BE377" s="1" t="str">
        <f>IFERROR($BC$3&amp;VLOOKUP(H379,'Pay Table'!$M$3:$N$18,2,FALSE)&amp;$BB$3&amp;I379&amp;$BD$3,"")</f>
        <v/>
      </c>
      <c r="BF377" s="27" t="str">
        <f>IFERROR($BC$3&amp;VLOOKUP(J379,'Pay Table'!$M$3:$N$18,2,FALSE)&amp;$BB$3&amp;K379&amp;$BD$3,"")</f>
        <v/>
      </c>
    </row>
    <row r="378" spans="54:58" x14ac:dyDescent="0.15">
      <c r="BB378" s="26" t="str">
        <f>IFERROR($BC$3&amp;VLOOKUP(B380,'Pay Table'!$M$3:$N$18,2,FALSE)&amp;$BB$3&amp;C380&amp;$BD$3,"")</f>
        <v/>
      </c>
      <c r="BC378" s="1" t="str">
        <f>IFERROR($BC$3&amp;VLOOKUP(D380,'Pay Table'!$M$3:$N$18,2,FALSE)&amp;$BB$3&amp;E380&amp;$BD$3,"")</f>
        <v/>
      </c>
      <c r="BD378" s="1" t="str">
        <f>IFERROR($BC$3&amp;VLOOKUP(F380,'Pay Table'!$M$3:$N$18,2,FALSE)&amp;$BB$3&amp;G380&amp;$BD$3,"")</f>
        <v/>
      </c>
      <c r="BE378" s="1" t="str">
        <f>IFERROR($BC$3&amp;VLOOKUP(H380,'Pay Table'!$M$3:$N$18,2,FALSE)&amp;$BB$3&amp;I380&amp;$BD$3,"")</f>
        <v/>
      </c>
      <c r="BF378" s="27" t="str">
        <f>IFERROR($BC$3&amp;VLOOKUP(J380,'Pay Table'!$M$3:$N$18,2,FALSE)&amp;$BB$3&amp;K380&amp;$BD$3,"")</f>
        <v/>
      </c>
    </row>
    <row r="379" spans="54:58" x14ac:dyDescent="0.15">
      <c r="BB379" s="26" t="str">
        <f>IFERROR($BC$3&amp;VLOOKUP(B381,'Pay Table'!$M$3:$N$18,2,FALSE)&amp;$BB$3&amp;C381&amp;$BD$3,"")</f>
        <v/>
      </c>
      <c r="BC379" s="1" t="str">
        <f>IFERROR($BC$3&amp;VLOOKUP(D381,'Pay Table'!$M$3:$N$18,2,FALSE)&amp;$BB$3&amp;E381&amp;$BD$3,"")</f>
        <v/>
      </c>
      <c r="BD379" s="1" t="str">
        <f>IFERROR($BC$3&amp;VLOOKUP(F381,'Pay Table'!$M$3:$N$18,2,FALSE)&amp;$BB$3&amp;G381&amp;$BD$3,"")</f>
        <v/>
      </c>
      <c r="BE379" s="1" t="str">
        <f>IFERROR($BC$3&amp;VLOOKUP(H381,'Pay Table'!$M$3:$N$18,2,FALSE)&amp;$BB$3&amp;I381&amp;$BD$3,"")</f>
        <v/>
      </c>
      <c r="BF379" s="27" t="str">
        <f>IFERROR($BC$3&amp;VLOOKUP(J381,'Pay Table'!$M$3:$N$18,2,FALSE)&amp;$BB$3&amp;K381&amp;$BD$3,"")</f>
        <v/>
      </c>
    </row>
    <row r="380" spans="54:58" x14ac:dyDescent="0.15">
      <c r="BB380" s="26" t="str">
        <f>IFERROR($BC$3&amp;VLOOKUP(B382,'Pay Table'!$M$3:$N$18,2,FALSE)&amp;$BB$3&amp;C382&amp;$BD$3,"")</f>
        <v/>
      </c>
      <c r="BC380" s="1" t="str">
        <f>IFERROR($BC$3&amp;VLOOKUP(D382,'Pay Table'!$M$3:$N$18,2,FALSE)&amp;$BB$3&amp;E382&amp;$BD$3,"")</f>
        <v/>
      </c>
      <c r="BD380" s="1" t="str">
        <f>IFERROR($BC$3&amp;VLOOKUP(F382,'Pay Table'!$M$3:$N$18,2,FALSE)&amp;$BB$3&amp;G382&amp;$BD$3,"")</f>
        <v/>
      </c>
      <c r="BE380" s="1" t="str">
        <f>IFERROR($BC$3&amp;VLOOKUP(H382,'Pay Table'!$M$3:$N$18,2,FALSE)&amp;$BB$3&amp;I382&amp;$BD$3,"")</f>
        <v/>
      </c>
      <c r="BF380" s="27" t="str">
        <f>IFERROR($BC$3&amp;VLOOKUP(J382,'Pay Table'!$M$3:$N$18,2,FALSE)&amp;$BB$3&amp;K382&amp;$BD$3,"")</f>
        <v/>
      </c>
    </row>
    <row r="381" spans="54:58" x14ac:dyDescent="0.15">
      <c r="BB381" s="26" t="str">
        <f>IFERROR($BC$3&amp;VLOOKUP(B383,'Pay Table'!$M$3:$N$18,2,FALSE)&amp;$BB$3&amp;C383&amp;$BD$3,"")</f>
        <v/>
      </c>
      <c r="BC381" s="1" t="str">
        <f>IFERROR($BC$3&amp;VLOOKUP(D383,'Pay Table'!$M$3:$N$18,2,FALSE)&amp;$BB$3&amp;E383&amp;$BD$3,"")</f>
        <v/>
      </c>
      <c r="BD381" s="1" t="str">
        <f>IFERROR($BC$3&amp;VLOOKUP(F383,'Pay Table'!$M$3:$N$18,2,FALSE)&amp;$BB$3&amp;G383&amp;$BD$3,"")</f>
        <v/>
      </c>
      <c r="BE381" s="1" t="str">
        <f>IFERROR($BC$3&amp;VLOOKUP(H383,'Pay Table'!$M$3:$N$18,2,FALSE)&amp;$BB$3&amp;I383&amp;$BD$3,"")</f>
        <v/>
      </c>
      <c r="BF381" s="27" t="str">
        <f>IFERROR($BC$3&amp;VLOOKUP(J383,'Pay Table'!$M$3:$N$18,2,FALSE)&amp;$BB$3&amp;K383&amp;$BD$3,"")</f>
        <v/>
      </c>
    </row>
    <row r="382" spans="54:58" x14ac:dyDescent="0.15">
      <c r="BB382" s="26" t="str">
        <f>IFERROR($BC$3&amp;VLOOKUP(B384,'Pay Table'!$M$3:$N$18,2,FALSE)&amp;$BB$3&amp;C384&amp;$BD$3,"")</f>
        <v/>
      </c>
      <c r="BC382" s="1" t="str">
        <f>IFERROR($BC$3&amp;VLOOKUP(D384,'Pay Table'!$M$3:$N$18,2,FALSE)&amp;$BB$3&amp;E384&amp;$BD$3,"")</f>
        <v/>
      </c>
      <c r="BD382" s="1" t="str">
        <f>IFERROR($BC$3&amp;VLOOKUP(F384,'Pay Table'!$M$3:$N$18,2,FALSE)&amp;$BB$3&amp;G384&amp;$BD$3,"")</f>
        <v/>
      </c>
      <c r="BE382" s="1" t="str">
        <f>IFERROR($BC$3&amp;VLOOKUP(H384,'Pay Table'!$M$3:$N$18,2,FALSE)&amp;$BB$3&amp;I384&amp;$BD$3,"")</f>
        <v/>
      </c>
      <c r="BF382" s="27" t="str">
        <f>IFERROR($BC$3&amp;VLOOKUP(J384,'Pay Table'!$M$3:$N$18,2,FALSE)&amp;$BB$3&amp;K384&amp;$BD$3,"")</f>
        <v/>
      </c>
    </row>
    <row r="383" spans="54:58" x14ac:dyDescent="0.15">
      <c r="BB383" s="26" t="str">
        <f>IFERROR($BC$3&amp;VLOOKUP(B385,'Pay Table'!$M$3:$N$18,2,FALSE)&amp;$BB$3&amp;C385&amp;$BD$3,"")</f>
        <v/>
      </c>
      <c r="BC383" s="1" t="str">
        <f>IFERROR($BC$3&amp;VLOOKUP(D385,'Pay Table'!$M$3:$N$18,2,FALSE)&amp;$BB$3&amp;E385&amp;$BD$3,"")</f>
        <v/>
      </c>
      <c r="BD383" s="1" t="str">
        <f>IFERROR($BC$3&amp;VLOOKUP(F385,'Pay Table'!$M$3:$N$18,2,FALSE)&amp;$BB$3&amp;G385&amp;$BD$3,"")</f>
        <v/>
      </c>
      <c r="BE383" s="1" t="str">
        <f>IFERROR($BC$3&amp;VLOOKUP(H385,'Pay Table'!$M$3:$N$18,2,FALSE)&amp;$BB$3&amp;I385&amp;$BD$3,"")</f>
        <v/>
      </c>
      <c r="BF383" s="27" t="str">
        <f>IFERROR($BC$3&amp;VLOOKUP(J385,'Pay Table'!$M$3:$N$18,2,FALSE)&amp;$BB$3&amp;K385&amp;$BD$3,"")</f>
        <v/>
      </c>
    </row>
    <row r="384" spans="54:58" x14ac:dyDescent="0.15">
      <c r="BB384" s="26" t="str">
        <f>IFERROR($BC$3&amp;VLOOKUP(B386,'Pay Table'!$M$3:$N$18,2,FALSE)&amp;$BB$3&amp;C386&amp;$BD$3,"")</f>
        <v/>
      </c>
      <c r="BC384" s="1" t="str">
        <f>IFERROR($BC$3&amp;VLOOKUP(D386,'Pay Table'!$M$3:$N$18,2,FALSE)&amp;$BB$3&amp;E386&amp;$BD$3,"")</f>
        <v/>
      </c>
      <c r="BD384" s="1" t="str">
        <f>IFERROR($BC$3&amp;VLOOKUP(F386,'Pay Table'!$M$3:$N$18,2,FALSE)&amp;$BB$3&amp;G386&amp;$BD$3,"")</f>
        <v/>
      </c>
      <c r="BE384" s="1" t="str">
        <f>IFERROR($BC$3&amp;VLOOKUP(H386,'Pay Table'!$M$3:$N$18,2,FALSE)&amp;$BB$3&amp;I386&amp;$BD$3,"")</f>
        <v/>
      </c>
      <c r="BF384" s="27" t="str">
        <f>IFERROR($BC$3&amp;VLOOKUP(J386,'Pay Table'!$M$3:$N$18,2,FALSE)&amp;$BB$3&amp;K386&amp;$BD$3,"")</f>
        <v/>
      </c>
    </row>
    <row r="385" spans="54:58" x14ac:dyDescent="0.15">
      <c r="BB385" s="26" t="str">
        <f>IFERROR($BC$3&amp;VLOOKUP(B387,'Pay Table'!$M$3:$N$18,2,FALSE)&amp;$BB$3&amp;C387&amp;$BD$3,"")</f>
        <v/>
      </c>
      <c r="BC385" s="1" t="str">
        <f>IFERROR($BC$3&amp;VLOOKUP(D387,'Pay Table'!$M$3:$N$18,2,FALSE)&amp;$BB$3&amp;E387&amp;$BD$3,"")</f>
        <v/>
      </c>
      <c r="BD385" s="1" t="str">
        <f>IFERROR($BC$3&amp;VLOOKUP(F387,'Pay Table'!$M$3:$N$18,2,FALSE)&amp;$BB$3&amp;G387&amp;$BD$3,"")</f>
        <v/>
      </c>
      <c r="BE385" s="1" t="str">
        <f>IFERROR($BC$3&amp;VLOOKUP(H387,'Pay Table'!$M$3:$N$18,2,FALSE)&amp;$BB$3&amp;I387&amp;$BD$3,"")</f>
        <v/>
      </c>
      <c r="BF385" s="27" t="str">
        <f>IFERROR($BC$3&amp;VLOOKUP(J387,'Pay Table'!$M$3:$N$18,2,FALSE)&amp;$BB$3&amp;K387&amp;$BD$3,"")</f>
        <v/>
      </c>
    </row>
    <row r="386" spans="54:58" x14ac:dyDescent="0.15">
      <c r="BB386" s="26" t="str">
        <f>IFERROR($BC$3&amp;VLOOKUP(B388,'Pay Table'!$M$3:$N$18,2,FALSE)&amp;$BB$3&amp;C388&amp;$BD$3,"")</f>
        <v/>
      </c>
      <c r="BC386" s="1" t="str">
        <f>IFERROR($BC$3&amp;VLOOKUP(D388,'Pay Table'!$M$3:$N$18,2,FALSE)&amp;$BB$3&amp;E388&amp;$BD$3,"")</f>
        <v/>
      </c>
      <c r="BD386" s="1" t="str">
        <f>IFERROR($BC$3&amp;VLOOKUP(F388,'Pay Table'!$M$3:$N$18,2,FALSE)&amp;$BB$3&amp;G388&amp;$BD$3,"")</f>
        <v/>
      </c>
      <c r="BE386" s="1" t="str">
        <f>IFERROR($BC$3&amp;VLOOKUP(H388,'Pay Table'!$M$3:$N$18,2,FALSE)&amp;$BB$3&amp;I388&amp;$BD$3,"")</f>
        <v/>
      </c>
      <c r="BF386" s="27" t="str">
        <f>IFERROR($BC$3&amp;VLOOKUP(J388,'Pay Table'!$M$3:$N$18,2,FALSE)&amp;$BB$3&amp;K388&amp;$BD$3,"")</f>
        <v/>
      </c>
    </row>
    <row r="387" spans="54:58" x14ac:dyDescent="0.15">
      <c r="BB387" s="26" t="str">
        <f>IFERROR($BC$3&amp;VLOOKUP(B389,'Pay Table'!$M$3:$N$18,2,FALSE)&amp;$BB$3&amp;C389&amp;$BD$3,"")</f>
        <v/>
      </c>
      <c r="BC387" s="1" t="str">
        <f>IFERROR($BC$3&amp;VLOOKUP(D389,'Pay Table'!$M$3:$N$18,2,FALSE)&amp;$BB$3&amp;E389&amp;$BD$3,"")</f>
        <v/>
      </c>
      <c r="BD387" s="1" t="str">
        <f>IFERROR($BC$3&amp;VLOOKUP(F389,'Pay Table'!$M$3:$N$18,2,FALSE)&amp;$BB$3&amp;G389&amp;$BD$3,"")</f>
        <v/>
      </c>
      <c r="BE387" s="1" t="str">
        <f>IFERROR($BC$3&amp;VLOOKUP(H389,'Pay Table'!$M$3:$N$18,2,FALSE)&amp;$BB$3&amp;I389&amp;$BD$3,"")</f>
        <v/>
      </c>
      <c r="BF387" s="27" t="str">
        <f>IFERROR($BC$3&amp;VLOOKUP(J389,'Pay Table'!$M$3:$N$18,2,FALSE)&amp;$BB$3&amp;K389&amp;$BD$3,"")</f>
        <v/>
      </c>
    </row>
    <row r="388" spans="54:58" x14ac:dyDescent="0.15">
      <c r="BB388" s="26" t="str">
        <f>IFERROR($BC$3&amp;VLOOKUP(B390,'Pay Table'!$M$3:$N$18,2,FALSE)&amp;$BB$3&amp;C390&amp;$BD$3,"")</f>
        <v/>
      </c>
      <c r="BC388" s="1" t="str">
        <f>IFERROR($BC$3&amp;VLOOKUP(D390,'Pay Table'!$M$3:$N$18,2,FALSE)&amp;$BB$3&amp;E390&amp;$BD$3,"")</f>
        <v/>
      </c>
      <c r="BD388" s="1" t="str">
        <f>IFERROR($BC$3&amp;VLOOKUP(F390,'Pay Table'!$M$3:$N$18,2,FALSE)&amp;$BB$3&amp;G390&amp;$BD$3,"")</f>
        <v/>
      </c>
      <c r="BE388" s="1" t="str">
        <f>IFERROR($BC$3&amp;VLOOKUP(H390,'Pay Table'!$M$3:$N$18,2,FALSE)&amp;$BB$3&amp;I390&amp;$BD$3,"")</f>
        <v/>
      </c>
      <c r="BF388" s="27" t="str">
        <f>IFERROR($BC$3&amp;VLOOKUP(J390,'Pay Table'!$M$3:$N$18,2,FALSE)&amp;$BB$3&amp;K390&amp;$BD$3,"")</f>
        <v/>
      </c>
    </row>
    <row r="389" spans="54:58" x14ac:dyDescent="0.15">
      <c r="BB389" s="26" t="str">
        <f>IFERROR($BC$3&amp;VLOOKUP(B391,'Pay Table'!$M$3:$N$18,2,FALSE)&amp;$BB$3&amp;C391&amp;$BD$3,"")</f>
        <v/>
      </c>
      <c r="BC389" s="1" t="str">
        <f>IFERROR($BC$3&amp;VLOOKUP(D391,'Pay Table'!$M$3:$N$18,2,FALSE)&amp;$BB$3&amp;E391&amp;$BD$3,"")</f>
        <v/>
      </c>
      <c r="BD389" s="1" t="str">
        <f>IFERROR($BC$3&amp;VLOOKUP(F391,'Pay Table'!$M$3:$N$18,2,FALSE)&amp;$BB$3&amp;G391&amp;$BD$3,"")</f>
        <v/>
      </c>
      <c r="BE389" s="1" t="str">
        <f>IFERROR($BC$3&amp;VLOOKUP(H391,'Pay Table'!$M$3:$N$18,2,FALSE)&amp;$BB$3&amp;I391&amp;$BD$3,"")</f>
        <v/>
      </c>
      <c r="BF389" s="27" t="str">
        <f>IFERROR($BC$3&amp;VLOOKUP(J391,'Pay Table'!$M$3:$N$18,2,FALSE)&amp;$BB$3&amp;K391&amp;$BD$3,"")</f>
        <v/>
      </c>
    </row>
    <row r="390" spans="54:58" x14ac:dyDescent="0.15">
      <c r="BB390" s="26" t="str">
        <f>IFERROR($BC$3&amp;VLOOKUP(B392,'Pay Table'!$M$3:$N$18,2,FALSE)&amp;$BB$3&amp;C392&amp;$BD$3,"")</f>
        <v/>
      </c>
      <c r="BC390" s="1" t="str">
        <f>IFERROR($BC$3&amp;VLOOKUP(D392,'Pay Table'!$M$3:$N$18,2,FALSE)&amp;$BB$3&amp;E392&amp;$BD$3,"")</f>
        <v/>
      </c>
      <c r="BD390" s="1" t="str">
        <f>IFERROR($BC$3&amp;VLOOKUP(F392,'Pay Table'!$M$3:$N$18,2,FALSE)&amp;$BB$3&amp;G392&amp;$BD$3,"")</f>
        <v/>
      </c>
      <c r="BE390" s="1" t="str">
        <f>IFERROR($BC$3&amp;VLOOKUP(H392,'Pay Table'!$M$3:$N$18,2,FALSE)&amp;$BB$3&amp;I392&amp;$BD$3,"")</f>
        <v/>
      </c>
      <c r="BF390" s="27" t="str">
        <f>IFERROR($BC$3&amp;VLOOKUP(J392,'Pay Table'!$M$3:$N$18,2,FALSE)&amp;$BB$3&amp;K392&amp;$BD$3,"")</f>
        <v/>
      </c>
    </row>
    <row r="391" spans="54:58" x14ac:dyDescent="0.15">
      <c r="BB391" s="26" t="str">
        <f>IFERROR($BC$3&amp;VLOOKUP(B393,'Pay Table'!$M$3:$N$18,2,FALSE)&amp;$BB$3&amp;C393&amp;$BD$3,"")</f>
        <v/>
      </c>
      <c r="BC391" s="1" t="str">
        <f>IFERROR($BC$3&amp;VLOOKUP(D393,'Pay Table'!$M$3:$N$18,2,FALSE)&amp;$BB$3&amp;E393&amp;$BD$3,"")</f>
        <v/>
      </c>
      <c r="BD391" s="1" t="str">
        <f>IFERROR($BC$3&amp;VLOOKUP(F393,'Pay Table'!$M$3:$N$18,2,FALSE)&amp;$BB$3&amp;G393&amp;$BD$3,"")</f>
        <v/>
      </c>
      <c r="BE391" s="1" t="str">
        <f>IFERROR($BC$3&amp;VLOOKUP(H393,'Pay Table'!$M$3:$N$18,2,FALSE)&amp;$BB$3&amp;I393&amp;$BD$3,"")</f>
        <v/>
      </c>
      <c r="BF391" s="27" t="str">
        <f>IFERROR($BC$3&amp;VLOOKUP(J393,'Pay Table'!$M$3:$N$18,2,FALSE)&amp;$BB$3&amp;K393&amp;$BD$3,"")</f>
        <v/>
      </c>
    </row>
    <row r="392" spans="54:58" x14ac:dyDescent="0.15">
      <c r="BB392" s="26" t="str">
        <f>IFERROR($BC$3&amp;VLOOKUP(B394,'Pay Table'!$M$3:$N$18,2,FALSE)&amp;$BB$3&amp;C394&amp;$BD$3,"")</f>
        <v/>
      </c>
      <c r="BC392" s="1" t="str">
        <f>IFERROR($BC$3&amp;VLOOKUP(D394,'Pay Table'!$M$3:$N$18,2,FALSE)&amp;$BB$3&amp;E394&amp;$BD$3,"")</f>
        <v/>
      </c>
      <c r="BD392" s="1" t="str">
        <f>IFERROR($BC$3&amp;VLOOKUP(F394,'Pay Table'!$M$3:$N$18,2,FALSE)&amp;$BB$3&amp;G394&amp;$BD$3,"")</f>
        <v/>
      </c>
      <c r="BE392" s="1" t="str">
        <f>IFERROR($BC$3&amp;VLOOKUP(H394,'Pay Table'!$M$3:$N$18,2,FALSE)&amp;$BB$3&amp;I394&amp;$BD$3,"")</f>
        <v/>
      </c>
      <c r="BF392" s="27" t="str">
        <f>IFERROR($BC$3&amp;VLOOKUP(J394,'Pay Table'!$M$3:$N$18,2,FALSE)&amp;$BB$3&amp;K394&amp;$BD$3,"")</f>
        <v/>
      </c>
    </row>
    <row r="393" spans="54:58" x14ac:dyDescent="0.15">
      <c r="BB393" s="26" t="str">
        <f>IFERROR($BC$3&amp;VLOOKUP(B395,'Pay Table'!$M$3:$N$18,2,FALSE)&amp;$BB$3&amp;C395&amp;$BD$3,"")</f>
        <v/>
      </c>
      <c r="BC393" s="1" t="str">
        <f>IFERROR($BC$3&amp;VLOOKUP(D395,'Pay Table'!$M$3:$N$18,2,FALSE)&amp;$BB$3&amp;E395&amp;$BD$3,"")</f>
        <v/>
      </c>
      <c r="BD393" s="1" t="str">
        <f>IFERROR($BC$3&amp;VLOOKUP(F395,'Pay Table'!$M$3:$N$18,2,FALSE)&amp;$BB$3&amp;G395&amp;$BD$3,"")</f>
        <v/>
      </c>
      <c r="BE393" s="1" t="str">
        <f>IFERROR($BC$3&amp;VLOOKUP(H395,'Pay Table'!$M$3:$N$18,2,FALSE)&amp;$BB$3&amp;I395&amp;$BD$3,"")</f>
        <v/>
      </c>
      <c r="BF393" s="27" t="str">
        <f>IFERROR($BC$3&amp;VLOOKUP(J395,'Pay Table'!$M$3:$N$18,2,FALSE)&amp;$BB$3&amp;K395&amp;$BD$3,"")</f>
        <v/>
      </c>
    </row>
    <row r="394" spans="54:58" x14ac:dyDescent="0.15">
      <c r="BB394" s="26" t="str">
        <f>IFERROR($BC$3&amp;VLOOKUP(B396,'Pay Table'!$M$3:$N$18,2,FALSE)&amp;$BB$3&amp;C396&amp;$BD$3,"")</f>
        <v/>
      </c>
      <c r="BC394" s="1" t="str">
        <f>IFERROR($BC$3&amp;VLOOKUP(D396,'Pay Table'!$M$3:$N$18,2,FALSE)&amp;$BB$3&amp;E396&amp;$BD$3,"")</f>
        <v/>
      </c>
      <c r="BD394" s="1" t="str">
        <f>IFERROR($BC$3&amp;VLOOKUP(F396,'Pay Table'!$M$3:$N$18,2,FALSE)&amp;$BB$3&amp;G396&amp;$BD$3,"")</f>
        <v/>
      </c>
      <c r="BE394" s="1" t="str">
        <f>IFERROR($BC$3&amp;VLOOKUP(H396,'Pay Table'!$M$3:$N$18,2,FALSE)&amp;$BB$3&amp;I396&amp;$BD$3,"")</f>
        <v/>
      </c>
      <c r="BF394" s="27" t="str">
        <f>IFERROR($BC$3&amp;VLOOKUP(J396,'Pay Table'!$M$3:$N$18,2,FALSE)&amp;$BB$3&amp;K396&amp;$BD$3,"")</f>
        <v/>
      </c>
    </row>
    <row r="395" spans="54:58" x14ac:dyDescent="0.15">
      <c r="BB395" s="26" t="str">
        <f>IFERROR($BC$3&amp;VLOOKUP(B397,'Pay Table'!$M$3:$N$18,2,FALSE)&amp;$BB$3&amp;C397&amp;$BD$3,"")</f>
        <v/>
      </c>
      <c r="BC395" s="1" t="str">
        <f>IFERROR($BC$3&amp;VLOOKUP(D397,'Pay Table'!$M$3:$N$18,2,FALSE)&amp;$BB$3&amp;E397&amp;$BD$3,"")</f>
        <v/>
      </c>
      <c r="BD395" s="1" t="str">
        <f>IFERROR($BC$3&amp;VLOOKUP(F397,'Pay Table'!$M$3:$N$18,2,FALSE)&amp;$BB$3&amp;G397&amp;$BD$3,"")</f>
        <v/>
      </c>
      <c r="BE395" s="1" t="str">
        <f>IFERROR($BC$3&amp;VLOOKUP(H397,'Pay Table'!$M$3:$N$18,2,FALSE)&amp;$BB$3&amp;I397&amp;$BD$3,"")</f>
        <v/>
      </c>
      <c r="BF395" s="27" t="str">
        <f>IFERROR($BC$3&amp;VLOOKUP(J397,'Pay Table'!$M$3:$N$18,2,FALSE)&amp;$BB$3&amp;K397&amp;$BD$3,"")</f>
        <v/>
      </c>
    </row>
    <row r="396" spans="54:58" x14ac:dyDescent="0.15">
      <c r="BB396" s="26" t="str">
        <f>IFERROR($BC$3&amp;VLOOKUP(B398,'Pay Table'!$M$3:$N$18,2,FALSE)&amp;$BB$3&amp;C398&amp;$BD$3,"")</f>
        <v/>
      </c>
      <c r="BC396" s="1" t="str">
        <f>IFERROR($BC$3&amp;VLOOKUP(D398,'Pay Table'!$M$3:$N$18,2,FALSE)&amp;$BB$3&amp;E398&amp;$BD$3,"")</f>
        <v/>
      </c>
      <c r="BD396" s="1" t="str">
        <f>IFERROR($BC$3&amp;VLOOKUP(F398,'Pay Table'!$M$3:$N$18,2,FALSE)&amp;$BB$3&amp;G398&amp;$BD$3,"")</f>
        <v/>
      </c>
      <c r="BE396" s="1" t="str">
        <f>IFERROR($BC$3&amp;VLOOKUP(H398,'Pay Table'!$M$3:$N$18,2,FALSE)&amp;$BB$3&amp;I398&amp;$BD$3,"")</f>
        <v/>
      </c>
      <c r="BF396" s="27" t="str">
        <f>IFERROR($BC$3&amp;VLOOKUP(J398,'Pay Table'!$M$3:$N$18,2,FALSE)&amp;$BB$3&amp;K398&amp;$BD$3,"")</f>
        <v/>
      </c>
    </row>
    <row r="397" spans="54:58" x14ac:dyDescent="0.15">
      <c r="BB397" s="26" t="str">
        <f>IFERROR($BC$3&amp;VLOOKUP(B399,'Pay Table'!$M$3:$N$18,2,FALSE)&amp;$BB$3&amp;C399&amp;$BD$3,"")</f>
        <v/>
      </c>
      <c r="BC397" s="1" t="str">
        <f>IFERROR($BC$3&amp;VLOOKUP(D399,'Pay Table'!$M$3:$N$18,2,FALSE)&amp;$BB$3&amp;E399&amp;$BD$3,"")</f>
        <v/>
      </c>
      <c r="BD397" s="1" t="str">
        <f>IFERROR($BC$3&amp;VLOOKUP(F399,'Pay Table'!$M$3:$N$18,2,FALSE)&amp;$BB$3&amp;G399&amp;$BD$3,"")</f>
        <v/>
      </c>
      <c r="BE397" s="1" t="str">
        <f>IFERROR($BC$3&amp;VLOOKUP(H399,'Pay Table'!$M$3:$N$18,2,FALSE)&amp;$BB$3&amp;I399&amp;$BD$3,"")</f>
        <v/>
      </c>
      <c r="BF397" s="27" t="str">
        <f>IFERROR($BC$3&amp;VLOOKUP(J399,'Pay Table'!$M$3:$N$18,2,FALSE)&amp;$BB$3&amp;K399&amp;$BD$3,"")</f>
        <v/>
      </c>
    </row>
    <row r="398" spans="54:58" x14ac:dyDescent="0.15">
      <c r="BB398" s="26" t="str">
        <f>IFERROR($BC$3&amp;VLOOKUP(B400,'Pay Table'!$M$3:$N$18,2,FALSE)&amp;$BB$3&amp;C400&amp;$BD$3,"")</f>
        <v/>
      </c>
      <c r="BC398" s="1" t="str">
        <f>IFERROR($BC$3&amp;VLOOKUP(D400,'Pay Table'!$M$3:$N$18,2,FALSE)&amp;$BB$3&amp;E400&amp;$BD$3,"")</f>
        <v/>
      </c>
      <c r="BD398" s="1" t="str">
        <f>IFERROR($BC$3&amp;VLOOKUP(F400,'Pay Table'!$M$3:$N$18,2,FALSE)&amp;$BB$3&amp;G400&amp;$BD$3,"")</f>
        <v/>
      </c>
      <c r="BE398" s="1" t="str">
        <f>IFERROR($BC$3&amp;VLOOKUP(H400,'Pay Table'!$M$3:$N$18,2,FALSE)&amp;$BB$3&amp;I400&amp;$BD$3,"")</f>
        <v/>
      </c>
      <c r="BF398" s="27" t="str">
        <f>IFERROR($BC$3&amp;VLOOKUP(J400,'Pay Table'!$M$3:$N$18,2,FALSE)&amp;$BB$3&amp;K400&amp;$BD$3,"")</f>
        <v/>
      </c>
    </row>
    <row r="399" spans="54:58" x14ac:dyDescent="0.15">
      <c r="BB399" s="26" t="str">
        <f>IFERROR($BC$3&amp;VLOOKUP(B401,'Pay Table'!$M$3:$N$18,2,FALSE)&amp;$BB$3&amp;C401&amp;$BD$3,"")</f>
        <v/>
      </c>
      <c r="BC399" s="1" t="str">
        <f>IFERROR($BC$3&amp;VLOOKUP(D401,'Pay Table'!$M$3:$N$18,2,FALSE)&amp;$BB$3&amp;E401&amp;$BD$3,"")</f>
        <v/>
      </c>
      <c r="BD399" s="1" t="str">
        <f>IFERROR($BC$3&amp;VLOOKUP(F401,'Pay Table'!$M$3:$N$18,2,FALSE)&amp;$BB$3&amp;G401&amp;$BD$3,"")</f>
        <v/>
      </c>
      <c r="BE399" s="1" t="str">
        <f>IFERROR($BC$3&amp;VLOOKUP(H401,'Pay Table'!$M$3:$N$18,2,FALSE)&amp;$BB$3&amp;I401&amp;$BD$3,"")</f>
        <v/>
      </c>
      <c r="BF399" s="27" t="str">
        <f>IFERROR($BC$3&amp;VLOOKUP(J401,'Pay Table'!$M$3:$N$18,2,FALSE)&amp;$BB$3&amp;K401&amp;$BD$3,"")</f>
        <v/>
      </c>
    </row>
    <row r="400" spans="54:58" x14ac:dyDescent="0.15">
      <c r="BB400" s="26" t="str">
        <f>IFERROR($BC$3&amp;VLOOKUP(B402,'Pay Table'!$M$3:$N$18,2,FALSE)&amp;$BB$3&amp;C402&amp;$BD$3,"")</f>
        <v/>
      </c>
      <c r="BC400" s="1" t="str">
        <f>IFERROR($BC$3&amp;VLOOKUP(D402,'Pay Table'!$M$3:$N$18,2,FALSE)&amp;$BB$3&amp;E402&amp;$BD$3,"")</f>
        <v/>
      </c>
      <c r="BD400" s="1" t="str">
        <f>IFERROR($BC$3&amp;VLOOKUP(F402,'Pay Table'!$M$3:$N$18,2,FALSE)&amp;$BB$3&amp;G402&amp;$BD$3,"")</f>
        <v/>
      </c>
      <c r="BE400" s="1" t="str">
        <f>IFERROR($BC$3&amp;VLOOKUP(H402,'Pay Table'!$M$3:$N$18,2,FALSE)&amp;$BB$3&amp;I402&amp;$BD$3,"")</f>
        <v/>
      </c>
      <c r="BF400" s="27" t="str">
        <f>IFERROR($BC$3&amp;VLOOKUP(J402,'Pay Table'!$M$3:$N$18,2,FALSE)&amp;$BB$3&amp;K402&amp;$BD$3,"")</f>
        <v/>
      </c>
    </row>
    <row r="401" spans="54:58" x14ac:dyDescent="0.15">
      <c r="BB401" s="26" t="str">
        <f>IFERROR($BC$3&amp;VLOOKUP(B403,'Pay Table'!$M$3:$N$18,2,FALSE)&amp;$BB$3&amp;C403&amp;$BD$3,"")</f>
        <v/>
      </c>
      <c r="BC401" s="1" t="str">
        <f>IFERROR($BC$3&amp;VLOOKUP(D403,'Pay Table'!$M$3:$N$18,2,FALSE)&amp;$BB$3&amp;E403&amp;$BD$3,"")</f>
        <v/>
      </c>
      <c r="BD401" s="1" t="str">
        <f>IFERROR($BC$3&amp;VLOOKUP(F403,'Pay Table'!$M$3:$N$18,2,FALSE)&amp;$BB$3&amp;G403&amp;$BD$3,"")</f>
        <v/>
      </c>
      <c r="BE401" s="1" t="str">
        <f>IFERROR($BC$3&amp;VLOOKUP(H403,'Pay Table'!$M$3:$N$18,2,FALSE)&amp;$BB$3&amp;I403&amp;$BD$3,"")</f>
        <v/>
      </c>
      <c r="BF401" s="27" t="str">
        <f>IFERROR($BC$3&amp;VLOOKUP(J403,'Pay Table'!$M$3:$N$18,2,FALSE)&amp;$BB$3&amp;K403&amp;$BD$3,"")</f>
        <v/>
      </c>
    </row>
    <row r="402" spans="54:58" x14ac:dyDescent="0.15">
      <c r="BB402" s="26" t="str">
        <f>IFERROR($BC$3&amp;VLOOKUP(B404,'Pay Table'!$M$3:$N$18,2,FALSE)&amp;$BB$3&amp;C404&amp;$BD$3,"")</f>
        <v/>
      </c>
      <c r="BC402" s="1" t="str">
        <f>IFERROR($BC$3&amp;VLOOKUP(D404,'Pay Table'!$M$3:$N$18,2,FALSE)&amp;$BB$3&amp;E404&amp;$BD$3,"")</f>
        <v/>
      </c>
      <c r="BD402" s="1" t="str">
        <f>IFERROR($BC$3&amp;VLOOKUP(F404,'Pay Table'!$M$3:$N$18,2,FALSE)&amp;$BB$3&amp;G404&amp;$BD$3,"")</f>
        <v/>
      </c>
      <c r="BE402" s="1" t="str">
        <f>IFERROR($BC$3&amp;VLOOKUP(H404,'Pay Table'!$M$3:$N$18,2,FALSE)&amp;$BB$3&amp;I404&amp;$BD$3,"")</f>
        <v/>
      </c>
      <c r="BF402" s="27" t="str">
        <f>IFERROR($BC$3&amp;VLOOKUP(J404,'Pay Table'!$M$3:$N$18,2,FALSE)&amp;$BB$3&amp;K404&amp;$BD$3,"")</f>
        <v/>
      </c>
    </row>
    <row r="403" spans="54:58" x14ac:dyDescent="0.15">
      <c r="BB403" s="26" t="str">
        <f>IFERROR($BC$3&amp;VLOOKUP(B405,'Pay Table'!$M$3:$N$18,2,FALSE)&amp;$BB$3&amp;C405&amp;$BD$3,"")</f>
        <v/>
      </c>
      <c r="BC403" s="1" t="str">
        <f>IFERROR($BC$3&amp;VLOOKUP(D405,'Pay Table'!$M$3:$N$18,2,FALSE)&amp;$BB$3&amp;E405&amp;$BD$3,"")</f>
        <v/>
      </c>
      <c r="BD403" s="1" t="str">
        <f>IFERROR($BC$3&amp;VLOOKUP(F405,'Pay Table'!$M$3:$N$18,2,FALSE)&amp;$BB$3&amp;G405&amp;$BD$3,"")</f>
        <v/>
      </c>
      <c r="BE403" s="1" t="str">
        <f>IFERROR($BC$3&amp;VLOOKUP(H405,'Pay Table'!$M$3:$N$18,2,FALSE)&amp;$BB$3&amp;I405&amp;$BD$3,"")</f>
        <v/>
      </c>
      <c r="BF403" s="27" t="str">
        <f>IFERROR($BC$3&amp;VLOOKUP(J405,'Pay Table'!$M$3:$N$18,2,FALSE)&amp;$BB$3&amp;K405&amp;$BD$3,"")</f>
        <v/>
      </c>
    </row>
    <row r="404" spans="54:58" x14ac:dyDescent="0.15">
      <c r="BB404" s="26" t="str">
        <f>IFERROR($BC$3&amp;VLOOKUP(B406,'Pay Table'!$M$3:$N$18,2,FALSE)&amp;$BB$3&amp;C406&amp;$BD$3,"")</f>
        <v/>
      </c>
      <c r="BC404" s="1" t="str">
        <f>IFERROR($BC$3&amp;VLOOKUP(D406,'Pay Table'!$M$3:$N$18,2,FALSE)&amp;$BB$3&amp;E406&amp;$BD$3,"")</f>
        <v/>
      </c>
      <c r="BD404" s="1" t="str">
        <f>IFERROR($BC$3&amp;VLOOKUP(F406,'Pay Table'!$M$3:$N$18,2,FALSE)&amp;$BB$3&amp;G406&amp;$BD$3,"")</f>
        <v/>
      </c>
      <c r="BE404" s="1" t="str">
        <f>IFERROR($BC$3&amp;VLOOKUP(H406,'Pay Table'!$M$3:$N$18,2,FALSE)&amp;$BB$3&amp;I406&amp;$BD$3,"")</f>
        <v/>
      </c>
      <c r="BF404" s="27" t="str">
        <f>IFERROR($BC$3&amp;VLOOKUP(J406,'Pay Table'!$M$3:$N$18,2,FALSE)&amp;$BB$3&amp;K406&amp;$BD$3,"")</f>
        <v/>
      </c>
    </row>
    <row r="405" spans="54:58" x14ac:dyDescent="0.15">
      <c r="BB405" s="26" t="str">
        <f>IFERROR($BC$3&amp;VLOOKUP(B407,'Pay Table'!$M$3:$N$18,2,FALSE)&amp;$BB$3&amp;C407&amp;$BD$3,"")</f>
        <v/>
      </c>
      <c r="BC405" s="1" t="str">
        <f>IFERROR($BC$3&amp;VLOOKUP(D407,'Pay Table'!$M$3:$N$18,2,FALSE)&amp;$BB$3&amp;E407&amp;$BD$3,"")</f>
        <v/>
      </c>
      <c r="BD405" s="1" t="str">
        <f>IFERROR($BC$3&amp;VLOOKUP(F407,'Pay Table'!$M$3:$N$18,2,FALSE)&amp;$BB$3&amp;G407&amp;$BD$3,"")</f>
        <v/>
      </c>
      <c r="BE405" s="1" t="str">
        <f>IFERROR($BC$3&amp;VLOOKUP(H407,'Pay Table'!$M$3:$N$18,2,FALSE)&amp;$BB$3&amp;I407&amp;$BD$3,"")</f>
        <v/>
      </c>
      <c r="BF405" s="27" t="str">
        <f>IFERROR($BC$3&amp;VLOOKUP(J407,'Pay Table'!$M$3:$N$18,2,FALSE)&amp;$BB$3&amp;K407&amp;$BD$3,"")</f>
        <v/>
      </c>
    </row>
    <row r="406" spans="54:58" x14ac:dyDescent="0.15">
      <c r="BB406" s="26" t="str">
        <f>IFERROR($BC$3&amp;VLOOKUP(B408,'Pay Table'!$M$3:$N$18,2,FALSE)&amp;$BB$3&amp;C408&amp;$BD$3,"")</f>
        <v/>
      </c>
      <c r="BC406" s="1" t="str">
        <f>IFERROR($BC$3&amp;VLOOKUP(D408,'Pay Table'!$M$3:$N$18,2,FALSE)&amp;$BB$3&amp;E408&amp;$BD$3,"")</f>
        <v/>
      </c>
      <c r="BD406" s="1" t="str">
        <f>IFERROR($BC$3&amp;VLOOKUP(F408,'Pay Table'!$M$3:$N$18,2,FALSE)&amp;$BB$3&amp;G408&amp;$BD$3,"")</f>
        <v/>
      </c>
      <c r="BE406" s="1" t="str">
        <f>IFERROR($BC$3&amp;VLOOKUP(H408,'Pay Table'!$M$3:$N$18,2,FALSE)&amp;$BB$3&amp;I408&amp;$BD$3,"")</f>
        <v/>
      </c>
      <c r="BF406" s="27" t="str">
        <f>IFERROR($BC$3&amp;VLOOKUP(J408,'Pay Table'!$M$3:$N$18,2,FALSE)&amp;$BB$3&amp;K408&amp;$BD$3,"")</f>
        <v/>
      </c>
    </row>
    <row r="407" spans="54:58" x14ac:dyDescent="0.15">
      <c r="BB407" s="26" t="str">
        <f>IFERROR($BC$3&amp;VLOOKUP(B409,'Pay Table'!$M$3:$N$18,2,FALSE)&amp;$BB$3&amp;C409&amp;$BD$3,"")</f>
        <v/>
      </c>
      <c r="BC407" s="1" t="str">
        <f>IFERROR($BC$3&amp;VLOOKUP(D409,'Pay Table'!$M$3:$N$18,2,FALSE)&amp;$BB$3&amp;E409&amp;$BD$3,"")</f>
        <v/>
      </c>
      <c r="BD407" s="1" t="str">
        <f>IFERROR($BC$3&amp;VLOOKUP(F409,'Pay Table'!$M$3:$N$18,2,FALSE)&amp;$BB$3&amp;G409&amp;$BD$3,"")</f>
        <v/>
      </c>
      <c r="BE407" s="1" t="str">
        <f>IFERROR($BC$3&amp;VLOOKUP(H409,'Pay Table'!$M$3:$N$18,2,FALSE)&amp;$BB$3&amp;I409&amp;$BD$3,"")</f>
        <v/>
      </c>
      <c r="BF407" s="27" t="str">
        <f>IFERROR($BC$3&amp;VLOOKUP(J409,'Pay Table'!$M$3:$N$18,2,FALSE)&amp;$BB$3&amp;K409&amp;$BD$3,"")</f>
        <v/>
      </c>
    </row>
    <row r="408" spans="54:58" x14ac:dyDescent="0.15">
      <c r="BB408" s="26" t="str">
        <f>IFERROR($BC$3&amp;VLOOKUP(B410,'Pay Table'!$M$3:$N$18,2,FALSE)&amp;$BB$3&amp;C410&amp;$BD$3,"")</f>
        <v/>
      </c>
      <c r="BC408" s="1" t="str">
        <f>IFERROR($BC$3&amp;VLOOKUP(D410,'Pay Table'!$M$3:$N$18,2,FALSE)&amp;$BB$3&amp;E410&amp;$BD$3,"")</f>
        <v/>
      </c>
      <c r="BD408" s="1" t="str">
        <f>IFERROR($BC$3&amp;VLOOKUP(F410,'Pay Table'!$M$3:$N$18,2,FALSE)&amp;$BB$3&amp;G410&amp;$BD$3,"")</f>
        <v/>
      </c>
      <c r="BE408" s="1" t="str">
        <f>IFERROR($BC$3&amp;VLOOKUP(H410,'Pay Table'!$M$3:$N$18,2,FALSE)&amp;$BB$3&amp;I410&amp;$BD$3,"")</f>
        <v/>
      </c>
      <c r="BF408" s="27" t="str">
        <f>IFERROR($BC$3&amp;VLOOKUP(J410,'Pay Table'!$M$3:$N$18,2,FALSE)&amp;$BB$3&amp;K410&amp;$BD$3,"")</f>
        <v/>
      </c>
    </row>
    <row r="409" spans="54:58" x14ac:dyDescent="0.15">
      <c r="BB409" s="26" t="str">
        <f>IFERROR($BC$3&amp;VLOOKUP(B411,'Pay Table'!$M$3:$N$18,2,FALSE)&amp;$BB$3&amp;C411&amp;$BD$3,"")</f>
        <v/>
      </c>
      <c r="BC409" s="1" t="str">
        <f>IFERROR($BC$3&amp;VLOOKUP(D411,'Pay Table'!$M$3:$N$18,2,FALSE)&amp;$BB$3&amp;E411&amp;$BD$3,"")</f>
        <v/>
      </c>
      <c r="BD409" s="1" t="str">
        <f>IFERROR($BC$3&amp;VLOOKUP(F411,'Pay Table'!$M$3:$N$18,2,FALSE)&amp;$BB$3&amp;G411&amp;$BD$3,"")</f>
        <v/>
      </c>
      <c r="BE409" s="1" t="str">
        <f>IFERROR($BC$3&amp;VLOOKUP(H411,'Pay Table'!$M$3:$N$18,2,FALSE)&amp;$BB$3&amp;I411&amp;$BD$3,"")</f>
        <v/>
      </c>
      <c r="BF409" s="27" t="str">
        <f>IFERROR($BC$3&amp;VLOOKUP(J411,'Pay Table'!$M$3:$N$18,2,FALSE)&amp;$BB$3&amp;K411&amp;$BD$3,"")</f>
        <v/>
      </c>
    </row>
    <row r="410" spans="54:58" x14ac:dyDescent="0.15">
      <c r="BB410" s="26" t="str">
        <f>IFERROR($BC$3&amp;VLOOKUP(B412,'Pay Table'!$M$3:$N$18,2,FALSE)&amp;$BB$3&amp;C412&amp;$BD$3,"")</f>
        <v/>
      </c>
      <c r="BC410" s="1" t="str">
        <f>IFERROR($BC$3&amp;VLOOKUP(D412,'Pay Table'!$M$3:$N$18,2,FALSE)&amp;$BB$3&amp;E412&amp;$BD$3,"")</f>
        <v/>
      </c>
      <c r="BD410" s="1" t="str">
        <f>IFERROR($BC$3&amp;VLOOKUP(F412,'Pay Table'!$M$3:$N$18,2,FALSE)&amp;$BB$3&amp;G412&amp;$BD$3,"")</f>
        <v/>
      </c>
      <c r="BE410" s="1" t="str">
        <f>IFERROR($BC$3&amp;VLOOKUP(H412,'Pay Table'!$M$3:$N$18,2,FALSE)&amp;$BB$3&amp;I412&amp;$BD$3,"")</f>
        <v/>
      </c>
      <c r="BF410" s="27" t="str">
        <f>IFERROR($BC$3&amp;VLOOKUP(J412,'Pay Table'!$M$3:$N$18,2,FALSE)&amp;$BB$3&amp;K412&amp;$BD$3,"")</f>
        <v/>
      </c>
    </row>
    <row r="411" spans="54:58" x14ac:dyDescent="0.15">
      <c r="BB411" s="26" t="str">
        <f>IFERROR($BC$3&amp;VLOOKUP(B413,'Pay Table'!$M$3:$N$18,2,FALSE)&amp;$BB$3&amp;C413&amp;$BD$3,"")</f>
        <v/>
      </c>
      <c r="BC411" s="1" t="str">
        <f>IFERROR($BC$3&amp;VLOOKUP(D413,'Pay Table'!$M$3:$N$18,2,FALSE)&amp;$BB$3&amp;E413&amp;$BD$3,"")</f>
        <v/>
      </c>
      <c r="BD411" s="1" t="str">
        <f>IFERROR($BC$3&amp;VLOOKUP(F413,'Pay Table'!$M$3:$N$18,2,FALSE)&amp;$BB$3&amp;G413&amp;$BD$3,"")</f>
        <v/>
      </c>
      <c r="BE411" s="1" t="str">
        <f>IFERROR($BC$3&amp;VLOOKUP(H413,'Pay Table'!$M$3:$N$18,2,FALSE)&amp;$BB$3&amp;I413&amp;$BD$3,"")</f>
        <v/>
      </c>
      <c r="BF411" s="27" t="str">
        <f>IFERROR($BC$3&amp;VLOOKUP(J413,'Pay Table'!$M$3:$N$18,2,FALSE)&amp;$BB$3&amp;K413&amp;$BD$3,"")</f>
        <v/>
      </c>
    </row>
    <row r="412" spans="54:58" x14ac:dyDescent="0.15">
      <c r="BB412" s="26" t="str">
        <f>IFERROR($BC$3&amp;VLOOKUP(B414,'Pay Table'!$M$3:$N$18,2,FALSE)&amp;$BB$3&amp;C414&amp;$BD$3,"")</f>
        <v/>
      </c>
      <c r="BC412" s="1" t="str">
        <f>IFERROR($BC$3&amp;VLOOKUP(D414,'Pay Table'!$M$3:$N$18,2,FALSE)&amp;$BB$3&amp;E414&amp;$BD$3,"")</f>
        <v/>
      </c>
      <c r="BD412" s="1" t="str">
        <f>IFERROR($BC$3&amp;VLOOKUP(F414,'Pay Table'!$M$3:$N$18,2,FALSE)&amp;$BB$3&amp;G414&amp;$BD$3,"")</f>
        <v/>
      </c>
      <c r="BE412" s="1" t="str">
        <f>IFERROR($BC$3&amp;VLOOKUP(H414,'Pay Table'!$M$3:$N$18,2,FALSE)&amp;$BB$3&amp;I414&amp;$BD$3,"")</f>
        <v/>
      </c>
      <c r="BF412" s="27" t="str">
        <f>IFERROR($BC$3&amp;VLOOKUP(J414,'Pay Table'!$M$3:$N$18,2,FALSE)&amp;$BB$3&amp;K414&amp;$BD$3,"")</f>
        <v/>
      </c>
    </row>
    <row r="413" spans="54:58" x14ac:dyDescent="0.15">
      <c r="BB413" s="26" t="str">
        <f>IFERROR($BC$3&amp;VLOOKUP(B415,'Pay Table'!$M$3:$N$18,2,FALSE)&amp;$BB$3&amp;C415&amp;$BD$3,"")</f>
        <v/>
      </c>
      <c r="BC413" s="1" t="str">
        <f>IFERROR($BC$3&amp;VLOOKUP(D415,'Pay Table'!$M$3:$N$18,2,FALSE)&amp;$BB$3&amp;E415&amp;$BD$3,"")</f>
        <v/>
      </c>
      <c r="BD413" s="1" t="str">
        <f>IFERROR($BC$3&amp;VLOOKUP(F415,'Pay Table'!$M$3:$N$18,2,FALSE)&amp;$BB$3&amp;G415&amp;$BD$3,"")</f>
        <v/>
      </c>
      <c r="BE413" s="1" t="str">
        <f>IFERROR($BC$3&amp;VLOOKUP(H415,'Pay Table'!$M$3:$N$18,2,FALSE)&amp;$BB$3&amp;I415&amp;$BD$3,"")</f>
        <v/>
      </c>
      <c r="BF413" s="27" t="str">
        <f>IFERROR($BC$3&amp;VLOOKUP(J415,'Pay Table'!$M$3:$N$18,2,FALSE)&amp;$BB$3&amp;K415&amp;$BD$3,"")</f>
        <v/>
      </c>
    </row>
    <row r="414" spans="54:58" x14ac:dyDescent="0.15">
      <c r="BB414" s="26" t="str">
        <f>IFERROR($BC$3&amp;VLOOKUP(B416,'Pay Table'!$M$3:$N$18,2,FALSE)&amp;$BB$3&amp;C416&amp;$BD$3,"")</f>
        <v/>
      </c>
      <c r="BC414" s="1" t="str">
        <f>IFERROR($BC$3&amp;VLOOKUP(D416,'Pay Table'!$M$3:$N$18,2,FALSE)&amp;$BB$3&amp;E416&amp;$BD$3,"")</f>
        <v/>
      </c>
      <c r="BD414" s="1" t="str">
        <f>IFERROR($BC$3&amp;VLOOKUP(F416,'Pay Table'!$M$3:$N$18,2,FALSE)&amp;$BB$3&amp;G416&amp;$BD$3,"")</f>
        <v/>
      </c>
      <c r="BE414" s="1" t="str">
        <f>IFERROR($BC$3&amp;VLOOKUP(H416,'Pay Table'!$M$3:$N$18,2,FALSE)&amp;$BB$3&amp;I416&amp;$BD$3,"")</f>
        <v/>
      </c>
      <c r="BF414" s="27" t="str">
        <f>IFERROR($BC$3&amp;VLOOKUP(J416,'Pay Table'!$M$3:$N$18,2,FALSE)&amp;$BB$3&amp;K416&amp;$BD$3,"")</f>
        <v/>
      </c>
    </row>
    <row r="415" spans="54:58" x14ac:dyDescent="0.15">
      <c r="BB415" s="26" t="str">
        <f>IFERROR($BC$3&amp;VLOOKUP(B417,'Pay Table'!$M$3:$N$18,2,FALSE)&amp;$BB$3&amp;C417&amp;$BD$3,"")</f>
        <v/>
      </c>
      <c r="BC415" s="1" t="str">
        <f>IFERROR($BC$3&amp;VLOOKUP(D417,'Pay Table'!$M$3:$N$18,2,FALSE)&amp;$BB$3&amp;E417&amp;$BD$3,"")</f>
        <v/>
      </c>
      <c r="BD415" s="1" t="str">
        <f>IFERROR($BC$3&amp;VLOOKUP(F417,'Pay Table'!$M$3:$N$18,2,FALSE)&amp;$BB$3&amp;G417&amp;$BD$3,"")</f>
        <v/>
      </c>
      <c r="BE415" s="1" t="str">
        <f>IFERROR($BC$3&amp;VLOOKUP(H417,'Pay Table'!$M$3:$N$18,2,FALSE)&amp;$BB$3&amp;I417&amp;$BD$3,"")</f>
        <v/>
      </c>
      <c r="BF415" s="27" t="str">
        <f>IFERROR($BC$3&amp;VLOOKUP(J417,'Pay Table'!$M$3:$N$18,2,FALSE)&amp;$BB$3&amp;K417&amp;$BD$3,"")</f>
        <v/>
      </c>
    </row>
    <row r="416" spans="54:58" x14ac:dyDescent="0.15">
      <c r="BB416" s="26" t="str">
        <f>IFERROR($BC$3&amp;VLOOKUP(B418,'Pay Table'!$M$3:$N$18,2,FALSE)&amp;$BB$3&amp;C418&amp;$BD$3,"")</f>
        <v/>
      </c>
      <c r="BC416" s="1" t="str">
        <f>IFERROR($BC$3&amp;VLOOKUP(D418,'Pay Table'!$M$3:$N$18,2,FALSE)&amp;$BB$3&amp;E418&amp;$BD$3,"")</f>
        <v/>
      </c>
      <c r="BD416" s="1" t="str">
        <f>IFERROR($BC$3&amp;VLOOKUP(F418,'Pay Table'!$M$3:$N$18,2,FALSE)&amp;$BB$3&amp;G418&amp;$BD$3,"")</f>
        <v/>
      </c>
      <c r="BE416" s="1" t="str">
        <f>IFERROR($BC$3&amp;VLOOKUP(H418,'Pay Table'!$M$3:$N$18,2,FALSE)&amp;$BB$3&amp;I418&amp;$BD$3,"")</f>
        <v/>
      </c>
      <c r="BF416" s="27" t="str">
        <f>IFERROR($BC$3&amp;VLOOKUP(J418,'Pay Table'!$M$3:$N$18,2,FALSE)&amp;$BB$3&amp;K418&amp;$BD$3,"")</f>
        <v/>
      </c>
    </row>
    <row r="417" spans="54:58" x14ac:dyDescent="0.15">
      <c r="BB417" s="26" t="str">
        <f>IFERROR($BC$3&amp;VLOOKUP(B419,'Pay Table'!$M$3:$N$18,2,FALSE)&amp;$BB$3&amp;C419&amp;$BD$3,"")</f>
        <v/>
      </c>
      <c r="BC417" s="1" t="str">
        <f>IFERROR($BC$3&amp;VLOOKUP(D419,'Pay Table'!$M$3:$N$18,2,FALSE)&amp;$BB$3&amp;E419&amp;$BD$3,"")</f>
        <v/>
      </c>
      <c r="BD417" s="1" t="str">
        <f>IFERROR($BC$3&amp;VLOOKUP(F419,'Pay Table'!$M$3:$N$18,2,FALSE)&amp;$BB$3&amp;G419&amp;$BD$3,"")</f>
        <v/>
      </c>
      <c r="BE417" s="1" t="str">
        <f>IFERROR($BC$3&amp;VLOOKUP(H419,'Pay Table'!$M$3:$N$18,2,FALSE)&amp;$BB$3&amp;I419&amp;$BD$3,"")</f>
        <v/>
      </c>
      <c r="BF417" s="27" t="str">
        <f>IFERROR($BC$3&amp;VLOOKUP(J419,'Pay Table'!$M$3:$N$18,2,FALSE)&amp;$BB$3&amp;K419&amp;$BD$3,"")</f>
        <v/>
      </c>
    </row>
    <row r="418" spans="54:58" x14ac:dyDescent="0.15">
      <c r="BB418" s="26" t="str">
        <f>IFERROR($BC$3&amp;VLOOKUP(B420,'Pay Table'!$M$3:$N$18,2,FALSE)&amp;$BB$3&amp;C420&amp;$BD$3,"")</f>
        <v/>
      </c>
      <c r="BC418" s="1" t="str">
        <f>IFERROR($BC$3&amp;VLOOKUP(D420,'Pay Table'!$M$3:$N$18,2,FALSE)&amp;$BB$3&amp;E420&amp;$BD$3,"")</f>
        <v/>
      </c>
      <c r="BD418" s="1" t="str">
        <f>IFERROR($BC$3&amp;VLOOKUP(F420,'Pay Table'!$M$3:$N$18,2,FALSE)&amp;$BB$3&amp;G420&amp;$BD$3,"")</f>
        <v/>
      </c>
      <c r="BE418" s="1" t="str">
        <f>IFERROR($BC$3&amp;VLOOKUP(H420,'Pay Table'!$M$3:$N$18,2,FALSE)&amp;$BB$3&amp;I420&amp;$BD$3,"")</f>
        <v/>
      </c>
      <c r="BF418" s="27" t="str">
        <f>IFERROR($BC$3&amp;VLOOKUP(J420,'Pay Table'!$M$3:$N$18,2,FALSE)&amp;$BB$3&amp;K420&amp;$BD$3,"")</f>
        <v/>
      </c>
    </row>
    <row r="419" spans="54:58" x14ac:dyDescent="0.15">
      <c r="BB419" s="26" t="str">
        <f>IFERROR($BC$3&amp;VLOOKUP(B421,'Pay Table'!$M$3:$N$18,2,FALSE)&amp;$BB$3&amp;C421&amp;$BD$3,"")</f>
        <v/>
      </c>
      <c r="BC419" s="1" t="str">
        <f>IFERROR($BC$3&amp;VLOOKUP(D421,'Pay Table'!$M$3:$N$18,2,FALSE)&amp;$BB$3&amp;E421&amp;$BD$3,"")</f>
        <v/>
      </c>
      <c r="BD419" s="1" t="str">
        <f>IFERROR($BC$3&amp;VLOOKUP(F421,'Pay Table'!$M$3:$N$18,2,FALSE)&amp;$BB$3&amp;G421&amp;$BD$3,"")</f>
        <v/>
      </c>
      <c r="BE419" s="1" t="str">
        <f>IFERROR($BC$3&amp;VLOOKUP(H421,'Pay Table'!$M$3:$N$18,2,FALSE)&amp;$BB$3&amp;I421&amp;$BD$3,"")</f>
        <v/>
      </c>
      <c r="BF419" s="27" t="str">
        <f>IFERROR($BC$3&amp;VLOOKUP(J421,'Pay Table'!$M$3:$N$18,2,FALSE)&amp;$BB$3&amp;K421&amp;$BD$3,"")</f>
        <v/>
      </c>
    </row>
    <row r="420" spans="54:58" x14ac:dyDescent="0.15">
      <c r="BB420" s="26" t="str">
        <f>IFERROR($BC$3&amp;VLOOKUP(B422,'Pay Table'!$M$3:$N$18,2,FALSE)&amp;$BB$3&amp;C422&amp;$BD$3,"")</f>
        <v/>
      </c>
      <c r="BC420" s="1" t="str">
        <f>IFERROR($BC$3&amp;VLOOKUP(D422,'Pay Table'!$M$3:$N$18,2,FALSE)&amp;$BB$3&amp;E422&amp;$BD$3,"")</f>
        <v/>
      </c>
      <c r="BD420" s="1" t="str">
        <f>IFERROR($BC$3&amp;VLOOKUP(F422,'Pay Table'!$M$3:$N$18,2,FALSE)&amp;$BB$3&amp;G422&amp;$BD$3,"")</f>
        <v/>
      </c>
      <c r="BE420" s="1" t="str">
        <f>IFERROR($BC$3&amp;VLOOKUP(H422,'Pay Table'!$M$3:$N$18,2,FALSE)&amp;$BB$3&amp;I422&amp;$BD$3,"")</f>
        <v/>
      </c>
      <c r="BF420" s="27" t="str">
        <f>IFERROR($BC$3&amp;VLOOKUP(J422,'Pay Table'!$M$3:$N$18,2,FALSE)&amp;$BB$3&amp;K422&amp;$BD$3,"")</f>
        <v/>
      </c>
    </row>
    <row r="421" spans="54:58" x14ac:dyDescent="0.15">
      <c r="BB421" s="26" t="str">
        <f>IFERROR($BC$3&amp;VLOOKUP(B423,'Pay Table'!$M$3:$N$18,2,FALSE)&amp;$BB$3&amp;C423&amp;$BD$3,"")</f>
        <v/>
      </c>
      <c r="BC421" s="1" t="str">
        <f>IFERROR($BC$3&amp;VLOOKUP(D423,'Pay Table'!$M$3:$N$18,2,FALSE)&amp;$BB$3&amp;E423&amp;$BD$3,"")</f>
        <v/>
      </c>
      <c r="BD421" s="1" t="str">
        <f>IFERROR($BC$3&amp;VLOOKUP(F423,'Pay Table'!$M$3:$N$18,2,FALSE)&amp;$BB$3&amp;G423&amp;$BD$3,"")</f>
        <v/>
      </c>
      <c r="BE421" s="1" t="str">
        <f>IFERROR($BC$3&amp;VLOOKUP(H423,'Pay Table'!$M$3:$N$18,2,FALSE)&amp;$BB$3&amp;I423&amp;$BD$3,"")</f>
        <v/>
      </c>
      <c r="BF421" s="27" t="str">
        <f>IFERROR($BC$3&amp;VLOOKUP(J423,'Pay Table'!$M$3:$N$18,2,FALSE)&amp;$BB$3&amp;K423&amp;$BD$3,"")</f>
        <v/>
      </c>
    </row>
    <row r="422" spans="54:58" x14ac:dyDescent="0.15">
      <c r="BB422" s="26" t="str">
        <f>IFERROR($BC$3&amp;VLOOKUP(B424,'Pay Table'!$M$3:$N$18,2,FALSE)&amp;$BB$3&amp;C424&amp;$BD$3,"")</f>
        <v/>
      </c>
      <c r="BC422" s="1" t="str">
        <f>IFERROR($BC$3&amp;VLOOKUP(D424,'Pay Table'!$M$3:$N$18,2,FALSE)&amp;$BB$3&amp;E424&amp;$BD$3,"")</f>
        <v/>
      </c>
      <c r="BD422" s="1" t="str">
        <f>IFERROR($BC$3&amp;VLOOKUP(F424,'Pay Table'!$M$3:$N$18,2,FALSE)&amp;$BB$3&amp;G424&amp;$BD$3,"")</f>
        <v/>
      </c>
      <c r="BE422" s="1" t="str">
        <f>IFERROR($BC$3&amp;VLOOKUP(H424,'Pay Table'!$M$3:$N$18,2,FALSE)&amp;$BB$3&amp;I424&amp;$BD$3,"")</f>
        <v/>
      </c>
      <c r="BF422" s="27" t="str">
        <f>IFERROR($BC$3&amp;VLOOKUP(J424,'Pay Table'!$M$3:$N$18,2,FALSE)&amp;$BB$3&amp;K424&amp;$BD$3,"")</f>
        <v/>
      </c>
    </row>
    <row r="423" spans="54:58" x14ac:dyDescent="0.15">
      <c r="BB423" s="26" t="str">
        <f>IFERROR($BC$3&amp;VLOOKUP(B425,'Pay Table'!$M$3:$N$18,2,FALSE)&amp;$BB$3&amp;C425&amp;$BD$3,"")</f>
        <v/>
      </c>
      <c r="BC423" s="1" t="str">
        <f>IFERROR($BC$3&amp;VLOOKUP(D425,'Pay Table'!$M$3:$N$18,2,FALSE)&amp;$BB$3&amp;E425&amp;$BD$3,"")</f>
        <v/>
      </c>
      <c r="BD423" s="1" t="str">
        <f>IFERROR($BC$3&amp;VLOOKUP(F425,'Pay Table'!$M$3:$N$18,2,FALSE)&amp;$BB$3&amp;G425&amp;$BD$3,"")</f>
        <v/>
      </c>
      <c r="BE423" s="1" t="str">
        <f>IFERROR($BC$3&amp;VLOOKUP(H425,'Pay Table'!$M$3:$N$18,2,FALSE)&amp;$BB$3&amp;I425&amp;$BD$3,"")</f>
        <v/>
      </c>
      <c r="BF423" s="27" t="str">
        <f>IFERROR($BC$3&amp;VLOOKUP(J425,'Pay Table'!$M$3:$N$18,2,FALSE)&amp;$BB$3&amp;K425&amp;$BD$3,"")</f>
        <v/>
      </c>
    </row>
    <row r="424" spans="54:58" x14ac:dyDescent="0.15">
      <c r="BB424" s="26" t="str">
        <f>IFERROR($BC$3&amp;VLOOKUP(B426,'Pay Table'!$M$3:$N$18,2,FALSE)&amp;$BB$3&amp;C426&amp;$BD$3,"")</f>
        <v/>
      </c>
      <c r="BC424" s="1" t="str">
        <f>IFERROR($BC$3&amp;VLOOKUP(D426,'Pay Table'!$M$3:$N$18,2,FALSE)&amp;$BB$3&amp;E426&amp;$BD$3,"")</f>
        <v/>
      </c>
      <c r="BD424" s="1" t="str">
        <f>IFERROR($BC$3&amp;VLOOKUP(F426,'Pay Table'!$M$3:$N$18,2,FALSE)&amp;$BB$3&amp;G426&amp;$BD$3,"")</f>
        <v/>
      </c>
      <c r="BE424" s="1" t="str">
        <f>IFERROR($BC$3&amp;VLOOKUP(H426,'Pay Table'!$M$3:$N$18,2,FALSE)&amp;$BB$3&amp;I426&amp;$BD$3,"")</f>
        <v/>
      </c>
      <c r="BF424" s="27" t="str">
        <f>IFERROR($BC$3&amp;VLOOKUP(J426,'Pay Table'!$M$3:$N$18,2,FALSE)&amp;$BB$3&amp;K426&amp;$BD$3,"")</f>
        <v/>
      </c>
    </row>
    <row r="425" spans="54:58" x14ac:dyDescent="0.15">
      <c r="BB425" s="26" t="str">
        <f>IFERROR($BC$3&amp;VLOOKUP(B427,'Pay Table'!$M$3:$N$18,2,FALSE)&amp;$BB$3&amp;C427&amp;$BD$3,"")</f>
        <v/>
      </c>
      <c r="BC425" s="1" t="str">
        <f>IFERROR($BC$3&amp;VLOOKUP(D427,'Pay Table'!$M$3:$N$18,2,FALSE)&amp;$BB$3&amp;E427&amp;$BD$3,"")</f>
        <v/>
      </c>
      <c r="BD425" s="1" t="str">
        <f>IFERROR($BC$3&amp;VLOOKUP(F427,'Pay Table'!$M$3:$N$18,2,FALSE)&amp;$BB$3&amp;G427&amp;$BD$3,"")</f>
        <v/>
      </c>
      <c r="BE425" s="1" t="str">
        <f>IFERROR($BC$3&amp;VLOOKUP(H427,'Pay Table'!$M$3:$N$18,2,FALSE)&amp;$BB$3&amp;I427&amp;$BD$3,"")</f>
        <v/>
      </c>
      <c r="BF425" s="27" t="str">
        <f>IFERROR($BC$3&amp;VLOOKUP(J427,'Pay Table'!$M$3:$N$18,2,FALSE)&amp;$BB$3&amp;K427&amp;$BD$3,"")</f>
        <v/>
      </c>
    </row>
    <row r="426" spans="54:58" x14ac:dyDescent="0.15">
      <c r="BB426" s="26" t="str">
        <f>IFERROR($BC$3&amp;VLOOKUP(B428,'Pay Table'!$M$3:$N$18,2,FALSE)&amp;$BB$3&amp;C428&amp;$BD$3,"")</f>
        <v/>
      </c>
      <c r="BC426" s="1" t="str">
        <f>IFERROR($BC$3&amp;VLOOKUP(D428,'Pay Table'!$M$3:$N$18,2,FALSE)&amp;$BB$3&amp;E428&amp;$BD$3,"")</f>
        <v/>
      </c>
      <c r="BD426" s="1" t="str">
        <f>IFERROR($BC$3&amp;VLOOKUP(F428,'Pay Table'!$M$3:$N$18,2,FALSE)&amp;$BB$3&amp;G428&amp;$BD$3,"")</f>
        <v/>
      </c>
      <c r="BE426" s="1" t="str">
        <f>IFERROR($BC$3&amp;VLOOKUP(H428,'Pay Table'!$M$3:$N$18,2,FALSE)&amp;$BB$3&amp;I428&amp;$BD$3,"")</f>
        <v/>
      </c>
      <c r="BF426" s="27" t="str">
        <f>IFERROR($BC$3&amp;VLOOKUP(J428,'Pay Table'!$M$3:$N$18,2,FALSE)&amp;$BB$3&amp;K428&amp;$BD$3,"")</f>
        <v/>
      </c>
    </row>
    <row r="427" spans="54:58" x14ac:dyDescent="0.15">
      <c r="BB427" s="26" t="str">
        <f>IFERROR($BC$3&amp;VLOOKUP(B429,'Pay Table'!$M$3:$N$18,2,FALSE)&amp;$BB$3&amp;C429&amp;$BD$3,"")</f>
        <v/>
      </c>
      <c r="BC427" s="1" t="str">
        <f>IFERROR($BC$3&amp;VLOOKUP(D429,'Pay Table'!$M$3:$N$18,2,FALSE)&amp;$BB$3&amp;E429&amp;$BD$3,"")</f>
        <v/>
      </c>
      <c r="BD427" s="1" t="str">
        <f>IFERROR($BC$3&amp;VLOOKUP(F429,'Pay Table'!$M$3:$N$18,2,FALSE)&amp;$BB$3&amp;G429&amp;$BD$3,"")</f>
        <v/>
      </c>
      <c r="BE427" s="1" t="str">
        <f>IFERROR($BC$3&amp;VLOOKUP(H429,'Pay Table'!$M$3:$N$18,2,FALSE)&amp;$BB$3&amp;I429&amp;$BD$3,"")</f>
        <v/>
      </c>
      <c r="BF427" s="27" t="str">
        <f>IFERROR($BC$3&amp;VLOOKUP(J429,'Pay Table'!$M$3:$N$18,2,FALSE)&amp;$BB$3&amp;K429&amp;$BD$3,"")</f>
        <v/>
      </c>
    </row>
    <row r="428" spans="54:58" x14ac:dyDescent="0.15">
      <c r="BB428" s="26" t="str">
        <f>IFERROR($BC$3&amp;VLOOKUP(B430,'Pay Table'!$M$3:$N$18,2,FALSE)&amp;$BB$3&amp;C430&amp;$BD$3,"")</f>
        <v/>
      </c>
      <c r="BC428" s="1" t="str">
        <f>IFERROR($BC$3&amp;VLOOKUP(D430,'Pay Table'!$M$3:$N$18,2,FALSE)&amp;$BB$3&amp;E430&amp;$BD$3,"")</f>
        <v/>
      </c>
      <c r="BD428" s="1" t="str">
        <f>IFERROR($BC$3&amp;VLOOKUP(F430,'Pay Table'!$M$3:$N$18,2,FALSE)&amp;$BB$3&amp;G430&amp;$BD$3,"")</f>
        <v/>
      </c>
      <c r="BE428" s="1" t="str">
        <f>IFERROR($BC$3&amp;VLOOKUP(H430,'Pay Table'!$M$3:$N$18,2,FALSE)&amp;$BB$3&amp;I430&amp;$BD$3,"")</f>
        <v/>
      </c>
      <c r="BF428" s="27" t="str">
        <f>IFERROR($BC$3&amp;VLOOKUP(J430,'Pay Table'!$M$3:$N$18,2,FALSE)&amp;$BB$3&amp;K430&amp;$BD$3,"")</f>
        <v/>
      </c>
    </row>
    <row r="429" spans="54:58" x14ac:dyDescent="0.15">
      <c r="BB429" s="26" t="str">
        <f>IFERROR($BC$3&amp;VLOOKUP(B431,'Pay Table'!$M$3:$N$18,2,FALSE)&amp;$BB$3&amp;C431&amp;$BD$3,"")</f>
        <v/>
      </c>
      <c r="BC429" s="1" t="str">
        <f>IFERROR($BC$3&amp;VLOOKUP(D431,'Pay Table'!$M$3:$N$18,2,FALSE)&amp;$BB$3&amp;E431&amp;$BD$3,"")</f>
        <v/>
      </c>
      <c r="BD429" s="1" t="str">
        <f>IFERROR($BC$3&amp;VLOOKUP(F431,'Pay Table'!$M$3:$N$18,2,FALSE)&amp;$BB$3&amp;G431&amp;$BD$3,"")</f>
        <v/>
      </c>
      <c r="BE429" s="1" t="str">
        <f>IFERROR($BC$3&amp;VLOOKUP(H431,'Pay Table'!$M$3:$N$18,2,FALSE)&amp;$BB$3&amp;I431&amp;$BD$3,"")</f>
        <v/>
      </c>
      <c r="BF429" s="27" t="str">
        <f>IFERROR($BC$3&amp;VLOOKUP(J431,'Pay Table'!$M$3:$N$18,2,FALSE)&amp;$BB$3&amp;K431&amp;$BD$3,"")</f>
        <v/>
      </c>
    </row>
    <row r="430" spans="54:58" x14ac:dyDescent="0.15">
      <c r="BB430" s="26" t="str">
        <f>IFERROR($BC$3&amp;VLOOKUP(B432,'Pay Table'!$M$3:$N$18,2,FALSE)&amp;$BB$3&amp;C432&amp;$BD$3,"")</f>
        <v/>
      </c>
      <c r="BC430" s="1" t="str">
        <f>IFERROR($BC$3&amp;VLOOKUP(D432,'Pay Table'!$M$3:$N$18,2,FALSE)&amp;$BB$3&amp;E432&amp;$BD$3,"")</f>
        <v/>
      </c>
      <c r="BD430" s="1" t="str">
        <f>IFERROR($BC$3&amp;VLOOKUP(F432,'Pay Table'!$M$3:$N$18,2,FALSE)&amp;$BB$3&amp;G432&amp;$BD$3,"")</f>
        <v/>
      </c>
      <c r="BE430" s="1" t="str">
        <f>IFERROR($BC$3&amp;VLOOKUP(H432,'Pay Table'!$M$3:$N$18,2,FALSE)&amp;$BB$3&amp;I432&amp;$BD$3,"")</f>
        <v/>
      </c>
      <c r="BF430" s="27" t="str">
        <f>IFERROR($BC$3&amp;VLOOKUP(J432,'Pay Table'!$M$3:$N$18,2,FALSE)&amp;$BB$3&amp;K432&amp;$BD$3,"")</f>
        <v/>
      </c>
    </row>
    <row r="431" spans="54:58" x14ac:dyDescent="0.15">
      <c r="BB431" s="26" t="str">
        <f>IFERROR($BC$3&amp;VLOOKUP(B433,'Pay Table'!$M$3:$N$18,2,FALSE)&amp;$BB$3&amp;C433&amp;$BD$3,"")</f>
        <v/>
      </c>
      <c r="BC431" s="1" t="str">
        <f>IFERROR($BC$3&amp;VLOOKUP(D433,'Pay Table'!$M$3:$N$18,2,FALSE)&amp;$BB$3&amp;E433&amp;$BD$3,"")</f>
        <v/>
      </c>
      <c r="BD431" s="1" t="str">
        <f>IFERROR($BC$3&amp;VLOOKUP(F433,'Pay Table'!$M$3:$N$18,2,FALSE)&amp;$BB$3&amp;G433&amp;$BD$3,"")</f>
        <v/>
      </c>
      <c r="BE431" s="1" t="str">
        <f>IFERROR($BC$3&amp;VLOOKUP(H433,'Pay Table'!$M$3:$N$18,2,FALSE)&amp;$BB$3&amp;I433&amp;$BD$3,"")</f>
        <v/>
      </c>
      <c r="BF431" s="27" t="str">
        <f>IFERROR($BC$3&amp;VLOOKUP(J433,'Pay Table'!$M$3:$N$18,2,FALSE)&amp;$BB$3&amp;K433&amp;$BD$3,"")</f>
        <v/>
      </c>
    </row>
    <row r="432" spans="54:58" x14ac:dyDescent="0.15">
      <c r="BB432" s="26" t="str">
        <f>IFERROR($BC$3&amp;VLOOKUP(B434,'Pay Table'!$M$3:$N$18,2,FALSE)&amp;$BB$3&amp;C434&amp;$BD$3,"")</f>
        <v/>
      </c>
      <c r="BC432" s="1" t="str">
        <f>IFERROR($BC$3&amp;VLOOKUP(D434,'Pay Table'!$M$3:$N$18,2,FALSE)&amp;$BB$3&amp;E434&amp;$BD$3,"")</f>
        <v/>
      </c>
      <c r="BD432" s="1" t="str">
        <f>IFERROR($BC$3&amp;VLOOKUP(F434,'Pay Table'!$M$3:$N$18,2,FALSE)&amp;$BB$3&amp;G434&amp;$BD$3,"")</f>
        <v/>
      </c>
      <c r="BE432" s="1" t="str">
        <f>IFERROR($BC$3&amp;VLOOKUP(H434,'Pay Table'!$M$3:$N$18,2,FALSE)&amp;$BB$3&amp;I434&amp;$BD$3,"")</f>
        <v/>
      </c>
      <c r="BF432" s="27" t="str">
        <f>IFERROR($BC$3&amp;VLOOKUP(J434,'Pay Table'!$M$3:$N$18,2,FALSE)&amp;$BB$3&amp;K434&amp;$BD$3,"")</f>
        <v/>
      </c>
    </row>
    <row r="433" spans="54:58" x14ac:dyDescent="0.15">
      <c r="BB433" s="26" t="str">
        <f>IFERROR($BC$3&amp;VLOOKUP(B435,'Pay Table'!$M$3:$N$18,2,FALSE)&amp;$BB$3&amp;C435&amp;$BD$3,"")</f>
        <v/>
      </c>
      <c r="BC433" s="1" t="str">
        <f>IFERROR($BC$3&amp;VLOOKUP(D435,'Pay Table'!$M$3:$N$18,2,FALSE)&amp;$BB$3&amp;E435&amp;$BD$3,"")</f>
        <v/>
      </c>
      <c r="BD433" s="1" t="str">
        <f>IFERROR($BC$3&amp;VLOOKUP(F435,'Pay Table'!$M$3:$N$18,2,FALSE)&amp;$BB$3&amp;G435&amp;$BD$3,"")</f>
        <v/>
      </c>
      <c r="BE433" s="1" t="str">
        <f>IFERROR($BC$3&amp;VLOOKUP(H435,'Pay Table'!$M$3:$N$18,2,FALSE)&amp;$BB$3&amp;I435&amp;$BD$3,"")</f>
        <v/>
      </c>
      <c r="BF433" s="27" t="str">
        <f>IFERROR($BC$3&amp;VLOOKUP(J435,'Pay Table'!$M$3:$N$18,2,FALSE)&amp;$BB$3&amp;K435&amp;$BD$3,"")</f>
        <v/>
      </c>
    </row>
    <row r="434" spans="54:58" x14ac:dyDescent="0.15">
      <c r="BB434" s="26" t="str">
        <f>IFERROR($BC$3&amp;VLOOKUP(B436,'Pay Table'!$M$3:$N$18,2,FALSE)&amp;$BB$3&amp;C436&amp;$BD$3,"")</f>
        <v/>
      </c>
      <c r="BC434" s="1" t="str">
        <f>IFERROR($BC$3&amp;VLOOKUP(D436,'Pay Table'!$M$3:$N$18,2,FALSE)&amp;$BB$3&amp;E436&amp;$BD$3,"")</f>
        <v/>
      </c>
      <c r="BD434" s="1" t="str">
        <f>IFERROR($BC$3&amp;VLOOKUP(F436,'Pay Table'!$M$3:$N$18,2,FALSE)&amp;$BB$3&amp;G436&amp;$BD$3,"")</f>
        <v/>
      </c>
      <c r="BE434" s="1" t="str">
        <f>IFERROR($BC$3&amp;VLOOKUP(H436,'Pay Table'!$M$3:$N$18,2,FALSE)&amp;$BB$3&amp;I436&amp;$BD$3,"")</f>
        <v/>
      </c>
      <c r="BF434" s="27" t="str">
        <f>IFERROR($BC$3&amp;VLOOKUP(J436,'Pay Table'!$M$3:$N$18,2,FALSE)&amp;$BB$3&amp;K436&amp;$BD$3,"")</f>
        <v/>
      </c>
    </row>
    <row r="435" spans="54:58" x14ac:dyDescent="0.15">
      <c r="BB435" s="26" t="str">
        <f>IFERROR($BC$3&amp;VLOOKUP(B437,'Pay Table'!$M$3:$N$18,2,FALSE)&amp;$BB$3&amp;C437&amp;$BD$3,"")</f>
        <v/>
      </c>
      <c r="BC435" s="1" t="str">
        <f>IFERROR($BC$3&amp;VLOOKUP(D437,'Pay Table'!$M$3:$N$18,2,FALSE)&amp;$BB$3&amp;E437&amp;$BD$3,"")</f>
        <v/>
      </c>
      <c r="BD435" s="1" t="str">
        <f>IFERROR($BC$3&amp;VLOOKUP(F437,'Pay Table'!$M$3:$N$18,2,FALSE)&amp;$BB$3&amp;G437&amp;$BD$3,"")</f>
        <v/>
      </c>
      <c r="BE435" s="1" t="str">
        <f>IFERROR($BC$3&amp;VLOOKUP(H437,'Pay Table'!$M$3:$N$18,2,FALSE)&amp;$BB$3&amp;I437&amp;$BD$3,"")</f>
        <v/>
      </c>
      <c r="BF435" s="27" t="str">
        <f>IFERROR($BC$3&amp;VLOOKUP(J437,'Pay Table'!$M$3:$N$18,2,FALSE)&amp;$BB$3&amp;K437&amp;$BD$3,"")</f>
        <v/>
      </c>
    </row>
    <row r="436" spans="54:58" x14ac:dyDescent="0.15">
      <c r="BB436" s="26" t="str">
        <f>IFERROR($BC$3&amp;VLOOKUP(B438,'Pay Table'!$M$3:$N$18,2,FALSE)&amp;$BB$3&amp;C438&amp;$BD$3,"")</f>
        <v/>
      </c>
      <c r="BC436" s="1" t="str">
        <f>IFERROR($BC$3&amp;VLOOKUP(D438,'Pay Table'!$M$3:$N$18,2,FALSE)&amp;$BB$3&amp;E438&amp;$BD$3,"")</f>
        <v/>
      </c>
      <c r="BD436" s="1" t="str">
        <f>IFERROR($BC$3&amp;VLOOKUP(F438,'Pay Table'!$M$3:$N$18,2,FALSE)&amp;$BB$3&amp;G438&amp;$BD$3,"")</f>
        <v/>
      </c>
      <c r="BE436" s="1" t="str">
        <f>IFERROR($BC$3&amp;VLOOKUP(H438,'Pay Table'!$M$3:$N$18,2,FALSE)&amp;$BB$3&amp;I438&amp;$BD$3,"")</f>
        <v/>
      </c>
      <c r="BF436" s="27" t="str">
        <f>IFERROR($BC$3&amp;VLOOKUP(J438,'Pay Table'!$M$3:$N$18,2,FALSE)&amp;$BB$3&amp;K438&amp;$BD$3,"")</f>
        <v/>
      </c>
    </row>
    <row r="437" spans="54:58" x14ac:dyDescent="0.15">
      <c r="BB437" s="26" t="str">
        <f>IFERROR($BC$3&amp;VLOOKUP(B439,'Pay Table'!$M$3:$N$18,2,FALSE)&amp;$BB$3&amp;C439&amp;$BD$3,"")</f>
        <v/>
      </c>
      <c r="BC437" s="1" t="str">
        <f>IFERROR($BC$3&amp;VLOOKUP(D439,'Pay Table'!$M$3:$N$18,2,FALSE)&amp;$BB$3&amp;E439&amp;$BD$3,"")</f>
        <v/>
      </c>
      <c r="BD437" s="1" t="str">
        <f>IFERROR($BC$3&amp;VLOOKUP(F439,'Pay Table'!$M$3:$N$18,2,FALSE)&amp;$BB$3&amp;G439&amp;$BD$3,"")</f>
        <v/>
      </c>
      <c r="BE437" s="1" t="str">
        <f>IFERROR($BC$3&amp;VLOOKUP(H439,'Pay Table'!$M$3:$N$18,2,FALSE)&amp;$BB$3&amp;I439&amp;$BD$3,"")</f>
        <v/>
      </c>
      <c r="BF437" s="27" t="str">
        <f>IFERROR($BC$3&amp;VLOOKUP(J439,'Pay Table'!$M$3:$N$18,2,FALSE)&amp;$BB$3&amp;K439&amp;$BD$3,"")</f>
        <v/>
      </c>
    </row>
    <row r="438" spans="54:58" x14ac:dyDescent="0.15">
      <c r="BB438" s="26" t="str">
        <f>IFERROR($BC$3&amp;VLOOKUP(B440,'Pay Table'!$M$3:$N$18,2,FALSE)&amp;$BB$3&amp;C440&amp;$BD$3,"")</f>
        <v/>
      </c>
      <c r="BC438" s="1" t="str">
        <f>IFERROR($BC$3&amp;VLOOKUP(D440,'Pay Table'!$M$3:$N$18,2,FALSE)&amp;$BB$3&amp;E440&amp;$BD$3,"")</f>
        <v/>
      </c>
      <c r="BD438" s="1" t="str">
        <f>IFERROR($BC$3&amp;VLOOKUP(F440,'Pay Table'!$M$3:$N$18,2,FALSE)&amp;$BB$3&amp;G440&amp;$BD$3,"")</f>
        <v/>
      </c>
      <c r="BE438" s="1" t="str">
        <f>IFERROR($BC$3&amp;VLOOKUP(H440,'Pay Table'!$M$3:$N$18,2,FALSE)&amp;$BB$3&amp;I440&amp;$BD$3,"")</f>
        <v/>
      </c>
      <c r="BF438" s="27" t="str">
        <f>IFERROR($BC$3&amp;VLOOKUP(J440,'Pay Table'!$M$3:$N$18,2,FALSE)&amp;$BB$3&amp;K440&amp;$BD$3,"")</f>
        <v/>
      </c>
    </row>
    <row r="439" spans="54:58" x14ac:dyDescent="0.15">
      <c r="BB439" s="26" t="str">
        <f>IFERROR($BC$3&amp;VLOOKUP(B441,'Pay Table'!$M$3:$N$18,2,FALSE)&amp;$BB$3&amp;C441&amp;$BD$3,"")</f>
        <v/>
      </c>
      <c r="BC439" s="1" t="str">
        <f>IFERROR($BC$3&amp;VLOOKUP(D441,'Pay Table'!$M$3:$N$18,2,FALSE)&amp;$BB$3&amp;E441&amp;$BD$3,"")</f>
        <v/>
      </c>
      <c r="BD439" s="1" t="str">
        <f>IFERROR($BC$3&amp;VLOOKUP(F441,'Pay Table'!$M$3:$N$18,2,FALSE)&amp;$BB$3&amp;G441&amp;$BD$3,"")</f>
        <v/>
      </c>
      <c r="BE439" s="1" t="str">
        <f>IFERROR($BC$3&amp;VLOOKUP(H441,'Pay Table'!$M$3:$N$18,2,FALSE)&amp;$BB$3&amp;I441&amp;$BD$3,"")</f>
        <v/>
      </c>
      <c r="BF439" s="27" t="str">
        <f>IFERROR($BC$3&amp;VLOOKUP(J441,'Pay Table'!$M$3:$N$18,2,FALSE)&amp;$BB$3&amp;K441&amp;$BD$3,"")</f>
        <v/>
      </c>
    </row>
    <row r="440" spans="54:58" x14ac:dyDescent="0.15">
      <c r="BB440" s="26" t="str">
        <f>IFERROR($BC$3&amp;VLOOKUP(B442,'Pay Table'!$M$3:$N$18,2,FALSE)&amp;$BB$3&amp;C442&amp;$BD$3,"")</f>
        <v/>
      </c>
      <c r="BC440" s="1" t="str">
        <f>IFERROR($BC$3&amp;VLOOKUP(D442,'Pay Table'!$M$3:$N$18,2,FALSE)&amp;$BB$3&amp;E442&amp;$BD$3,"")</f>
        <v/>
      </c>
      <c r="BD440" s="1" t="str">
        <f>IFERROR($BC$3&amp;VLOOKUP(F442,'Pay Table'!$M$3:$N$18,2,FALSE)&amp;$BB$3&amp;G442&amp;$BD$3,"")</f>
        <v/>
      </c>
      <c r="BE440" s="1" t="str">
        <f>IFERROR($BC$3&amp;VLOOKUP(H442,'Pay Table'!$M$3:$N$18,2,FALSE)&amp;$BB$3&amp;I442&amp;$BD$3,"")</f>
        <v/>
      </c>
      <c r="BF440" s="27" t="str">
        <f>IFERROR($BC$3&amp;VLOOKUP(J442,'Pay Table'!$M$3:$N$18,2,FALSE)&amp;$BB$3&amp;K442&amp;$BD$3,"")</f>
        <v/>
      </c>
    </row>
    <row r="441" spans="54:58" x14ac:dyDescent="0.15">
      <c r="BB441" s="26" t="str">
        <f>IFERROR($BC$3&amp;VLOOKUP(B443,'Pay Table'!$M$3:$N$18,2,FALSE)&amp;$BB$3&amp;C443&amp;$BD$3,"")</f>
        <v/>
      </c>
      <c r="BC441" s="1" t="str">
        <f>IFERROR($BC$3&amp;VLOOKUP(D443,'Pay Table'!$M$3:$N$18,2,FALSE)&amp;$BB$3&amp;E443&amp;$BD$3,"")</f>
        <v/>
      </c>
      <c r="BD441" s="1" t="str">
        <f>IFERROR($BC$3&amp;VLOOKUP(F443,'Pay Table'!$M$3:$N$18,2,FALSE)&amp;$BB$3&amp;G443&amp;$BD$3,"")</f>
        <v/>
      </c>
      <c r="BE441" s="1" t="str">
        <f>IFERROR($BC$3&amp;VLOOKUP(H443,'Pay Table'!$M$3:$N$18,2,FALSE)&amp;$BB$3&amp;I443&amp;$BD$3,"")</f>
        <v/>
      </c>
      <c r="BF441" s="27" t="str">
        <f>IFERROR($BC$3&amp;VLOOKUP(J443,'Pay Table'!$M$3:$N$18,2,FALSE)&amp;$BB$3&amp;K443&amp;$BD$3,"")</f>
        <v/>
      </c>
    </row>
    <row r="442" spans="54:58" x14ac:dyDescent="0.15">
      <c r="BB442" s="26" t="str">
        <f>IFERROR($BC$3&amp;VLOOKUP(B444,'Pay Table'!$M$3:$N$18,2,FALSE)&amp;$BB$3&amp;C444&amp;$BD$3,"")</f>
        <v/>
      </c>
      <c r="BC442" s="1" t="str">
        <f>IFERROR($BC$3&amp;VLOOKUP(D444,'Pay Table'!$M$3:$N$18,2,FALSE)&amp;$BB$3&amp;E444&amp;$BD$3,"")</f>
        <v/>
      </c>
      <c r="BD442" s="1" t="str">
        <f>IFERROR($BC$3&amp;VLOOKUP(F444,'Pay Table'!$M$3:$N$18,2,FALSE)&amp;$BB$3&amp;G444&amp;$BD$3,"")</f>
        <v/>
      </c>
      <c r="BE442" s="1" t="str">
        <f>IFERROR($BC$3&amp;VLOOKUP(H444,'Pay Table'!$M$3:$N$18,2,FALSE)&amp;$BB$3&amp;I444&amp;$BD$3,"")</f>
        <v/>
      </c>
      <c r="BF442" s="27" t="str">
        <f>IFERROR($BC$3&amp;VLOOKUP(J444,'Pay Table'!$M$3:$N$18,2,FALSE)&amp;$BB$3&amp;K444&amp;$BD$3,"")</f>
        <v/>
      </c>
    </row>
    <row r="443" spans="54:58" x14ac:dyDescent="0.15">
      <c r="BB443" s="26" t="str">
        <f>IFERROR($BC$3&amp;VLOOKUP(B445,'Pay Table'!$M$3:$N$18,2,FALSE)&amp;$BB$3&amp;C445&amp;$BD$3,"")</f>
        <v/>
      </c>
      <c r="BC443" s="1" t="str">
        <f>IFERROR($BC$3&amp;VLOOKUP(D445,'Pay Table'!$M$3:$N$18,2,FALSE)&amp;$BB$3&amp;E445&amp;$BD$3,"")</f>
        <v/>
      </c>
      <c r="BD443" s="1" t="str">
        <f>IFERROR($BC$3&amp;VLOOKUP(F445,'Pay Table'!$M$3:$N$18,2,FALSE)&amp;$BB$3&amp;G445&amp;$BD$3,"")</f>
        <v/>
      </c>
      <c r="BE443" s="1" t="str">
        <f>IFERROR($BC$3&amp;VLOOKUP(H445,'Pay Table'!$M$3:$N$18,2,FALSE)&amp;$BB$3&amp;I445&amp;$BD$3,"")</f>
        <v/>
      </c>
      <c r="BF443" s="27" t="str">
        <f>IFERROR($BC$3&amp;VLOOKUP(J445,'Pay Table'!$M$3:$N$18,2,FALSE)&amp;$BB$3&amp;K445&amp;$BD$3,"")</f>
        <v/>
      </c>
    </row>
    <row r="444" spans="54:58" x14ac:dyDescent="0.15">
      <c r="BB444" s="26" t="str">
        <f>IFERROR($BC$3&amp;VLOOKUP(B446,'Pay Table'!$M$3:$N$18,2,FALSE)&amp;$BB$3&amp;C446&amp;$BD$3,"")</f>
        <v/>
      </c>
      <c r="BC444" s="1" t="str">
        <f>IFERROR($BC$3&amp;VLOOKUP(D446,'Pay Table'!$M$3:$N$18,2,FALSE)&amp;$BB$3&amp;E446&amp;$BD$3,"")</f>
        <v/>
      </c>
      <c r="BD444" s="1" t="str">
        <f>IFERROR($BC$3&amp;VLOOKUP(F446,'Pay Table'!$M$3:$N$18,2,FALSE)&amp;$BB$3&amp;G446&amp;$BD$3,"")</f>
        <v/>
      </c>
      <c r="BE444" s="1" t="str">
        <f>IFERROR($BC$3&amp;VLOOKUP(H446,'Pay Table'!$M$3:$N$18,2,FALSE)&amp;$BB$3&amp;I446&amp;$BD$3,"")</f>
        <v/>
      </c>
      <c r="BF444" s="27" t="str">
        <f>IFERROR($BC$3&amp;VLOOKUP(J446,'Pay Table'!$M$3:$N$18,2,FALSE)&amp;$BB$3&amp;K446&amp;$BD$3,"")</f>
        <v/>
      </c>
    </row>
    <row r="445" spans="54:58" x14ac:dyDescent="0.15">
      <c r="BB445" s="26" t="str">
        <f>IFERROR($BC$3&amp;VLOOKUP(B447,'Pay Table'!$M$3:$N$18,2,FALSE)&amp;$BB$3&amp;C447&amp;$BD$3,"")</f>
        <v/>
      </c>
      <c r="BC445" s="1" t="str">
        <f>IFERROR($BC$3&amp;VLOOKUP(D447,'Pay Table'!$M$3:$N$18,2,FALSE)&amp;$BB$3&amp;E447&amp;$BD$3,"")</f>
        <v/>
      </c>
      <c r="BD445" s="1" t="str">
        <f>IFERROR($BC$3&amp;VLOOKUP(F447,'Pay Table'!$M$3:$N$18,2,FALSE)&amp;$BB$3&amp;G447&amp;$BD$3,"")</f>
        <v/>
      </c>
      <c r="BE445" s="1" t="str">
        <f>IFERROR($BC$3&amp;VLOOKUP(H447,'Pay Table'!$M$3:$N$18,2,FALSE)&amp;$BB$3&amp;I447&amp;$BD$3,"")</f>
        <v/>
      </c>
      <c r="BF445" s="27" t="str">
        <f>IFERROR($BC$3&amp;VLOOKUP(J447,'Pay Table'!$M$3:$N$18,2,FALSE)&amp;$BB$3&amp;K447&amp;$BD$3,"")</f>
        <v/>
      </c>
    </row>
    <row r="446" spans="54:58" x14ac:dyDescent="0.15">
      <c r="BB446" s="26" t="str">
        <f>IFERROR($BC$3&amp;VLOOKUP(B448,'Pay Table'!$M$3:$N$18,2,FALSE)&amp;$BB$3&amp;C448&amp;$BD$3,"")</f>
        <v/>
      </c>
      <c r="BC446" s="1" t="str">
        <f>IFERROR($BC$3&amp;VLOOKUP(D448,'Pay Table'!$M$3:$N$18,2,FALSE)&amp;$BB$3&amp;E448&amp;$BD$3,"")</f>
        <v/>
      </c>
      <c r="BD446" s="1" t="str">
        <f>IFERROR($BC$3&amp;VLOOKUP(F448,'Pay Table'!$M$3:$N$18,2,FALSE)&amp;$BB$3&amp;G448&amp;$BD$3,"")</f>
        <v/>
      </c>
      <c r="BE446" s="1" t="str">
        <f>IFERROR($BC$3&amp;VLOOKUP(H448,'Pay Table'!$M$3:$N$18,2,FALSE)&amp;$BB$3&amp;I448&amp;$BD$3,"")</f>
        <v/>
      </c>
      <c r="BF446" s="27" t="str">
        <f>IFERROR($BC$3&amp;VLOOKUP(J448,'Pay Table'!$M$3:$N$18,2,FALSE)&amp;$BB$3&amp;K448&amp;$BD$3,"")</f>
        <v/>
      </c>
    </row>
    <row r="447" spans="54:58" x14ac:dyDescent="0.15">
      <c r="BB447" s="26" t="str">
        <f>IFERROR($BC$3&amp;VLOOKUP(B449,'Pay Table'!$M$3:$N$18,2,FALSE)&amp;$BB$3&amp;C449&amp;$BD$3,"")</f>
        <v/>
      </c>
      <c r="BC447" s="1" t="str">
        <f>IFERROR($BC$3&amp;VLOOKUP(D449,'Pay Table'!$M$3:$N$18,2,FALSE)&amp;$BB$3&amp;E449&amp;$BD$3,"")</f>
        <v/>
      </c>
      <c r="BD447" s="1" t="str">
        <f>IFERROR($BC$3&amp;VLOOKUP(F449,'Pay Table'!$M$3:$N$18,2,FALSE)&amp;$BB$3&amp;G449&amp;$BD$3,"")</f>
        <v/>
      </c>
      <c r="BE447" s="1" t="str">
        <f>IFERROR($BC$3&amp;VLOOKUP(H449,'Pay Table'!$M$3:$N$18,2,FALSE)&amp;$BB$3&amp;I449&amp;$BD$3,"")</f>
        <v/>
      </c>
      <c r="BF447" s="27" t="str">
        <f>IFERROR($BC$3&amp;VLOOKUP(J449,'Pay Table'!$M$3:$N$18,2,FALSE)&amp;$BB$3&amp;K449&amp;$BD$3,"")</f>
        <v/>
      </c>
    </row>
    <row r="448" spans="54:58" x14ac:dyDescent="0.15">
      <c r="BB448" s="26" t="str">
        <f>IFERROR($BC$3&amp;VLOOKUP(B450,'Pay Table'!$M$3:$N$18,2,FALSE)&amp;$BB$3&amp;C450&amp;$BD$3,"")</f>
        <v/>
      </c>
      <c r="BC448" s="1" t="str">
        <f>IFERROR($BC$3&amp;VLOOKUP(D450,'Pay Table'!$M$3:$N$18,2,FALSE)&amp;$BB$3&amp;E450&amp;$BD$3,"")</f>
        <v/>
      </c>
      <c r="BD448" s="1" t="str">
        <f>IFERROR($BC$3&amp;VLOOKUP(F450,'Pay Table'!$M$3:$N$18,2,FALSE)&amp;$BB$3&amp;G450&amp;$BD$3,"")</f>
        <v/>
      </c>
      <c r="BE448" s="1" t="str">
        <f>IFERROR($BC$3&amp;VLOOKUP(H450,'Pay Table'!$M$3:$N$18,2,FALSE)&amp;$BB$3&amp;I450&amp;$BD$3,"")</f>
        <v/>
      </c>
      <c r="BF448" s="27" t="str">
        <f>IFERROR($BC$3&amp;VLOOKUP(J450,'Pay Table'!$M$3:$N$18,2,FALSE)&amp;$BB$3&amp;K450&amp;$BD$3,"")</f>
        <v/>
      </c>
    </row>
    <row r="449" spans="54:58" x14ac:dyDescent="0.15">
      <c r="BB449" s="26" t="str">
        <f>IFERROR($BC$3&amp;VLOOKUP(B451,'Pay Table'!$M$3:$N$18,2,FALSE)&amp;$BB$3&amp;C451&amp;$BD$3,"")</f>
        <v/>
      </c>
      <c r="BC449" s="1" t="str">
        <f>IFERROR($BC$3&amp;VLOOKUP(D451,'Pay Table'!$M$3:$N$18,2,FALSE)&amp;$BB$3&amp;E451&amp;$BD$3,"")</f>
        <v/>
      </c>
      <c r="BD449" s="1" t="str">
        <f>IFERROR($BC$3&amp;VLOOKUP(F451,'Pay Table'!$M$3:$N$18,2,FALSE)&amp;$BB$3&amp;G451&amp;$BD$3,"")</f>
        <v/>
      </c>
      <c r="BE449" s="1" t="str">
        <f>IFERROR($BC$3&amp;VLOOKUP(H451,'Pay Table'!$M$3:$N$18,2,FALSE)&amp;$BB$3&amp;I451&amp;$BD$3,"")</f>
        <v/>
      </c>
      <c r="BF449" s="27" t="str">
        <f>IFERROR($BC$3&amp;VLOOKUP(J451,'Pay Table'!$M$3:$N$18,2,FALSE)&amp;$BB$3&amp;K451&amp;$BD$3,"")</f>
        <v/>
      </c>
    </row>
    <row r="450" spans="54:58" x14ac:dyDescent="0.15">
      <c r="BB450" s="26" t="str">
        <f>IFERROR($BC$3&amp;VLOOKUP(B452,'Pay Table'!$M$3:$N$18,2,FALSE)&amp;$BB$3&amp;C452&amp;$BD$3,"")</f>
        <v/>
      </c>
      <c r="BC450" s="1" t="str">
        <f>IFERROR($BC$3&amp;VLOOKUP(D452,'Pay Table'!$M$3:$N$18,2,FALSE)&amp;$BB$3&amp;E452&amp;$BD$3,"")</f>
        <v/>
      </c>
      <c r="BD450" s="1" t="str">
        <f>IFERROR($BC$3&amp;VLOOKUP(F452,'Pay Table'!$M$3:$N$18,2,FALSE)&amp;$BB$3&amp;G452&amp;$BD$3,"")</f>
        <v/>
      </c>
      <c r="BE450" s="1" t="str">
        <f>IFERROR($BC$3&amp;VLOOKUP(H452,'Pay Table'!$M$3:$N$18,2,FALSE)&amp;$BB$3&amp;I452&amp;$BD$3,"")</f>
        <v/>
      </c>
      <c r="BF450" s="27" t="str">
        <f>IFERROR($BC$3&amp;VLOOKUP(J452,'Pay Table'!$M$3:$N$18,2,FALSE)&amp;$BB$3&amp;K452&amp;$BD$3,"")</f>
        <v/>
      </c>
    </row>
    <row r="451" spans="54:58" x14ac:dyDescent="0.15">
      <c r="BB451" s="26" t="str">
        <f>IFERROR($BC$3&amp;VLOOKUP(B453,'Pay Table'!$M$3:$N$18,2,FALSE)&amp;$BB$3&amp;C453&amp;$BD$3,"")</f>
        <v/>
      </c>
      <c r="BC451" s="1" t="str">
        <f>IFERROR($BC$3&amp;VLOOKUP(D453,'Pay Table'!$M$3:$N$18,2,FALSE)&amp;$BB$3&amp;E453&amp;$BD$3,"")</f>
        <v/>
      </c>
      <c r="BD451" s="1" t="str">
        <f>IFERROR($BC$3&amp;VLOOKUP(F453,'Pay Table'!$M$3:$N$18,2,FALSE)&amp;$BB$3&amp;G453&amp;$BD$3,"")</f>
        <v/>
      </c>
      <c r="BE451" s="1" t="str">
        <f>IFERROR($BC$3&amp;VLOOKUP(H453,'Pay Table'!$M$3:$N$18,2,FALSE)&amp;$BB$3&amp;I453&amp;$BD$3,"")</f>
        <v/>
      </c>
      <c r="BF451" s="27" t="str">
        <f>IFERROR($BC$3&amp;VLOOKUP(J453,'Pay Table'!$M$3:$N$18,2,FALSE)&amp;$BB$3&amp;K453&amp;$BD$3,"")</f>
        <v/>
      </c>
    </row>
    <row r="452" spans="54:58" x14ac:dyDescent="0.15">
      <c r="BB452" s="26" t="str">
        <f>IFERROR($BC$3&amp;VLOOKUP(B454,'Pay Table'!$M$3:$N$18,2,FALSE)&amp;$BB$3&amp;C454&amp;$BD$3,"")</f>
        <v/>
      </c>
      <c r="BC452" s="1" t="str">
        <f>IFERROR($BC$3&amp;VLOOKUP(D454,'Pay Table'!$M$3:$N$18,2,FALSE)&amp;$BB$3&amp;E454&amp;$BD$3,"")</f>
        <v/>
      </c>
      <c r="BD452" s="1" t="str">
        <f>IFERROR($BC$3&amp;VLOOKUP(F454,'Pay Table'!$M$3:$N$18,2,FALSE)&amp;$BB$3&amp;G454&amp;$BD$3,"")</f>
        <v/>
      </c>
      <c r="BE452" s="1" t="str">
        <f>IFERROR($BC$3&amp;VLOOKUP(H454,'Pay Table'!$M$3:$N$18,2,FALSE)&amp;$BB$3&amp;I454&amp;$BD$3,"")</f>
        <v/>
      </c>
      <c r="BF452" s="27" t="str">
        <f>IFERROR($BC$3&amp;VLOOKUP(J454,'Pay Table'!$M$3:$N$18,2,FALSE)&amp;$BB$3&amp;K454&amp;$BD$3,"")</f>
        <v/>
      </c>
    </row>
    <row r="453" spans="54:58" x14ac:dyDescent="0.15">
      <c r="BB453" s="26" t="str">
        <f>IFERROR($BC$3&amp;VLOOKUP(B455,'Pay Table'!$M$3:$N$18,2,FALSE)&amp;$BB$3&amp;C455&amp;$BD$3,"")</f>
        <v/>
      </c>
      <c r="BC453" s="1" t="str">
        <f>IFERROR($BC$3&amp;VLOOKUP(D455,'Pay Table'!$M$3:$N$18,2,FALSE)&amp;$BB$3&amp;E455&amp;$BD$3,"")</f>
        <v/>
      </c>
      <c r="BD453" s="1" t="str">
        <f>IFERROR($BC$3&amp;VLOOKUP(F455,'Pay Table'!$M$3:$N$18,2,FALSE)&amp;$BB$3&amp;G455&amp;$BD$3,"")</f>
        <v/>
      </c>
      <c r="BE453" s="1" t="str">
        <f>IFERROR($BC$3&amp;VLOOKUP(H455,'Pay Table'!$M$3:$N$18,2,FALSE)&amp;$BB$3&amp;I455&amp;$BD$3,"")</f>
        <v/>
      </c>
      <c r="BF453" s="27" t="str">
        <f>IFERROR($BC$3&amp;VLOOKUP(J455,'Pay Table'!$M$3:$N$18,2,FALSE)&amp;$BB$3&amp;K455&amp;$BD$3,"")</f>
        <v/>
      </c>
    </row>
    <row r="454" spans="54:58" x14ac:dyDescent="0.15">
      <c r="BB454" s="26" t="str">
        <f>IFERROR($BC$3&amp;VLOOKUP(B456,'Pay Table'!$M$3:$N$18,2,FALSE)&amp;$BB$3&amp;C456&amp;$BD$3,"")</f>
        <v/>
      </c>
      <c r="BC454" s="1" t="str">
        <f>IFERROR($BC$3&amp;VLOOKUP(D456,'Pay Table'!$M$3:$N$18,2,FALSE)&amp;$BB$3&amp;E456&amp;$BD$3,"")</f>
        <v/>
      </c>
      <c r="BD454" s="1" t="str">
        <f>IFERROR($BC$3&amp;VLOOKUP(F456,'Pay Table'!$M$3:$N$18,2,FALSE)&amp;$BB$3&amp;G456&amp;$BD$3,"")</f>
        <v/>
      </c>
      <c r="BE454" s="1" t="str">
        <f>IFERROR($BC$3&amp;VLOOKUP(H456,'Pay Table'!$M$3:$N$18,2,FALSE)&amp;$BB$3&amp;I456&amp;$BD$3,"")</f>
        <v/>
      </c>
      <c r="BF454" s="27" t="str">
        <f>IFERROR($BC$3&amp;VLOOKUP(J456,'Pay Table'!$M$3:$N$18,2,FALSE)&amp;$BB$3&amp;K456&amp;$BD$3,"")</f>
        <v/>
      </c>
    </row>
    <row r="455" spans="54:58" x14ac:dyDescent="0.15">
      <c r="BB455" s="26" t="str">
        <f>IFERROR($BC$3&amp;VLOOKUP(B457,'Pay Table'!$M$3:$N$18,2,FALSE)&amp;$BB$3&amp;C457&amp;$BD$3,"")</f>
        <v/>
      </c>
      <c r="BC455" s="1" t="str">
        <f>IFERROR($BC$3&amp;VLOOKUP(D457,'Pay Table'!$M$3:$N$18,2,FALSE)&amp;$BB$3&amp;E457&amp;$BD$3,"")</f>
        <v/>
      </c>
      <c r="BD455" s="1" t="str">
        <f>IFERROR($BC$3&amp;VLOOKUP(F457,'Pay Table'!$M$3:$N$18,2,FALSE)&amp;$BB$3&amp;G457&amp;$BD$3,"")</f>
        <v/>
      </c>
      <c r="BE455" s="1" t="str">
        <f>IFERROR($BC$3&amp;VLOOKUP(H457,'Pay Table'!$M$3:$N$18,2,FALSE)&amp;$BB$3&amp;I457&amp;$BD$3,"")</f>
        <v/>
      </c>
      <c r="BF455" s="27" t="str">
        <f>IFERROR($BC$3&amp;VLOOKUP(J457,'Pay Table'!$M$3:$N$18,2,FALSE)&amp;$BB$3&amp;K457&amp;$BD$3,"")</f>
        <v/>
      </c>
    </row>
    <row r="456" spans="54:58" x14ac:dyDescent="0.15">
      <c r="BB456" s="26" t="str">
        <f>IFERROR($BC$3&amp;VLOOKUP(B458,'Pay Table'!$M$3:$N$18,2,FALSE)&amp;$BB$3&amp;C458&amp;$BD$3,"")</f>
        <v/>
      </c>
      <c r="BC456" s="1" t="str">
        <f>IFERROR($BC$3&amp;VLOOKUP(D458,'Pay Table'!$M$3:$N$18,2,FALSE)&amp;$BB$3&amp;E458&amp;$BD$3,"")</f>
        <v/>
      </c>
      <c r="BD456" s="1" t="str">
        <f>IFERROR($BC$3&amp;VLOOKUP(F458,'Pay Table'!$M$3:$N$18,2,FALSE)&amp;$BB$3&amp;G458&amp;$BD$3,"")</f>
        <v/>
      </c>
      <c r="BE456" s="1" t="str">
        <f>IFERROR($BC$3&amp;VLOOKUP(H458,'Pay Table'!$M$3:$N$18,2,FALSE)&amp;$BB$3&amp;I458&amp;$BD$3,"")</f>
        <v/>
      </c>
      <c r="BF456" s="27" t="str">
        <f>IFERROR($BC$3&amp;VLOOKUP(J458,'Pay Table'!$M$3:$N$18,2,FALSE)&amp;$BB$3&amp;K458&amp;$BD$3,"")</f>
        <v/>
      </c>
    </row>
    <row r="457" spans="54:58" x14ac:dyDescent="0.15">
      <c r="BB457" s="26" t="str">
        <f>IFERROR($BC$3&amp;VLOOKUP(B459,'Pay Table'!$M$3:$N$18,2,FALSE)&amp;$BB$3&amp;C459&amp;$BD$3,"")</f>
        <v/>
      </c>
      <c r="BC457" s="1" t="str">
        <f>IFERROR($BC$3&amp;VLOOKUP(D459,'Pay Table'!$M$3:$N$18,2,FALSE)&amp;$BB$3&amp;E459&amp;$BD$3,"")</f>
        <v/>
      </c>
      <c r="BD457" s="1" t="str">
        <f>IFERROR($BC$3&amp;VLOOKUP(F459,'Pay Table'!$M$3:$N$18,2,FALSE)&amp;$BB$3&amp;G459&amp;$BD$3,"")</f>
        <v/>
      </c>
      <c r="BE457" s="1" t="str">
        <f>IFERROR($BC$3&amp;VLOOKUP(H459,'Pay Table'!$M$3:$N$18,2,FALSE)&amp;$BB$3&amp;I459&amp;$BD$3,"")</f>
        <v/>
      </c>
      <c r="BF457" s="27" t="str">
        <f>IFERROR($BC$3&amp;VLOOKUP(J459,'Pay Table'!$M$3:$N$18,2,FALSE)&amp;$BB$3&amp;K459&amp;$BD$3,"")</f>
        <v/>
      </c>
    </row>
    <row r="458" spans="54:58" x14ac:dyDescent="0.15">
      <c r="BB458" s="26" t="str">
        <f>IFERROR($BC$3&amp;VLOOKUP(B460,'Pay Table'!$M$3:$N$18,2,FALSE)&amp;$BB$3&amp;C460&amp;$BD$3,"")</f>
        <v/>
      </c>
      <c r="BC458" s="1" t="str">
        <f>IFERROR($BC$3&amp;VLOOKUP(D460,'Pay Table'!$M$3:$N$18,2,FALSE)&amp;$BB$3&amp;E460&amp;$BD$3,"")</f>
        <v/>
      </c>
      <c r="BD458" s="1" t="str">
        <f>IFERROR($BC$3&amp;VLOOKUP(F460,'Pay Table'!$M$3:$N$18,2,FALSE)&amp;$BB$3&amp;G460&amp;$BD$3,"")</f>
        <v/>
      </c>
      <c r="BE458" s="1" t="str">
        <f>IFERROR($BC$3&amp;VLOOKUP(H460,'Pay Table'!$M$3:$N$18,2,FALSE)&amp;$BB$3&amp;I460&amp;$BD$3,"")</f>
        <v/>
      </c>
      <c r="BF458" s="27" t="str">
        <f>IFERROR($BC$3&amp;VLOOKUP(J460,'Pay Table'!$M$3:$N$18,2,FALSE)&amp;$BB$3&amp;K460&amp;$BD$3,"")</f>
        <v/>
      </c>
    </row>
    <row r="459" spans="54:58" x14ac:dyDescent="0.15">
      <c r="BB459" s="26" t="str">
        <f>IFERROR($BC$3&amp;VLOOKUP(B461,'Pay Table'!$M$3:$N$18,2,FALSE)&amp;$BB$3&amp;C461&amp;$BD$3,"")</f>
        <v/>
      </c>
      <c r="BC459" s="1" t="str">
        <f>IFERROR($BC$3&amp;VLOOKUP(D461,'Pay Table'!$M$3:$N$18,2,FALSE)&amp;$BB$3&amp;E461&amp;$BD$3,"")</f>
        <v/>
      </c>
      <c r="BD459" s="1" t="str">
        <f>IFERROR($BC$3&amp;VLOOKUP(F461,'Pay Table'!$M$3:$N$18,2,FALSE)&amp;$BB$3&amp;G461&amp;$BD$3,"")</f>
        <v/>
      </c>
      <c r="BE459" s="1" t="str">
        <f>IFERROR($BC$3&amp;VLOOKUP(H461,'Pay Table'!$M$3:$N$18,2,FALSE)&amp;$BB$3&amp;I461&amp;$BD$3,"")</f>
        <v/>
      </c>
      <c r="BF459" s="27" t="str">
        <f>IFERROR($BC$3&amp;VLOOKUP(J461,'Pay Table'!$M$3:$N$18,2,FALSE)&amp;$BB$3&amp;K461&amp;$BD$3,"")</f>
        <v/>
      </c>
    </row>
    <row r="460" spans="54:58" x14ac:dyDescent="0.15">
      <c r="BB460" s="26" t="str">
        <f>IFERROR($BC$3&amp;VLOOKUP(B462,'Pay Table'!$M$3:$N$18,2,FALSE)&amp;$BB$3&amp;C462&amp;$BD$3,"")</f>
        <v/>
      </c>
      <c r="BC460" s="1" t="str">
        <f>IFERROR($BC$3&amp;VLOOKUP(D462,'Pay Table'!$M$3:$N$18,2,FALSE)&amp;$BB$3&amp;E462&amp;$BD$3,"")</f>
        <v/>
      </c>
      <c r="BD460" s="1" t="str">
        <f>IFERROR($BC$3&amp;VLOOKUP(F462,'Pay Table'!$M$3:$N$18,2,FALSE)&amp;$BB$3&amp;G462&amp;$BD$3,"")</f>
        <v/>
      </c>
      <c r="BE460" s="1" t="str">
        <f>IFERROR($BC$3&amp;VLOOKUP(H462,'Pay Table'!$M$3:$N$18,2,FALSE)&amp;$BB$3&amp;I462&amp;$BD$3,"")</f>
        <v/>
      </c>
      <c r="BF460" s="27" t="str">
        <f>IFERROR($BC$3&amp;VLOOKUP(J462,'Pay Table'!$M$3:$N$18,2,FALSE)&amp;$BB$3&amp;K462&amp;$BD$3,"")</f>
        <v/>
      </c>
    </row>
    <row r="461" spans="54:58" x14ac:dyDescent="0.15">
      <c r="BB461" s="26" t="str">
        <f>IFERROR($BC$3&amp;VLOOKUP(B463,'Pay Table'!$M$3:$N$18,2,FALSE)&amp;$BB$3&amp;C463&amp;$BD$3,"")</f>
        <v/>
      </c>
      <c r="BC461" s="1" t="str">
        <f>IFERROR($BC$3&amp;VLOOKUP(D463,'Pay Table'!$M$3:$N$18,2,FALSE)&amp;$BB$3&amp;E463&amp;$BD$3,"")</f>
        <v/>
      </c>
      <c r="BD461" s="1" t="str">
        <f>IFERROR($BC$3&amp;VLOOKUP(F463,'Pay Table'!$M$3:$N$18,2,FALSE)&amp;$BB$3&amp;G463&amp;$BD$3,"")</f>
        <v/>
      </c>
      <c r="BE461" s="1" t="str">
        <f>IFERROR($BC$3&amp;VLOOKUP(H463,'Pay Table'!$M$3:$N$18,2,FALSE)&amp;$BB$3&amp;I463&amp;$BD$3,"")</f>
        <v/>
      </c>
      <c r="BF461" s="27" t="str">
        <f>IFERROR($BC$3&amp;VLOOKUP(J463,'Pay Table'!$M$3:$N$18,2,FALSE)&amp;$BB$3&amp;K463&amp;$BD$3,"")</f>
        <v/>
      </c>
    </row>
    <row r="462" spans="54:58" x14ac:dyDescent="0.15">
      <c r="BB462" s="26" t="str">
        <f>IFERROR($BC$3&amp;VLOOKUP(B464,'Pay Table'!$M$3:$N$18,2,FALSE)&amp;$BB$3&amp;C464&amp;$BD$3,"")</f>
        <v/>
      </c>
      <c r="BC462" s="1" t="str">
        <f>IFERROR($BC$3&amp;VLOOKUP(D464,'Pay Table'!$M$3:$N$18,2,FALSE)&amp;$BB$3&amp;E464&amp;$BD$3,"")</f>
        <v/>
      </c>
      <c r="BD462" s="1" t="str">
        <f>IFERROR($BC$3&amp;VLOOKUP(F464,'Pay Table'!$M$3:$N$18,2,FALSE)&amp;$BB$3&amp;G464&amp;$BD$3,"")</f>
        <v/>
      </c>
      <c r="BE462" s="1" t="str">
        <f>IFERROR($BC$3&amp;VLOOKUP(H464,'Pay Table'!$M$3:$N$18,2,FALSE)&amp;$BB$3&amp;I464&amp;$BD$3,"")</f>
        <v/>
      </c>
      <c r="BF462" s="27" t="str">
        <f>IFERROR($BC$3&amp;VLOOKUP(J464,'Pay Table'!$M$3:$N$18,2,FALSE)&amp;$BB$3&amp;K464&amp;$BD$3,"")</f>
        <v/>
      </c>
    </row>
    <row r="463" spans="54:58" x14ac:dyDescent="0.15">
      <c r="BB463" s="26" t="str">
        <f>IFERROR($BC$3&amp;VLOOKUP(B465,'Pay Table'!$M$3:$N$18,2,FALSE)&amp;$BB$3&amp;C465&amp;$BD$3,"")</f>
        <v/>
      </c>
      <c r="BC463" s="1" t="str">
        <f>IFERROR($BC$3&amp;VLOOKUP(D465,'Pay Table'!$M$3:$N$18,2,FALSE)&amp;$BB$3&amp;E465&amp;$BD$3,"")</f>
        <v/>
      </c>
      <c r="BD463" s="1" t="str">
        <f>IFERROR($BC$3&amp;VLOOKUP(F465,'Pay Table'!$M$3:$N$18,2,FALSE)&amp;$BB$3&amp;G465&amp;$BD$3,"")</f>
        <v/>
      </c>
      <c r="BE463" s="1" t="str">
        <f>IFERROR($BC$3&amp;VLOOKUP(H465,'Pay Table'!$M$3:$N$18,2,FALSE)&amp;$BB$3&amp;I465&amp;$BD$3,"")</f>
        <v/>
      </c>
      <c r="BF463" s="27" t="str">
        <f>IFERROR($BC$3&amp;VLOOKUP(J465,'Pay Table'!$M$3:$N$18,2,FALSE)&amp;$BB$3&amp;K465&amp;$BD$3,"")</f>
        <v/>
      </c>
    </row>
    <row r="464" spans="54:58" x14ac:dyDescent="0.15">
      <c r="BB464" s="26" t="str">
        <f>IFERROR($BC$3&amp;VLOOKUP(B466,'Pay Table'!$M$3:$N$18,2,FALSE)&amp;$BB$3&amp;C466&amp;$BD$3,"")</f>
        <v/>
      </c>
      <c r="BC464" s="1" t="str">
        <f>IFERROR($BC$3&amp;VLOOKUP(D466,'Pay Table'!$M$3:$N$18,2,FALSE)&amp;$BB$3&amp;E466&amp;$BD$3,"")</f>
        <v/>
      </c>
      <c r="BD464" s="1" t="str">
        <f>IFERROR($BC$3&amp;VLOOKUP(F466,'Pay Table'!$M$3:$N$18,2,FALSE)&amp;$BB$3&amp;G466&amp;$BD$3,"")</f>
        <v/>
      </c>
      <c r="BE464" s="1" t="str">
        <f>IFERROR($BC$3&amp;VLOOKUP(H466,'Pay Table'!$M$3:$N$18,2,FALSE)&amp;$BB$3&amp;I466&amp;$BD$3,"")</f>
        <v/>
      </c>
      <c r="BF464" s="27" t="str">
        <f>IFERROR($BC$3&amp;VLOOKUP(J466,'Pay Table'!$M$3:$N$18,2,FALSE)&amp;$BB$3&amp;K466&amp;$BD$3,"")</f>
        <v/>
      </c>
    </row>
    <row r="465" spans="54:58" x14ac:dyDescent="0.15">
      <c r="BB465" s="26" t="str">
        <f>IFERROR($BC$3&amp;VLOOKUP(B467,'Pay Table'!$M$3:$N$18,2,FALSE)&amp;$BB$3&amp;C467&amp;$BD$3,"")</f>
        <v/>
      </c>
      <c r="BC465" s="1" t="str">
        <f>IFERROR($BC$3&amp;VLOOKUP(D467,'Pay Table'!$M$3:$N$18,2,FALSE)&amp;$BB$3&amp;E467&amp;$BD$3,"")</f>
        <v/>
      </c>
      <c r="BD465" s="1" t="str">
        <f>IFERROR($BC$3&amp;VLOOKUP(F467,'Pay Table'!$M$3:$N$18,2,FALSE)&amp;$BB$3&amp;G467&amp;$BD$3,"")</f>
        <v/>
      </c>
      <c r="BE465" s="1" t="str">
        <f>IFERROR($BC$3&amp;VLOOKUP(H467,'Pay Table'!$M$3:$N$18,2,FALSE)&amp;$BB$3&amp;I467&amp;$BD$3,"")</f>
        <v/>
      </c>
      <c r="BF465" s="27" t="str">
        <f>IFERROR($BC$3&amp;VLOOKUP(J467,'Pay Table'!$M$3:$N$18,2,FALSE)&amp;$BB$3&amp;K467&amp;$BD$3,"")</f>
        <v/>
      </c>
    </row>
    <row r="466" spans="54:58" x14ac:dyDescent="0.15">
      <c r="BB466" s="26" t="str">
        <f>IFERROR($BC$3&amp;VLOOKUP(B468,'Pay Table'!$M$3:$N$18,2,FALSE)&amp;$BB$3&amp;C468&amp;$BD$3,"")</f>
        <v/>
      </c>
      <c r="BC466" s="1" t="str">
        <f>IFERROR($BC$3&amp;VLOOKUP(D468,'Pay Table'!$M$3:$N$18,2,FALSE)&amp;$BB$3&amp;E468&amp;$BD$3,"")</f>
        <v/>
      </c>
      <c r="BD466" s="1" t="str">
        <f>IFERROR($BC$3&amp;VLOOKUP(F468,'Pay Table'!$M$3:$N$18,2,FALSE)&amp;$BB$3&amp;G468&amp;$BD$3,"")</f>
        <v/>
      </c>
      <c r="BE466" s="1" t="str">
        <f>IFERROR($BC$3&amp;VLOOKUP(H468,'Pay Table'!$M$3:$N$18,2,FALSE)&amp;$BB$3&amp;I468&amp;$BD$3,"")</f>
        <v/>
      </c>
      <c r="BF466" s="27" t="str">
        <f>IFERROR($BC$3&amp;VLOOKUP(J468,'Pay Table'!$M$3:$N$18,2,FALSE)&amp;$BB$3&amp;K468&amp;$BD$3,"")</f>
        <v/>
      </c>
    </row>
    <row r="467" spans="54:58" x14ac:dyDescent="0.15">
      <c r="BB467" s="26" t="str">
        <f>IFERROR($BC$3&amp;VLOOKUP(B469,'Pay Table'!$M$3:$N$18,2,FALSE)&amp;$BB$3&amp;C469&amp;$BD$3,"")</f>
        <v/>
      </c>
      <c r="BC467" s="1" t="str">
        <f>IFERROR($BC$3&amp;VLOOKUP(D469,'Pay Table'!$M$3:$N$18,2,FALSE)&amp;$BB$3&amp;E469&amp;$BD$3,"")</f>
        <v/>
      </c>
      <c r="BD467" s="1" t="str">
        <f>IFERROR($BC$3&amp;VLOOKUP(F469,'Pay Table'!$M$3:$N$18,2,FALSE)&amp;$BB$3&amp;G469&amp;$BD$3,"")</f>
        <v/>
      </c>
      <c r="BE467" s="1" t="str">
        <f>IFERROR($BC$3&amp;VLOOKUP(H469,'Pay Table'!$M$3:$N$18,2,FALSE)&amp;$BB$3&amp;I469&amp;$BD$3,"")</f>
        <v/>
      </c>
      <c r="BF467" s="27" t="str">
        <f>IFERROR($BC$3&amp;VLOOKUP(J469,'Pay Table'!$M$3:$N$18,2,FALSE)&amp;$BB$3&amp;K469&amp;$BD$3,"")</f>
        <v/>
      </c>
    </row>
    <row r="468" spans="54:58" x14ac:dyDescent="0.15">
      <c r="BB468" s="26" t="str">
        <f>IFERROR($BC$3&amp;VLOOKUP(B470,'Pay Table'!$M$3:$N$18,2,FALSE)&amp;$BB$3&amp;C470&amp;$BD$3,"")</f>
        <v/>
      </c>
      <c r="BC468" s="1" t="str">
        <f>IFERROR($BC$3&amp;VLOOKUP(D470,'Pay Table'!$M$3:$N$18,2,FALSE)&amp;$BB$3&amp;E470&amp;$BD$3,"")</f>
        <v/>
      </c>
      <c r="BD468" s="1" t="str">
        <f>IFERROR($BC$3&amp;VLOOKUP(F470,'Pay Table'!$M$3:$N$18,2,FALSE)&amp;$BB$3&amp;G470&amp;$BD$3,"")</f>
        <v/>
      </c>
      <c r="BE468" s="1" t="str">
        <f>IFERROR($BC$3&amp;VLOOKUP(H470,'Pay Table'!$M$3:$N$18,2,FALSE)&amp;$BB$3&amp;I470&amp;$BD$3,"")</f>
        <v/>
      </c>
      <c r="BF468" s="27" t="str">
        <f>IFERROR($BC$3&amp;VLOOKUP(J470,'Pay Table'!$M$3:$N$18,2,FALSE)&amp;$BB$3&amp;K470&amp;$BD$3,"")</f>
        <v/>
      </c>
    </row>
    <row r="469" spans="54:58" x14ac:dyDescent="0.15">
      <c r="BB469" s="26" t="str">
        <f>IFERROR($BC$3&amp;VLOOKUP(B471,'Pay Table'!$M$3:$N$18,2,FALSE)&amp;$BB$3&amp;C471&amp;$BD$3,"")</f>
        <v/>
      </c>
      <c r="BC469" s="1" t="str">
        <f>IFERROR($BC$3&amp;VLOOKUP(D471,'Pay Table'!$M$3:$N$18,2,FALSE)&amp;$BB$3&amp;E471&amp;$BD$3,"")</f>
        <v/>
      </c>
      <c r="BD469" s="1" t="str">
        <f>IFERROR($BC$3&amp;VLOOKUP(F471,'Pay Table'!$M$3:$N$18,2,FALSE)&amp;$BB$3&amp;G471&amp;$BD$3,"")</f>
        <v/>
      </c>
      <c r="BE469" s="1" t="str">
        <f>IFERROR($BC$3&amp;VLOOKUP(H471,'Pay Table'!$M$3:$N$18,2,FALSE)&amp;$BB$3&amp;I471&amp;$BD$3,"")</f>
        <v/>
      </c>
      <c r="BF469" s="27" t="str">
        <f>IFERROR($BC$3&amp;VLOOKUP(J471,'Pay Table'!$M$3:$N$18,2,FALSE)&amp;$BB$3&amp;K471&amp;$BD$3,"")</f>
        <v/>
      </c>
    </row>
    <row r="470" spans="54:58" x14ac:dyDescent="0.15">
      <c r="BB470" s="26" t="str">
        <f>IFERROR($BC$3&amp;VLOOKUP(B472,'Pay Table'!$M$3:$N$18,2,FALSE)&amp;$BB$3&amp;C472&amp;$BD$3,"")</f>
        <v/>
      </c>
      <c r="BC470" s="1" t="str">
        <f>IFERROR($BC$3&amp;VLOOKUP(D472,'Pay Table'!$M$3:$N$18,2,FALSE)&amp;$BB$3&amp;E472&amp;$BD$3,"")</f>
        <v/>
      </c>
      <c r="BD470" s="1" t="str">
        <f>IFERROR($BC$3&amp;VLOOKUP(F472,'Pay Table'!$M$3:$N$18,2,FALSE)&amp;$BB$3&amp;G472&amp;$BD$3,"")</f>
        <v/>
      </c>
      <c r="BE470" s="1" t="str">
        <f>IFERROR($BC$3&amp;VLOOKUP(H472,'Pay Table'!$M$3:$N$18,2,FALSE)&amp;$BB$3&amp;I472&amp;$BD$3,"")</f>
        <v/>
      </c>
      <c r="BF470" s="27" t="str">
        <f>IFERROR($BC$3&amp;VLOOKUP(J472,'Pay Table'!$M$3:$N$18,2,FALSE)&amp;$BB$3&amp;K472&amp;$BD$3,"")</f>
        <v/>
      </c>
    </row>
    <row r="471" spans="54:58" x14ac:dyDescent="0.15">
      <c r="BB471" s="26" t="str">
        <f>IFERROR($BC$3&amp;VLOOKUP(B473,'Pay Table'!$M$3:$N$18,2,FALSE)&amp;$BB$3&amp;C473&amp;$BD$3,"")</f>
        <v/>
      </c>
      <c r="BC471" s="1" t="str">
        <f>IFERROR($BC$3&amp;VLOOKUP(D473,'Pay Table'!$M$3:$N$18,2,FALSE)&amp;$BB$3&amp;E473&amp;$BD$3,"")</f>
        <v/>
      </c>
      <c r="BD471" s="1" t="str">
        <f>IFERROR($BC$3&amp;VLOOKUP(F473,'Pay Table'!$M$3:$N$18,2,FALSE)&amp;$BB$3&amp;G473&amp;$BD$3,"")</f>
        <v/>
      </c>
      <c r="BE471" s="1" t="str">
        <f>IFERROR($BC$3&amp;VLOOKUP(H473,'Pay Table'!$M$3:$N$18,2,FALSE)&amp;$BB$3&amp;I473&amp;$BD$3,"")</f>
        <v/>
      </c>
      <c r="BF471" s="27" t="str">
        <f>IFERROR($BC$3&amp;VLOOKUP(J473,'Pay Table'!$M$3:$N$18,2,FALSE)&amp;$BB$3&amp;K473&amp;$BD$3,"")</f>
        <v/>
      </c>
    </row>
    <row r="472" spans="54:58" x14ac:dyDescent="0.15">
      <c r="BB472" s="26" t="str">
        <f>IFERROR($BC$3&amp;VLOOKUP(B474,'Pay Table'!$M$3:$N$18,2,FALSE)&amp;$BB$3&amp;C474&amp;$BD$3,"")</f>
        <v/>
      </c>
      <c r="BC472" s="1" t="str">
        <f>IFERROR($BC$3&amp;VLOOKUP(D474,'Pay Table'!$M$3:$N$18,2,FALSE)&amp;$BB$3&amp;E474&amp;$BD$3,"")</f>
        <v/>
      </c>
      <c r="BD472" s="1" t="str">
        <f>IFERROR($BC$3&amp;VLOOKUP(F474,'Pay Table'!$M$3:$N$18,2,FALSE)&amp;$BB$3&amp;G474&amp;$BD$3,"")</f>
        <v/>
      </c>
      <c r="BE472" s="1" t="str">
        <f>IFERROR($BC$3&amp;VLOOKUP(H474,'Pay Table'!$M$3:$N$18,2,FALSE)&amp;$BB$3&amp;I474&amp;$BD$3,"")</f>
        <v/>
      </c>
      <c r="BF472" s="27" t="str">
        <f>IFERROR($BC$3&amp;VLOOKUP(J474,'Pay Table'!$M$3:$N$18,2,FALSE)&amp;$BB$3&amp;K474&amp;$BD$3,"")</f>
        <v/>
      </c>
    </row>
    <row r="473" spans="54:58" x14ac:dyDescent="0.15">
      <c r="BB473" s="26" t="str">
        <f>IFERROR($BC$3&amp;VLOOKUP(B475,'Pay Table'!$M$3:$N$18,2,FALSE)&amp;$BB$3&amp;C475&amp;$BD$3,"")</f>
        <v/>
      </c>
      <c r="BC473" s="1" t="str">
        <f>IFERROR($BC$3&amp;VLOOKUP(D475,'Pay Table'!$M$3:$N$18,2,FALSE)&amp;$BB$3&amp;E475&amp;$BD$3,"")</f>
        <v/>
      </c>
      <c r="BD473" s="1" t="str">
        <f>IFERROR($BC$3&amp;VLOOKUP(F475,'Pay Table'!$M$3:$N$18,2,FALSE)&amp;$BB$3&amp;G475&amp;$BD$3,"")</f>
        <v/>
      </c>
      <c r="BE473" s="1" t="str">
        <f>IFERROR($BC$3&amp;VLOOKUP(H475,'Pay Table'!$M$3:$N$18,2,FALSE)&amp;$BB$3&amp;I475&amp;$BD$3,"")</f>
        <v/>
      </c>
      <c r="BF473" s="27" t="str">
        <f>IFERROR($BC$3&amp;VLOOKUP(J475,'Pay Table'!$M$3:$N$18,2,FALSE)&amp;$BB$3&amp;K475&amp;$BD$3,"")</f>
        <v/>
      </c>
    </row>
    <row r="474" spans="54:58" x14ac:dyDescent="0.15">
      <c r="BB474" s="26" t="str">
        <f>IFERROR($BC$3&amp;VLOOKUP(B476,'Pay Table'!$M$3:$N$18,2,FALSE)&amp;$BB$3&amp;C476&amp;$BD$3,"")</f>
        <v/>
      </c>
      <c r="BC474" s="1" t="str">
        <f>IFERROR($BC$3&amp;VLOOKUP(D476,'Pay Table'!$M$3:$N$18,2,FALSE)&amp;$BB$3&amp;E476&amp;$BD$3,"")</f>
        <v/>
      </c>
      <c r="BD474" s="1" t="str">
        <f>IFERROR($BC$3&amp;VLOOKUP(F476,'Pay Table'!$M$3:$N$18,2,FALSE)&amp;$BB$3&amp;G476&amp;$BD$3,"")</f>
        <v/>
      </c>
      <c r="BE474" s="1" t="str">
        <f>IFERROR($BC$3&amp;VLOOKUP(H476,'Pay Table'!$M$3:$N$18,2,FALSE)&amp;$BB$3&amp;I476&amp;$BD$3,"")</f>
        <v/>
      </c>
      <c r="BF474" s="27" t="str">
        <f>IFERROR($BC$3&amp;VLOOKUP(J476,'Pay Table'!$M$3:$N$18,2,FALSE)&amp;$BB$3&amp;K476&amp;$BD$3,"")</f>
        <v/>
      </c>
    </row>
    <row r="475" spans="54:58" x14ac:dyDescent="0.15">
      <c r="BB475" s="26" t="str">
        <f>IFERROR($BC$3&amp;VLOOKUP(B477,'Pay Table'!$M$3:$N$18,2,FALSE)&amp;$BB$3&amp;C477&amp;$BD$3,"")</f>
        <v/>
      </c>
      <c r="BC475" s="1" t="str">
        <f>IFERROR($BC$3&amp;VLOOKUP(D477,'Pay Table'!$M$3:$N$18,2,FALSE)&amp;$BB$3&amp;E477&amp;$BD$3,"")</f>
        <v/>
      </c>
      <c r="BD475" s="1" t="str">
        <f>IFERROR($BC$3&amp;VLOOKUP(F477,'Pay Table'!$M$3:$N$18,2,FALSE)&amp;$BB$3&amp;G477&amp;$BD$3,"")</f>
        <v/>
      </c>
      <c r="BE475" s="1" t="str">
        <f>IFERROR($BC$3&amp;VLOOKUP(H477,'Pay Table'!$M$3:$N$18,2,FALSE)&amp;$BB$3&amp;I477&amp;$BD$3,"")</f>
        <v/>
      </c>
      <c r="BF475" s="27" t="str">
        <f>IFERROR($BC$3&amp;VLOOKUP(J477,'Pay Table'!$M$3:$N$18,2,FALSE)&amp;$BB$3&amp;K477&amp;$BD$3,"")</f>
        <v/>
      </c>
    </row>
    <row r="476" spans="54:58" x14ac:dyDescent="0.15">
      <c r="BB476" s="26" t="str">
        <f>IFERROR($BC$3&amp;VLOOKUP(B478,'Pay Table'!$M$3:$N$18,2,FALSE)&amp;$BB$3&amp;C478&amp;$BD$3,"")</f>
        <v/>
      </c>
      <c r="BC476" s="1" t="str">
        <f>IFERROR($BC$3&amp;VLOOKUP(D478,'Pay Table'!$M$3:$N$18,2,FALSE)&amp;$BB$3&amp;E478&amp;$BD$3,"")</f>
        <v/>
      </c>
      <c r="BD476" s="1" t="str">
        <f>IFERROR($BC$3&amp;VLOOKUP(F478,'Pay Table'!$M$3:$N$18,2,FALSE)&amp;$BB$3&amp;G478&amp;$BD$3,"")</f>
        <v/>
      </c>
      <c r="BE476" s="1" t="str">
        <f>IFERROR($BC$3&amp;VLOOKUP(H478,'Pay Table'!$M$3:$N$18,2,FALSE)&amp;$BB$3&amp;I478&amp;$BD$3,"")</f>
        <v/>
      </c>
      <c r="BF476" s="27" t="str">
        <f>IFERROR($BC$3&amp;VLOOKUP(J478,'Pay Table'!$M$3:$N$18,2,FALSE)&amp;$BB$3&amp;K478&amp;$BD$3,"")</f>
        <v/>
      </c>
    </row>
    <row r="477" spans="54:58" x14ac:dyDescent="0.15">
      <c r="BB477" s="26" t="str">
        <f>IFERROR($BC$3&amp;VLOOKUP(B479,'Pay Table'!$M$3:$N$18,2,FALSE)&amp;$BB$3&amp;C479&amp;$BD$3,"")</f>
        <v/>
      </c>
      <c r="BC477" s="1" t="str">
        <f>IFERROR($BC$3&amp;VLOOKUP(D479,'Pay Table'!$M$3:$N$18,2,FALSE)&amp;$BB$3&amp;E479&amp;$BD$3,"")</f>
        <v/>
      </c>
      <c r="BD477" s="1" t="str">
        <f>IFERROR($BC$3&amp;VLOOKUP(F479,'Pay Table'!$M$3:$N$18,2,FALSE)&amp;$BB$3&amp;G479&amp;$BD$3,"")</f>
        <v/>
      </c>
      <c r="BE477" s="1" t="str">
        <f>IFERROR($BC$3&amp;VLOOKUP(H479,'Pay Table'!$M$3:$N$18,2,FALSE)&amp;$BB$3&amp;I479&amp;$BD$3,"")</f>
        <v/>
      </c>
      <c r="BF477" s="27" t="str">
        <f>IFERROR($BC$3&amp;VLOOKUP(J479,'Pay Table'!$M$3:$N$18,2,FALSE)&amp;$BB$3&amp;K479&amp;$BD$3,"")</f>
        <v/>
      </c>
    </row>
    <row r="478" spans="54:58" x14ac:dyDescent="0.15">
      <c r="BB478" s="26" t="str">
        <f>IFERROR($BC$3&amp;VLOOKUP(B480,'Pay Table'!$M$3:$N$18,2,FALSE)&amp;$BB$3&amp;C480&amp;$BD$3,"")</f>
        <v/>
      </c>
      <c r="BC478" s="1" t="str">
        <f>IFERROR($BC$3&amp;VLOOKUP(D480,'Pay Table'!$M$3:$N$18,2,FALSE)&amp;$BB$3&amp;E480&amp;$BD$3,"")</f>
        <v/>
      </c>
      <c r="BD478" s="1" t="str">
        <f>IFERROR($BC$3&amp;VLOOKUP(F480,'Pay Table'!$M$3:$N$18,2,FALSE)&amp;$BB$3&amp;G480&amp;$BD$3,"")</f>
        <v/>
      </c>
      <c r="BE478" s="1" t="str">
        <f>IFERROR($BC$3&amp;VLOOKUP(H480,'Pay Table'!$M$3:$N$18,2,FALSE)&amp;$BB$3&amp;I480&amp;$BD$3,"")</f>
        <v/>
      </c>
      <c r="BF478" s="27" t="str">
        <f>IFERROR($BC$3&amp;VLOOKUP(J480,'Pay Table'!$M$3:$N$18,2,FALSE)&amp;$BB$3&amp;K480&amp;$BD$3,"")</f>
        <v/>
      </c>
    </row>
    <row r="479" spans="54:58" x14ac:dyDescent="0.15">
      <c r="BB479" s="26" t="str">
        <f>IFERROR($BC$3&amp;VLOOKUP(B481,'Pay Table'!$M$3:$N$18,2,FALSE)&amp;$BB$3&amp;C481&amp;$BD$3,"")</f>
        <v/>
      </c>
      <c r="BC479" s="1" t="str">
        <f>IFERROR($BC$3&amp;VLOOKUP(D481,'Pay Table'!$M$3:$N$18,2,FALSE)&amp;$BB$3&amp;E481&amp;$BD$3,"")</f>
        <v/>
      </c>
      <c r="BD479" s="1" t="str">
        <f>IFERROR($BC$3&amp;VLOOKUP(F481,'Pay Table'!$M$3:$N$18,2,FALSE)&amp;$BB$3&amp;G481&amp;$BD$3,"")</f>
        <v/>
      </c>
      <c r="BE479" s="1" t="str">
        <f>IFERROR($BC$3&amp;VLOOKUP(H481,'Pay Table'!$M$3:$N$18,2,FALSE)&amp;$BB$3&amp;I481&amp;$BD$3,"")</f>
        <v/>
      </c>
      <c r="BF479" s="27" t="str">
        <f>IFERROR($BC$3&amp;VLOOKUP(J481,'Pay Table'!$M$3:$N$18,2,FALSE)&amp;$BB$3&amp;K481&amp;$BD$3,"")</f>
        <v/>
      </c>
    </row>
    <row r="480" spans="54:58" x14ac:dyDescent="0.15">
      <c r="BB480" s="26" t="str">
        <f>IFERROR($BC$3&amp;VLOOKUP(B482,'Pay Table'!$M$3:$N$18,2,FALSE)&amp;$BB$3&amp;C482&amp;$BD$3,"")</f>
        <v/>
      </c>
      <c r="BC480" s="1" t="str">
        <f>IFERROR($BC$3&amp;VLOOKUP(D482,'Pay Table'!$M$3:$N$18,2,FALSE)&amp;$BB$3&amp;E482&amp;$BD$3,"")</f>
        <v/>
      </c>
      <c r="BD480" s="1" t="str">
        <f>IFERROR($BC$3&amp;VLOOKUP(F482,'Pay Table'!$M$3:$N$18,2,FALSE)&amp;$BB$3&amp;G482&amp;$BD$3,"")</f>
        <v/>
      </c>
      <c r="BE480" s="1" t="str">
        <f>IFERROR($BC$3&amp;VLOOKUP(H482,'Pay Table'!$M$3:$N$18,2,FALSE)&amp;$BB$3&amp;I482&amp;$BD$3,"")</f>
        <v/>
      </c>
      <c r="BF480" s="27" t="str">
        <f>IFERROR($BC$3&amp;VLOOKUP(J482,'Pay Table'!$M$3:$N$18,2,FALSE)&amp;$BB$3&amp;K482&amp;$BD$3,"")</f>
        <v/>
      </c>
    </row>
    <row r="481" spans="54:58" x14ac:dyDescent="0.15">
      <c r="BB481" s="26" t="str">
        <f>IFERROR($BC$3&amp;VLOOKUP(B483,'Pay Table'!$M$3:$N$18,2,FALSE)&amp;$BB$3&amp;C483&amp;$BD$3,"")</f>
        <v/>
      </c>
      <c r="BC481" s="1" t="str">
        <f>IFERROR($BC$3&amp;VLOOKUP(D483,'Pay Table'!$M$3:$N$18,2,FALSE)&amp;$BB$3&amp;E483&amp;$BD$3,"")</f>
        <v/>
      </c>
      <c r="BD481" s="1" t="str">
        <f>IFERROR($BC$3&amp;VLOOKUP(F483,'Pay Table'!$M$3:$N$18,2,FALSE)&amp;$BB$3&amp;G483&amp;$BD$3,"")</f>
        <v/>
      </c>
      <c r="BE481" s="1" t="str">
        <f>IFERROR($BC$3&amp;VLOOKUP(H483,'Pay Table'!$M$3:$N$18,2,FALSE)&amp;$BB$3&amp;I483&amp;$BD$3,"")</f>
        <v/>
      </c>
      <c r="BF481" s="27" t="str">
        <f>IFERROR($BC$3&amp;VLOOKUP(J483,'Pay Table'!$M$3:$N$18,2,FALSE)&amp;$BB$3&amp;K483&amp;$BD$3,"")</f>
        <v/>
      </c>
    </row>
    <row r="482" spans="54:58" x14ac:dyDescent="0.15">
      <c r="BB482" s="26" t="str">
        <f>IFERROR($BC$3&amp;VLOOKUP(B484,'Pay Table'!$M$3:$N$18,2,FALSE)&amp;$BB$3&amp;C484&amp;$BD$3,"")</f>
        <v/>
      </c>
      <c r="BC482" s="1" t="str">
        <f>IFERROR($BC$3&amp;VLOOKUP(D484,'Pay Table'!$M$3:$N$18,2,FALSE)&amp;$BB$3&amp;E484&amp;$BD$3,"")</f>
        <v/>
      </c>
      <c r="BD482" s="1" t="str">
        <f>IFERROR($BC$3&amp;VLOOKUP(F484,'Pay Table'!$M$3:$N$18,2,FALSE)&amp;$BB$3&amp;G484&amp;$BD$3,"")</f>
        <v/>
      </c>
      <c r="BE482" s="1" t="str">
        <f>IFERROR($BC$3&amp;VLOOKUP(H484,'Pay Table'!$M$3:$N$18,2,FALSE)&amp;$BB$3&amp;I484&amp;$BD$3,"")</f>
        <v/>
      </c>
      <c r="BF482" s="27" t="str">
        <f>IFERROR($BC$3&amp;VLOOKUP(J484,'Pay Table'!$M$3:$N$18,2,FALSE)&amp;$BB$3&amp;K484&amp;$BD$3,"")</f>
        <v/>
      </c>
    </row>
    <row r="483" spans="54:58" x14ac:dyDescent="0.15">
      <c r="BB483" s="26" t="str">
        <f>IFERROR($BC$3&amp;VLOOKUP(B485,'Pay Table'!$M$3:$N$18,2,FALSE)&amp;$BB$3&amp;C485&amp;$BD$3,"")</f>
        <v/>
      </c>
      <c r="BC483" s="1" t="str">
        <f>IFERROR($BC$3&amp;VLOOKUP(D485,'Pay Table'!$M$3:$N$18,2,FALSE)&amp;$BB$3&amp;E485&amp;$BD$3,"")</f>
        <v/>
      </c>
      <c r="BD483" s="1" t="str">
        <f>IFERROR($BC$3&amp;VLOOKUP(F485,'Pay Table'!$M$3:$N$18,2,FALSE)&amp;$BB$3&amp;G485&amp;$BD$3,"")</f>
        <v/>
      </c>
      <c r="BE483" s="1" t="str">
        <f>IFERROR($BC$3&amp;VLOOKUP(H485,'Pay Table'!$M$3:$N$18,2,FALSE)&amp;$BB$3&amp;I485&amp;$BD$3,"")</f>
        <v/>
      </c>
      <c r="BF483" s="27" t="str">
        <f>IFERROR($BC$3&amp;VLOOKUP(J485,'Pay Table'!$M$3:$N$18,2,FALSE)&amp;$BB$3&amp;K485&amp;$BD$3,"")</f>
        <v/>
      </c>
    </row>
    <row r="484" spans="54:58" x14ac:dyDescent="0.15">
      <c r="BB484" s="26" t="str">
        <f>IFERROR($BC$3&amp;VLOOKUP(B486,'Pay Table'!$M$3:$N$18,2,FALSE)&amp;$BB$3&amp;C486&amp;$BD$3,"")</f>
        <v/>
      </c>
      <c r="BC484" s="1" t="str">
        <f>IFERROR($BC$3&amp;VLOOKUP(D486,'Pay Table'!$M$3:$N$18,2,FALSE)&amp;$BB$3&amp;E486&amp;$BD$3,"")</f>
        <v/>
      </c>
      <c r="BD484" s="1" t="str">
        <f>IFERROR($BC$3&amp;VLOOKUP(F486,'Pay Table'!$M$3:$N$18,2,FALSE)&amp;$BB$3&amp;G486&amp;$BD$3,"")</f>
        <v/>
      </c>
      <c r="BE484" s="1" t="str">
        <f>IFERROR($BC$3&amp;VLOOKUP(H486,'Pay Table'!$M$3:$N$18,2,FALSE)&amp;$BB$3&amp;I486&amp;$BD$3,"")</f>
        <v/>
      </c>
      <c r="BF484" s="27" t="str">
        <f>IFERROR($BC$3&amp;VLOOKUP(J486,'Pay Table'!$M$3:$N$18,2,FALSE)&amp;$BB$3&amp;K486&amp;$BD$3,"")</f>
        <v/>
      </c>
    </row>
    <row r="485" spans="54:58" x14ac:dyDescent="0.15">
      <c r="BB485" s="26" t="str">
        <f>IFERROR($BC$3&amp;VLOOKUP(B487,'Pay Table'!$M$3:$N$18,2,FALSE)&amp;$BB$3&amp;C487&amp;$BD$3,"")</f>
        <v/>
      </c>
      <c r="BC485" s="1" t="str">
        <f>IFERROR($BC$3&amp;VLOOKUP(D487,'Pay Table'!$M$3:$N$18,2,FALSE)&amp;$BB$3&amp;E487&amp;$BD$3,"")</f>
        <v/>
      </c>
      <c r="BD485" s="1" t="str">
        <f>IFERROR($BC$3&amp;VLOOKUP(F487,'Pay Table'!$M$3:$N$18,2,FALSE)&amp;$BB$3&amp;G487&amp;$BD$3,"")</f>
        <v/>
      </c>
      <c r="BE485" s="1" t="str">
        <f>IFERROR($BC$3&amp;VLOOKUP(H487,'Pay Table'!$M$3:$N$18,2,FALSE)&amp;$BB$3&amp;I487&amp;$BD$3,"")</f>
        <v/>
      </c>
      <c r="BF485" s="27" t="str">
        <f>IFERROR($BC$3&amp;VLOOKUP(J487,'Pay Table'!$M$3:$N$18,2,FALSE)&amp;$BB$3&amp;K487&amp;$BD$3,"")</f>
        <v/>
      </c>
    </row>
    <row r="486" spans="54:58" x14ac:dyDescent="0.15">
      <c r="BB486" s="26" t="str">
        <f>IFERROR($BC$3&amp;VLOOKUP(B488,'Pay Table'!$M$3:$N$18,2,FALSE)&amp;$BB$3&amp;C488&amp;$BD$3,"")</f>
        <v/>
      </c>
      <c r="BC486" s="1" t="str">
        <f>IFERROR($BC$3&amp;VLOOKUP(D488,'Pay Table'!$M$3:$N$18,2,FALSE)&amp;$BB$3&amp;E488&amp;$BD$3,"")</f>
        <v/>
      </c>
      <c r="BD486" s="1" t="str">
        <f>IFERROR($BC$3&amp;VLOOKUP(F488,'Pay Table'!$M$3:$N$18,2,FALSE)&amp;$BB$3&amp;G488&amp;$BD$3,"")</f>
        <v/>
      </c>
      <c r="BE486" s="1" t="str">
        <f>IFERROR($BC$3&amp;VLOOKUP(H488,'Pay Table'!$M$3:$N$18,2,FALSE)&amp;$BB$3&amp;I488&amp;$BD$3,"")</f>
        <v/>
      </c>
      <c r="BF486" s="27" t="str">
        <f>IFERROR($BC$3&amp;VLOOKUP(J488,'Pay Table'!$M$3:$N$18,2,FALSE)&amp;$BB$3&amp;K488&amp;$BD$3,"")</f>
        <v/>
      </c>
    </row>
    <row r="487" spans="54:58" x14ac:dyDescent="0.15">
      <c r="BB487" s="26" t="str">
        <f>IFERROR($BC$3&amp;VLOOKUP(B489,'Pay Table'!$M$3:$N$18,2,FALSE)&amp;$BB$3&amp;C489&amp;$BD$3,"")</f>
        <v/>
      </c>
      <c r="BC487" s="1" t="str">
        <f>IFERROR($BC$3&amp;VLOOKUP(D489,'Pay Table'!$M$3:$N$18,2,FALSE)&amp;$BB$3&amp;E489&amp;$BD$3,"")</f>
        <v/>
      </c>
      <c r="BD487" s="1" t="str">
        <f>IFERROR($BC$3&amp;VLOOKUP(F489,'Pay Table'!$M$3:$N$18,2,FALSE)&amp;$BB$3&amp;G489&amp;$BD$3,"")</f>
        <v/>
      </c>
      <c r="BE487" s="1" t="str">
        <f>IFERROR($BC$3&amp;VLOOKUP(H489,'Pay Table'!$M$3:$N$18,2,FALSE)&amp;$BB$3&amp;I489&amp;$BD$3,"")</f>
        <v/>
      </c>
      <c r="BF487" s="27" t="str">
        <f>IFERROR($BC$3&amp;VLOOKUP(J489,'Pay Table'!$M$3:$N$18,2,FALSE)&amp;$BB$3&amp;K489&amp;$BD$3,"")</f>
        <v/>
      </c>
    </row>
    <row r="488" spans="54:58" x14ac:dyDescent="0.15">
      <c r="BB488" s="26" t="str">
        <f>IFERROR($BC$3&amp;VLOOKUP(B490,'Pay Table'!$M$3:$N$18,2,FALSE)&amp;$BB$3&amp;C490&amp;$BD$3,"")</f>
        <v/>
      </c>
      <c r="BC488" s="1" t="str">
        <f>IFERROR($BC$3&amp;VLOOKUP(D490,'Pay Table'!$M$3:$N$18,2,FALSE)&amp;$BB$3&amp;E490&amp;$BD$3,"")</f>
        <v/>
      </c>
      <c r="BD488" s="1" t="str">
        <f>IFERROR($BC$3&amp;VLOOKUP(F490,'Pay Table'!$M$3:$N$18,2,FALSE)&amp;$BB$3&amp;G490&amp;$BD$3,"")</f>
        <v/>
      </c>
      <c r="BE488" s="1" t="str">
        <f>IFERROR($BC$3&amp;VLOOKUP(H490,'Pay Table'!$M$3:$N$18,2,FALSE)&amp;$BB$3&amp;I490&amp;$BD$3,"")</f>
        <v/>
      </c>
      <c r="BF488" s="27" t="str">
        <f>IFERROR($BC$3&amp;VLOOKUP(J490,'Pay Table'!$M$3:$N$18,2,FALSE)&amp;$BB$3&amp;K490&amp;$BD$3,"")</f>
        <v/>
      </c>
    </row>
    <row r="489" spans="54:58" x14ac:dyDescent="0.15">
      <c r="BB489" s="26" t="str">
        <f>IFERROR($BC$3&amp;VLOOKUP(B491,'Pay Table'!$M$3:$N$18,2,FALSE)&amp;$BB$3&amp;C491&amp;$BD$3,"")</f>
        <v/>
      </c>
      <c r="BC489" s="1" t="str">
        <f>IFERROR($BC$3&amp;VLOOKUP(D491,'Pay Table'!$M$3:$N$18,2,FALSE)&amp;$BB$3&amp;E491&amp;$BD$3,"")</f>
        <v/>
      </c>
      <c r="BD489" s="1" t="str">
        <f>IFERROR($BC$3&amp;VLOOKUP(F491,'Pay Table'!$M$3:$N$18,2,FALSE)&amp;$BB$3&amp;G491&amp;$BD$3,"")</f>
        <v/>
      </c>
      <c r="BE489" s="1" t="str">
        <f>IFERROR($BC$3&amp;VLOOKUP(H491,'Pay Table'!$M$3:$N$18,2,FALSE)&amp;$BB$3&amp;I491&amp;$BD$3,"")</f>
        <v/>
      </c>
      <c r="BF489" s="27" t="str">
        <f>IFERROR($BC$3&amp;VLOOKUP(J491,'Pay Table'!$M$3:$N$18,2,FALSE)&amp;$BB$3&amp;K491&amp;$BD$3,"")</f>
        <v/>
      </c>
    </row>
    <row r="490" spans="54:58" x14ac:dyDescent="0.15">
      <c r="BB490" s="26" t="str">
        <f>IFERROR($BC$3&amp;VLOOKUP(B492,'Pay Table'!$M$3:$N$18,2,FALSE)&amp;$BB$3&amp;C492&amp;$BD$3,"")</f>
        <v/>
      </c>
      <c r="BC490" s="1" t="str">
        <f>IFERROR($BC$3&amp;VLOOKUP(D492,'Pay Table'!$M$3:$N$18,2,FALSE)&amp;$BB$3&amp;E492&amp;$BD$3,"")</f>
        <v/>
      </c>
      <c r="BD490" s="1" t="str">
        <f>IFERROR($BC$3&amp;VLOOKUP(F492,'Pay Table'!$M$3:$N$18,2,FALSE)&amp;$BB$3&amp;G492&amp;$BD$3,"")</f>
        <v/>
      </c>
      <c r="BE490" s="1" t="str">
        <f>IFERROR($BC$3&amp;VLOOKUP(H492,'Pay Table'!$M$3:$N$18,2,FALSE)&amp;$BB$3&amp;I492&amp;$BD$3,"")</f>
        <v/>
      </c>
      <c r="BF490" s="27" t="str">
        <f>IFERROR($BC$3&amp;VLOOKUP(J492,'Pay Table'!$M$3:$N$18,2,FALSE)&amp;$BB$3&amp;K492&amp;$BD$3,"")</f>
        <v/>
      </c>
    </row>
    <row r="491" spans="54:58" x14ac:dyDescent="0.15">
      <c r="BB491" s="26" t="str">
        <f>IFERROR($BC$3&amp;VLOOKUP(B493,'Pay Table'!$M$3:$N$18,2,FALSE)&amp;$BB$3&amp;C493&amp;$BD$3,"")</f>
        <v/>
      </c>
      <c r="BC491" s="1" t="str">
        <f>IFERROR($BC$3&amp;VLOOKUP(D493,'Pay Table'!$M$3:$N$18,2,FALSE)&amp;$BB$3&amp;E493&amp;$BD$3,"")</f>
        <v/>
      </c>
      <c r="BD491" s="1" t="str">
        <f>IFERROR($BC$3&amp;VLOOKUP(F493,'Pay Table'!$M$3:$N$18,2,FALSE)&amp;$BB$3&amp;G493&amp;$BD$3,"")</f>
        <v/>
      </c>
      <c r="BE491" s="1" t="str">
        <f>IFERROR($BC$3&amp;VLOOKUP(H493,'Pay Table'!$M$3:$N$18,2,FALSE)&amp;$BB$3&amp;I493&amp;$BD$3,"")</f>
        <v/>
      </c>
      <c r="BF491" s="27" t="str">
        <f>IFERROR($BC$3&amp;VLOOKUP(J493,'Pay Table'!$M$3:$N$18,2,FALSE)&amp;$BB$3&amp;K493&amp;$BD$3,"")</f>
        <v/>
      </c>
    </row>
    <row r="492" spans="54:58" x14ac:dyDescent="0.15">
      <c r="BB492" s="26" t="str">
        <f>IFERROR($BC$3&amp;VLOOKUP(B494,'Pay Table'!$M$3:$N$18,2,FALSE)&amp;$BB$3&amp;C494&amp;$BD$3,"")</f>
        <v/>
      </c>
      <c r="BC492" s="1" t="str">
        <f>IFERROR($BC$3&amp;VLOOKUP(D494,'Pay Table'!$M$3:$N$18,2,FALSE)&amp;$BB$3&amp;E494&amp;$BD$3,"")</f>
        <v/>
      </c>
      <c r="BD492" s="1" t="str">
        <f>IFERROR($BC$3&amp;VLOOKUP(F494,'Pay Table'!$M$3:$N$18,2,FALSE)&amp;$BB$3&amp;G494&amp;$BD$3,"")</f>
        <v/>
      </c>
      <c r="BE492" s="1" t="str">
        <f>IFERROR($BC$3&amp;VLOOKUP(H494,'Pay Table'!$M$3:$N$18,2,FALSE)&amp;$BB$3&amp;I494&amp;$BD$3,"")</f>
        <v/>
      </c>
      <c r="BF492" s="27" t="str">
        <f>IFERROR($BC$3&amp;VLOOKUP(J494,'Pay Table'!$M$3:$N$18,2,FALSE)&amp;$BB$3&amp;K494&amp;$BD$3,"")</f>
        <v/>
      </c>
    </row>
    <row r="493" spans="54:58" x14ac:dyDescent="0.15">
      <c r="BB493" s="26" t="str">
        <f>IFERROR($BC$3&amp;VLOOKUP(B495,'Pay Table'!$M$3:$N$18,2,FALSE)&amp;$BB$3&amp;C495&amp;$BD$3,"")</f>
        <v/>
      </c>
      <c r="BC493" s="1" t="str">
        <f>IFERROR($BC$3&amp;VLOOKUP(D495,'Pay Table'!$M$3:$N$18,2,FALSE)&amp;$BB$3&amp;E495&amp;$BD$3,"")</f>
        <v/>
      </c>
      <c r="BD493" s="1" t="str">
        <f>IFERROR($BC$3&amp;VLOOKUP(F495,'Pay Table'!$M$3:$N$18,2,FALSE)&amp;$BB$3&amp;G495&amp;$BD$3,"")</f>
        <v/>
      </c>
      <c r="BE493" s="1" t="str">
        <f>IFERROR($BC$3&amp;VLOOKUP(H495,'Pay Table'!$M$3:$N$18,2,FALSE)&amp;$BB$3&amp;I495&amp;$BD$3,"")</f>
        <v/>
      </c>
      <c r="BF493" s="27" t="str">
        <f>IFERROR($BC$3&amp;VLOOKUP(J495,'Pay Table'!$M$3:$N$18,2,FALSE)&amp;$BB$3&amp;K495&amp;$BD$3,"")</f>
        <v/>
      </c>
    </row>
    <row r="494" spans="54:58" x14ac:dyDescent="0.15">
      <c r="BB494" s="26" t="str">
        <f>IFERROR($BC$3&amp;VLOOKUP(B496,'Pay Table'!$M$3:$N$18,2,FALSE)&amp;$BB$3&amp;C496&amp;$BD$3,"")</f>
        <v/>
      </c>
      <c r="BC494" s="1" t="str">
        <f>IFERROR($BC$3&amp;VLOOKUP(D496,'Pay Table'!$M$3:$N$18,2,FALSE)&amp;$BB$3&amp;E496&amp;$BD$3,"")</f>
        <v/>
      </c>
      <c r="BD494" s="1" t="str">
        <f>IFERROR($BC$3&amp;VLOOKUP(F496,'Pay Table'!$M$3:$N$18,2,FALSE)&amp;$BB$3&amp;G496&amp;$BD$3,"")</f>
        <v/>
      </c>
      <c r="BE494" s="1" t="str">
        <f>IFERROR($BC$3&amp;VLOOKUP(H496,'Pay Table'!$M$3:$N$18,2,FALSE)&amp;$BB$3&amp;I496&amp;$BD$3,"")</f>
        <v/>
      </c>
      <c r="BF494" s="27" t="str">
        <f>IFERROR($BC$3&amp;VLOOKUP(J496,'Pay Table'!$M$3:$N$18,2,FALSE)&amp;$BB$3&amp;K496&amp;$BD$3,"")</f>
        <v/>
      </c>
    </row>
    <row r="495" spans="54:58" x14ac:dyDescent="0.15">
      <c r="BB495" s="26" t="str">
        <f>IFERROR($BC$3&amp;VLOOKUP(B497,'Pay Table'!$M$3:$N$18,2,FALSE)&amp;$BB$3&amp;C497&amp;$BD$3,"")</f>
        <v/>
      </c>
      <c r="BC495" s="1" t="str">
        <f>IFERROR($BC$3&amp;VLOOKUP(D497,'Pay Table'!$M$3:$N$18,2,FALSE)&amp;$BB$3&amp;E497&amp;$BD$3,"")</f>
        <v/>
      </c>
      <c r="BD495" s="1" t="str">
        <f>IFERROR($BC$3&amp;VLOOKUP(F497,'Pay Table'!$M$3:$N$18,2,FALSE)&amp;$BB$3&amp;G497&amp;$BD$3,"")</f>
        <v/>
      </c>
      <c r="BE495" s="1" t="str">
        <f>IFERROR($BC$3&amp;VLOOKUP(H497,'Pay Table'!$M$3:$N$18,2,FALSE)&amp;$BB$3&amp;I497&amp;$BD$3,"")</f>
        <v/>
      </c>
      <c r="BF495" s="27" t="str">
        <f>IFERROR($BC$3&amp;VLOOKUP(J497,'Pay Table'!$M$3:$N$18,2,FALSE)&amp;$BB$3&amp;K497&amp;$BD$3,"")</f>
        <v/>
      </c>
    </row>
    <row r="496" spans="54:58" x14ac:dyDescent="0.15">
      <c r="BB496" s="26" t="str">
        <f>IFERROR($BC$3&amp;VLOOKUP(B498,'Pay Table'!$M$3:$N$18,2,FALSE)&amp;$BB$3&amp;C498&amp;$BD$3,"")</f>
        <v/>
      </c>
      <c r="BC496" s="1" t="str">
        <f>IFERROR($BC$3&amp;VLOOKUP(D498,'Pay Table'!$M$3:$N$18,2,FALSE)&amp;$BB$3&amp;E498&amp;$BD$3,"")</f>
        <v/>
      </c>
      <c r="BD496" s="1" t="str">
        <f>IFERROR($BC$3&amp;VLOOKUP(F498,'Pay Table'!$M$3:$N$18,2,FALSE)&amp;$BB$3&amp;G498&amp;$BD$3,"")</f>
        <v/>
      </c>
      <c r="BE496" s="1" t="str">
        <f>IFERROR($BC$3&amp;VLOOKUP(H498,'Pay Table'!$M$3:$N$18,2,FALSE)&amp;$BB$3&amp;I498&amp;$BD$3,"")</f>
        <v/>
      </c>
      <c r="BF496" s="27" t="str">
        <f>IFERROR($BC$3&amp;VLOOKUP(J498,'Pay Table'!$M$3:$N$18,2,FALSE)&amp;$BB$3&amp;K498&amp;$BD$3,"")</f>
        <v/>
      </c>
    </row>
    <row r="497" spans="54:58" x14ac:dyDescent="0.15">
      <c r="BB497" s="26" t="str">
        <f>IFERROR($BC$3&amp;VLOOKUP(B499,'Pay Table'!$M$3:$N$18,2,FALSE)&amp;$BB$3&amp;C499&amp;$BD$3,"")</f>
        <v/>
      </c>
      <c r="BC497" s="1" t="str">
        <f>IFERROR($BC$3&amp;VLOOKUP(D499,'Pay Table'!$M$3:$N$18,2,FALSE)&amp;$BB$3&amp;E499&amp;$BD$3,"")</f>
        <v/>
      </c>
      <c r="BD497" s="1" t="str">
        <f>IFERROR($BC$3&amp;VLOOKUP(F499,'Pay Table'!$M$3:$N$18,2,FALSE)&amp;$BB$3&amp;G499&amp;$BD$3,"")</f>
        <v/>
      </c>
      <c r="BE497" s="1" t="str">
        <f>IFERROR($BC$3&amp;VLOOKUP(H499,'Pay Table'!$M$3:$N$18,2,FALSE)&amp;$BB$3&amp;I499&amp;$BD$3,"")</f>
        <v/>
      </c>
      <c r="BF497" s="27" t="str">
        <f>IFERROR($BC$3&amp;VLOOKUP(J499,'Pay Table'!$M$3:$N$18,2,FALSE)&amp;$BB$3&amp;K499&amp;$BD$3,"")</f>
        <v/>
      </c>
    </row>
    <row r="498" spans="54:58" x14ac:dyDescent="0.15">
      <c r="BB498" s="26" t="str">
        <f>IFERROR($BC$3&amp;VLOOKUP(B500,'Pay Table'!$M$3:$N$18,2,FALSE)&amp;$BB$3&amp;C500&amp;$BD$3,"")</f>
        <v/>
      </c>
      <c r="BC498" s="1" t="str">
        <f>IFERROR($BC$3&amp;VLOOKUP(D500,'Pay Table'!$M$3:$N$18,2,FALSE)&amp;$BB$3&amp;E500&amp;$BD$3,"")</f>
        <v/>
      </c>
      <c r="BD498" s="1" t="str">
        <f>IFERROR($BC$3&amp;VLOOKUP(F500,'Pay Table'!$M$3:$N$18,2,FALSE)&amp;$BB$3&amp;G500&amp;$BD$3,"")</f>
        <v/>
      </c>
      <c r="BE498" s="1" t="str">
        <f>IFERROR($BC$3&amp;VLOOKUP(H500,'Pay Table'!$M$3:$N$18,2,FALSE)&amp;$BB$3&amp;I500&amp;$BD$3,"")</f>
        <v/>
      </c>
      <c r="BF498" s="27" t="str">
        <f>IFERROR($BC$3&amp;VLOOKUP(J500,'Pay Table'!$M$3:$N$18,2,FALSE)&amp;$BB$3&amp;K500&amp;$BD$3,"")</f>
        <v/>
      </c>
    </row>
    <row r="499" spans="54:58" x14ac:dyDescent="0.15">
      <c r="BB499" s="26" t="str">
        <f>IFERROR($BC$3&amp;VLOOKUP(B501,'Pay Table'!$M$3:$N$18,2,FALSE)&amp;$BB$3&amp;C501&amp;$BD$3,"")</f>
        <v/>
      </c>
      <c r="BC499" s="1" t="str">
        <f>IFERROR($BC$3&amp;VLOOKUP(D501,'Pay Table'!$M$3:$N$18,2,FALSE)&amp;$BB$3&amp;E501&amp;$BD$3,"")</f>
        <v/>
      </c>
      <c r="BD499" s="1" t="str">
        <f>IFERROR($BC$3&amp;VLOOKUP(F501,'Pay Table'!$M$3:$N$18,2,FALSE)&amp;$BB$3&amp;G501&amp;$BD$3,"")</f>
        <v/>
      </c>
      <c r="BE499" s="1" t="str">
        <f>IFERROR($BC$3&amp;VLOOKUP(H501,'Pay Table'!$M$3:$N$18,2,FALSE)&amp;$BB$3&amp;I501&amp;$BD$3,"")</f>
        <v/>
      </c>
      <c r="BF499" s="27" t="str">
        <f>IFERROR($BC$3&amp;VLOOKUP(J501,'Pay Table'!$M$3:$N$18,2,FALSE)&amp;$BB$3&amp;K501&amp;$BD$3,"")</f>
        <v/>
      </c>
    </row>
    <row r="500" spans="54:58" x14ac:dyDescent="0.15">
      <c r="BB500" s="26" t="str">
        <f>IFERROR($BC$3&amp;VLOOKUP(B502,'Pay Table'!$M$3:$N$18,2,FALSE)&amp;$BB$3&amp;C502&amp;$BD$3,"")</f>
        <v/>
      </c>
      <c r="BC500" s="1" t="str">
        <f>IFERROR($BC$3&amp;VLOOKUP(D502,'Pay Table'!$M$3:$N$18,2,FALSE)&amp;$BB$3&amp;E502&amp;$BD$3,"")</f>
        <v/>
      </c>
      <c r="BD500" s="1" t="str">
        <f>IFERROR($BC$3&amp;VLOOKUP(F502,'Pay Table'!$M$3:$N$18,2,FALSE)&amp;$BB$3&amp;G502&amp;$BD$3,"")</f>
        <v/>
      </c>
      <c r="BE500" s="1" t="str">
        <f>IFERROR($BC$3&amp;VLOOKUP(H502,'Pay Table'!$M$3:$N$18,2,FALSE)&amp;$BB$3&amp;I502&amp;$BD$3,"")</f>
        <v/>
      </c>
      <c r="BF500" s="27" t="str">
        <f>IFERROR($BC$3&amp;VLOOKUP(J502,'Pay Table'!$M$3:$N$18,2,FALSE)&amp;$BB$3&amp;K502&amp;$BD$3,"")</f>
        <v/>
      </c>
    </row>
    <row r="501" spans="54:58" x14ac:dyDescent="0.15">
      <c r="BB501" s="26" t="str">
        <f>IFERROR($BC$3&amp;VLOOKUP(B503,'Pay Table'!$M$3:$N$18,2,FALSE)&amp;$BB$3&amp;C503&amp;$BD$3,"")</f>
        <v/>
      </c>
      <c r="BC501" s="1" t="str">
        <f>IFERROR($BC$3&amp;VLOOKUP(D503,'Pay Table'!$M$3:$N$18,2,FALSE)&amp;$BB$3&amp;E503&amp;$BD$3,"")</f>
        <v/>
      </c>
      <c r="BD501" s="1" t="str">
        <f>IFERROR($BC$3&amp;VLOOKUP(F503,'Pay Table'!$M$3:$N$18,2,FALSE)&amp;$BB$3&amp;G503&amp;$BD$3,"")</f>
        <v/>
      </c>
      <c r="BE501" s="1" t="str">
        <f>IFERROR($BC$3&amp;VLOOKUP(H503,'Pay Table'!$M$3:$N$18,2,FALSE)&amp;$BB$3&amp;I503&amp;$BD$3,"")</f>
        <v/>
      </c>
      <c r="BF501" s="27" t="str">
        <f>IFERROR($BC$3&amp;VLOOKUP(J503,'Pay Table'!$M$3:$N$18,2,FALSE)&amp;$BB$3&amp;K503&amp;$BD$3,"")</f>
        <v/>
      </c>
    </row>
    <row r="502" spans="54:58" x14ac:dyDescent="0.15">
      <c r="BB502" s="26" t="str">
        <f>IFERROR($BC$3&amp;VLOOKUP(B504,'Pay Table'!$M$3:$N$18,2,FALSE)&amp;$BB$3&amp;C504&amp;$BD$3,"")</f>
        <v/>
      </c>
      <c r="BC502" s="1" t="str">
        <f>IFERROR($BC$3&amp;VLOOKUP(D504,'Pay Table'!$M$3:$N$18,2,FALSE)&amp;$BB$3&amp;E504&amp;$BD$3,"")</f>
        <v/>
      </c>
      <c r="BD502" s="1" t="str">
        <f>IFERROR($BC$3&amp;VLOOKUP(F504,'Pay Table'!$M$3:$N$18,2,FALSE)&amp;$BB$3&amp;G504&amp;$BD$3,"")</f>
        <v/>
      </c>
      <c r="BE502" s="1" t="str">
        <f>IFERROR($BC$3&amp;VLOOKUP(H504,'Pay Table'!$M$3:$N$18,2,FALSE)&amp;$BB$3&amp;I504&amp;$BD$3,"")</f>
        <v/>
      </c>
      <c r="BF502" s="27" t="str">
        <f>IFERROR($BC$3&amp;VLOOKUP(J504,'Pay Table'!$M$3:$N$18,2,FALSE)&amp;$BB$3&amp;K504&amp;$BD$3,"")</f>
        <v/>
      </c>
    </row>
    <row r="503" spans="54:58" x14ac:dyDescent="0.15">
      <c r="BB503" s="26" t="str">
        <f>IFERROR($BC$3&amp;VLOOKUP(B505,'Pay Table'!$M$3:$N$18,2,FALSE)&amp;$BB$3&amp;C505&amp;$BD$3,"")</f>
        <v/>
      </c>
      <c r="BC503" s="1" t="str">
        <f>IFERROR($BC$3&amp;VLOOKUP(D505,'Pay Table'!$M$3:$N$18,2,FALSE)&amp;$BB$3&amp;E505&amp;$BD$3,"")</f>
        <v/>
      </c>
      <c r="BD503" s="1" t="str">
        <f>IFERROR($BC$3&amp;VLOOKUP(F505,'Pay Table'!$M$3:$N$18,2,FALSE)&amp;$BB$3&amp;G505&amp;$BD$3,"")</f>
        <v/>
      </c>
      <c r="BE503" s="1" t="str">
        <f>IFERROR($BC$3&amp;VLOOKUP(H505,'Pay Table'!$M$3:$N$18,2,FALSE)&amp;$BB$3&amp;I505&amp;$BD$3,"")</f>
        <v/>
      </c>
      <c r="BF503" s="27" t="str">
        <f>IFERROR($BC$3&amp;VLOOKUP(J505,'Pay Table'!$M$3:$N$18,2,FALSE)&amp;$BB$3&amp;K505&amp;$BD$3,"")</f>
        <v/>
      </c>
    </row>
    <row r="504" spans="54:58" x14ac:dyDescent="0.15">
      <c r="BB504" s="26" t="str">
        <f>IFERROR($BC$3&amp;VLOOKUP(B506,'Pay Table'!$M$3:$N$18,2,FALSE)&amp;$BB$3&amp;C506&amp;$BD$3,"")</f>
        <v/>
      </c>
      <c r="BC504" s="1" t="str">
        <f>IFERROR($BC$3&amp;VLOOKUP(D506,'Pay Table'!$M$3:$N$18,2,FALSE)&amp;$BB$3&amp;E506&amp;$BD$3,"")</f>
        <v/>
      </c>
      <c r="BD504" s="1" t="str">
        <f>IFERROR($BC$3&amp;VLOOKUP(F506,'Pay Table'!$M$3:$N$18,2,FALSE)&amp;$BB$3&amp;G506&amp;$BD$3,"")</f>
        <v/>
      </c>
      <c r="BE504" s="1" t="str">
        <f>IFERROR($BC$3&amp;VLOOKUP(H506,'Pay Table'!$M$3:$N$18,2,FALSE)&amp;$BB$3&amp;I506&amp;$BD$3,"")</f>
        <v/>
      </c>
      <c r="BF504" s="27" t="str">
        <f>IFERROR($BC$3&amp;VLOOKUP(J506,'Pay Table'!$M$3:$N$18,2,FALSE)&amp;$BB$3&amp;K506&amp;$BD$3,"")</f>
        <v/>
      </c>
    </row>
    <row r="505" spans="54:58" x14ac:dyDescent="0.15">
      <c r="BB505" s="26" t="str">
        <f>IFERROR($BC$3&amp;VLOOKUP(B507,'Pay Table'!$M$3:$N$18,2,FALSE)&amp;$BB$3&amp;C507&amp;$BD$3,"")</f>
        <v/>
      </c>
      <c r="BC505" s="1" t="str">
        <f>IFERROR($BC$3&amp;VLOOKUP(D507,'Pay Table'!$M$3:$N$18,2,FALSE)&amp;$BB$3&amp;E507&amp;$BD$3,"")</f>
        <v/>
      </c>
      <c r="BD505" s="1" t="str">
        <f>IFERROR($BC$3&amp;VLOOKUP(F507,'Pay Table'!$M$3:$N$18,2,FALSE)&amp;$BB$3&amp;G507&amp;$BD$3,"")</f>
        <v/>
      </c>
      <c r="BE505" s="1" t="str">
        <f>IFERROR($BC$3&amp;VLOOKUP(H507,'Pay Table'!$M$3:$N$18,2,FALSE)&amp;$BB$3&amp;I507&amp;$BD$3,"")</f>
        <v/>
      </c>
      <c r="BF505" s="27" t="str">
        <f>IFERROR($BC$3&amp;VLOOKUP(J507,'Pay Table'!$M$3:$N$18,2,FALSE)&amp;$BB$3&amp;K507&amp;$BD$3,"")</f>
        <v/>
      </c>
    </row>
    <row r="506" spans="54:58" x14ac:dyDescent="0.15">
      <c r="BB506" s="26" t="str">
        <f>IFERROR($BC$3&amp;VLOOKUP(B508,'Pay Table'!$M$3:$N$18,2,FALSE)&amp;$BB$3&amp;C508&amp;$BD$3,"")</f>
        <v/>
      </c>
      <c r="BC506" s="1" t="str">
        <f>IFERROR($BC$3&amp;VLOOKUP(D508,'Pay Table'!$M$3:$N$18,2,FALSE)&amp;$BB$3&amp;E508&amp;$BD$3,"")</f>
        <v/>
      </c>
      <c r="BD506" s="1" t="str">
        <f>IFERROR($BC$3&amp;VLOOKUP(F508,'Pay Table'!$M$3:$N$18,2,FALSE)&amp;$BB$3&amp;G508&amp;$BD$3,"")</f>
        <v/>
      </c>
      <c r="BE506" s="1" t="str">
        <f>IFERROR($BC$3&amp;VLOOKUP(H508,'Pay Table'!$M$3:$N$18,2,FALSE)&amp;$BB$3&amp;I508&amp;$BD$3,"")</f>
        <v/>
      </c>
      <c r="BF506" s="27" t="str">
        <f>IFERROR($BC$3&amp;VLOOKUP(J508,'Pay Table'!$M$3:$N$18,2,FALSE)&amp;$BB$3&amp;K508&amp;$BD$3,"")</f>
        <v/>
      </c>
    </row>
    <row r="507" spans="54:58" x14ac:dyDescent="0.15">
      <c r="BB507" s="26" t="str">
        <f>IFERROR($BC$3&amp;VLOOKUP(B509,'Pay Table'!$M$3:$N$18,2,FALSE)&amp;$BB$3&amp;C509&amp;$BD$3,"")</f>
        <v/>
      </c>
      <c r="BC507" s="1" t="str">
        <f>IFERROR($BC$3&amp;VLOOKUP(D509,'Pay Table'!$M$3:$N$18,2,FALSE)&amp;$BB$3&amp;E509&amp;$BD$3,"")</f>
        <v/>
      </c>
      <c r="BD507" s="1" t="str">
        <f>IFERROR($BC$3&amp;VLOOKUP(F509,'Pay Table'!$M$3:$N$18,2,FALSE)&amp;$BB$3&amp;G509&amp;$BD$3,"")</f>
        <v/>
      </c>
      <c r="BE507" s="1" t="str">
        <f>IFERROR($BC$3&amp;VLOOKUP(H509,'Pay Table'!$M$3:$N$18,2,FALSE)&amp;$BB$3&amp;I509&amp;$BD$3,"")</f>
        <v/>
      </c>
      <c r="BF507" s="27" t="str">
        <f>IFERROR($BC$3&amp;VLOOKUP(J509,'Pay Table'!$M$3:$N$18,2,FALSE)&amp;$BB$3&amp;K509&amp;$BD$3,"")</f>
        <v/>
      </c>
    </row>
    <row r="508" spans="54:58" x14ac:dyDescent="0.15">
      <c r="BB508" s="26" t="str">
        <f>IFERROR($BC$3&amp;VLOOKUP(B510,'Pay Table'!$M$3:$N$18,2,FALSE)&amp;$BB$3&amp;C510&amp;$BD$3,"")</f>
        <v/>
      </c>
      <c r="BC508" s="1" t="str">
        <f>IFERROR($BC$3&amp;VLOOKUP(D510,'Pay Table'!$M$3:$N$18,2,FALSE)&amp;$BB$3&amp;E510&amp;$BD$3,"")</f>
        <v/>
      </c>
      <c r="BD508" s="1" t="str">
        <f>IFERROR($BC$3&amp;VLOOKUP(F510,'Pay Table'!$M$3:$N$18,2,FALSE)&amp;$BB$3&amp;G510&amp;$BD$3,"")</f>
        <v/>
      </c>
      <c r="BE508" s="1" t="str">
        <f>IFERROR($BC$3&amp;VLOOKUP(H510,'Pay Table'!$M$3:$N$18,2,FALSE)&amp;$BB$3&amp;I510&amp;$BD$3,"")</f>
        <v/>
      </c>
      <c r="BF508" s="27" t="str">
        <f>IFERROR($BC$3&amp;VLOOKUP(J510,'Pay Table'!$M$3:$N$18,2,FALSE)&amp;$BB$3&amp;K510&amp;$BD$3,"")</f>
        <v/>
      </c>
    </row>
    <row r="509" spans="54:58" x14ac:dyDescent="0.15">
      <c r="BB509" s="26" t="str">
        <f>IFERROR($BC$3&amp;VLOOKUP(B511,'Pay Table'!$M$3:$N$18,2,FALSE)&amp;$BB$3&amp;C511&amp;$BD$3,"")</f>
        <v/>
      </c>
      <c r="BC509" s="1" t="str">
        <f>IFERROR($BC$3&amp;VLOOKUP(D511,'Pay Table'!$M$3:$N$18,2,FALSE)&amp;$BB$3&amp;E511&amp;$BD$3,"")</f>
        <v/>
      </c>
      <c r="BD509" s="1" t="str">
        <f>IFERROR($BC$3&amp;VLOOKUP(F511,'Pay Table'!$M$3:$N$18,2,FALSE)&amp;$BB$3&amp;G511&amp;$BD$3,"")</f>
        <v/>
      </c>
      <c r="BE509" s="1" t="str">
        <f>IFERROR($BC$3&amp;VLOOKUP(H511,'Pay Table'!$M$3:$N$18,2,FALSE)&amp;$BB$3&amp;I511&amp;$BD$3,"")</f>
        <v/>
      </c>
      <c r="BF509" s="27" t="str">
        <f>IFERROR($BC$3&amp;VLOOKUP(J511,'Pay Table'!$M$3:$N$18,2,FALSE)&amp;$BB$3&amp;K511&amp;$BD$3,"")</f>
        <v/>
      </c>
    </row>
    <row r="510" spans="54:58" x14ac:dyDescent="0.15">
      <c r="BB510" s="26" t="str">
        <f>IFERROR($BC$3&amp;VLOOKUP(B512,'Pay Table'!$M$3:$N$18,2,FALSE)&amp;$BB$3&amp;C512&amp;$BD$3,"")</f>
        <v/>
      </c>
      <c r="BC510" s="1" t="str">
        <f>IFERROR($BC$3&amp;VLOOKUP(D512,'Pay Table'!$M$3:$N$18,2,FALSE)&amp;$BB$3&amp;E512&amp;$BD$3,"")</f>
        <v/>
      </c>
      <c r="BD510" s="1" t="str">
        <f>IFERROR($BC$3&amp;VLOOKUP(F512,'Pay Table'!$M$3:$N$18,2,FALSE)&amp;$BB$3&amp;G512&amp;$BD$3,"")</f>
        <v/>
      </c>
      <c r="BE510" s="1" t="str">
        <f>IFERROR($BC$3&amp;VLOOKUP(H512,'Pay Table'!$M$3:$N$18,2,FALSE)&amp;$BB$3&amp;I512&amp;$BD$3,"")</f>
        <v/>
      </c>
      <c r="BF510" s="27" t="str">
        <f>IFERROR($BC$3&amp;VLOOKUP(J512,'Pay Table'!$M$3:$N$18,2,FALSE)&amp;$BB$3&amp;K512&amp;$BD$3,"")</f>
        <v/>
      </c>
    </row>
    <row r="511" spans="54:58" x14ac:dyDescent="0.15">
      <c r="BB511" s="26" t="str">
        <f>IFERROR($BC$3&amp;VLOOKUP(B513,'Pay Table'!$M$3:$N$18,2,FALSE)&amp;$BB$3&amp;C513&amp;$BD$3,"")</f>
        <v/>
      </c>
      <c r="BC511" s="1" t="str">
        <f>IFERROR($BC$3&amp;VLOOKUP(D513,'Pay Table'!$M$3:$N$18,2,FALSE)&amp;$BB$3&amp;E513&amp;$BD$3,"")</f>
        <v/>
      </c>
      <c r="BD511" s="1" t="str">
        <f>IFERROR($BC$3&amp;VLOOKUP(F513,'Pay Table'!$M$3:$N$18,2,FALSE)&amp;$BB$3&amp;G513&amp;$BD$3,"")</f>
        <v/>
      </c>
      <c r="BE511" s="1" t="str">
        <f>IFERROR($BC$3&amp;VLOOKUP(H513,'Pay Table'!$M$3:$N$18,2,FALSE)&amp;$BB$3&amp;I513&amp;$BD$3,"")</f>
        <v/>
      </c>
      <c r="BF511" s="27" t="str">
        <f>IFERROR($BC$3&amp;VLOOKUP(J513,'Pay Table'!$M$3:$N$18,2,FALSE)&amp;$BB$3&amp;K513&amp;$BD$3,"")</f>
        <v/>
      </c>
    </row>
    <row r="512" spans="54:58" x14ac:dyDescent="0.15">
      <c r="BB512" s="26" t="str">
        <f>IFERROR($BC$3&amp;VLOOKUP(B514,'Pay Table'!$M$3:$N$18,2,FALSE)&amp;$BB$3&amp;C514&amp;$BD$3,"")</f>
        <v/>
      </c>
      <c r="BC512" s="1" t="str">
        <f>IFERROR($BC$3&amp;VLOOKUP(D514,'Pay Table'!$M$3:$N$18,2,FALSE)&amp;$BB$3&amp;E514&amp;$BD$3,"")</f>
        <v/>
      </c>
      <c r="BD512" s="1" t="str">
        <f>IFERROR($BC$3&amp;VLOOKUP(F514,'Pay Table'!$M$3:$N$18,2,FALSE)&amp;$BB$3&amp;G514&amp;$BD$3,"")</f>
        <v/>
      </c>
      <c r="BE512" s="1" t="str">
        <f>IFERROR($BC$3&amp;VLOOKUP(H514,'Pay Table'!$M$3:$N$18,2,FALSE)&amp;$BB$3&amp;I514&amp;$BD$3,"")</f>
        <v/>
      </c>
      <c r="BF512" s="27" t="str">
        <f>IFERROR($BC$3&amp;VLOOKUP(J514,'Pay Table'!$M$3:$N$18,2,FALSE)&amp;$BB$3&amp;K514&amp;$BD$3,"")</f>
        <v/>
      </c>
    </row>
    <row r="513" spans="54:58" x14ac:dyDescent="0.15">
      <c r="BB513" s="26" t="str">
        <f>IFERROR($BC$3&amp;VLOOKUP(B515,'Pay Table'!$M$3:$N$18,2,FALSE)&amp;$BB$3&amp;C515&amp;$BD$3,"")</f>
        <v/>
      </c>
      <c r="BC513" s="1" t="str">
        <f>IFERROR($BC$3&amp;VLOOKUP(D515,'Pay Table'!$M$3:$N$18,2,FALSE)&amp;$BB$3&amp;E515&amp;$BD$3,"")</f>
        <v/>
      </c>
      <c r="BD513" s="1" t="str">
        <f>IFERROR($BC$3&amp;VLOOKUP(F515,'Pay Table'!$M$3:$N$18,2,FALSE)&amp;$BB$3&amp;G515&amp;$BD$3,"")</f>
        <v/>
      </c>
      <c r="BE513" s="1" t="str">
        <f>IFERROR($BC$3&amp;VLOOKUP(H515,'Pay Table'!$M$3:$N$18,2,FALSE)&amp;$BB$3&amp;I515&amp;$BD$3,"")</f>
        <v/>
      </c>
      <c r="BF513" s="27" t="str">
        <f>IFERROR($BC$3&amp;VLOOKUP(J515,'Pay Table'!$M$3:$N$18,2,FALSE)&amp;$BB$3&amp;K515&amp;$BD$3,"")</f>
        <v/>
      </c>
    </row>
    <row r="514" spans="54:58" x14ac:dyDescent="0.15">
      <c r="BB514" s="26" t="str">
        <f>IFERROR($BC$3&amp;VLOOKUP(B516,'Pay Table'!$M$3:$N$18,2,FALSE)&amp;$BB$3&amp;C516&amp;$BD$3,"")</f>
        <v/>
      </c>
      <c r="BC514" s="1" t="str">
        <f>IFERROR($BC$3&amp;VLOOKUP(D516,'Pay Table'!$M$3:$N$18,2,FALSE)&amp;$BB$3&amp;E516&amp;$BD$3,"")</f>
        <v/>
      </c>
      <c r="BD514" s="1" t="str">
        <f>IFERROR($BC$3&amp;VLOOKUP(F516,'Pay Table'!$M$3:$N$18,2,FALSE)&amp;$BB$3&amp;G516&amp;$BD$3,"")</f>
        <v/>
      </c>
      <c r="BE514" s="1" t="str">
        <f>IFERROR($BC$3&amp;VLOOKUP(H516,'Pay Table'!$M$3:$N$18,2,FALSE)&amp;$BB$3&amp;I516&amp;$BD$3,"")</f>
        <v/>
      </c>
      <c r="BF514" s="27" t="str">
        <f>IFERROR($BC$3&amp;VLOOKUP(J516,'Pay Table'!$M$3:$N$18,2,FALSE)&amp;$BB$3&amp;K516&amp;$BD$3,"")</f>
        <v/>
      </c>
    </row>
    <row r="515" spans="54:58" x14ac:dyDescent="0.15">
      <c r="BB515" s="26" t="str">
        <f>IFERROR($BC$3&amp;VLOOKUP(B517,'Pay Table'!$M$3:$N$18,2,FALSE)&amp;$BB$3&amp;C517&amp;$BD$3,"")</f>
        <v/>
      </c>
      <c r="BC515" s="1" t="str">
        <f>IFERROR($BC$3&amp;VLOOKUP(D517,'Pay Table'!$M$3:$N$18,2,FALSE)&amp;$BB$3&amp;E517&amp;$BD$3,"")</f>
        <v/>
      </c>
      <c r="BD515" s="1" t="str">
        <f>IFERROR($BC$3&amp;VLOOKUP(F517,'Pay Table'!$M$3:$N$18,2,FALSE)&amp;$BB$3&amp;G517&amp;$BD$3,"")</f>
        <v/>
      </c>
      <c r="BE515" s="1" t="str">
        <f>IFERROR($BC$3&amp;VLOOKUP(H517,'Pay Table'!$M$3:$N$18,2,FALSE)&amp;$BB$3&amp;I517&amp;$BD$3,"")</f>
        <v/>
      </c>
      <c r="BF515" s="27" t="str">
        <f>IFERROR($BC$3&amp;VLOOKUP(J517,'Pay Table'!$M$3:$N$18,2,FALSE)&amp;$BB$3&amp;K517&amp;$BD$3,"")</f>
        <v/>
      </c>
    </row>
    <row r="516" spans="54:58" x14ac:dyDescent="0.15">
      <c r="BB516" s="26" t="str">
        <f>IFERROR($BC$3&amp;VLOOKUP(B518,'Pay Table'!$M$3:$N$18,2,FALSE)&amp;$BB$3&amp;C518&amp;$BD$3,"")</f>
        <v/>
      </c>
      <c r="BC516" s="1" t="str">
        <f>IFERROR($BC$3&amp;VLOOKUP(D518,'Pay Table'!$M$3:$N$18,2,FALSE)&amp;$BB$3&amp;E518&amp;$BD$3,"")</f>
        <v/>
      </c>
      <c r="BD516" s="1" t="str">
        <f>IFERROR($BC$3&amp;VLOOKUP(F518,'Pay Table'!$M$3:$N$18,2,FALSE)&amp;$BB$3&amp;G518&amp;$BD$3,"")</f>
        <v/>
      </c>
      <c r="BE516" s="1" t="str">
        <f>IFERROR($BC$3&amp;VLOOKUP(H518,'Pay Table'!$M$3:$N$18,2,FALSE)&amp;$BB$3&amp;I518&amp;$BD$3,"")</f>
        <v/>
      </c>
      <c r="BF516" s="27" t="str">
        <f>IFERROR($BC$3&amp;VLOOKUP(J518,'Pay Table'!$M$3:$N$18,2,FALSE)&amp;$BB$3&amp;K518&amp;$BD$3,"")</f>
        <v/>
      </c>
    </row>
    <row r="517" spans="54:58" x14ac:dyDescent="0.15">
      <c r="BB517" s="26" t="str">
        <f>IFERROR($BC$3&amp;VLOOKUP(B519,'Pay Table'!$M$3:$N$18,2,FALSE)&amp;$BB$3&amp;C519&amp;$BD$3,"")</f>
        <v/>
      </c>
      <c r="BC517" s="1" t="str">
        <f>IFERROR($BC$3&amp;VLOOKUP(D519,'Pay Table'!$M$3:$N$18,2,FALSE)&amp;$BB$3&amp;E519&amp;$BD$3,"")</f>
        <v/>
      </c>
      <c r="BD517" s="1" t="str">
        <f>IFERROR($BC$3&amp;VLOOKUP(F519,'Pay Table'!$M$3:$N$18,2,FALSE)&amp;$BB$3&amp;G519&amp;$BD$3,"")</f>
        <v/>
      </c>
      <c r="BE517" s="1" t="str">
        <f>IFERROR($BC$3&amp;VLOOKUP(H519,'Pay Table'!$M$3:$N$18,2,FALSE)&amp;$BB$3&amp;I519&amp;$BD$3,"")</f>
        <v/>
      </c>
      <c r="BF517" s="27" t="str">
        <f>IFERROR($BC$3&amp;VLOOKUP(J519,'Pay Table'!$M$3:$N$18,2,FALSE)&amp;$BB$3&amp;K519&amp;$BD$3,"")</f>
        <v/>
      </c>
    </row>
    <row r="518" spans="54:58" x14ac:dyDescent="0.15">
      <c r="BB518" s="26" t="str">
        <f>IFERROR($BC$3&amp;VLOOKUP(B520,'Pay Table'!$M$3:$N$18,2,FALSE)&amp;$BB$3&amp;C520&amp;$BD$3,"")</f>
        <v/>
      </c>
      <c r="BC518" s="1" t="str">
        <f>IFERROR($BC$3&amp;VLOOKUP(D520,'Pay Table'!$M$3:$N$18,2,FALSE)&amp;$BB$3&amp;E520&amp;$BD$3,"")</f>
        <v/>
      </c>
      <c r="BD518" s="1" t="str">
        <f>IFERROR($BC$3&amp;VLOOKUP(F520,'Pay Table'!$M$3:$N$18,2,FALSE)&amp;$BB$3&amp;G520&amp;$BD$3,"")</f>
        <v/>
      </c>
      <c r="BE518" s="1" t="str">
        <f>IFERROR($BC$3&amp;VLOOKUP(H520,'Pay Table'!$M$3:$N$18,2,FALSE)&amp;$BB$3&amp;I520&amp;$BD$3,"")</f>
        <v/>
      </c>
      <c r="BF518" s="27" t="str">
        <f>IFERROR($BC$3&amp;VLOOKUP(J520,'Pay Table'!$M$3:$N$18,2,FALSE)&amp;$BB$3&amp;K520&amp;$BD$3,"")</f>
        <v/>
      </c>
    </row>
    <row r="519" spans="54:58" x14ac:dyDescent="0.15">
      <c r="BB519" s="26" t="str">
        <f>IFERROR($BC$3&amp;VLOOKUP(B521,'Pay Table'!$M$3:$N$18,2,FALSE)&amp;$BB$3&amp;C521&amp;$BD$3,"")</f>
        <v/>
      </c>
      <c r="BC519" s="1" t="str">
        <f>IFERROR($BC$3&amp;VLOOKUP(D521,'Pay Table'!$M$3:$N$18,2,FALSE)&amp;$BB$3&amp;E521&amp;$BD$3,"")</f>
        <v/>
      </c>
      <c r="BD519" s="1" t="str">
        <f>IFERROR($BC$3&amp;VLOOKUP(F521,'Pay Table'!$M$3:$N$18,2,FALSE)&amp;$BB$3&amp;G521&amp;$BD$3,"")</f>
        <v/>
      </c>
      <c r="BE519" s="1" t="str">
        <f>IFERROR($BC$3&amp;VLOOKUP(H521,'Pay Table'!$M$3:$N$18,2,FALSE)&amp;$BB$3&amp;I521&amp;$BD$3,"")</f>
        <v/>
      </c>
      <c r="BF519" s="27" t="str">
        <f>IFERROR($BC$3&amp;VLOOKUP(J521,'Pay Table'!$M$3:$N$18,2,FALSE)&amp;$BB$3&amp;K521&amp;$BD$3,"")</f>
        <v/>
      </c>
    </row>
    <row r="520" spans="54:58" x14ac:dyDescent="0.15">
      <c r="BB520" s="26" t="str">
        <f>IFERROR($BC$3&amp;VLOOKUP(B522,'Pay Table'!$M$3:$N$18,2,FALSE)&amp;$BB$3&amp;C522&amp;$BD$3,"")</f>
        <v/>
      </c>
      <c r="BC520" s="1" t="str">
        <f>IFERROR($BC$3&amp;VLOOKUP(D522,'Pay Table'!$M$3:$N$18,2,FALSE)&amp;$BB$3&amp;E522&amp;$BD$3,"")</f>
        <v/>
      </c>
      <c r="BD520" s="1" t="str">
        <f>IFERROR($BC$3&amp;VLOOKUP(F522,'Pay Table'!$M$3:$N$18,2,FALSE)&amp;$BB$3&amp;G522&amp;$BD$3,"")</f>
        <v/>
      </c>
      <c r="BE520" s="1" t="str">
        <f>IFERROR($BC$3&amp;VLOOKUP(H522,'Pay Table'!$M$3:$N$18,2,FALSE)&amp;$BB$3&amp;I522&amp;$BD$3,"")</f>
        <v/>
      </c>
      <c r="BF520" s="27" t="str">
        <f>IFERROR($BC$3&amp;VLOOKUP(J522,'Pay Table'!$M$3:$N$18,2,FALSE)&amp;$BB$3&amp;K522&amp;$BD$3,"")</f>
        <v/>
      </c>
    </row>
    <row r="521" spans="54:58" x14ac:dyDescent="0.15">
      <c r="BB521" s="26" t="str">
        <f>IFERROR($BC$3&amp;VLOOKUP(B523,'Pay Table'!$M$3:$N$18,2,FALSE)&amp;$BB$3&amp;C523&amp;$BD$3,"")</f>
        <v/>
      </c>
      <c r="BC521" s="1" t="str">
        <f>IFERROR($BC$3&amp;VLOOKUP(D523,'Pay Table'!$M$3:$N$18,2,FALSE)&amp;$BB$3&amp;E523&amp;$BD$3,"")</f>
        <v/>
      </c>
      <c r="BD521" s="1" t="str">
        <f>IFERROR($BC$3&amp;VLOOKUP(F523,'Pay Table'!$M$3:$N$18,2,FALSE)&amp;$BB$3&amp;G523&amp;$BD$3,"")</f>
        <v/>
      </c>
      <c r="BE521" s="1" t="str">
        <f>IFERROR($BC$3&amp;VLOOKUP(H523,'Pay Table'!$M$3:$N$18,2,FALSE)&amp;$BB$3&amp;I523&amp;$BD$3,"")</f>
        <v/>
      </c>
      <c r="BF521" s="27" t="str">
        <f>IFERROR($BC$3&amp;VLOOKUP(J523,'Pay Table'!$M$3:$N$18,2,FALSE)&amp;$BB$3&amp;K523&amp;$BD$3,"")</f>
        <v/>
      </c>
    </row>
    <row r="522" spans="54:58" x14ac:dyDescent="0.15">
      <c r="BB522" s="26" t="str">
        <f>IFERROR($BC$3&amp;VLOOKUP(B524,'Pay Table'!$M$3:$N$18,2,FALSE)&amp;$BB$3&amp;C524&amp;$BD$3,"")</f>
        <v/>
      </c>
      <c r="BC522" s="1" t="str">
        <f>IFERROR($BC$3&amp;VLOOKUP(D524,'Pay Table'!$M$3:$N$18,2,FALSE)&amp;$BB$3&amp;E524&amp;$BD$3,"")</f>
        <v/>
      </c>
      <c r="BD522" s="1" t="str">
        <f>IFERROR($BC$3&amp;VLOOKUP(F524,'Pay Table'!$M$3:$N$18,2,FALSE)&amp;$BB$3&amp;G524&amp;$BD$3,"")</f>
        <v/>
      </c>
      <c r="BE522" s="1" t="str">
        <f>IFERROR($BC$3&amp;VLOOKUP(H524,'Pay Table'!$M$3:$N$18,2,FALSE)&amp;$BB$3&amp;I524&amp;$BD$3,"")</f>
        <v/>
      </c>
      <c r="BF522" s="27" t="str">
        <f>IFERROR($BC$3&amp;VLOOKUP(J524,'Pay Table'!$M$3:$N$18,2,FALSE)&amp;$BB$3&amp;K524&amp;$BD$3,"")</f>
        <v/>
      </c>
    </row>
    <row r="523" spans="54:58" x14ac:dyDescent="0.15">
      <c r="BB523" s="26" t="str">
        <f>IFERROR($BC$3&amp;VLOOKUP(B525,'Pay Table'!$M$3:$N$18,2,FALSE)&amp;$BB$3&amp;C525&amp;$BD$3,"")</f>
        <v/>
      </c>
      <c r="BC523" s="1" t="str">
        <f>IFERROR($BC$3&amp;VLOOKUP(D525,'Pay Table'!$M$3:$N$18,2,FALSE)&amp;$BB$3&amp;E525&amp;$BD$3,"")</f>
        <v/>
      </c>
      <c r="BD523" s="1" t="str">
        <f>IFERROR($BC$3&amp;VLOOKUP(F525,'Pay Table'!$M$3:$N$18,2,FALSE)&amp;$BB$3&amp;G525&amp;$BD$3,"")</f>
        <v/>
      </c>
      <c r="BE523" s="1" t="str">
        <f>IFERROR($BC$3&amp;VLOOKUP(H525,'Pay Table'!$M$3:$N$18,2,FALSE)&amp;$BB$3&amp;I525&amp;$BD$3,"")</f>
        <v/>
      </c>
      <c r="BF523" s="27" t="str">
        <f>IFERROR($BC$3&amp;VLOOKUP(J525,'Pay Table'!$M$3:$N$18,2,FALSE)&amp;$BB$3&amp;K525&amp;$BD$3,"")</f>
        <v/>
      </c>
    </row>
    <row r="524" spans="54:58" x14ac:dyDescent="0.15">
      <c r="BB524" s="26" t="str">
        <f>IFERROR($BC$3&amp;VLOOKUP(B526,'Pay Table'!$M$3:$N$18,2,FALSE)&amp;$BB$3&amp;C526&amp;$BD$3,"")</f>
        <v/>
      </c>
      <c r="BC524" s="1" t="str">
        <f>IFERROR($BC$3&amp;VLOOKUP(D526,'Pay Table'!$M$3:$N$18,2,FALSE)&amp;$BB$3&amp;E526&amp;$BD$3,"")</f>
        <v/>
      </c>
      <c r="BD524" s="1" t="str">
        <f>IFERROR($BC$3&amp;VLOOKUP(F526,'Pay Table'!$M$3:$N$18,2,FALSE)&amp;$BB$3&amp;G526&amp;$BD$3,"")</f>
        <v/>
      </c>
      <c r="BE524" s="1" t="str">
        <f>IFERROR($BC$3&amp;VLOOKUP(H526,'Pay Table'!$M$3:$N$18,2,FALSE)&amp;$BB$3&amp;I526&amp;$BD$3,"")</f>
        <v/>
      </c>
      <c r="BF524" s="27" t="str">
        <f>IFERROR($BC$3&amp;VLOOKUP(J526,'Pay Table'!$M$3:$N$18,2,FALSE)&amp;$BB$3&amp;K526&amp;$BD$3,"")</f>
        <v/>
      </c>
    </row>
    <row r="525" spans="54:58" x14ac:dyDescent="0.15">
      <c r="BB525" s="26" t="str">
        <f>IFERROR($BC$3&amp;VLOOKUP(B527,'Pay Table'!$M$3:$N$18,2,FALSE)&amp;$BB$3&amp;C527&amp;$BD$3,"")</f>
        <v/>
      </c>
      <c r="BC525" s="1" t="str">
        <f>IFERROR($BC$3&amp;VLOOKUP(D527,'Pay Table'!$M$3:$N$18,2,FALSE)&amp;$BB$3&amp;E527&amp;$BD$3,"")</f>
        <v/>
      </c>
      <c r="BD525" s="1" t="str">
        <f>IFERROR($BC$3&amp;VLOOKUP(F527,'Pay Table'!$M$3:$N$18,2,FALSE)&amp;$BB$3&amp;G527&amp;$BD$3,"")</f>
        <v/>
      </c>
      <c r="BE525" s="1" t="str">
        <f>IFERROR($BC$3&amp;VLOOKUP(H527,'Pay Table'!$M$3:$N$18,2,FALSE)&amp;$BB$3&amp;I527&amp;$BD$3,"")</f>
        <v/>
      </c>
      <c r="BF525" s="27" t="str">
        <f>IFERROR($BC$3&amp;VLOOKUP(J527,'Pay Table'!$M$3:$N$18,2,FALSE)&amp;$BB$3&amp;K527&amp;$BD$3,"")</f>
        <v/>
      </c>
    </row>
    <row r="526" spans="54:58" x14ac:dyDescent="0.15">
      <c r="BB526" s="26" t="str">
        <f>IFERROR($BC$3&amp;VLOOKUP(B528,'Pay Table'!$M$3:$N$18,2,FALSE)&amp;$BB$3&amp;C528&amp;$BD$3,"")</f>
        <v/>
      </c>
      <c r="BC526" s="1" t="str">
        <f>IFERROR($BC$3&amp;VLOOKUP(D528,'Pay Table'!$M$3:$N$18,2,FALSE)&amp;$BB$3&amp;E528&amp;$BD$3,"")</f>
        <v/>
      </c>
      <c r="BD526" s="1" t="str">
        <f>IFERROR($BC$3&amp;VLOOKUP(F528,'Pay Table'!$M$3:$N$18,2,FALSE)&amp;$BB$3&amp;G528&amp;$BD$3,"")</f>
        <v/>
      </c>
      <c r="BE526" s="1" t="str">
        <f>IFERROR($BC$3&amp;VLOOKUP(H528,'Pay Table'!$M$3:$N$18,2,FALSE)&amp;$BB$3&amp;I528&amp;$BD$3,"")</f>
        <v/>
      </c>
      <c r="BF526" s="27" t="str">
        <f>IFERROR($BC$3&amp;VLOOKUP(J528,'Pay Table'!$M$3:$N$18,2,FALSE)&amp;$BB$3&amp;K528&amp;$BD$3,"")</f>
        <v/>
      </c>
    </row>
    <row r="527" spans="54:58" x14ac:dyDescent="0.15">
      <c r="BB527" s="26" t="str">
        <f>IFERROR($BC$3&amp;VLOOKUP(B529,'Pay Table'!$M$3:$N$18,2,FALSE)&amp;$BB$3&amp;C529&amp;$BD$3,"")</f>
        <v/>
      </c>
      <c r="BC527" s="1" t="str">
        <f>IFERROR($BC$3&amp;VLOOKUP(D529,'Pay Table'!$M$3:$N$18,2,FALSE)&amp;$BB$3&amp;E529&amp;$BD$3,"")</f>
        <v/>
      </c>
      <c r="BD527" s="1" t="str">
        <f>IFERROR($BC$3&amp;VLOOKUP(F529,'Pay Table'!$M$3:$N$18,2,FALSE)&amp;$BB$3&amp;G529&amp;$BD$3,"")</f>
        <v/>
      </c>
      <c r="BE527" s="1" t="str">
        <f>IFERROR($BC$3&amp;VLOOKUP(H529,'Pay Table'!$M$3:$N$18,2,FALSE)&amp;$BB$3&amp;I529&amp;$BD$3,"")</f>
        <v/>
      </c>
      <c r="BF527" s="27" t="str">
        <f>IFERROR($BC$3&amp;VLOOKUP(J529,'Pay Table'!$M$3:$N$18,2,FALSE)&amp;$BB$3&amp;K529&amp;$BD$3,"")</f>
        <v/>
      </c>
    </row>
    <row r="528" spans="54:58" x14ac:dyDescent="0.15">
      <c r="BB528" s="26" t="str">
        <f>IFERROR($BC$3&amp;VLOOKUP(B530,'Pay Table'!$M$3:$N$18,2,FALSE)&amp;$BB$3&amp;C530&amp;$BD$3,"")</f>
        <v/>
      </c>
      <c r="BC528" s="1" t="str">
        <f>IFERROR($BC$3&amp;VLOOKUP(D530,'Pay Table'!$M$3:$N$18,2,FALSE)&amp;$BB$3&amp;E530&amp;$BD$3,"")</f>
        <v/>
      </c>
      <c r="BD528" s="1" t="str">
        <f>IFERROR($BC$3&amp;VLOOKUP(F530,'Pay Table'!$M$3:$N$18,2,FALSE)&amp;$BB$3&amp;G530&amp;$BD$3,"")</f>
        <v/>
      </c>
      <c r="BE528" s="1" t="str">
        <f>IFERROR($BC$3&amp;VLOOKUP(H530,'Pay Table'!$M$3:$N$18,2,FALSE)&amp;$BB$3&amp;I530&amp;$BD$3,"")</f>
        <v/>
      </c>
      <c r="BF528" s="27" t="str">
        <f>IFERROR($BC$3&amp;VLOOKUP(J530,'Pay Table'!$M$3:$N$18,2,FALSE)&amp;$BB$3&amp;K530&amp;$BD$3,"")</f>
        <v/>
      </c>
    </row>
    <row r="529" spans="54:58" x14ac:dyDescent="0.15">
      <c r="BB529" s="26" t="str">
        <f>IFERROR($BC$3&amp;VLOOKUP(B531,'Pay Table'!$M$3:$N$18,2,FALSE)&amp;$BB$3&amp;C531&amp;$BD$3,"")</f>
        <v/>
      </c>
      <c r="BC529" s="1" t="str">
        <f>IFERROR($BC$3&amp;VLOOKUP(D531,'Pay Table'!$M$3:$N$18,2,FALSE)&amp;$BB$3&amp;E531&amp;$BD$3,"")</f>
        <v/>
      </c>
      <c r="BD529" s="1" t="str">
        <f>IFERROR($BC$3&amp;VLOOKUP(F531,'Pay Table'!$M$3:$N$18,2,FALSE)&amp;$BB$3&amp;G531&amp;$BD$3,"")</f>
        <v/>
      </c>
      <c r="BE529" s="1" t="str">
        <f>IFERROR($BC$3&amp;VLOOKUP(H531,'Pay Table'!$M$3:$N$18,2,FALSE)&amp;$BB$3&amp;I531&amp;$BD$3,"")</f>
        <v/>
      </c>
      <c r="BF529" s="27" t="str">
        <f>IFERROR($BC$3&amp;VLOOKUP(J531,'Pay Table'!$M$3:$N$18,2,FALSE)&amp;$BB$3&amp;K531&amp;$BD$3,"")</f>
        <v/>
      </c>
    </row>
    <row r="530" spans="54:58" x14ac:dyDescent="0.15">
      <c r="BB530" s="26" t="str">
        <f>IFERROR($BC$3&amp;VLOOKUP(B532,'Pay Table'!$M$3:$N$18,2,FALSE)&amp;$BB$3&amp;C532&amp;$BD$3,"")</f>
        <v/>
      </c>
      <c r="BC530" s="1" t="str">
        <f>IFERROR($BC$3&amp;VLOOKUP(D532,'Pay Table'!$M$3:$N$18,2,FALSE)&amp;$BB$3&amp;E532&amp;$BD$3,"")</f>
        <v/>
      </c>
      <c r="BD530" s="1" t="str">
        <f>IFERROR($BC$3&amp;VLOOKUP(F532,'Pay Table'!$M$3:$N$18,2,FALSE)&amp;$BB$3&amp;G532&amp;$BD$3,"")</f>
        <v/>
      </c>
      <c r="BE530" s="1" t="str">
        <f>IFERROR($BC$3&amp;VLOOKUP(H532,'Pay Table'!$M$3:$N$18,2,FALSE)&amp;$BB$3&amp;I532&amp;$BD$3,"")</f>
        <v/>
      </c>
      <c r="BF530" s="27" t="str">
        <f>IFERROR($BC$3&amp;VLOOKUP(J532,'Pay Table'!$M$3:$N$18,2,FALSE)&amp;$BB$3&amp;K532&amp;$BD$3,"")</f>
        <v/>
      </c>
    </row>
    <row r="531" spans="54:58" x14ac:dyDescent="0.15">
      <c r="BB531" s="26" t="str">
        <f>IFERROR($BC$3&amp;VLOOKUP(B533,'Pay Table'!$M$3:$N$18,2,FALSE)&amp;$BB$3&amp;C533&amp;$BD$3,"")</f>
        <v/>
      </c>
      <c r="BC531" s="1" t="str">
        <f>IFERROR($BC$3&amp;VLOOKUP(D533,'Pay Table'!$M$3:$N$18,2,FALSE)&amp;$BB$3&amp;E533&amp;$BD$3,"")</f>
        <v/>
      </c>
      <c r="BD531" s="1" t="str">
        <f>IFERROR($BC$3&amp;VLOOKUP(F533,'Pay Table'!$M$3:$N$18,2,FALSE)&amp;$BB$3&amp;G533&amp;$BD$3,"")</f>
        <v/>
      </c>
      <c r="BE531" s="1" t="str">
        <f>IFERROR($BC$3&amp;VLOOKUP(H533,'Pay Table'!$M$3:$N$18,2,FALSE)&amp;$BB$3&amp;I533&amp;$BD$3,"")</f>
        <v/>
      </c>
      <c r="BF531" s="27" t="str">
        <f>IFERROR($BC$3&amp;VLOOKUP(J533,'Pay Table'!$M$3:$N$18,2,FALSE)&amp;$BB$3&amp;K533&amp;$BD$3,"")</f>
        <v/>
      </c>
    </row>
    <row r="532" spans="54:58" x14ac:dyDescent="0.15">
      <c r="BB532" s="26" t="str">
        <f>IFERROR($BC$3&amp;VLOOKUP(B534,'Pay Table'!$M$3:$N$18,2,FALSE)&amp;$BB$3&amp;C534&amp;$BD$3,"")</f>
        <v/>
      </c>
      <c r="BC532" s="1" t="str">
        <f>IFERROR($BC$3&amp;VLOOKUP(D534,'Pay Table'!$M$3:$N$18,2,FALSE)&amp;$BB$3&amp;E534&amp;$BD$3,"")</f>
        <v/>
      </c>
      <c r="BD532" s="1" t="str">
        <f>IFERROR($BC$3&amp;VLOOKUP(F534,'Pay Table'!$M$3:$N$18,2,FALSE)&amp;$BB$3&amp;G534&amp;$BD$3,"")</f>
        <v/>
      </c>
      <c r="BE532" s="1" t="str">
        <f>IFERROR($BC$3&amp;VLOOKUP(H534,'Pay Table'!$M$3:$N$18,2,FALSE)&amp;$BB$3&amp;I534&amp;$BD$3,"")</f>
        <v/>
      </c>
      <c r="BF532" s="27" t="str">
        <f>IFERROR($BC$3&amp;VLOOKUP(J534,'Pay Table'!$M$3:$N$18,2,FALSE)&amp;$BB$3&amp;K534&amp;$BD$3,"")</f>
        <v/>
      </c>
    </row>
    <row r="533" spans="54:58" x14ac:dyDescent="0.15">
      <c r="BB533" s="26" t="str">
        <f>IFERROR($BC$3&amp;VLOOKUP(B535,'Pay Table'!$M$3:$N$18,2,FALSE)&amp;$BB$3&amp;C535&amp;$BD$3,"")</f>
        <v/>
      </c>
      <c r="BC533" s="1" t="str">
        <f>IFERROR($BC$3&amp;VLOOKUP(D535,'Pay Table'!$M$3:$N$18,2,FALSE)&amp;$BB$3&amp;E535&amp;$BD$3,"")</f>
        <v/>
      </c>
      <c r="BD533" s="1" t="str">
        <f>IFERROR($BC$3&amp;VLOOKUP(F535,'Pay Table'!$M$3:$N$18,2,FALSE)&amp;$BB$3&amp;G535&amp;$BD$3,"")</f>
        <v/>
      </c>
      <c r="BE533" s="1" t="str">
        <f>IFERROR($BC$3&amp;VLOOKUP(H535,'Pay Table'!$M$3:$N$18,2,FALSE)&amp;$BB$3&amp;I535&amp;$BD$3,"")</f>
        <v/>
      </c>
      <c r="BF533" s="27" t="str">
        <f>IFERROR($BC$3&amp;VLOOKUP(J535,'Pay Table'!$M$3:$N$18,2,FALSE)&amp;$BB$3&amp;K535&amp;$BD$3,"")</f>
        <v/>
      </c>
    </row>
    <row r="534" spans="54:58" x14ac:dyDescent="0.15">
      <c r="BB534" s="26" t="str">
        <f>IFERROR($BC$3&amp;VLOOKUP(B536,'Pay Table'!$M$3:$N$18,2,FALSE)&amp;$BB$3&amp;C536&amp;$BD$3,"")</f>
        <v/>
      </c>
      <c r="BC534" s="1" t="str">
        <f>IFERROR($BC$3&amp;VLOOKUP(D536,'Pay Table'!$M$3:$N$18,2,FALSE)&amp;$BB$3&amp;E536&amp;$BD$3,"")</f>
        <v/>
      </c>
      <c r="BD534" s="1" t="str">
        <f>IFERROR($BC$3&amp;VLOOKUP(F536,'Pay Table'!$M$3:$N$18,2,FALSE)&amp;$BB$3&amp;G536&amp;$BD$3,"")</f>
        <v/>
      </c>
      <c r="BE534" s="1" t="str">
        <f>IFERROR($BC$3&amp;VLOOKUP(H536,'Pay Table'!$M$3:$N$18,2,FALSE)&amp;$BB$3&amp;I536&amp;$BD$3,"")</f>
        <v/>
      </c>
      <c r="BF534" s="27" t="str">
        <f>IFERROR($BC$3&amp;VLOOKUP(J536,'Pay Table'!$M$3:$N$18,2,FALSE)&amp;$BB$3&amp;K536&amp;$BD$3,"")</f>
        <v/>
      </c>
    </row>
    <row r="535" spans="54:58" x14ac:dyDescent="0.15">
      <c r="BB535" s="26" t="str">
        <f>IFERROR($BC$3&amp;VLOOKUP(B537,'Pay Table'!$M$3:$N$18,2,FALSE)&amp;$BB$3&amp;C537&amp;$BD$3,"")</f>
        <v/>
      </c>
      <c r="BC535" s="1" t="str">
        <f>IFERROR($BC$3&amp;VLOOKUP(D537,'Pay Table'!$M$3:$N$18,2,FALSE)&amp;$BB$3&amp;E537&amp;$BD$3,"")</f>
        <v/>
      </c>
      <c r="BD535" s="1" t="str">
        <f>IFERROR($BC$3&amp;VLOOKUP(F537,'Pay Table'!$M$3:$N$18,2,FALSE)&amp;$BB$3&amp;G537&amp;$BD$3,"")</f>
        <v/>
      </c>
      <c r="BE535" s="1" t="str">
        <f>IFERROR($BC$3&amp;VLOOKUP(H537,'Pay Table'!$M$3:$N$18,2,FALSE)&amp;$BB$3&amp;I537&amp;$BD$3,"")</f>
        <v/>
      </c>
      <c r="BF535" s="27" t="str">
        <f>IFERROR($BC$3&amp;VLOOKUP(J537,'Pay Table'!$M$3:$N$18,2,FALSE)&amp;$BB$3&amp;K537&amp;$BD$3,"")</f>
        <v/>
      </c>
    </row>
    <row r="536" spans="54:58" x14ac:dyDescent="0.15">
      <c r="BB536" s="26" t="str">
        <f>IFERROR($BC$3&amp;VLOOKUP(B538,'Pay Table'!$M$3:$N$18,2,FALSE)&amp;$BB$3&amp;C538&amp;$BD$3,"")</f>
        <v/>
      </c>
      <c r="BC536" s="1" t="str">
        <f>IFERROR($BC$3&amp;VLOOKUP(D538,'Pay Table'!$M$3:$N$18,2,FALSE)&amp;$BB$3&amp;E538&amp;$BD$3,"")</f>
        <v/>
      </c>
      <c r="BD536" s="1" t="str">
        <f>IFERROR($BC$3&amp;VLOOKUP(F538,'Pay Table'!$M$3:$N$18,2,FALSE)&amp;$BB$3&amp;G538&amp;$BD$3,"")</f>
        <v/>
      </c>
      <c r="BE536" s="1" t="str">
        <f>IFERROR($BC$3&amp;VLOOKUP(H538,'Pay Table'!$M$3:$N$18,2,FALSE)&amp;$BB$3&amp;I538&amp;$BD$3,"")</f>
        <v/>
      </c>
      <c r="BF536" s="27" t="str">
        <f>IFERROR($BC$3&amp;VLOOKUP(J538,'Pay Table'!$M$3:$N$18,2,FALSE)&amp;$BB$3&amp;K538&amp;$BD$3,"")</f>
        <v/>
      </c>
    </row>
    <row r="537" spans="54:58" x14ac:dyDescent="0.15">
      <c r="BB537" s="26" t="str">
        <f>IFERROR($BC$3&amp;VLOOKUP(B539,'Pay Table'!$M$3:$N$18,2,FALSE)&amp;$BB$3&amp;C539&amp;$BD$3,"")</f>
        <v/>
      </c>
      <c r="BC537" s="1" t="str">
        <f>IFERROR($BC$3&amp;VLOOKUP(D539,'Pay Table'!$M$3:$N$18,2,FALSE)&amp;$BB$3&amp;E539&amp;$BD$3,"")</f>
        <v/>
      </c>
      <c r="BD537" s="1" t="str">
        <f>IFERROR($BC$3&amp;VLOOKUP(F539,'Pay Table'!$M$3:$N$18,2,FALSE)&amp;$BB$3&amp;G539&amp;$BD$3,"")</f>
        <v/>
      </c>
      <c r="BE537" s="1" t="str">
        <f>IFERROR($BC$3&amp;VLOOKUP(H539,'Pay Table'!$M$3:$N$18,2,FALSE)&amp;$BB$3&amp;I539&amp;$BD$3,"")</f>
        <v/>
      </c>
      <c r="BF537" s="27" t="str">
        <f>IFERROR($BC$3&amp;VLOOKUP(J539,'Pay Table'!$M$3:$N$18,2,FALSE)&amp;$BB$3&amp;K539&amp;$BD$3,"")</f>
        <v/>
      </c>
    </row>
    <row r="538" spans="54:58" x14ac:dyDescent="0.15">
      <c r="BB538" s="26" t="str">
        <f>IFERROR($BC$3&amp;VLOOKUP(B540,'Pay Table'!$M$3:$N$18,2,FALSE)&amp;$BB$3&amp;C540&amp;$BD$3,"")</f>
        <v/>
      </c>
      <c r="BC538" s="1" t="str">
        <f>IFERROR($BC$3&amp;VLOOKUP(D540,'Pay Table'!$M$3:$N$18,2,FALSE)&amp;$BB$3&amp;E540&amp;$BD$3,"")</f>
        <v/>
      </c>
      <c r="BD538" s="1" t="str">
        <f>IFERROR($BC$3&amp;VLOOKUP(F540,'Pay Table'!$M$3:$N$18,2,FALSE)&amp;$BB$3&amp;G540&amp;$BD$3,"")</f>
        <v/>
      </c>
      <c r="BE538" s="1" t="str">
        <f>IFERROR($BC$3&amp;VLOOKUP(H540,'Pay Table'!$M$3:$N$18,2,FALSE)&amp;$BB$3&amp;I540&amp;$BD$3,"")</f>
        <v/>
      </c>
      <c r="BF538" s="27" t="str">
        <f>IFERROR($BC$3&amp;VLOOKUP(J540,'Pay Table'!$M$3:$N$18,2,FALSE)&amp;$BB$3&amp;K540&amp;$BD$3,"")</f>
        <v/>
      </c>
    </row>
    <row r="539" spans="54:58" x14ac:dyDescent="0.15">
      <c r="BB539" s="26" t="str">
        <f>IFERROR($BC$3&amp;VLOOKUP(B541,'Pay Table'!$M$3:$N$18,2,FALSE)&amp;$BB$3&amp;C541&amp;$BD$3,"")</f>
        <v/>
      </c>
      <c r="BC539" s="1" t="str">
        <f>IFERROR($BC$3&amp;VLOOKUP(D541,'Pay Table'!$M$3:$N$18,2,FALSE)&amp;$BB$3&amp;E541&amp;$BD$3,"")</f>
        <v/>
      </c>
      <c r="BD539" s="1" t="str">
        <f>IFERROR($BC$3&amp;VLOOKUP(F541,'Pay Table'!$M$3:$N$18,2,FALSE)&amp;$BB$3&amp;G541&amp;$BD$3,"")</f>
        <v/>
      </c>
      <c r="BE539" s="1" t="str">
        <f>IFERROR($BC$3&amp;VLOOKUP(H541,'Pay Table'!$M$3:$N$18,2,FALSE)&amp;$BB$3&amp;I541&amp;$BD$3,"")</f>
        <v/>
      </c>
      <c r="BF539" s="27" t="str">
        <f>IFERROR($BC$3&amp;VLOOKUP(J541,'Pay Table'!$M$3:$N$18,2,FALSE)&amp;$BB$3&amp;K541&amp;$BD$3,"")</f>
        <v/>
      </c>
    </row>
    <row r="540" spans="54:58" x14ac:dyDescent="0.15">
      <c r="BB540" s="26" t="str">
        <f>IFERROR($BC$3&amp;VLOOKUP(B542,'Pay Table'!$M$3:$N$18,2,FALSE)&amp;$BB$3&amp;C542&amp;$BD$3,"")</f>
        <v/>
      </c>
      <c r="BC540" s="1" t="str">
        <f>IFERROR($BC$3&amp;VLOOKUP(D542,'Pay Table'!$M$3:$N$18,2,FALSE)&amp;$BB$3&amp;E542&amp;$BD$3,"")</f>
        <v/>
      </c>
      <c r="BD540" s="1" t="str">
        <f>IFERROR($BC$3&amp;VLOOKUP(F542,'Pay Table'!$M$3:$N$18,2,FALSE)&amp;$BB$3&amp;G542&amp;$BD$3,"")</f>
        <v/>
      </c>
      <c r="BE540" s="1" t="str">
        <f>IFERROR($BC$3&amp;VLOOKUP(H542,'Pay Table'!$M$3:$N$18,2,FALSE)&amp;$BB$3&amp;I542&amp;$BD$3,"")</f>
        <v/>
      </c>
      <c r="BF540" s="27" t="str">
        <f>IFERROR($BC$3&amp;VLOOKUP(J542,'Pay Table'!$M$3:$N$18,2,FALSE)&amp;$BB$3&amp;K542&amp;$BD$3,"")</f>
        <v/>
      </c>
    </row>
    <row r="541" spans="54:58" x14ac:dyDescent="0.15">
      <c r="BB541" s="26" t="str">
        <f>IFERROR($BC$3&amp;VLOOKUP(B543,'Pay Table'!$M$3:$N$18,2,FALSE)&amp;$BB$3&amp;C543&amp;$BD$3,"")</f>
        <v/>
      </c>
      <c r="BC541" s="1" t="str">
        <f>IFERROR($BC$3&amp;VLOOKUP(D543,'Pay Table'!$M$3:$N$18,2,FALSE)&amp;$BB$3&amp;E543&amp;$BD$3,"")</f>
        <v/>
      </c>
      <c r="BD541" s="1" t="str">
        <f>IFERROR($BC$3&amp;VLOOKUP(F543,'Pay Table'!$M$3:$N$18,2,FALSE)&amp;$BB$3&amp;G543&amp;$BD$3,"")</f>
        <v/>
      </c>
      <c r="BE541" s="1" t="str">
        <f>IFERROR($BC$3&amp;VLOOKUP(H543,'Pay Table'!$M$3:$N$18,2,FALSE)&amp;$BB$3&amp;I543&amp;$BD$3,"")</f>
        <v/>
      </c>
      <c r="BF541" s="27" t="str">
        <f>IFERROR($BC$3&amp;VLOOKUP(J543,'Pay Table'!$M$3:$N$18,2,FALSE)&amp;$BB$3&amp;K543&amp;$BD$3,"")</f>
        <v/>
      </c>
    </row>
    <row r="542" spans="54:58" x14ac:dyDescent="0.15">
      <c r="BB542" s="26" t="str">
        <f>IFERROR($BC$3&amp;VLOOKUP(B544,'Pay Table'!$M$3:$N$18,2,FALSE)&amp;$BB$3&amp;C544&amp;$BD$3,"")</f>
        <v/>
      </c>
      <c r="BC542" s="1" t="str">
        <f>IFERROR($BC$3&amp;VLOOKUP(D544,'Pay Table'!$M$3:$N$18,2,FALSE)&amp;$BB$3&amp;E544&amp;$BD$3,"")</f>
        <v/>
      </c>
      <c r="BD542" s="1" t="str">
        <f>IFERROR($BC$3&amp;VLOOKUP(F544,'Pay Table'!$M$3:$N$18,2,FALSE)&amp;$BB$3&amp;G544&amp;$BD$3,"")</f>
        <v/>
      </c>
      <c r="BE542" s="1" t="str">
        <f>IFERROR($BC$3&amp;VLOOKUP(H544,'Pay Table'!$M$3:$N$18,2,FALSE)&amp;$BB$3&amp;I544&amp;$BD$3,"")</f>
        <v/>
      </c>
      <c r="BF542" s="27" t="str">
        <f>IFERROR($BC$3&amp;VLOOKUP(J544,'Pay Table'!$M$3:$N$18,2,FALSE)&amp;$BB$3&amp;K544&amp;$BD$3,"")</f>
        <v/>
      </c>
    </row>
    <row r="543" spans="54:58" x14ac:dyDescent="0.15">
      <c r="BB543" s="26" t="str">
        <f>IFERROR($BC$3&amp;VLOOKUP(B545,'Pay Table'!$M$3:$N$18,2,FALSE)&amp;$BB$3&amp;C545&amp;$BD$3,"")</f>
        <v/>
      </c>
      <c r="BC543" s="1" t="str">
        <f>IFERROR($BC$3&amp;VLOOKUP(D545,'Pay Table'!$M$3:$N$18,2,FALSE)&amp;$BB$3&amp;E545&amp;$BD$3,"")</f>
        <v/>
      </c>
      <c r="BD543" s="1" t="str">
        <f>IFERROR($BC$3&amp;VLOOKUP(F545,'Pay Table'!$M$3:$N$18,2,FALSE)&amp;$BB$3&amp;G545&amp;$BD$3,"")</f>
        <v/>
      </c>
      <c r="BE543" s="1" t="str">
        <f>IFERROR($BC$3&amp;VLOOKUP(H545,'Pay Table'!$M$3:$N$18,2,FALSE)&amp;$BB$3&amp;I545&amp;$BD$3,"")</f>
        <v/>
      </c>
      <c r="BF543" s="27" t="str">
        <f>IFERROR($BC$3&amp;VLOOKUP(J545,'Pay Table'!$M$3:$N$18,2,FALSE)&amp;$BB$3&amp;K545&amp;$BD$3,"")</f>
        <v/>
      </c>
    </row>
    <row r="544" spans="54:58" x14ac:dyDescent="0.15">
      <c r="BB544" s="26" t="str">
        <f>IFERROR($BC$3&amp;VLOOKUP(B546,'Pay Table'!$M$3:$N$18,2,FALSE)&amp;$BB$3&amp;C546&amp;$BD$3,"")</f>
        <v/>
      </c>
      <c r="BC544" s="1" t="str">
        <f>IFERROR($BC$3&amp;VLOOKUP(D546,'Pay Table'!$M$3:$N$18,2,FALSE)&amp;$BB$3&amp;E546&amp;$BD$3,"")</f>
        <v/>
      </c>
      <c r="BD544" s="1" t="str">
        <f>IFERROR($BC$3&amp;VLOOKUP(F546,'Pay Table'!$M$3:$N$18,2,FALSE)&amp;$BB$3&amp;G546&amp;$BD$3,"")</f>
        <v/>
      </c>
      <c r="BE544" s="1" t="str">
        <f>IFERROR($BC$3&amp;VLOOKUP(H546,'Pay Table'!$M$3:$N$18,2,FALSE)&amp;$BB$3&amp;I546&amp;$BD$3,"")</f>
        <v/>
      </c>
      <c r="BF544" s="27" t="str">
        <f>IFERROR($BC$3&amp;VLOOKUP(J546,'Pay Table'!$M$3:$N$18,2,FALSE)&amp;$BB$3&amp;K546&amp;$BD$3,"")</f>
        <v/>
      </c>
    </row>
    <row r="545" spans="54:58" x14ac:dyDescent="0.15">
      <c r="BB545" s="26" t="str">
        <f>IFERROR($BC$3&amp;VLOOKUP(B547,'Pay Table'!$M$3:$N$18,2,FALSE)&amp;$BB$3&amp;C547&amp;$BD$3,"")</f>
        <v/>
      </c>
      <c r="BC545" s="1" t="str">
        <f>IFERROR($BC$3&amp;VLOOKUP(D547,'Pay Table'!$M$3:$N$18,2,FALSE)&amp;$BB$3&amp;E547&amp;$BD$3,"")</f>
        <v/>
      </c>
      <c r="BD545" s="1" t="str">
        <f>IFERROR($BC$3&amp;VLOOKUP(F547,'Pay Table'!$M$3:$N$18,2,FALSE)&amp;$BB$3&amp;G547&amp;$BD$3,"")</f>
        <v/>
      </c>
      <c r="BE545" s="1" t="str">
        <f>IFERROR($BC$3&amp;VLOOKUP(H547,'Pay Table'!$M$3:$N$18,2,FALSE)&amp;$BB$3&amp;I547&amp;$BD$3,"")</f>
        <v/>
      </c>
      <c r="BF545" s="27" t="str">
        <f>IFERROR($BC$3&amp;VLOOKUP(J547,'Pay Table'!$M$3:$N$18,2,FALSE)&amp;$BB$3&amp;K547&amp;$BD$3,"")</f>
        <v/>
      </c>
    </row>
    <row r="546" spans="54:58" x14ac:dyDescent="0.15">
      <c r="BB546" s="26" t="str">
        <f>IFERROR($BC$3&amp;VLOOKUP(B548,'Pay Table'!$M$3:$N$18,2,FALSE)&amp;$BB$3&amp;C548&amp;$BD$3,"")</f>
        <v/>
      </c>
      <c r="BC546" s="1" t="str">
        <f>IFERROR($BC$3&amp;VLOOKUP(D548,'Pay Table'!$M$3:$N$18,2,FALSE)&amp;$BB$3&amp;E548&amp;$BD$3,"")</f>
        <v/>
      </c>
      <c r="BD546" s="1" t="str">
        <f>IFERROR($BC$3&amp;VLOOKUP(F548,'Pay Table'!$M$3:$N$18,2,FALSE)&amp;$BB$3&amp;G548&amp;$BD$3,"")</f>
        <v/>
      </c>
      <c r="BE546" s="1" t="str">
        <f>IFERROR($BC$3&amp;VLOOKUP(H548,'Pay Table'!$M$3:$N$18,2,FALSE)&amp;$BB$3&amp;I548&amp;$BD$3,"")</f>
        <v/>
      </c>
      <c r="BF546" s="27" t="str">
        <f>IFERROR($BC$3&amp;VLOOKUP(J548,'Pay Table'!$M$3:$N$18,2,FALSE)&amp;$BB$3&amp;K548&amp;$BD$3,"")</f>
        <v/>
      </c>
    </row>
    <row r="547" spans="54:58" x14ac:dyDescent="0.15">
      <c r="BB547" s="26" t="str">
        <f>IFERROR($BC$3&amp;VLOOKUP(B549,'Pay Table'!$M$3:$N$18,2,FALSE)&amp;$BB$3&amp;C549&amp;$BD$3,"")</f>
        <v/>
      </c>
      <c r="BC547" s="1" t="str">
        <f>IFERROR($BC$3&amp;VLOOKUP(D549,'Pay Table'!$M$3:$N$18,2,FALSE)&amp;$BB$3&amp;E549&amp;$BD$3,"")</f>
        <v/>
      </c>
      <c r="BD547" s="1" t="str">
        <f>IFERROR($BC$3&amp;VLOOKUP(F549,'Pay Table'!$M$3:$N$18,2,FALSE)&amp;$BB$3&amp;G549&amp;$BD$3,"")</f>
        <v/>
      </c>
      <c r="BE547" s="1" t="str">
        <f>IFERROR($BC$3&amp;VLOOKUP(H549,'Pay Table'!$M$3:$N$18,2,FALSE)&amp;$BB$3&amp;I549&amp;$BD$3,"")</f>
        <v/>
      </c>
      <c r="BF547" s="27" t="str">
        <f>IFERROR($BC$3&amp;VLOOKUP(J549,'Pay Table'!$M$3:$N$18,2,FALSE)&amp;$BB$3&amp;K549&amp;$BD$3,"")</f>
        <v/>
      </c>
    </row>
    <row r="548" spans="54:58" x14ac:dyDescent="0.15">
      <c r="BB548" s="26" t="str">
        <f>IFERROR($BC$3&amp;VLOOKUP(B550,'Pay Table'!$M$3:$N$18,2,FALSE)&amp;$BB$3&amp;C550&amp;$BD$3,"")</f>
        <v/>
      </c>
      <c r="BC548" s="1" t="str">
        <f>IFERROR($BC$3&amp;VLOOKUP(D550,'Pay Table'!$M$3:$N$18,2,FALSE)&amp;$BB$3&amp;E550&amp;$BD$3,"")</f>
        <v/>
      </c>
      <c r="BD548" s="1" t="str">
        <f>IFERROR($BC$3&amp;VLOOKUP(F550,'Pay Table'!$M$3:$N$18,2,FALSE)&amp;$BB$3&amp;G550&amp;$BD$3,"")</f>
        <v/>
      </c>
      <c r="BE548" s="1" t="str">
        <f>IFERROR($BC$3&amp;VLOOKUP(H550,'Pay Table'!$M$3:$N$18,2,FALSE)&amp;$BB$3&amp;I550&amp;$BD$3,"")</f>
        <v/>
      </c>
      <c r="BF548" s="27" t="str">
        <f>IFERROR($BC$3&amp;VLOOKUP(J550,'Pay Table'!$M$3:$N$18,2,FALSE)&amp;$BB$3&amp;K550&amp;$BD$3,"")</f>
        <v/>
      </c>
    </row>
    <row r="549" spans="54:58" x14ac:dyDescent="0.15">
      <c r="BB549" s="26" t="str">
        <f>IFERROR($BC$3&amp;VLOOKUP(B551,'Pay Table'!$M$3:$N$18,2,FALSE)&amp;$BB$3&amp;C551&amp;$BD$3,"")</f>
        <v/>
      </c>
      <c r="BC549" s="1" t="str">
        <f>IFERROR($BC$3&amp;VLOOKUP(D551,'Pay Table'!$M$3:$N$18,2,FALSE)&amp;$BB$3&amp;E551&amp;$BD$3,"")</f>
        <v/>
      </c>
      <c r="BD549" s="1" t="str">
        <f>IFERROR($BC$3&amp;VLOOKUP(F551,'Pay Table'!$M$3:$N$18,2,FALSE)&amp;$BB$3&amp;G551&amp;$BD$3,"")</f>
        <v/>
      </c>
      <c r="BE549" s="1" t="str">
        <f>IFERROR($BC$3&amp;VLOOKUP(H551,'Pay Table'!$M$3:$N$18,2,FALSE)&amp;$BB$3&amp;I551&amp;$BD$3,"")</f>
        <v/>
      </c>
      <c r="BF549" s="27" t="str">
        <f>IFERROR($BC$3&amp;VLOOKUP(J551,'Pay Table'!$M$3:$N$18,2,FALSE)&amp;$BB$3&amp;K551&amp;$BD$3,"")</f>
        <v/>
      </c>
    </row>
    <row r="550" spans="54:58" x14ac:dyDescent="0.15">
      <c r="BB550" s="26" t="str">
        <f>IFERROR($BC$3&amp;VLOOKUP(B552,'Pay Table'!$M$3:$N$18,2,FALSE)&amp;$BB$3&amp;C552&amp;$BD$3,"")</f>
        <v/>
      </c>
      <c r="BC550" s="1" t="str">
        <f>IFERROR($BC$3&amp;VLOOKUP(D552,'Pay Table'!$M$3:$N$18,2,FALSE)&amp;$BB$3&amp;E552&amp;$BD$3,"")</f>
        <v/>
      </c>
      <c r="BD550" s="1" t="str">
        <f>IFERROR($BC$3&amp;VLOOKUP(F552,'Pay Table'!$M$3:$N$18,2,FALSE)&amp;$BB$3&amp;G552&amp;$BD$3,"")</f>
        <v/>
      </c>
      <c r="BE550" s="1" t="str">
        <f>IFERROR($BC$3&amp;VLOOKUP(H552,'Pay Table'!$M$3:$N$18,2,FALSE)&amp;$BB$3&amp;I552&amp;$BD$3,"")</f>
        <v/>
      </c>
      <c r="BF550" s="27" t="str">
        <f>IFERROR($BC$3&amp;VLOOKUP(J552,'Pay Table'!$M$3:$N$18,2,FALSE)&amp;$BB$3&amp;K552&amp;$BD$3,"")</f>
        <v/>
      </c>
    </row>
    <row r="551" spans="54:58" x14ac:dyDescent="0.15">
      <c r="BB551" s="26" t="str">
        <f>IFERROR($BC$3&amp;VLOOKUP(B553,'Pay Table'!$M$3:$N$18,2,FALSE)&amp;$BB$3&amp;C553&amp;$BD$3,"")</f>
        <v/>
      </c>
      <c r="BC551" s="1" t="str">
        <f>IFERROR($BC$3&amp;VLOOKUP(D553,'Pay Table'!$M$3:$N$18,2,FALSE)&amp;$BB$3&amp;E553&amp;$BD$3,"")</f>
        <v/>
      </c>
      <c r="BD551" s="1" t="str">
        <f>IFERROR($BC$3&amp;VLOOKUP(F553,'Pay Table'!$M$3:$N$18,2,FALSE)&amp;$BB$3&amp;G553&amp;$BD$3,"")</f>
        <v/>
      </c>
      <c r="BE551" s="1" t="str">
        <f>IFERROR($BC$3&amp;VLOOKUP(H553,'Pay Table'!$M$3:$N$18,2,FALSE)&amp;$BB$3&amp;I553&amp;$BD$3,"")</f>
        <v/>
      </c>
      <c r="BF551" s="27" t="str">
        <f>IFERROR($BC$3&amp;VLOOKUP(J553,'Pay Table'!$M$3:$N$18,2,FALSE)&amp;$BB$3&amp;K553&amp;$BD$3,"")</f>
        <v/>
      </c>
    </row>
    <row r="552" spans="54:58" x14ac:dyDescent="0.15">
      <c r="BB552" s="26" t="str">
        <f>IFERROR($BC$3&amp;VLOOKUP(B554,'Pay Table'!$M$3:$N$18,2,FALSE)&amp;$BB$3&amp;C554&amp;$BD$3,"")</f>
        <v/>
      </c>
      <c r="BC552" s="1" t="str">
        <f>IFERROR($BC$3&amp;VLOOKUP(D554,'Pay Table'!$M$3:$N$18,2,FALSE)&amp;$BB$3&amp;E554&amp;$BD$3,"")</f>
        <v/>
      </c>
      <c r="BD552" s="1" t="str">
        <f>IFERROR($BC$3&amp;VLOOKUP(F554,'Pay Table'!$M$3:$N$18,2,FALSE)&amp;$BB$3&amp;G554&amp;$BD$3,"")</f>
        <v/>
      </c>
      <c r="BE552" s="1" t="str">
        <f>IFERROR($BC$3&amp;VLOOKUP(H554,'Pay Table'!$M$3:$N$18,2,FALSE)&amp;$BB$3&amp;I554&amp;$BD$3,"")</f>
        <v/>
      </c>
      <c r="BF552" s="27" t="str">
        <f>IFERROR($BC$3&amp;VLOOKUP(J554,'Pay Table'!$M$3:$N$18,2,FALSE)&amp;$BB$3&amp;K554&amp;$BD$3,"")</f>
        <v/>
      </c>
    </row>
    <row r="553" spans="54:58" x14ac:dyDescent="0.15">
      <c r="BB553" s="26" t="str">
        <f>IFERROR($BC$3&amp;VLOOKUP(B555,'Pay Table'!$M$3:$N$18,2,FALSE)&amp;$BB$3&amp;C555&amp;$BD$3,"")</f>
        <v/>
      </c>
      <c r="BC553" s="1" t="str">
        <f>IFERROR($BC$3&amp;VLOOKUP(D555,'Pay Table'!$M$3:$N$18,2,FALSE)&amp;$BB$3&amp;E555&amp;$BD$3,"")</f>
        <v/>
      </c>
      <c r="BD553" s="1" t="str">
        <f>IFERROR($BC$3&amp;VLOOKUP(F555,'Pay Table'!$M$3:$N$18,2,FALSE)&amp;$BB$3&amp;G555&amp;$BD$3,"")</f>
        <v/>
      </c>
      <c r="BE553" s="1" t="str">
        <f>IFERROR($BC$3&amp;VLOOKUP(H555,'Pay Table'!$M$3:$N$18,2,FALSE)&amp;$BB$3&amp;I555&amp;$BD$3,"")</f>
        <v/>
      </c>
      <c r="BF553" s="27" t="str">
        <f>IFERROR($BC$3&amp;VLOOKUP(J555,'Pay Table'!$M$3:$N$18,2,FALSE)&amp;$BB$3&amp;K555&amp;$BD$3,"")</f>
        <v/>
      </c>
    </row>
    <row r="554" spans="54:58" x14ac:dyDescent="0.15">
      <c r="BB554" s="26" t="str">
        <f>IFERROR($BC$3&amp;VLOOKUP(B556,'Pay Table'!$M$3:$N$18,2,FALSE)&amp;$BB$3&amp;C556&amp;$BD$3,"")</f>
        <v/>
      </c>
      <c r="BC554" s="1" t="str">
        <f>IFERROR($BC$3&amp;VLOOKUP(D556,'Pay Table'!$M$3:$N$18,2,FALSE)&amp;$BB$3&amp;E556&amp;$BD$3,"")</f>
        <v/>
      </c>
      <c r="BD554" s="1" t="str">
        <f>IFERROR($BC$3&amp;VLOOKUP(F556,'Pay Table'!$M$3:$N$18,2,FALSE)&amp;$BB$3&amp;G556&amp;$BD$3,"")</f>
        <v/>
      </c>
      <c r="BE554" s="1" t="str">
        <f>IFERROR($BC$3&amp;VLOOKUP(H556,'Pay Table'!$M$3:$N$18,2,FALSE)&amp;$BB$3&amp;I556&amp;$BD$3,"")</f>
        <v/>
      </c>
      <c r="BF554" s="27" t="str">
        <f>IFERROR($BC$3&amp;VLOOKUP(J556,'Pay Table'!$M$3:$N$18,2,FALSE)&amp;$BB$3&amp;K556&amp;$BD$3,"")</f>
        <v/>
      </c>
    </row>
    <row r="555" spans="54:58" x14ac:dyDescent="0.15">
      <c r="BB555" s="26" t="str">
        <f>IFERROR($BC$3&amp;VLOOKUP(B557,'Pay Table'!$M$3:$N$18,2,FALSE)&amp;$BB$3&amp;C557&amp;$BD$3,"")</f>
        <v/>
      </c>
      <c r="BC555" s="1" t="str">
        <f>IFERROR($BC$3&amp;VLOOKUP(D557,'Pay Table'!$M$3:$N$18,2,FALSE)&amp;$BB$3&amp;E557&amp;$BD$3,"")</f>
        <v/>
      </c>
      <c r="BD555" s="1" t="str">
        <f>IFERROR($BC$3&amp;VLOOKUP(F557,'Pay Table'!$M$3:$N$18,2,FALSE)&amp;$BB$3&amp;G557&amp;$BD$3,"")</f>
        <v/>
      </c>
      <c r="BE555" s="1" t="str">
        <f>IFERROR($BC$3&amp;VLOOKUP(H557,'Pay Table'!$M$3:$N$18,2,FALSE)&amp;$BB$3&amp;I557&amp;$BD$3,"")</f>
        <v/>
      </c>
      <c r="BF555" s="27" t="str">
        <f>IFERROR($BC$3&amp;VLOOKUP(J557,'Pay Table'!$M$3:$N$18,2,FALSE)&amp;$BB$3&amp;K557&amp;$BD$3,"")</f>
        <v/>
      </c>
    </row>
    <row r="556" spans="54:58" x14ac:dyDescent="0.15">
      <c r="BB556" s="26" t="str">
        <f>IFERROR($BC$3&amp;VLOOKUP(B558,'Pay Table'!$M$3:$N$18,2,FALSE)&amp;$BB$3&amp;C558&amp;$BD$3,"")</f>
        <v/>
      </c>
      <c r="BC556" s="1" t="str">
        <f>IFERROR($BC$3&amp;VLOOKUP(D558,'Pay Table'!$M$3:$N$18,2,FALSE)&amp;$BB$3&amp;E558&amp;$BD$3,"")</f>
        <v/>
      </c>
      <c r="BD556" s="1" t="str">
        <f>IFERROR($BC$3&amp;VLOOKUP(F558,'Pay Table'!$M$3:$N$18,2,FALSE)&amp;$BB$3&amp;G558&amp;$BD$3,"")</f>
        <v/>
      </c>
      <c r="BE556" s="1" t="str">
        <f>IFERROR($BC$3&amp;VLOOKUP(H558,'Pay Table'!$M$3:$N$18,2,FALSE)&amp;$BB$3&amp;I558&amp;$BD$3,"")</f>
        <v/>
      </c>
      <c r="BF556" s="27" t="str">
        <f>IFERROR($BC$3&amp;VLOOKUP(J558,'Pay Table'!$M$3:$N$18,2,FALSE)&amp;$BB$3&amp;K558&amp;$BD$3,"")</f>
        <v/>
      </c>
    </row>
    <row r="557" spans="54:58" x14ac:dyDescent="0.15">
      <c r="BB557" s="26" t="str">
        <f>IFERROR($BC$3&amp;VLOOKUP(B559,'Pay Table'!$M$3:$N$18,2,FALSE)&amp;$BB$3&amp;C559&amp;$BD$3,"")</f>
        <v/>
      </c>
      <c r="BC557" s="1" t="str">
        <f>IFERROR($BC$3&amp;VLOOKUP(D559,'Pay Table'!$M$3:$N$18,2,FALSE)&amp;$BB$3&amp;E559&amp;$BD$3,"")</f>
        <v/>
      </c>
      <c r="BD557" s="1" t="str">
        <f>IFERROR($BC$3&amp;VLOOKUP(F559,'Pay Table'!$M$3:$N$18,2,FALSE)&amp;$BB$3&amp;G559&amp;$BD$3,"")</f>
        <v/>
      </c>
      <c r="BE557" s="1" t="str">
        <f>IFERROR($BC$3&amp;VLOOKUP(H559,'Pay Table'!$M$3:$N$18,2,FALSE)&amp;$BB$3&amp;I559&amp;$BD$3,"")</f>
        <v/>
      </c>
      <c r="BF557" s="27" t="str">
        <f>IFERROR($BC$3&amp;VLOOKUP(J559,'Pay Table'!$M$3:$N$18,2,FALSE)&amp;$BB$3&amp;K559&amp;$BD$3,"")</f>
        <v/>
      </c>
    </row>
    <row r="558" spans="54:58" x14ac:dyDescent="0.15">
      <c r="BB558" s="26" t="str">
        <f>IFERROR($BC$3&amp;VLOOKUP(B560,'Pay Table'!$M$3:$N$18,2,FALSE)&amp;$BB$3&amp;C560&amp;$BD$3,"")</f>
        <v/>
      </c>
      <c r="BC558" s="1" t="str">
        <f>IFERROR($BC$3&amp;VLOOKUP(D560,'Pay Table'!$M$3:$N$18,2,FALSE)&amp;$BB$3&amp;E560&amp;$BD$3,"")</f>
        <v/>
      </c>
      <c r="BD558" s="1" t="str">
        <f>IFERROR($BC$3&amp;VLOOKUP(F560,'Pay Table'!$M$3:$N$18,2,FALSE)&amp;$BB$3&amp;G560&amp;$BD$3,"")</f>
        <v/>
      </c>
      <c r="BE558" s="1" t="str">
        <f>IFERROR($BC$3&amp;VLOOKUP(H560,'Pay Table'!$M$3:$N$18,2,FALSE)&amp;$BB$3&amp;I560&amp;$BD$3,"")</f>
        <v/>
      </c>
      <c r="BF558" s="27" t="str">
        <f>IFERROR($BC$3&amp;VLOOKUP(J560,'Pay Table'!$M$3:$N$18,2,FALSE)&amp;$BB$3&amp;K560&amp;$BD$3,"")</f>
        <v/>
      </c>
    </row>
    <row r="559" spans="54:58" x14ac:dyDescent="0.15">
      <c r="BB559" s="26" t="str">
        <f>IFERROR($BC$3&amp;VLOOKUP(B561,'Pay Table'!$M$3:$N$18,2,FALSE)&amp;$BB$3&amp;C561&amp;$BD$3,"")</f>
        <v/>
      </c>
      <c r="BC559" s="1" t="str">
        <f>IFERROR($BC$3&amp;VLOOKUP(D561,'Pay Table'!$M$3:$N$18,2,FALSE)&amp;$BB$3&amp;E561&amp;$BD$3,"")</f>
        <v/>
      </c>
      <c r="BD559" s="1" t="str">
        <f>IFERROR($BC$3&amp;VLOOKUP(F561,'Pay Table'!$M$3:$N$18,2,FALSE)&amp;$BB$3&amp;G561&amp;$BD$3,"")</f>
        <v/>
      </c>
      <c r="BE559" s="1" t="str">
        <f>IFERROR($BC$3&amp;VLOOKUP(H561,'Pay Table'!$M$3:$N$18,2,FALSE)&amp;$BB$3&amp;I561&amp;$BD$3,"")</f>
        <v/>
      </c>
      <c r="BF559" s="27" t="str">
        <f>IFERROR($BC$3&amp;VLOOKUP(J561,'Pay Table'!$M$3:$N$18,2,FALSE)&amp;$BB$3&amp;K561&amp;$BD$3,"")</f>
        <v/>
      </c>
    </row>
    <row r="560" spans="54:58" x14ac:dyDescent="0.15">
      <c r="BB560" s="26" t="str">
        <f>IFERROR($BC$3&amp;VLOOKUP(B562,'Pay Table'!$M$3:$N$18,2,FALSE)&amp;$BB$3&amp;C562&amp;$BD$3,"")</f>
        <v/>
      </c>
      <c r="BC560" s="1" t="str">
        <f>IFERROR($BC$3&amp;VLOOKUP(D562,'Pay Table'!$M$3:$N$18,2,FALSE)&amp;$BB$3&amp;E562&amp;$BD$3,"")</f>
        <v/>
      </c>
      <c r="BD560" s="1" t="str">
        <f>IFERROR($BC$3&amp;VLOOKUP(F562,'Pay Table'!$M$3:$N$18,2,FALSE)&amp;$BB$3&amp;G562&amp;$BD$3,"")</f>
        <v/>
      </c>
      <c r="BE560" s="1" t="str">
        <f>IFERROR($BC$3&amp;VLOOKUP(H562,'Pay Table'!$M$3:$N$18,2,FALSE)&amp;$BB$3&amp;I562&amp;$BD$3,"")</f>
        <v/>
      </c>
      <c r="BF560" s="27" t="str">
        <f>IFERROR($BC$3&amp;VLOOKUP(J562,'Pay Table'!$M$3:$N$18,2,FALSE)&amp;$BB$3&amp;K562&amp;$BD$3,"")</f>
        <v/>
      </c>
    </row>
    <row r="561" spans="54:58" x14ac:dyDescent="0.15">
      <c r="BB561" s="26" t="str">
        <f>IFERROR($BC$3&amp;VLOOKUP(B563,'Pay Table'!$M$3:$N$18,2,FALSE)&amp;$BB$3&amp;C563&amp;$BD$3,"")</f>
        <v/>
      </c>
      <c r="BC561" s="1" t="str">
        <f>IFERROR($BC$3&amp;VLOOKUP(D563,'Pay Table'!$M$3:$N$18,2,FALSE)&amp;$BB$3&amp;E563&amp;$BD$3,"")</f>
        <v/>
      </c>
      <c r="BD561" s="1" t="str">
        <f>IFERROR($BC$3&amp;VLOOKUP(F563,'Pay Table'!$M$3:$N$18,2,FALSE)&amp;$BB$3&amp;G563&amp;$BD$3,"")</f>
        <v/>
      </c>
      <c r="BE561" s="1" t="str">
        <f>IFERROR($BC$3&amp;VLOOKUP(H563,'Pay Table'!$M$3:$N$18,2,FALSE)&amp;$BB$3&amp;I563&amp;$BD$3,"")</f>
        <v/>
      </c>
      <c r="BF561" s="27" t="str">
        <f>IFERROR($BC$3&amp;VLOOKUP(J563,'Pay Table'!$M$3:$N$18,2,FALSE)&amp;$BB$3&amp;K563&amp;$BD$3,"")</f>
        <v/>
      </c>
    </row>
    <row r="562" spans="54:58" x14ac:dyDescent="0.15">
      <c r="BB562" s="26" t="str">
        <f>IFERROR($BC$3&amp;VLOOKUP(B564,'Pay Table'!$M$3:$N$18,2,FALSE)&amp;$BB$3&amp;C564&amp;$BD$3,"")</f>
        <v/>
      </c>
      <c r="BC562" s="1" t="str">
        <f>IFERROR($BC$3&amp;VLOOKUP(D564,'Pay Table'!$M$3:$N$18,2,FALSE)&amp;$BB$3&amp;E564&amp;$BD$3,"")</f>
        <v/>
      </c>
      <c r="BD562" s="1" t="str">
        <f>IFERROR($BC$3&amp;VLOOKUP(F564,'Pay Table'!$M$3:$N$18,2,FALSE)&amp;$BB$3&amp;G564&amp;$BD$3,"")</f>
        <v/>
      </c>
      <c r="BE562" s="1" t="str">
        <f>IFERROR($BC$3&amp;VLOOKUP(H564,'Pay Table'!$M$3:$N$18,2,FALSE)&amp;$BB$3&amp;I564&amp;$BD$3,"")</f>
        <v/>
      </c>
      <c r="BF562" s="27" t="str">
        <f>IFERROR($BC$3&amp;VLOOKUP(J564,'Pay Table'!$M$3:$N$18,2,FALSE)&amp;$BB$3&amp;K564&amp;$BD$3,"")</f>
        <v/>
      </c>
    </row>
    <row r="563" spans="54:58" x14ac:dyDescent="0.15">
      <c r="BB563" s="26" t="str">
        <f>IFERROR($BC$3&amp;VLOOKUP(B565,'Pay Table'!$M$3:$N$18,2,FALSE)&amp;$BB$3&amp;C565&amp;$BD$3,"")</f>
        <v/>
      </c>
      <c r="BC563" s="1" t="str">
        <f>IFERROR($BC$3&amp;VLOOKUP(D565,'Pay Table'!$M$3:$N$18,2,FALSE)&amp;$BB$3&amp;E565&amp;$BD$3,"")</f>
        <v/>
      </c>
      <c r="BD563" s="1" t="str">
        <f>IFERROR($BC$3&amp;VLOOKUP(F565,'Pay Table'!$M$3:$N$18,2,FALSE)&amp;$BB$3&amp;G565&amp;$BD$3,"")</f>
        <v/>
      </c>
      <c r="BE563" s="1" t="str">
        <f>IFERROR($BC$3&amp;VLOOKUP(H565,'Pay Table'!$M$3:$N$18,2,FALSE)&amp;$BB$3&amp;I565&amp;$BD$3,"")</f>
        <v/>
      </c>
      <c r="BF563" s="27" t="str">
        <f>IFERROR($BC$3&amp;VLOOKUP(J565,'Pay Table'!$M$3:$N$18,2,FALSE)&amp;$BB$3&amp;K565&amp;$BD$3,"")</f>
        <v/>
      </c>
    </row>
    <row r="564" spans="54:58" x14ac:dyDescent="0.15">
      <c r="BB564" s="26" t="str">
        <f>IFERROR($BC$3&amp;VLOOKUP(B566,'Pay Table'!$M$3:$N$18,2,FALSE)&amp;$BB$3&amp;C566&amp;$BD$3,"")</f>
        <v/>
      </c>
      <c r="BC564" s="1" t="str">
        <f>IFERROR($BC$3&amp;VLOOKUP(D566,'Pay Table'!$M$3:$N$18,2,FALSE)&amp;$BB$3&amp;E566&amp;$BD$3,"")</f>
        <v/>
      </c>
      <c r="BD564" s="1" t="str">
        <f>IFERROR($BC$3&amp;VLOOKUP(F566,'Pay Table'!$M$3:$N$18,2,FALSE)&amp;$BB$3&amp;G566&amp;$BD$3,"")</f>
        <v/>
      </c>
      <c r="BE564" s="1" t="str">
        <f>IFERROR($BC$3&amp;VLOOKUP(H566,'Pay Table'!$M$3:$N$18,2,FALSE)&amp;$BB$3&amp;I566&amp;$BD$3,"")</f>
        <v/>
      </c>
      <c r="BF564" s="27" t="str">
        <f>IFERROR($BC$3&amp;VLOOKUP(J566,'Pay Table'!$M$3:$N$18,2,FALSE)&amp;$BB$3&amp;K566&amp;$BD$3,"")</f>
        <v/>
      </c>
    </row>
    <row r="565" spans="54:58" x14ac:dyDescent="0.15">
      <c r="BB565" s="26" t="str">
        <f>IFERROR($BC$3&amp;VLOOKUP(B567,'Pay Table'!$M$3:$N$18,2,FALSE)&amp;$BB$3&amp;C567&amp;$BD$3,"")</f>
        <v/>
      </c>
      <c r="BC565" s="1" t="str">
        <f>IFERROR($BC$3&amp;VLOOKUP(D567,'Pay Table'!$M$3:$N$18,2,FALSE)&amp;$BB$3&amp;E567&amp;$BD$3,"")</f>
        <v/>
      </c>
      <c r="BD565" s="1" t="str">
        <f>IFERROR($BC$3&amp;VLOOKUP(F567,'Pay Table'!$M$3:$N$18,2,FALSE)&amp;$BB$3&amp;G567&amp;$BD$3,"")</f>
        <v/>
      </c>
      <c r="BE565" s="1" t="str">
        <f>IFERROR($BC$3&amp;VLOOKUP(H567,'Pay Table'!$M$3:$N$18,2,FALSE)&amp;$BB$3&amp;I567&amp;$BD$3,"")</f>
        <v/>
      </c>
      <c r="BF565" s="27" t="str">
        <f>IFERROR($BC$3&amp;VLOOKUP(J567,'Pay Table'!$M$3:$N$18,2,FALSE)&amp;$BB$3&amp;K567&amp;$BD$3,"")</f>
        <v/>
      </c>
    </row>
    <row r="566" spans="54:58" x14ac:dyDescent="0.15">
      <c r="BB566" s="26" t="str">
        <f>IFERROR($BC$3&amp;VLOOKUP(B568,'Pay Table'!$M$3:$N$18,2,FALSE)&amp;$BB$3&amp;C568&amp;$BD$3,"")</f>
        <v/>
      </c>
      <c r="BC566" s="1" t="str">
        <f>IFERROR($BC$3&amp;VLOOKUP(D568,'Pay Table'!$M$3:$N$18,2,FALSE)&amp;$BB$3&amp;E568&amp;$BD$3,"")</f>
        <v/>
      </c>
      <c r="BD566" s="1" t="str">
        <f>IFERROR($BC$3&amp;VLOOKUP(F568,'Pay Table'!$M$3:$N$18,2,FALSE)&amp;$BB$3&amp;G568&amp;$BD$3,"")</f>
        <v/>
      </c>
      <c r="BE566" s="1" t="str">
        <f>IFERROR($BC$3&amp;VLOOKUP(H568,'Pay Table'!$M$3:$N$18,2,FALSE)&amp;$BB$3&amp;I568&amp;$BD$3,"")</f>
        <v/>
      </c>
      <c r="BF566" s="27" t="str">
        <f>IFERROR($BC$3&amp;VLOOKUP(J568,'Pay Table'!$M$3:$N$18,2,FALSE)&amp;$BB$3&amp;K568&amp;$BD$3,"")</f>
        <v/>
      </c>
    </row>
    <row r="567" spans="54:58" x14ac:dyDescent="0.15">
      <c r="BB567" s="26" t="str">
        <f>IFERROR($BC$3&amp;VLOOKUP(B569,'Pay Table'!$M$3:$N$18,2,FALSE)&amp;$BB$3&amp;C569&amp;$BD$3,"")</f>
        <v/>
      </c>
      <c r="BC567" s="1" t="str">
        <f>IFERROR($BC$3&amp;VLOOKUP(D569,'Pay Table'!$M$3:$N$18,2,FALSE)&amp;$BB$3&amp;E569&amp;$BD$3,"")</f>
        <v/>
      </c>
      <c r="BD567" s="1" t="str">
        <f>IFERROR($BC$3&amp;VLOOKUP(F569,'Pay Table'!$M$3:$N$18,2,FALSE)&amp;$BB$3&amp;G569&amp;$BD$3,"")</f>
        <v/>
      </c>
      <c r="BE567" s="1" t="str">
        <f>IFERROR($BC$3&amp;VLOOKUP(H569,'Pay Table'!$M$3:$N$18,2,FALSE)&amp;$BB$3&amp;I569&amp;$BD$3,"")</f>
        <v/>
      </c>
      <c r="BF567" s="27" t="str">
        <f>IFERROR($BC$3&amp;VLOOKUP(J569,'Pay Table'!$M$3:$N$18,2,FALSE)&amp;$BB$3&amp;K569&amp;$BD$3,"")</f>
        <v/>
      </c>
    </row>
    <row r="568" spans="54:58" x14ac:dyDescent="0.15">
      <c r="BB568" s="26" t="str">
        <f>IFERROR($BC$3&amp;VLOOKUP(B570,'Pay Table'!$M$3:$N$18,2,FALSE)&amp;$BB$3&amp;C570&amp;$BD$3,"")</f>
        <v/>
      </c>
      <c r="BC568" s="1" t="str">
        <f>IFERROR($BC$3&amp;VLOOKUP(D570,'Pay Table'!$M$3:$N$18,2,FALSE)&amp;$BB$3&amp;E570&amp;$BD$3,"")</f>
        <v/>
      </c>
      <c r="BD568" s="1" t="str">
        <f>IFERROR($BC$3&amp;VLOOKUP(F570,'Pay Table'!$M$3:$N$18,2,FALSE)&amp;$BB$3&amp;G570&amp;$BD$3,"")</f>
        <v/>
      </c>
      <c r="BE568" s="1" t="str">
        <f>IFERROR($BC$3&amp;VLOOKUP(H570,'Pay Table'!$M$3:$N$18,2,FALSE)&amp;$BB$3&amp;I570&amp;$BD$3,"")</f>
        <v/>
      </c>
      <c r="BF568" s="27" t="str">
        <f>IFERROR($BC$3&amp;VLOOKUP(J570,'Pay Table'!$M$3:$N$18,2,FALSE)&amp;$BB$3&amp;K570&amp;$BD$3,"")</f>
        <v/>
      </c>
    </row>
    <row r="569" spans="54:58" x14ac:dyDescent="0.15">
      <c r="BB569" s="26" t="str">
        <f>IFERROR($BC$3&amp;VLOOKUP(B571,'Pay Table'!$M$3:$N$18,2,FALSE)&amp;$BB$3&amp;C571&amp;$BD$3,"")</f>
        <v/>
      </c>
      <c r="BC569" s="1" t="str">
        <f>IFERROR($BC$3&amp;VLOOKUP(D571,'Pay Table'!$M$3:$N$18,2,FALSE)&amp;$BB$3&amp;E571&amp;$BD$3,"")</f>
        <v/>
      </c>
      <c r="BD569" s="1" t="str">
        <f>IFERROR($BC$3&amp;VLOOKUP(F571,'Pay Table'!$M$3:$N$18,2,FALSE)&amp;$BB$3&amp;G571&amp;$BD$3,"")</f>
        <v/>
      </c>
      <c r="BE569" s="1" t="str">
        <f>IFERROR($BC$3&amp;VLOOKUP(H571,'Pay Table'!$M$3:$N$18,2,FALSE)&amp;$BB$3&amp;I571&amp;$BD$3,"")</f>
        <v/>
      </c>
      <c r="BF569" s="27" t="str">
        <f>IFERROR($BC$3&amp;VLOOKUP(J571,'Pay Table'!$M$3:$N$18,2,FALSE)&amp;$BB$3&amp;K571&amp;$BD$3,"")</f>
        <v/>
      </c>
    </row>
    <row r="570" spans="54:58" x14ac:dyDescent="0.15">
      <c r="BB570" s="26" t="str">
        <f>IFERROR($BC$3&amp;VLOOKUP(B572,'Pay Table'!$M$3:$N$18,2,FALSE)&amp;$BB$3&amp;C572&amp;$BD$3,"")</f>
        <v/>
      </c>
      <c r="BC570" s="1" t="str">
        <f>IFERROR($BC$3&amp;VLOOKUP(D572,'Pay Table'!$M$3:$N$18,2,FALSE)&amp;$BB$3&amp;E572&amp;$BD$3,"")</f>
        <v/>
      </c>
      <c r="BD570" s="1" t="str">
        <f>IFERROR($BC$3&amp;VLOOKUP(F572,'Pay Table'!$M$3:$N$18,2,FALSE)&amp;$BB$3&amp;G572&amp;$BD$3,"")</f>
        <v/>
      </c>
      <c r="BE570" s="1" t="str">
        <f>IFERROR($BC$3&amp;VLOOKUP(H572,'Pay Table'!$M$3:$N$18,2,FALSE)&amp;$BB$3&amp;I572&amp;$BD$3,"")</f>
        <v/>
      </c>
      <c r="BF570" s="27" t="str">
        <f>IFERROR($BC$3&amp;VLOOKUP(J572,'Pay Table'!$M$3:$N$18,2,FALSE)&amp;$BB$3&amp;K572&amp;$BD$3,"")</f>
        <v/>
      </c>
    </row>
    <row r="571" spans="54:58" x14ac:dyDescent="0.15">
      <c r="BB571" s="26" t="str">
        <f>IFERROR($BC$3&amp;VLOOKUP(B573,'Pay Table'!$M$3:$N$18,2,FALSE)&amp;$BB$3&amp;C573&amp;$BD$3,"")</f>
        <v/>
      </c>
      <c r="BC571" s="1" t="str">
        <f>IFERROR($BC$3&amp;VLOOKUP(D573,'Pay Table'!$M$3:$N$18,2,FALSE)&amp;$BB$3&amp;E573&amp;$BD$3,"")</f>
        <v/>
      </c>
      <c r="BD571" s="1" t="str">
        <f>IFERROR($BC$3&amp;VLOOKUP(F573,'Pay Table'!$M$3:$N$18,2,FALSE)&amp;$BB$3&amp;G573&amp;$BD$3,"")</f>
        <v/>
      </c>
      <c r="BE571" s="1" t="str">
        <f>IFERROR($BC$3&amp;VLOOKUP(H573,'Pay Table'!$M$3:$N$18,2,FALSE)&amp;$BB$3&amp;I573&amp;$BD$3,"")</f>
        <v/>
      </c>
      <c r="BF571" s="27" t="str">
        <f>IFERROR($BC$3&amp;VLOOKUP(J573,'Pay Table'!$M$3:$N$18,2,FALSE)&amp;$BB$3&amp;K573&amp;$BD$3,"")</f>
        <v/>
      </c>
    </row>
    <row r="572" spans="54:58" x14ac:dyDescent="0.15">
      <c r="BB572" s="26" t="str">
        <f>IFERROR($BC$3&amp;VLOOKUP(B574,'Pay Table'!$M$3:$N$18,2,FALSE)&amp;$BB$3&amp;C574&amp;$BD$3,"")</f>
        <v/>
      </c>
      <c r="BC572" s="1" t="str">
        <f>IFERROR($BC$3&amp;VLOOKUP(D574,'Pay Table'!$M$3:$N$18,2,FALSE)&amp;$BB$3&amp;E574&amp;$BD$3,"")</f>
        <v/>
      </c>
      <c r="BD572" s="1" t="str">
        <f>IFERROR($BC$3&amp;VLOOKUP(F574,'Pay Table'!$M$3:$N$18,2,FALSE)&amp;$BB$3&amp;G574&amp;$BD$3,"")</f>
        <v/>
      </c>
      <c r="BE572" s="1" t="str">
        <f>IFERROR($BC$3&amp;VLOOKUP(H574,'Pay Table'!$M$3:$N$18,2,FALSE)&amp;$BB$3&amp;I574&amp;$BD$3,"")</f>
        <v/>
      </c>
      <c r="BF572" s="27" t="str">
        <f>IFERROR($BC$3&amp;VLOOKUP(J574,'Pay Table'!$M$3:$N$18,2,FALSE)&amp;$BB$3&amp;K574&amp;$BD$3,"")</f>
        <v/>
      </c>
    </row>
    <row r="573" spans="54:58" x14ac:dyDescent="0.15">
      <c r="BB573" s="26" t="str">
        <f>IFERROR($BC$3&amp;VLOOKUP(B575,'Pay Table'!$M$3:$N$18,2,FALSE)&amp;$BB$3&amp;C575&amp;$BD$3,"")</f>
        <v/>
      </c>
      <c r="BC573" s="1" t="str">
        <f>IFERROR($BC$3&amp;VLOOKUP(D575,'Pay Table'!$M$3:$N$18,2,FALSE)&amp;$BB$3&amp;E575&amp;$BD$3,"")</f>
        <v/>
      </c>
      <c r="BD573" s="1" t="str">
        <f>IFERROR($BC$3&amp;VLOOKUP(F575,'Pay Table'!$M$3:$N$18,2,FALSE)&amp;$BB$3&amp;G575&amp;$BD$3,"")</f>
        <v/>
      </c>
      <c r="BE573" s="1" t="str">
        <f>IFERROR($BC$3&amp;VLOOKUP(H575,'Pay Table'!$M$3:$N$18,2,FALSE)&amp;$BB$3&amp;I575&amp;$BD$3,"")</f>
        <v/>
      </c>
      <c r="BF573" s="27" t="str">
        <f>IFERROR($BC$3&amp;VLOOKUP(J575,'Pay Table'!$M$3:$N$18,2,FALSE)&amp;$BB$3&amp;K575&amp;$BD$3,"")</f>
        <v/>
      </c>
    </row>
    <row r="574" spans="54:58" x14ac:dyDescent="0.15">
      <c r="BB574" s="26" t="str">
        <f>IFERROR($BC$3&amp;VLOOKUP(B576,'Pay Table'!$M$3:$N$18,2,FALSE)&amp;$BB$3&amp;C576&amp;$BD$3,"")</f>
        <v/>
      </c>
      <c r="BC574" s="1" t="str">
        <f>IFERROR($BC$3&amp;VLOOKUP(D576,'Pay Table'!$M$3:$N$18,2,FALSE)&amp;$BB$3&amp;E576&amp;$BD$3,"")</f>
        <v/>
      </c>
      <c r="BD574" s="1" t="str">
        <f>IFERROR($BC$3&amp;VLOOKUP(F576,'Pay Table'!$M$3:$N$18,2,FALSE)&amp;$BB$3&amp;G576&amp;$BD$3,"")</f>
        <v/>
      </c>
      <c r="BE574" s="1" t="str">
        <f>IFERROR($BC$3&amp;VLOOKUP(H576,'Pay Table'!$M$3:$N$18,2,FALSE)&amp;$BB$3&amp;I576&amp;$BD$3,"")</f>
        <v/>
      </c>
      <c r="BF574" s="27" t="str">
        <f>IFERROR($BC$3&amp;VLOOKUP(J576,'Pay Table'!$M$3:$N$18,2,FALSE)&amp;$BB$3&amp;K576&amp;$BD$3,"")</f>
        <v/>
      </c>
    </row>
    <row r="575" spans="54:58" x14ac:dyDescent="0.15">
      <c r="BB575" s="26" t="str">
        <f>IFERROR($BC$3&amp;VLOOKUP(B577,'Pay Table'!$M$3:$N$18,2,FALSE)&amp;$BB$3&amp;C577&amp;$BD$3,"")</f>
        <v/>
      </c>
      <c r="BC575" s="1" t="str">
        <f>IFERROR($BC$3&amp;VLOOKUP(D577,'Pay Table'!$M$3:$N$18,2,FALSE)&amp;$BB$3&amp;E577&amp;$BD$3,"")</f>
        <v/>
      </c>
      <c r="BD575" s="1" t="str">
        <f>IFERROR($BC$3&amp;VLOOKUP(F577,'Pay Table'!$M$3:$N$18,2,FALSE)&amp;$BB$3&amp;G577&amp;$BD$3,"")</f>
        <v/>
      </c>
      <c r="BE575" s="1" t="str">
        <f>IFERROR($BC$3&amp;VLOOKUP(H577,'Pay Table'!$M$3:$N$18,2,FALSE)&amp;$BB$3&amp;I577&amp;$BD$3,"")</f>
        <v/>
      </c>
      <c r="BF575" s="27" t="str">
        <f>IFERROR($BC$3&amp;VLOOKUP(J577,'Pay Table'!$M$3:$N$18,2,FALSE)&amp;$BB$3&amp;K577&amp;$BD$3,"")</f>
        <v/>
      </c>
    </row>
    <row r="576" spans="54:58" x14ac:dyDescent="0.15">
      <c r="BB576" s="26" t="str">
        <f>IFERROR($BC$3&amp;VLOOKUP(B578,'Pay Table'!$M$3:$N$18,2,FALSE)&amp;$BB$3&amp;C578&amp;$BD$3,"")</f>
        <v/>
      </c>
      <c r="BC576" s="1" t="str">
        <f>IFERROR($BC$3&amp;VLOOKUP(D578,'Pay Table'!$M$3:$N$18,2,FALSE)&amp;$BB$3&amp;E578&amp;$BD$3,"")</f>
        <v/>
      </c>
      <c r="BD576" s="1" t="str">
        <f>IFERROR($BC$3&amp;VLOOKUP(F578,'Pay Table'!$M$3:$N$18,2,FALSE)&amp;$BB$3&amp;G578&amp;$BD$3,"")</f>
        <v/>
      </c>
      <c r="BE576" s="1" t="str">
        <f>IFERROR($BC$3&amp;VLOOKUP(H578,'Pay Table'!$M$3:$N$18,2,FALSE)&amp;$BB$3&amp;I578&amp;$BD$3,"")</f>
        <v/>
      </c>
      <c r="BF576" s="27" t="str">
        <f>IFERROR($BC$3&amp;VLOOKUP(J578,'Pay Table'!$M$3:$N$18,2,FALSE)&amp;$BB$3&amp;K578&amp;$BD$3,"")</f>
        <v/>
      </c>
    </row>
    <row r="577" spans="54:58" x14ac:dyDescent="0.15">
      <c r="BB577" s="26" t="str">
        <f>IFERROR($BC$3&amp;VLOOKUP(B579,'Pay Table'!$M$3:$N$18,2,FALSE)&amp;$BB$3&amp;C579&amp;$BD$3,"")</f>
        <v/>
      </c>
      <c r="BC577" s="1" t="str">
        <f>IFERROR($BC$3&amp;VLOOKUP(D579,'Pay Table'!$M$3:$N$18,2,FALSE)&amp;$BB$3&amp;E579&amp;$BD$3,"")</f>
        <v/>
      </c>
      <c r="BD577" s="1" t="str">
        <f>IFERROR($BC$3&amp;VLOOKUP(F579,'Pay Table'!$M$3:$N$18,2,FALSE)&amp;$BB$3&amp;G579&amp;$BD$3,"")</f>
        <v/>
      </c>
      <c r="BE577" s="1" t="str">
        <f>IFERROR($BC$3&amp;VLOOKUP(H579,'Pay Table'!$M$3:$N$18,2,FALSE)&amp;$BB$3&amp;I579&amp;$BD$3,"")</f>
        <v/>
      </c>
      <c r="BF577" s="27" t="str">
        <f>IFERROR($BC$3&amp;VLOOKUP(J579,'Pay Table'!$M$3:$N$18,2,FALSE)&amp;$BB$3&amp;K579&amp;$BD$3,"")</f>
        <v/>
      </c>
    </row>
    <row r="578" spans="54:58" x14ac:dyDescent="0.15">
      <c r="BB578" s="26" t="str">
        <f>IFERROR($BC$3&amp;VLOOKUP(B580,'Pay Table'!$M$3:$N$18,2,FALSE)&amp;$BB$3&amp;C580&amp;$BD$3,"")</f>
        <v/>
      </c>
      <c r="BC578" s="1" t="str">
        <f>IFERROR($BC$3&amp;VLOOKUP(D580,'Pay Table'!$M$3:$N$18,2,FALSE)&amp;$BB$3&amp;E580&amp;$BD$3,"")</f>
        <v/>
      </c>
      <c r="BD578" s="1" t="str">
        <f>IFERROR($BC$3&amp;VLOOKUP(F580,'Pay Table'!$M$3:$N$18,2,FALSE)&amp;$BB$3&amp;G580&amp;$BD$3,"")</f>
        <v/>
      </c>
      <c r="BE578" s="1" t="str">
        <f>IFERROR($BC$3&amp;VLOOKUP(H580,'Pay Table'!$M$3:$N$18,2,FALSE)&amp;$BB$3&amp;I580&amp;$BD$3,"")</f>
        <v/>
      </c>
      <c r="BF578" s="27" t="str">
        <f>IFERROR($BC$3&amp;VLOOKUP(J580,'Pay Table'!$M$3:$N$18,2,FALSE)&amp;$BB$3&amp;K580&amp;$BD$3,"")</f>
        <v/>
      </c>
    </row>
    <row r="579" spans="54:58" x14ac:dyDescent="0.15">
      <c r="BB579" s="26" t="str">
        <f>IFERROR($BC$3&amp;VLOOKUP(B581,'Pay Table'!$M$3:$N$18,2,FALSE)&amp;$BB$3&amp;C581&amp;$BD$3,"")</f>
        <v/>
      </c>
      <c r="BC579" s="1" t="str">
        <f>IFERROR($BC$3&amp;VLOOKUP(D581,'Pay Table'!$M$3:$N$18,2,FALSE)&amp;$BB$3&amp;E581&amp;$BD$3,"")</f>
        <v/>
      </c>
      <c r="BD579" s="1" t="str">
        <f>IFERROR($BC$3&amp;VLOOKUP(F581,'Pay Table'!$M$3:$N$18,2,FALSE)&amp;$BB$3&amp;G581&amp;$BD$3,"")</f>
        <v/>
      </c>
      <c r="BE579" s="1" t="str">
        <f>IFERROR($BC$3&amp;VLOOKUP(H581,'Pay Table'!$M$3:$N$18,2,FALSE)&amp;$BB$3&amp;I581&amp;$BD$3,"")</f>
        <v/>
      </c>
      <c r="BF579" s="27" t="str">
        <f>IFERROR($BC$3&amp;VLOOKUP(J581,'Pay Table'!$M$3:$N$18,2,FALSE)&amp;$BB$3&amp;K581&amp;$BD$3,"")</f>
        <v/>
      </c>
    </row>
    <row r="580" spans="54:58" x14ac:dyDescent="0.15">
      <c r="BB580" s="26" t="str">
        <f>IFERROR($BC$3&amp;VLOOKUP(B582,'Pay Table'!$M$3:$N$18,2,FALSE)&amp;$BB$3&amp;C582&amp;$BD$3,"")</f>
        <v/>
      </c>
      <c r="BC580" s="1" t="str">
        <f>IFERROR($BC$3&amp;VLOOKUP(D582,'Pay Table'!$M$3:$N$18,2,FALSE)&amp;$BB$3&amp;E582&amp;$BD$3,"")</f>
        <v/>
      </c>
      <c r="BD580" s="1" t="str">
        <f>IFERROR($BC$3&amp;VLOOKUP(F582,'Pay Table'!$M$3:$N$18,2,FALSE)&amp;$BB$3&amp;G582&amp;$BD$3,"")</f>
        <v/>
      </c>
      <c r="BE580" s="1" t="str">
        <f>IFERROR($BC$3&amp;VLOOKUP(H582,'Pay Table'!$M$3:$N$18,2,FALSE)&amp;$BB$3&amp;I582&amp;$BD$3,"")</f>
        <v/>
      </c>
      <c r="BF580" s="27" t="str">
        <f>IFERROR($BC$3&amp;VLOOKUP(J582,'Pay Table'!$M$3:$N$18,2,FALSE)&amp;$BB$3&amp;K582&amp;$BD$3,"")</f>
        <v/>
      </c>
    </row>
    <row r="581" spans="54:58" x14ac:dyDescent="0.15">
      <c r="BB581" s="26" t="str">
        <f>IFERROR($BC$3&amp;VLOOKUP(B583,'Pay Table'!$M$3:$N$18,2,FALSE)&amp;$BB$3&amp;C583&amp;$BD$3,"")</f>
        <v/>
      </c>
      <c r="BC581" s="1" t="str">
        <f>IFERROR($BC$3&amp;VLOOKUP(D583,'Pay Table'!$M$3:$N$18,2,FALSE)&amp;$BB$3&amp;E583&amp;$BD$3,"")</f>
        <v/>
      </c>
      <c r="BD581" s="1" t="str">
        <f>IFERROR($BC$3&amp;VLOOKUP(F583,'Pay Table'!$M$3:$N$18,2,FALSE)&amp;$BB$3&amp;G583&amp;$BD$3,"")</f>
        <v/>
      </c>
      <c r="BE581" s="1" t="str">
        <f>IFERROR($BC$3&amp;VLOOKUP(H583,'Pay Table'!$M$3:$N$18,2,FALSE)&amp;$BB$3&amp;I583&amp;$BD$3,"")</f>
        <v/>
      </c>
      <c r="BF581" s="27" t="str">
        <f>IFERROR($BC$3&amp;VLOOKUP(J583,'Pay Table'!$M$3:$N$18,2,FALSE)&amp;$BB$3&amp;K583&amp;$BD$3,"")</f>
        <v/>
      </c>
    </row>
    <row r="582" spans="54:58" x14ac:dyDescent="0.15">
      <c r="BB582" s="26" t="str">
        <f>IFERROR($BC$3&amp;VLOOKUP(B584,'Pay Table'!$M$3:$N$18,2,FALSE)&amp;$BB$3&amp;C584&amp;$BD$3,"")</f>
        <v/>
      </c>
      <c r="BC582" s="1" t="str">
        <f>IFERROR($BC$3&amp;VLOOKUP(D584,'Pay Table'!$M$3:$N$18,2,FALSE)&amp;$BB$3&amp;E584&amp;$BD$3,"")</f>
        <v/>
      </c>
      <c r="BD582" s="1" t="str">
        <f>IFERROR($BC$3&amp;VLOOKUP(F584,'Pay Table'!$M$3:$N$18,2,FALSE)&amp;$BB$3&amp;G584&amp;$BD$3,"")</f>
        <v/>
      </c>
      <c r="BE582" s="1" t="str">
        <f>IFERROR($BC$3&amp;VLOOKUP(H584,'Pay Table'!$M$3:$N$18,2,FALSE)&amp;$BB$3&amp;I584&amp;$BD$3,"")</f>
        <v/>
      </c>
      <c r="BF582" s="27" t="str">
        <f>IFERROR($BC$3&amp;VLOOKUP(J584,'Pay Table'!$M$3:$N$18,2,FALSE)&amp;$BB$3&amp;K584&amp;$BD$3,"")</f>
        <v/>
      </c>
    </row>
    <row r="583" spans="54:58" x14ac:dyDescent="0.15">
      <c r="BB583" s="26" t="str">
        <f>IFERROR($BC$3&amp;VLOOKUP(B585,'Pay Table'!$M$3:$N$18,2,FALSE)&amp;$BB$3&amp;C585&amp;$BD$3,"")</f>
        <v/>
      </c>
      <c r="BC583" s="1" t="str">
        <f>IFERROR($BC$3&amp;VLOOKUP(D585,'Pay Table'!$M$3:$N$18,2,FALSE)&amp;$BB$3&amp;E585&amp;$BD$3,"")</f>
        <v/>
      </c>
      <c r="BD583" s="1" t="str">
        <f>IFERROR($BC$3&amp;VLOOKUP(F585,'Pay Table'!$M$3:$N$18,2,FALSE)&amp;$BB$3&amp;G585&amp;$BD$3,"")</f>
        <v/>
      </c>
      <c r="BE583" s="1" t="str">
        <f>IFERROR($BC$3&amp;VLOOKUP(H585,'Pay Table'!$M$3:$N$18,2,FALSE)&amp;$BB$3&amp;I585&amp;$BD$3,"")</f>
        <v/>
      </c>
      <c r="BF583" s="27" t="str">
        <f>IFERROR($BC$3&amp;VLOOKUP(J585,'Pay Table'!$M$3:$N$18,2,FALSE)&amp;$BB$3&amp;K585&amp;$BD$3,"")</f>
        <v/>
      </c>
    </row>
    <row r="584" spans="54:58" x14ac:dyDescent="0.15">
      <c r="BB584" s="26" t="str">
        <f>IFERROR($BC$3&amp;VLOOKUP(B586,'Pay Table'!$M$3:$N$18,2,FALSE)&amp;$BB$3&amp;C586&amp;$BD$3,"")</f>
        <v/>
      </c>
      <c r="BC584" s="1" t="str">
        <f>IFERROR($BC$3&amp;VLOOKUP(D586,'Pay Table'!$M$3:$N$18,2,FALSE)&amp;$BB$3&amp;E586&amp;$BD$3,"")</f>
        <v/>
      </c>
      <c r="BD584" s="1" t="str">
        <f>IFERROR($BC$3&amp;VLOOKUP(F586,'Pay Table'!$M$3:$N$18,2,FALSE)&amp;$BB$3&amp;G586&amp;$BD$3,"")</f>
        <v/>
      </c>
      <c r="BE584" s="1" t="str">
        <f>IFERROR($BC$3&amp;VLOOKUP(H586,'Pay Table'!$M$3:$N$18,2,FALSE)&amp;$BB$3&amp;I586&amp;$BD$3,"")</f>
        <v/>
      </c>
      <c r="BF584" s="27" t="str">
        <f>IFERROR($BC$3&amp;VLOOKUP(J586,'Pay Table'!$M$3:$N$18,2,FALSE)&amp;$BB$3&amp;K586&amp;$BD$3,"")</f>
        <v/>
      </c>
    </row>
    <row r="585" spans="54:58" x14ac:dyDescent="0.15">
      <c r="BB585" s="26" t="str">
        <f>IFERROR($BC$3&amp;VLOOKUP(B587,'Pay Table'!$M$3:$N$18,2,FALSE)&amp;$BB$3&amp;C587&amp;$BD$3,"")</f>
        <v/>
      </c>
      <c r="BC585" s="1" t="str">
        <f>IFERROR($BC$3&amp;VLOOKUP(D587,'Pay Table'!$M$3:$N$18,2,FALSE)&amp;$BB$3&amp;E587&amp;$BD$3,"")</f>
        <v/>
      </c>
      <c r="BD585" s="1" t="str">
        <f>IFERROR($BC$3&amp;VLOOKUP(F587,'Pay Table'!$M$3:$N$18,2,FALSE)&amp;$BB$3&amp;G587&amp;$BD$3,"")</f>
        <v/>
      </c>
      <c r="BE585" s="1" t="str">
        <f>IFERROR($BC$3&amp;VLOOKUP(H587,'Pay Table'!$M$3:$N$18,2,FALSE)&amp;$BB$3&amp;I587&amp;$BD$3,"")</f>
        <v/>
      </c>
      <c r="BF585" s="27" t="str">
        <f>IFERROR($BC$3&amp;VLOOKUP(J587,'Pay Table'!$M$3:$N$18,2,FALSE)&amp;$BB$3&amp;K587&amp;$BD$3,"")</f>
        <v/>
      </c>
    </row>
    <row r="586" spans="54:58" x14ac:dyDescent="0.15">
      <c r="BB586" s="26" t="str">
        <f>IFERROR($BC$3&amp;VLOOKUP(B588,'Pay Table'!$M$3:$N$18,2,FALSE)&amp;$BB$3&amp;C588&amp;$BD$3,"")</f>
        <v/>
      </c>
      <c r="BC586" s="1" t="str">
        <f>IFERROR($BC$3&amp;VLOOKUP(D588,'Pay Table'!$M$3:$N$18,2,FALSE)&amp;$BB$3&amp;E588&amp;$BD$3,"")</f>
        <v/>
      </c>
      <c r="BD586" s="1" t="str">
        <f>IFERROR($BC$3&amp;VLOOKUP(F588,'Pay Table'!$M$3:$N$18,2,FALSE)&amp;$BB$3&amp;G588&amp;$BD$3,"")</f>
        <v/>
      </c>
      <c r="BE586" s="1" t="str">
        <f>IFERROR($BC$3&amp;VLOOKUP(H588,'Pay Table'!$M$3:$N$18,2,FALSE)&amp;$BB$3&amp;I588&amp;$BD$3,"")</f>
        <v/>
      </c>
      <c r="BF586" s="27" t="str">
        <f>IFERROR($BC$3&amp;VLOOKUP(J588,'Pay Table'!$M$3:$N$18,2,FALSE)&amp;$BB$3&amp;K588&amp;$BD$3,"")</f>
        <v/>
      </c>
    </row>
    <row r="587" spans="54:58" x14ac:dyDescent="0.15">
      <c r="BB587" s="26" t="str">
        <f>IFERROR($BC$3&amp;VLOOKUP(B589,'Pay Table'!$M$3:$N$18,2,FALSE)&amp;$BB$3&amp;C589&amp;$BD$3,"")</f>
        <v/>
      </c>
      <c r="BC587" s="1" t="str">
        <f>IFERROR($BC$3&amp;VLOOKUP(D589,'Pay Table'!$M$3:$N$18,2,FALSE)&amp;$BB$3&amp;E589&amp;$BD$3,"")</f>
        <v/>
      </c>
      <c r="BD587" s="1" t="str">
        <f>IFERROR($BC$3&amp;VLOOKUP(F589,'Pay Table'!$M$3:$N$18,2,FALSE)&amp;$BB$3&amp;G589&amp;$BD$3,"")</f>
        <v/>
      </c>
      <c r="BE587" s="1" t="str">
        <f>IFERROR($BC$3&amp;VLOOKUP(H589,'Pay Table'!$M$3:$N$18,2,FALSE)&amp;$BB$3&amp;I589&amp;$BD$3,"")</f>
        <v/>
      </c>
      <c r="BF587" s="27" t="str">
        <f>IFERROR($BC$3&amp;VLOOKUP(J589,'Pay Table'!$M$3:$N$18,2,FALSE)&amp;$BB$3&amp;K589&amp;$BD$3,"")</f>
        <v/>
      </c>
    </row>
    <row r="588" spans="54:58" x14ac:dyDescent="0.15">
      <c r="BB588" s="26" t="str">
        <f>IFERROR($BC$3&amp;VLOOKUP(B590,'Pay Table'!$M$3:$N$18,2,FALSE)&amp;$BB$3&amp;C590&amp;$BD$3,"")</f>
        <v/>
      </c>
      <c r="BC588" s="1" t="str">
        <f>IFERROR($BC$3&amp;VLOOKUP(D590,'Pay Table'!$M$3:$N$18,2,FALSE)&amp;$BB$3&amp;E590&amp;$BD$3,"")</f>
        <v/>
      </c>
      <c r="BD588" s="1" t="str">
        <f>IFERROR($BC$3&amp;VLOOKUP(F590,'Pay Table'!$M$3:$N$18,2,FALSE)&amp;$BB$3&amp;G590&amp;$BD$3,"")</f>
        <v/>
      </c>
      <c r="BE588" s="1" t="str">
        <f>IFERROR($BC$3&amp;VLOOKUP(H590,'Pay Table'!$M$3:$N$18,2,FALSE)&amp;$BB$3&amp;I590&amp;$BD$3,"")</f>
        <v/>
      </c>
      <c r="BF588" s="27" t="str">
        <f>IFERROR($BC$3&amp;VLOOKUP(J590,'Pay Table'!$M$3:$N$18,2,FALSE)&amp;$BB$3&amp;K590&amp;$BD$3,"")</f>
        <v/>
      </c>
    </row>
    <row r="589" spans="54:58" x14ac:dyDescent="0.15">
      <c r="BB589" s="26" t="str">
        <f>IFERROR($BC$3&amp;VLOOKUP(B591,'Pay Table'!$M$3:$N$18,2,FALSE)&amp;$BB$3&amp;C591&amp;$BD$3,"")</f>
        <v/>
      </c>
      <c r="BC589" s="1" t="str">
        <f>IFERROR($BC$3&amp;VLOOKUP(D591,'Pay Table'!$M$3:$N$18,2,FALSE)&amp;$BB$3&amp;E591&amp;$BD$3,"")</f>
        <v/>
      </c>
      <c r="BD589" s="1" t="str">
        <f>IFERROR($BC$3&amp;VLOOKUP(F591,'Pay Table'!$M$3:$N$18,2,FALSE)&amp;$BB$3&amp;G591&amp;$BD$3,"")</f>
        <v/>
      </c>
      <c r="BE589" s="1" t="str">
        <f>IFERROR($BC$3&amp;VLOOKUP(H591,'Pay Table'!$M$3:$N$18,2,FALSE)&amp;$BB$3&amp;I591&amp;$BD$3,"")</f>
        <v/>
      </c>
      <c r="BF589" s="27" t="str">
        <f>IFERROR($BC$3&amp;VLOOKUP(J591,'Pay Table'!$M$3:$N$18,2,FALSE)&amp;$BB$3&amp;K591&amp;$BD$3,"")</f>
        <v/>
      </c>
    </row>
    <row r="590" spans="54:58" x14ac:dyDescent="0.15">
      <c r="BB590" s="26" t="str">
        <f>IFERROR($BC$3&amp;VLOOKUP(B592,'Pay Table'!$M$3:$N$18,2,FALSE)&amp;$BB$3&amp;C592&amp;$BD$3,"")</f>
        <v/>
      </c>
      <c r="BC590" s="1" t="str">
        <f>IFERROR($BC$3&amp;VLOOKUP(D592,'Pay Table'!$M$3:$N$18,2,FALSE)&amp;$BB$3&amp;E592&amp;$BD$3,"")</f>
        <v/>
      </c>
      <c r="BD590" s="1" t="str">
        <f>IFERROR($BC$3&amp;VLOOKUP(F592,'Pay Table'!$M$3:$N$18,2,FALSE)&amp;$BB$3&amp;G592&amp;$BD$3,"")</f>
        <v/>
      </c>
      <c r="BE590" s="1" t="str">
        <f>IFERROR($BC$3&amp;VLOOKUP(H592,'Pay Table'!$M$3:$N$18,2,FALSE)&amp;$BB$3&amp;I592&amp;$BD$3,"")</f>
        <v/>
      </c>
      <c r="BF590" s="27" t="str">
        <f>IFERROR($BC$3&amp;VLOOKUP(J592,'Pay Table'!$M$3:$N$18,2,FALSE)&amp;$BB$3&amp;K592&amp;$BD$3,"")</f>
        <v/>
      </c>
    </row>
    <row r="591" spans="54:58" x14ac:dyDescent="0.15">
      <c r="BB591" s="26" t="str">
        <f>IFERROR($BC$3&amp;VLOOKUP(B593,'Pay Table'!$M$3:$N$18,2,FALSE)&amp;$BB$3&amp;C593&amp;$BD$3,"")</f>
        <v/>
      </c>
      <c r="BC591" s="1" t="str">
        <f>IFERROR($BC$3&amp;VLOOKUP(D593,'Pay Table'!$M$3:$N$18,2,FALSE)&amp;$BB$3&amp;E593&amp;$BD$3,"")</f>
        <v/>
      </c>
      <c r="BD591" s="1" t="str">
        <f>IFERROR($BC$3&amp;VLOOKUP(F593,'Pay Table'!$M$3:$N$18,2,FALSE)&amp;$BB$3&amp;G593&amp;$BD$3,"")</f>
        <v/>
      </c>
      <c r="BE591" s="1" t="str">
        <f>IFERROR($BC$3&amp;VLOOKUP(H593,'Pay Table'!$M$3:$N$18,2,FALSE)&amp;$BB$3&amp;I593&amp;$BD$3,"")</f>
        <v/>
      </c>
      <c r="BF591" s="27" t="str">
        <f>IFERROR($BC$3&amp;VLOOKUP(J593,'Pay Table'!$M$3:$N$18,2,FALSE)&amp;$BB$3&amp;K593&amp;$BD$3,"")</f>
        <v/>
      </c>
    </row>
    <row r="592" spans="54:58" x14ac:dyDescent="0.15">
      <c r="BB592" s="26" t="str">
        <f>IFERROR($BC$3&amp;VLOOKUP(B594,'Pay Table'!$M$3:$N$18,2,FALSE)&amp;$BB$3&amp;C594&amp;$BD$3,"")</f>
        <v/>
      </c>
      <c r="BC592" s="1" t="str">
        <f>IFERROR($BC$3&amp;VLOOKUP(D594,'Pay Table'!$M$3:$N$18,2,FALSE)&amp;$BB$3&amp;E594&amp;$BD$3,"")</f>
        <v/>
      </c>
      <c r="BD592" s="1" t="str">
        <f>IFERROR($BC$3&amp;VLOOKUP(F594,'Pay Table'!$M$3:$N$18,2,FALSE)&amp;$BB$3&amp;G594&amp;$BD$3,"")</f>
        <v/>
      </c>
      <c r="BE592" s="1" t="str">
        <f>IFERROR($BC$3&amp;VLOOKUP(H594,'Pay Table'!$M$3:$N$18,2,FALSE)&amp;$BB$3&amp;I594&amp;$BD$3,"")</f>
        <v/>
      </c>
      <c r="BF592" s="27" t="str">
        <f>IFERROR($BC$3&amp;VLOOKUP(J594,'Pay Table'!$M$3:$N$18,2,FALSE)&amp;$BB$3&amp;K594&amp;$BD$3,"")</f>
        <v/>
      </c>
    </row>
    <row r="593" spans="54:58" x14ac:dyDescent="0.15">
      <c r="BB593" s="26" t="str">
        <f>IFERROR($BC$3&amp;VLOOKUP(B595,'Pay Table'!$M$3:$N$18,2,FALSE)&amp;$BB$3&amp;C595&amp;$BD$3,"")</f>
        <v/>
      </c>
      <c r="BC593" s="1" t="str">
        <f>IFERROR($BC$3&amp;VLOOKUP(D595,'Pay Table'!$M$3:$N$18,2,FALSE)&amp;$BB$3&amp;E595&amp;$BD$3,"")</f>
        <v/>
      </c>
      <c r="BD593" s="1" t="str">
        <f>IFERROR($BC$3&amp;VLOOKUP(F595,'Pay Table'!$M$3:$N$18,2,FALSE)&amp;$BB$3&amp;G595&amp;$BD$3,"")</f>
        <v/>
      </c>
      <c r="BE593" s="1" t="str">
        <f>IFERROR($BC$3&amp;VLOOKUP(H595,'Pay Table'!$M$3:$N$18,2,FALSE)&amp;$BB$3&amp;I595&amp;$BD$3,"")</f>
        <v/>
      </c>
      <c r="BF593" s="27" t="str">
        <f>IFERROR($BC$3&amp;VLOOKUP(J595,'Pay Table'!$M$3:$N$18,2,FALSE)&amp;$BB$3&amp;K595&amp;$BD$3,"")</f>
        <v/>
      </c>
    </row>
    <row r="594" spans="54:58" x14ac:dyDescent="0.15">
      <c r="BB594" s="26" t="str">
        <f>IFERROR($BC$3&amp;VLOOKUP(B596,'Pay Table'!$M$3:$N$18,2,FALSE)&amp;$BB$3&amp;C596&amp;$BD$3,"")</f>
        <v/>
      </c>
      <c r="BC594" s="1" t="str">
        <f>IFERROR($BC$3&amp;VLOOKUP(D596,'Pay Table'!$M$3:$N$18,2,FALSE)&amp;$BB$3&amp;E596&amp;$BD$3,"")</f>
        <v/>
      </c>
      <c r="BD594" s="1" t="str">
        <f>IFERROR($BC$3&amp;VLOOKUP(F596,'Pay Table'!$M$3:$N$18,2,FALSE)&amp;$BB$3&amp;G596&amp;$BD$3,"")</f>
        <v/>
      </c>
      <c r="BE594" s="1" t="str">
        <f>IFERROR($BC$3&amp;VLOOKUP(H596,'Pay Table'!$M$3:$N$18,2,FALSE)&amp;$BB$3&amp;I596&amp;$BD$3,"")</f>
        <v/>
      </c>
      <c r="BF594" s="27" t="str">
        <f>IFERROR($BC$3&amp;VLOOKUP(J596,'Pay Table'!$M$3:$N$18,2,FALSE)&amp;$BB$3&amp;K596&amp;$BD$3,"")</f>
        <v/>
      </c>
    </row>
    <row r="595" spans="54:58" x14ac:dyDescent="0.15">
      <c r="BB595" s="26" t="str">
        <f>IFERROR($BC$3&amp;VLOOKUP(B597,'Pay Table'!$M$3:$N$18,2,FALSE)&amp;$BB$3&amp;C597&amp;$BD$3,"")</f>
        <v/>
      </c>
      <c r="BC595" s="1" t="str">
        <f>IFERROR($BC$3&amp;VLOOKUP(D597,'Pay Table'!$M$3:$N$18,2,FALSE)&amp;$BB$3&amp;E597&amp;$BD$3,"")</f>
        <v/>
      </c>
      <c r="BD595" s="1" t="str">
        <f>IFERROR($BC$3&amp;VLOOKUP(F597,'Pay Table'!$M$3:$N$18,2,FALSE)&amp;$BB$3&amp;G597&amp;$BD$3,"")</f>
        <v/>
      </c>
      <c r="BE595" s="1" t="str">
        <f>IFERROR($BC$3&amp;VLOOKUP(H597,'Pay Table'!$M$3:$N$18,2,FALSE)&amp;$BB$3&amp;I597&amp;$BD$3,"")</f>
        <v/>
      </c>
      <c r="BF595" s="27" t="str">
        <f>IFERROR($BC$3&amp;VLOOKUP(J597,'Pay Table'!$M$3:$N$18,2,FALSE)&amp;$BB$3&amp;K597&amp;$BD$3,"")</f>
        <v/>
      </c>
    </row>
    <row r="596" spans="54:58" x14ac:dyDescent="0.15">
      <c r="BB596" s="26" t="str">
        <f>IFERROR($BC$3&amp;VLOOKUP(B598,'Pay Table'!$M$3:$N$18,2,FALSE)&amp;$BB$3&amp;C598&amp;$BD$3,"")</f>
        <v/>
      </c>
      <c r="BC596" s="1" t="str">
        <f>IFERROR($BC$3&amp;VLOOKUP(D598,'Pay Table'!$M$3:$N$18,2,FALSE)&amp;$BB$3&amp;E598&amp;$BD$3,"")</f>
        <v/>
      </c>
      <c r="BD596" s="1" t="str">
        <f>IFERROR($BC$3&amp;VLOOKUP(F598,'Pay Table'!$M$3:$N$18,2,FALSE)&amp;$BB$3&amp;G598&amp;$BD$3,"")</f>
        <v/>
      </c>
      <c r="BE596" s="1" t="str">
        <f>IFERROR($BC$3&amp;VLOOKUP(H598,'Pay Table'!$M$3:$N$18,2,FALSE)&amp;$BB$3&amp;I598&amp;$BD$3,"")</f>
        <v/>
      </c>
      <c r="BF596" s="27" t="str">
        <f>IFERROR($BC$3&amp;VLOOKUP(J598,'Pay Table'!$M$3:$N$18,2,FALSE)&amp;$BB$3&amp;K598&amp;$BD$3,"")</f>
        <v/>
      </c>
    </row>
    <row r="597" spans="54:58" x14ac:dyDescent="0.15">
      <c r="BB597" s="26" t="str">
        <f>IFERROR($BC$3&amp;VLOOKUP(B599,'Pay Table'!$M$3:$N$18,2,FALSE)&amp;$BB$3&amp;C599&amp;$BD$3,"")</f>
        <v/>
      </c>
      <c r="BC597" s="1" t="str">
        <f>IFERROR($BC$3&amp;VLOOKUP(D599,'Pay Table'!$M$3:$N$18,2,FALSE)&amp;$BB$3&amp;E599&amp;$BD$3,"")</f>
        <v/>
      </c>
      <c r="BD597" s="1" t="str">
        <f>IFERROR($BC$3&amp;VLOOKUP(F599,'Pay Table'!$M$3:$N$18,2,FALSE)&amp;$BB$3&amp;G599&amp;$BD$3,"")</f>
        <v/>
      </c>
      <c r="BE597" s="1" t="str">
        <f>IFERROR($BC$3&amp;VLOOKUP(H599,'Pay Table'!$M$3:$N$18,2,FALSE)&amp;$BB$3&amp;I599&amp;$BD$3,"")</f>
        <v/>
      </c>
      <c r="BF597" s="27" t="str">
        <f>IFERROR($BC$3&amp;VLOOKUP(J599,'Pay Table'!$M$3:$N$18,2,FALSE)&amp;$BB$3&amp;K599&amp;$BD$3,"")</f>
        <v/>
      </c>
    </row>
    <row r="598" spans="54:58" x14ac:dyDescent="0.15">
      <c r="BB598" s="26" t="str">
        <f>IFERROR($BC$3&amp;VLOOKUP(B600,'Pay Table'!$M$3:$N$18,2,FALSE)&amp;$BB$3&amp;C600&amp;$BD$3,"")</f>
        <v/>
      </c>
      <c r="BC598" s="1" t="str">
        <f>IFERROR($BC$3&amp;VLOOKUP(D600,'Pay Table'!$M$3:$N$18,2,FALSE)&amp;$BB$3&amp;E600&amp;$BD$3,"")</f>
        <v/>
      </c>
      <c r="BD598" s="1" t="str">
        <f>IFERROR($BC$3&amp;VLOOKUP(F600,'Pay Table'!$M$3:$N$18,2,FALSE)&amp;$BB$3&amp;G600&amp;$BD$3,"")</f>
        <v/>
      </c>
      <c r="BE598" s="1" t="str">
        <f>IFERROR($BC$3&amp;VLOOKUP(H600,'Pay Table'!$M$3:$N$18,2,FALSE)&amp;$BB$3&amp;I600&amp;$BD$3,"")</f>
        <v/>
      </c>
      <c r="BF598" s="27" t="str">
        <f>IFERROR($BC$3&amp;VLOOKUP(J600,'Pay Table'!$M$3:$N$18,2,FALSE)&amp;$BB$3&amp;K600&amp;$BD$3,"")</f>
        <v/>
      </c>
    </row>
    <row r="599" spans="54:58" x14ac:dyDescent="0.15">
      <c r="BB599" s="26" t="str">
        <f>IFERROR($BC$3&amp;VLOOKUP(B601,'Pay Table'!$M$3:$N$18,2,FALSE)&amp;$BB$3&amp;C601&amp;$BD$3,"")</f>
        <v/>
      </c>
      <c r="BC599" s="1" t="str">
        <f>IFERROR($BC$3&amp;VLOOKUP(D601,'Pay Table'!$M$3:$N$18,2,FALSE)&amp;$BB$3&amp;E601&amp;$BD$3,"")</f>
        <v/>
      </c>
      <c r="BD599" s="1" t="str">
        <f>IFERROR($BC$3&amp;VLOOKUP(F601,'Pay Table'!$M$3:$N$18,2,FALSE)&amp;$BB$3&amp;G601&amp;$BD$3,"")</f>
        <v/>
      </c>
      <c r="BE599" s="1" t="str">
        <f>IFERROR($BC$3&amp;VLOOKUP(H601,'Pay Table'!$M$3:$N$18,2,FALSE)&amp;$BB$3&amp;I601&amp;$BD$3,"")</f>
        <v/>
      </c>
      <c r="BF599" s="27" t="str">
        <f>IFERROR($BC$3&amp;VLOOKUP(J601,'Pay Table'!$M$3:$N$18,2,FALSE)&amp;$BB$3&amp;K601&amp;$BD$3,"")</f>
        <v/>
      </c>
    </row>
    <row r="600" spans="54:58" x14ac:dyDescent="0.15">
      <c r="BB600" s="26" t="str">
        <f>IFERROR($BC$3&amp;VLOOKUP(B602,'Pay Table'!$M$3:$N$18,2,FALSE)&amp;$BB$3&amp;C602&amp;$BD$3,"")</f>
        <v/>
      </c>
      <c r="BC600" s="1" t="str">
        <f>IFERROR($BC$3&amp;VLOOKUP(D602,'Pay Table'!$M$3:$N$18,2,FALSE)&amp;$BB$3&amp;E602&amp;$BD$3,"")</f>
        <v/>
      </c>
      <c r="BD600" s="1" t="str">
        <f>IFERROR($BC$3&amp;VLOOKUP(F602,'Pay Table'!$M$3:$N$18,2,FALSE)&amp;$BB$3&amp;G602&amp;$BD$3,"")</f>
        <v/>
      </c>
      <c r="BE600" s="1" t="str">
        <f>IFERROR($BC$3&amp;VLOOKUP(H602,'Pay Table'!$M$3:$N$18,2,FALSE)&amp;$BB$3&amp;I602&amp;$BD$3,"")</f>
        <v/>
      </c>
      <c r="BF600" s="27" t="str">
        <f>IFERROR($BC$3&amp;VLOOKUP(J602,'Pay Table'!$M$3:$N$18,2,FALSE)&amp;$BB$3&amp;K602&amp;$BD$3,"")</f>
        <v/>
      </c>
    </row>
    <row r="601" spans="54:58" x14ac:dyDescent="0.15">
      <c r="BB601" s="26" t="str">
        <f>IFERROR($BC$3&amp;VLOOKUP(B603,'Pay Table'!$M$3:$N$18,2,FALSE)&amp;$BB$3&amp;C603&amp;$BD$3,"")</f>
        <v/>
      </c>
      <c r="BC601" s="1" t="str">
        <f>IFERROR($BC$3&amp;VLOOKUP(D603,'Pay Table'!$M$3:$N$18,2,FALSE)&amp;$BB$3&amp;E603&amp;$BD$3,"")</f>
        <v/>
      </c>
      <c r="BD601" s="1" t="str">
        <f>IFERROR($BC$3&amp;VLOOKUP(F603,'Pay Table'!$M$3:$N$18,2,FALSE)&amp;$BB$3&amp;G603&amp;$BD$3,"")</f>
        <v/>
      </c>
      <c r="BE601" s="1" t="str">
        <f>IFERROR($BC$3&amp;VLOOKUP(H603,'Pay Table'!$M$3:$N$18,2,FALSE)&amp;$BB$3&amp;I603&amp;$BD$3,"")</f>
        <v/>
      </c>
      <c r="BF601" s="27" t="str">
        <f>IFERROR($BC$3&amp;VLOOKUP(J603,'Pay Table'!$M$3:$N$18,2,FALSE)&amp;$BB$3&amp;K603&amp;$BD$3,"")</f>
        <v/>
      </c>
    </row>
    <row r="602" spans="54:58" x14ac:dyDescent="0.15">
      <c r="BB602" s="26" t="str">
        <f>IFERROR($BC$3&amp;VLOOKUP(B604,'Pay Table'!$M$3:$N$18,2,FALSE)&amp;$BB$3&amp;C604&amp;$BD$3,"")</f>
        <v/>
      </c>
      <c r="BC602" s="1" t="str">
        <f>IFERROR($BC$3&amp;VLOOKUP(D604,'Pay Table'!$M$3:$N$18,2,FALSE)&amp;$BB$3&amp;E604&amp;$BD$3,"")</f>
        <v/>
      </c>
      <c r="BD602" s="1" t="str">
        <f>IFERROR($BC$3&amp;VLOOKUP(F604,'Pay Table'!$M$3:$N$18,2,FALSE)&amp;$BB$3&amp;G604&amp;$BD$3,"")</f>
        <v/>
      </c>
      <c r="BE602" s="1" t="str">
        <f>IFERROR($BC$3&amp;VLOOKUP(H604,'Pay Table'!$M$3:$N$18,2,FALSE)&amp;$BB$3&amp;I604&amp;$BD$3,"")</f>
        <v/>
      </c>
      <c r="BF602" s="27" t="str">
        <f>IFERROR($BC$3&amp;VLOOKUP(J604,'Pay Table'!$M$3:$N$18,2,FALSE)&amp;$BB$3&amp;K604&amp;$BD$3,"")</f>
        <v/>
      </c>
    </row>
    <row r="603" spans="54:58" x14ac:dyDescent="0.15">
      <c r="BB603" s="26" t="str">
        <f>IFERROR($BC$3&amp;VLOOKUP(B605,'Pay Table'!$M$3:$N$18,2,FALSE)&amp;$BB$3&amp;C605&amp;$BD$3,"")</f>
        <v/>
      </c>
      <c r="BC603" s="1" t="str">
        <f>IFERROR($BC$3&amp;VLOOKUP(D605,'Pay Table'!$M$3:$N$18,2,FALSE)&amp;$BB$3&amp;E605&amp;$BD$3,"")</f>
        <v/>
      </c>
      <c r="BD603" s="1" t="str">
        <f>IFERROR($BC$3&amp;VLOOKUP(F605,'Pay Table'!$M$3:$N$18,2,FALSE)&amp;$BB$3&amp;G605&amp;$BD$3,"")</f>
        <v/>
      </c>
      <c r="BE603" s="1" t="str">
        <f>IFERROR($BC$3&amp;VLOOKUP(H605,'Pay Table'!$M$3:$N$18,2,FALSE)&amp;$BB$3&amp;I605&amp;$BD$3,"")</f>
        <v/>
      </c>
      <c r="BF603" s="27" t="str">
        <f>IFERROR($BC$3&amp;VLOOKUP(J605,'Pay Table'!$M$3:$N$18,2,FALSE)&amp;$BB$3&amp;K605&amp;$BD$3,"")</f>
        <v/>
      </c>
    </row>
    <row r="604" spans="54:58" x14ac:dyDescent="0.15">
      <c r="BB604" s="26" t="str">
        <f>IFERROR($BC$3&amp;VLOOKUP(B606,'Pay Table'!$M$3:$N$18,2,FALSE)&amp;$BB$3&amp;C606&amp;$BD$3,"")</f>
        <v/>
      </c>
      <c r="BC604" s="1" t="str">
        <f>IFERROR($BC$3&amp;VLOOKUP(D606,'Pay Table'!$M$3:$N$18,2,FALSE)&amp;$BB$3&amp;E606&amp;$BD$3,"")</f>
        <v/>
      </c>
      <c r="BD604" s="1" t="str">
        <f>IFERROR($BC$3&amp;VLOOKUP(F606,'Pay Table'!$M$3:$N$18,2,FALSE)&amp;$BB$3&amp;G606&amp;$BD$3,"")</f>
        <v/>
      </c>
      <c r="BE604" s="1" t="str">
        <f>IFERROR($BC$3&amp;VLOOKUP(H606,'Pay Table'!$M$3:$N$18,2,FALSE)&amp;$BB$3&amp;I606&amp;$BD$3,"")</f>
        <v/>
      </c>
      <c r="BF604" s="27" t="str">
        <f>IFERROR($BC$3&amp;VLOOKUP(J606,'Pay Table'!$M$3:$N$18,2,FALSE)&amp;$BB$3&amp;K606&amp;$BD$3,"")</f>
        <v/>
      </c>
    </row>
    <row r="605" spans="54:58" x14ac:dyDescent="0.15">
      <c r="BB605" s="26" t="str">
        <f>IFERROR($BC$3&amp;VLOOKUP(B607,'Pay Table'!$M$3:$N$18,2,FALSE)&amp;$BB$3&amp;C607&amp;$BD$3,"")</f>
        <v/>
      </c>
      <c r="BC605" s="1" t="str">
        <f>IFERROR($BC$3&amp;VLOOKUP(D607,'Pay Table'!$M$3:$N$18,2,FALSE)&amp;$BB$3&amp;E607&amp;$BD$3,"")</f>
        <v/>
      </c>
      <c r="BD605" s="1" t="str">
        <f>IFERROR($BC$3&amp;VLOOKUP(F607,'Pay Table'!$M$3:$N$18,2,FALSE)&amp;$BB$3&amp;G607&amp;$BD$3,"")</f>
        <v/>
      </c>
      <c r="BE605" s="1" t="str">
        <f>IFERROR($BC$3&amp;VLOOKUP(H607,'Pay Table'!$M$3:$N$18,2,FALSE)&amp;$BB$3&amp;I607&amp;$BD$3,"")</f>
        <v/>
      </c>
      <c r="BF605" s="27" t="str">
        <f>IFERROR($BC$3&amp;VLOOKUP(J607,'Pay Table'!$M$3:$N$18,2,FALSE)&amp;$BB$3&amp;K607&amp;$BD$3,"")</f>
        <v/>
      </c>
    </row>
    <row r="606" spans="54:58" x14ac:dyDescent="0.15">
      <c r="BB606" s="26" t="str">
        <f>IFERROR($BC$3&amp;VLOOKUP(B608,'Pay Table'!$M$3:$N$18,2,FALSE)&amp;$BB$3&amp;C608&amp;$BD$3,"")</f>
        <v/>
      </c>
      <c r="BC606" s="1" t="str">
        <f>IFERROR($BC$3&amp;VLOOKUP(D608,'Pay Table'!$M$3:$N$18,2,FALSE)&amp;$BB$3&amp;E608&amp;$BD$3,"")</f>
        <v/>
      </c>
      <c r="BD606" s="1" t="str">
        <f>IFERROR($BC$3&amp;VLOOKUP(F608,'Pay Table'!$M$3:$N$18,2,FALSE)&amp;$BB$3&amp;G608&amp;$BD$3,"")</f>
        <v/>
      </c>
      <c r="BE606" s="1" t="str">
        <f>IFERROR($BC$3&amp;VLOOKUP(H608,'Pay Table'!$M$3:$N$18,2,FALSE)&amp;$BB$3&amp;I608&amp;$BD$3,"")</f>
        <v/>
      </c>
      <c r="BF606" s="27" t="str">
        <f>IFERROR($BC$3&amp;VLOOKUP(J608,'Pay Table'!$M$3:$N$18,2,FALSE)&amp;$BB$3&amp;K608&amp;$BD$3,"")</f>
        <v/>
      </c>
    </row>
    <row r="607" spans="54:58" x14ac:dyDescent="0.15">
      <c r="BB607" s="26" t="str">
        <f>IFERROR($BC$3&amp;VLOOKUP(B609,'Pay Table'!$M$3:$N$18,2,FALSE)&amp;$BB$3&amp;C609&amp;$BD$3,"")</f>
        <v/>
      </c>
      <c r="BC607" s="1" t="str">
        <f>IFERROR($BC$3&amp;VLOOKUP(D609,'Pay Table'!$M$3:$N$18,2,FALSE)&amp;$BB$3&amp;E609&amp;$BD$3,"")</f>
        <v/>
      </c>
      <c r="BD607" s="1" t="str">
        <f>IFERROR($BC$3&amp;VLOOKUP(F609,'Pay Table'!$M$3:$N$18,2,FALSE)&amp;$BB$3&amp;G609&amp;$BD$3,"")</f>
        <v/>
      </c>
      <c r="BE607" s="1" t="str">
        <f>IFERROR($BC$3&amp;VLOOKUP(H609,'Pay Table'!$M$3:$N$18,2,FALSE)&amp;$BB$3&amp;I609&amp;$BD$3,"")</f>
        <v/>
      </c>
      <c r="BF607" s="27" t="str">
        <f>IFERROR($BC$3&amp;VLOOKUP(J609,'Pay Table'!$M$3:$N$18,2,FALSE)&amp;$BB$3&amp;K609&amp;$BD$3,"")</f>
        <v/>
      </c>
    </row>
    <row r="608" spans="54:58" x14ac:dyDescent="0.15">
      <c r="BB608" s="26" t="str">
        <f>IFERROR($BC$3&amp;VLOOKUP(B610,'Pay Table'!$M$3:$N$18,2,FALSE)&amp;$BB$3&amp;C610&amp;$BD$3,"")</f>
        <v/>
      </c>
      <c r="BC608" s="1" t="str">
        <f>IFERROR($BC$3&amp;VLOOKUP(D610,'Pay Table'!$M$3:$N$18,2,FALSE)&amp;$BB$3&amp;E610&amp;$BD$3,"")</f>
        <v/>
      </c>
      <c r="BD608" s="1" t="str">
        <f>IFERROR($BC$3&amp;VLOOKUP(F610,'Pay Table'!$M$3:$N$18,2,FALSE)&amp;$BB$3&amp;G610&amp;$BD$3,"")</f>
        <v/>
      </c>
      <c r="BE608" s="1" t="str">
        <f>IFERROR($BC$3&amp;VLOOKUP(H610,'Pay Table'!$M$3:$N$18,2,FALSE)&amp;$BB$3&amp;I610&amp;$BD$3,"")</f>
        <v/>
      </c>
      <c r="BF608" s="27" t="str">
        <f>IFERROR($BC$3&amp;VLOOKUP(J610,'Pay Table'!$M$3:$N$18,2,FALSE)&amp;$BB$3&amp;K610&amp;$BD$3,"")</f>
        <v/>
      </c>
    </row>
    <row r="609" spans="54:58" x14ac:dyDescent="0.15">
      <c r="BB609" s="26" t="str">
        <f>IFERROR($BC$3&amp;VLOOKUP(B611,'Pay Table'!$M$3:$N$18,2,FALSE)&amp;$BB$3&amp;C611&amp;$BD$3,"")</f>
        <v/>
      </c>
      <c r="BC609" s="1" t="str">
        <f>IFERROR($BC$3&amp;VLOOKUP(D611,'Pay Table'!$M$3:$N$18,2,FALSE)&amp;$BB$3&amp;E611&amp;$BD$3,"")</f>
        <v/>
      </c>
      <c r="BD609" s="1" t="str">
        <f>IFERROR($BC$3&amp;VLOOKUP(F611,'Pay Table'!$M$3:$N$18,2,FALSE)&amp;$BB$3&amp;G611&amp;$BD$3,"")</f>
        <v/>
      </c>
      <c r="BE609" s="1" t="str">
        <f>IFERROR($BC$3&amp;VLOOKUP(H611,'Pay Table'!$M$3:$N$18,2,FALSE)&amp;$BB$3&amp;I611&amp;$BD$3,"")</f>
        <v/>
      </c>
      <c r="BF609" s="27" t="str">
        <f>IFERROR($BC$3&amp;VLOOKUP(J611,'Pay Table'!$M$3:$N$18,2,FALSE)&amp;$BB$3&amp;K611&amp;$BD$3,"")</f>
        <v/>
      </c>
    </row>
    <row r="610" spans="54:58" x14ac:dyDescent="0.15">
      <c r="BB610" s="26" t="str">
        <f>IFERROR($BC$3&amp;VLOOKUP(B612,'Pay Table'!$M$3:$N$18,2,FALSE)&amp;$BB$3&amp;C612&amp;$BD$3,"")</f>
        <v/>
      </c>
      <c r="BC610" s="1" t="str">
        <f>IFERROR($BC$3&amp;VLOOKUP(D612,'Pay Table'!$M$3:$N$18,2,FALSE)&amp;$BB$3&amp;E612&amp;$BD$3,"")</f>
        <v/>
      </c>
      <c r="BD610" s="1" t="str">
        <f>IFERROR($BC$3&amp;VLOOKUP(F612,'Pay Table'!$M$3:$N$18,2,FALSE)&amp;$BB$3&amp;G612&amp;$BD$3,"")</f>
        <v/>
      </c>
      <c r="BE610" s="1" t="str">
        <f>IFERROR($BC$3&amp;VLOOKUP(H612,'Pay Table'!$M$3:$N$18,2,FALSE)&amp;$BB$3&amp;I612&amp;$BD$3,"")</f>
        <v/>
      </c>
      <c r="BF610" s="27" t="str">
        <f>IFERROR($BC$3&amp;VLOOKUP(J612,'Pay Table'!$M$3:$N$18,2,FALSE)&amp;$BB$3&amp;K612&amp;$BD$3,"")</f>
        <v/>
      </c>
    </row>
    <row r="611" spans="54:58" x14ac:dyDescent="0.15">
      <c r="BB611" s="26" t="str">
        <f>IFERROR($BC$3&amp;VLOOKUP(B613,'Pay Table'!$M$3:$N$18,2,FALSE)&amp;$BB$3&amp;C613&amp;$BD$3,"")</f>
        <v/>
      </c>
      <c r="BC611" s="1" t="str">
        <f>IFERROR($BC$3&amp;VLOOKUP(D613,'Pay Table'!$M$3:$N$18,2,FALSE)&amp;$BB$3&amp;E613&amp;$BD$3,"")</f>
        <v/>
      </c>
      <c r="BD611" s="1" t="str">
        <f>IFERROR($BC$3&amp;VLOOKUP(F613,'Pay Table'!$M$3:$N$18,2,FALSE)&amp;$BB$3&amp;G613&amp;$BD$3,"")</f>
        <v/>
      </c>
      <c r="BE611" s="1" t="str">
        <f>IFERROR($BC$3&amp;VLOOKUP(H613,'Pay Table'!$M$3:$N$18,2,FALSE)&amp;$BB$3&amp;I613&amp;$BD$3,"")</f>
        <v/>
      </c>
      <c r="BF611" s="27" t="str">
        <f>IFERROR($BC$3&amp;VLOOKUP(J613,'Pay Table'!$M$3:$N$18,2,FALSE)&amp;$BB$3&amp;K613&amp;$BD$3,"")</f>
        <v/>
      </c>
    </row>
    <row r="612" spans="54:58" x14ac:dyDescent="0.15">
      <c r="BB612" s="26" t="str">
        <f>IFERROR($BC$3&amp;VLOOKUP(B614,'Pay Table'!$M$3:$N$18,2,FALSE)&amp;$BB$3&amp;C614&amp;$BD$3,"")</f>
        <v/>
      </c>
      <c r="BC612" s="1" t="str">
        <f>IFERROR($BC$3&amp;VLOOKUP(D614,'Pay Table'!$M$3:$N$18,2,FALSE)&amp;$BB$3&amp;E614&amp;$BD$3,"")</f>
        <v/>
      </c>
      <c r="BD612" s="1" t="str">
        <f>IFERROR($BC$3&amp;VLOOKUP(F614,'Pay Table'!$M$3:$N$18,2,FALSE)&amp;$BB$3&amp;G614&amp;$BD$3,"")</f>
        <v/>
      </c>
      <c r="BE612" s="1" t="str">
        <f>IFERROR($BC$3&amp;VLOOKUP(H614,'Pay Table'!$M$3:$N$18,2,FALSE)&amp;$BB$3&amp;I614&amp;$BD$3,"")</f>
        <v/>
      </c>
      <c r="BF612" s="27" t="str">
        <f>IFERROR($BC$3&amp;VLOOKUP(J614,'Pay Table'!$M$3:$N$18,2,FALSE)&amp;$BB$3&amp;K614&amp;$BD$3,"")</f>
        <v/>
      </c>
    </row>
    <row r="613" spans="54:58" x14ac:dyDescent="0.15">
      <c r="BB613" s="26" t="str">
        <f>IFERROR($BC$3&amp;VLOOKUP(B615,'Pay Table'!$M$3:$N$18,2,FALSE)&amp;$BB$3&amp;C615&amp;$BD$3,"")</f>
        <v/>
      </c>
      <c r="BC613" s="1" t="str">
        <f>IFERROR($BC$3&amp;VLOOKUP(D615,'Pay Table'!$M$3:$N$18,2,FALSE)&amp;$BB$3&amp;E615&amp;$BD$3,"")</f>
        <v/>
      </c>
      <c r="BD613" s="1" t="str">
        <f>IFERROR($BC$3&amp;VLOOKUP(F615,'Pay Table'!$M$3:$N$18,2,FALSE)&amp;$BB$3&amp;G615&amp;$BD$3,"")</f>
        <v/>
      </c>
      <c r="BE613" s="1" t="str">
        <f>IFERROR($BC$3&amp;VLOOKUP(H615,'Pay Table'!$M$3:$N$18,2,FALSE)&amp;$BB$3&amp;I615&amp;$BD$3,"")</f>
        <v/>
      </c>
      <c r="BF613" s="27" t="str">
        <f>IFERROR($BC$3&amp;VLOOKUP(J615,'Pay Table'!$M$3:$N$18,2,FALSE)&amp;$BB$3&amp;K615&amp;$BD$3,"")</f>
        <v/>
      </c>
    </row>
    <row r="614" spans="54:58" x14ac:dyDescent="0.15">
      <c r="BB614" s="26" t="str">
        <f>IFERROR($BC$3&amp;VLOOKUP(B616,'Pay Table'!$M$3:$N$18,2,FALSE)&amp;$BB$3&amp;C616&amp;$BD$3,"")</f>
        <v/>
      </c>
      <c r="BC614" s="1" t="str">
        <f>IFERROR($BC$3&amp;VLOOKUP(D616,'Pay Table'!$M$3:$N$18,2,FALSE)&amp;$BB$3&amp;E616&amp;$BD$3,"")</f>
        <v/>
      </c>
      <c r="BD614" s="1" t="str">
        <f>IFERROR($BC$3&amp;VLOOKUP(F616,'Pay Table'!$M$3:$N$18,2,FALSE)&amp;$BB$3&amp;G616&amp;$BD$3,"")</f>
        <v/>
      </c>
      <c r="BE614" s="1" t="str">
        <f>IFERROR($BC$3&amp;VLOOKUP(H616,'Pay Table'!$M$3:$N$18,2,FALSE)&amp;$BB$3&amp;I616&amp;$BD$3,"")</f>
        <v/>
      </c>
      <c r="BF614" s="27" t="str">
        <f>IFERROR($BC$3&amp;VLOOKUP(J616,'Pay Table'!$M$3:$N$18,2,FALSE)&amp;$BB$3&amp;K616&amp;$BD$3,"")</f>
        <v/>
      </c>
    </row>
    <row r="615" spans="54:58" x14ac:dyDescent="0.15">
      <c r="BB615" s="26" t="str">
        <f>IFERROR($BC$3&amp;VLOOKUP(B617,'Pay Table'!$M$3:$N$18,2,FALSE)&amp;$BB$3&amp;C617&amp;$BD$3,"")</f>
        <v/>
      </c>
      <c r="BC615" s="1" t="str">
        <f>IFERROR($BC$3&amp;VLOOKUP(D617,'Pay Table'!$M$3:$N$18,2,FALSE)&amp;$BB$3&amp;E617&amp;$BD$3,"")</f>
        <v/>
      </c>
      <c r="BD615" s="1" t="str">
        <f>IFERROR($BC$3&amp;VLOOKUP(F617,'Pay Table'!$M$3:$N$18,2,FALSE)&amp;$BB$3&amp;G617&amp;$BD$3,"")</f>
        <v/>
      </c>
      <c r="BE615" s="1" t="str">
        <f>IFERROR($BC$3&amp;VLOOKUP(H617,'Pay Table'!$M$3:$N$18,2,FALSE)&amp;$BB$3&amp;I617&amp;$BD$3,"")</f>
        <v/>
      </c>
      <c r="BF615" s="27" t="str">
        <f>IFERROR($BC$3&amp;VLOOKUP(J617,'Pay Table'!$M$3:$N$18,2,FALSE)&amp;$BB$3&amp;K617&amp;$BD$3,"")</f>
        <v/>
      </c>
    </row>
    <row r="616" spans="54:58" x14ac:dyDescent="0.15">
      <c r="BB616" s="26" t="str">
        <f>IFERROR($BC$3&amp;VLOOKUP(B618,'Pay Table'!$M$3:$N$18,2,FALSE)&amp;$BB$3&amp;C618&amp;$BD$3,"")</f>
        <v/>
      </c>
      <c r="BC616" s="1" t="str">
        <f>IFERROR($BC$3&amp;VLOOKUP(D618,'Pay Table'!$M$3:$N$18,2,FALSE)&amp;$BB$3&amp;E618&amp;$BD$3,"")</f>
        <v/>
      </c>
      <c r="BD616" s="1" t="str">
        <f>IFERROR($BC$3&amp;VLOOKUP(F618,'Pay Table'!$M$3:$N$18,2,FALSE)&amp;$BB$3&amp;G618&amp;$BD$3,"")</f>
        <v/>
      </c>
      <c r="BE616" s="1" t="str">
        <f>IFERROR($BC$3&amp;VLOOKUP(H618,'Pay Table'!$M$3:$N$18,2,FALSE)&amp;$BB$3&amp;I618&amp;$BD$3,"")</f>
        <v/>
      </c>
      <c r="BF616" s="27" t="str">
        <f>IFERROR($BC$3&amp;VLOOKUP(J618,'Pay Table'!$M$3:$N$18,2,FALSE)&amp;$BB$3&amp;K618&amp;$BD$3,"")</f>
        <v/>
      </c>
    </row>
    <row r="617" spans="54:58" x14ac:dyDescent="0.15">
      <c r="BB617" s="26" t="str">
        <f>IFERROR($BC$3&amp;VLOOKUP(B619,'Pay Table'!$M$3:$N$18,2,FALSE)&amp;$BB$3&amp;C619&amp;$BD$3,"")</f>
        <v/>
      </c>
      <c r="BC617" s="1" t="str">
        <f>IFERROR($BC$3&amp;VLOOKUP(D619,'Pay Table'!$M$3:$N$18,2,FALSE)&amp;$BB$3&amp;E619&amp;$BD$3,"")</f>
        <v/>
      </c>
      <c r="BD617" s="1" t="str">
        <f>IFERROR($BC$3&amp;VLOOKUP(F619,'Pay Table'!$M$3:$N$18,2,FALSE)&amp;$BB$3&amp;G619&amp;$BD$3,"")</f>
        <v/>
      </c>
      <c r="BE617" s="1" t="str">
        <f>IFERROR($BC$3&amp;VLOOKUP(H619,'Pay Table'!$M$3:$N$18,2,FALSE)&amp;$BB$3&amp;I619&amp;$BD$3,"")</f>
        <v/>
      </c>
      <c r="BF617" s="27" t="str">
        <f>IFERROR($BC$3&amp;VLOOKUP(J619,'Pay Table'!$M$3:$N$18,2,FALSE)&amp;$BB$3&amp;K619&amp;$BD$3,"")</f>
        <v/>
      </c>
    </row>
    <row r="618" spans="54:58" x14ac:dyDescent="0.15">
      <c r="BB618" s="26" t="str">
        <f>IFERROR($BC$3&amp;VLOOKUP(B620,'Pay Table'!$M$3:$N$18,2,FALSE)&amp;$BB$3&amp;C620&amp;$BD$3,"")</f>
        <v/>
      </c>
      <c r="BC618" s="1" t="str">
        <f>IFERROR($BC$3&amp;VLOOKUP(D620,'Pay Table'!$M$3:$N$18,2,FALSE)&amp;$BB$3&amp;E620&amp;$BD$3,"")</f>
        <v/>
      </c>
      <c r="BD618" s="1" t="str">
        <f>IFERROR($BC$3&amp;VLOOKUP(F620,'Pay Table'!$M$3:$N$18,2,FALSE)&amp;$BB$3&amp;G620&amp;$BD$3,"")</f>
        <v/>
      </c>
      <c r="BE618" s="1" t="str">
        <f>IFERROR($BC$3&amp;VLOOKUP(H620,'Pay Table'!$M$3:$N$18,2,FALSE)&amp;$BB$3&amp;I620&amp;$BD$3,"")</f>
        <v/>
      </c>
      <c r="BF618" s="27" t="str">
        <f>IFERROR($BC$3&amp;VLOOKUP(J620,'Pay Table'!$M$3:$N$18,2,FALSE)&amp;$BB$3&amp;K620&amp;$BD$3,"")</f>
        <v/>
      </c>
    </row>
    <row r="619" spans="54:58" x14ac:dyDescent="0.15">
      <c r="BB619" s="26" t="str">
        <f>IFERROR($BC$3&amp;VLOOKUP(B621,'Pay Table'!$M$3:$N$18,2,FALSE)&amp;$BB$3&amp;C621&amp;$BD$3,"")</f>
        <v/>
      </c>
      <c r="BC619" s="1" t="str">
        <f>IFERROR($BC$3&amp;VLOOKUP(D621,'Pay Table'!$M$3:$N$18,2,FALSE)&amp;$BB$3&amp;E621&amp;$BD$3,"")</f>
        <v/>
      </c>
      <c r="BD619" s="1" t="str">
        <f>IFERROR($BC$3&amp;VLOOKUP(F621,'Pay Table'!$M$3:$N$18,2,FALSE)&amp;$BB$3&amp;G621&amp;$BD$3,"")</f>
        <v/>
      </c>
      <c r="BE619" s="1" t="str">
        <f>IFERROR($BC$3&amp;VLOOKUP(H621,'Pay Table'!$M$3:$N$18,2,FALSE)&amp;$BB$3&amp;I621&amp;$BD$3,"")</f>
        <v/>
      </c>
      <c r="BF619" s="27" t="str">
        <f>IFERROR($BC$3&amp;VLOOKUP(J621,'Pay Table'!$M$3:$N$18,2,FALSE)&amp;$BB$3&amp;K621&amp;$BD$3,"")</f>
        <v/>
      </c>
    </row>
    <row r="620" spans="54:58" x14ac:dyDescent="0.15">
      <c r="BB620" s="26" t="str">
        <f>IFERROR($BC$3&amp;VLOOKUP(B622,'Pay Table'!$M$3:$N$18,2,FALSE)&amp;$BB$3&amp;C622&amp;$BD$3,"")</f>
        <v/>
      </c>
      <c r="BC620" s="1" t="str">
        <f>IFERROR($BC$3&amp;VLOOKUP(D622,'Pay Table'!$M$3:$N$18,2,FALSE)&amp;$BB$3&amp;E622&amp;$BD$3,"")</f>
        <v/>
      </c>
      <c r="BD620" s="1" t="str">
        <f>IFERROR($BC$3&amp;VLOOKUP(F622,'Pay Table'!$M$3:$N$18,2,FALSE)&amp;$BB$3&amp;G622&amp;$BD$3,"")</f>
        <v/>
      </c>
      <c r="BE620" s="1" t="str">
        <f>IFERROR($BC$3&amp;VLOOKUP(H622,'Pay Table'!$M$3:$N$18,2,FALSE)&amp;$BB$3&amp;I622&amp;$BD$3,"")</f>
        <v/>
      </c>
      <c r="BF620" s="27" t="str">
        <f>IFERROR($BC$3&amp;VLOOKUP(J622,'Pay Table'!$M$3:$N$18,2,FALSE)&amp;$BB$3&amp;K622&amp;$BD$3,"")</f>
        <v/>
      </c>
    </row>
    <row r="621" spans="54:58" x14ac:dyDescent="0.15">
      <c r="BB621" s="26" t="str">
        <f>IFERROR($BC$3&amp;VLOOKUP(B623,'Pay Table'!$M$3:$N$18,2,FALSE)&amp;$BB$3&amp;C623&amp;$BD$3,"")</f>
        <v/>
      </c>
      <c r="BC621" s="1" t="str">
        <f>IFERROR($BC$3&amp;VLOOKUP(D623,'Pay Table'!$M$3:$N$18,2,FALSE)&amp;$BB$3&amp;E623&amp;$BD$3,"")</f>
        <v/>
      </c>
      <c r="BD621" s="1" t="str">
        <f>IFERROR($BC$3&amp;VLOOKUP(F623,'Pay Table'!$M$3:$N$18,2,FALSE)&amp;$BB$3&amp;G623&amp;$BD$3,"")</f>
        <v/>
      </c>
      <c r="BE621" s="1" t="str">
        <f>IFERROR($BC$3&amp;VLOOKUP(H623,'Pay Table'!$M$3:$N$18,2,FALSE)&amp;$BB$3&amp;I623&amp;$BD$3,"")</f>
        <v/>
      </c>
      <c r="BF621" s="27" t="str">
        <f>IFERROR($BC$3&amp;VLOOKUP(J623,'Pay Table'!$M$3:$N$18,2,FALSE)&amp;$BB$3&amp;K623&amp;$BD$3,"")</f>
        <v/>
      </c>
    </row>
    <row r="622" spans="54:58" x14ac:dyDescent="0.15">
      <c r="BB622" s="26" t="str">
        <f>IFERROR($BC$3&amp;VLOOKUP(B624,'Pay Table'!$M$3:$N$18,2,FALSE)&amp;$BB$3&amp;C624&amp;$BD$3,"")</f>
        <v/>
      </c>
      <c r="BC622" s="1" t="str">
        <f>IFERROR($BC$3&amp;VLOOKUP(D624,'Pay Table'!$M$3:$N$18,2,FALSE)&amp;$BB$3&amp;E624&amp;$BD$3,"")</f>
        <v/>
      </c>
      <c r="BD622" s="1" t="str">
        <f>IFERROR($BC$3&amp;VLOOKUP(F624,'Pay Table'!$M$3:$N$18,2,FALSE)&amp;$BB$3&amp;G624&amp;$BD$3,"")</f>
        <v/>
      </c>
      <c r="BE622" s="1" t="str">
        <f>IFERROR($BC$3&amp;VLOOKUP(H624,'Pay Table'!$M$3:$N$18,2,FALSE)&amp;$BB$3&amp;I624&amp;$BD$3,"")</f>
        <v/>
      </c>
      <c r="BF622" s="27" t="str">
        <f>IFERROR($BC$3&amp;VLOOKUP(J624,'Pay Table'!$M$3:$N$18,2,FALSE)&amp;$BB$3&amp;K624&amp;$BD$3,"")</f>
        <v/>
      </c>
    </row>
    <row r="623" spans="54:58" x14ac:dyDescent="0.15">
      <c r="BB623" s="26" t="str">
        <f>IFERROR($BC$3&amp;VLOOKUP(B625,'Pay Table'!$M$3:$N$18,2,FALSE)&amp;$BB$3&amp;C625&amp;$BD$3,"")</f>
        <v/>
      </c>
      <c r="BC623" s="1" t="str">
        <f>IFERROR($BC$3&amp;VLOOKUP(D625,'Pay Table'!$M$3:$N$18,2,FALSE)&amp;$BB$3&amp;E625&amp;$BD$3,"")</f>
        <v/>
      </c>
      <c r="BD623" s="1" t="str">
        <f>IFERROR($BC$3&amp;VLOOKUP(F625,'Pay Table'!$M$3:$N$18,2,FALSE)&amp;$BB$3&amp;G625&amp;$BD$3,"")</f>
        <v/>
      </c>
      <c r="BE623" s="1" t="str">
        <f>IFERROR($BC$3&amp;VLOOKUP(H625,'Pay Table'!$M$3:$N$18,2,FALSE)&amp;$BB$3&amp;I625&amp;$BD$3,"")</f>
        <v/>
      </c>
      <c r="BF623" s="27" t="str">
        <f>IFERROR($BC$3&amp;VLOOKUP(J625,'Pay Table'!$M$3:$N$18,2,FALSE)&amp;$BB$3&amp;K625&amp;$BD$3,"")</f>
        <v/>
      </c>
    </row>
    <row r="624" spans="54:58" x14ac:dyDescent="0.15">
      <c r="BB624" s="26" t="str">
        <f>IFERROR($BC$3&amp;VLOOKUP(B626,'Pay Table'!$M$3:$N$18,2,FALSE)&amp;$BB$3&amp;C626&amp;$BD$3,"")</f>
        <v/>
      </c>
      <c r="BC624" s="1" t="str">
        <f>IFERROR($BC$3&amp;VLOOKUP(D626,'Pay Table'!$M$3:$N$18,2,FALSE)&amp;$BB$3&amp;E626&amp;$BD$3,"")</f>
        <v/>
      </c>
      <c r="BD624" s="1" t="str">
        <f>IFERROR($BC$3&amp;VLOOKUP(F626,'Pay Table'!$M$3:$N$18,2,FALSE)&amp;$BB$3&amp;G626&amp;$BD$3,"")</f>
        <v/>
      </c>
      <c r="BE624" s="1" t="str">
        <f>IFERROR($BC$3&amp;VLOOKUP(H626,'Pay Table'!$M$3:$N$18,2,FALSE)&amp;$BB$3&amp;I626&amp;$BD$3,"")</f>
        <v/>
      </c>
      <c r="BF624" s="27" t="str">
        <f>IFERROR($BC$3&amp;VLOOKUP(J626,'Pay Table'!$M$3:$N$18,2,FALSE)&amp;$BB$3&amp;K626&amp;$BD$3,"")</f>
        <v/>
      </c>
    </row>
    <row r="625" spans="54:58" x14ac:dyDescent="0.15">
      <c r="BB625" s="26" t="str">
        <f>IFERROR($BC$3&amp;VLOOKUP(B627,'Pay Table'!$M$3:$N$18,2,FALSE)&amp;$BB$3&amp;C627&amp;$BD$3,"")</f>
        <v/>
      </c>
      <c r="BC625" s="1" t="str">
        <f>IFERROR($BC$3&amp;VLOOKUP(D627,'Pay Table'!$M$3:$N$18,2,FALSE)&amp;$BB$3&amp;E627&amp;$BD$3,"")</f>
        <v/>
      </c>
      <c r="BD625" s="1" t="str">
        <f>IFERROR($BC$3&amp;VLOOKUP(F627,'Pay Table'!$M$3:$N$18,2,FALSE)&amp;$BB$3&amp;G627&amp;$BD$3,"")</f>
        <v/>
      </c>
      <c r="BE625" s="1" t="str">
        <f>IFERROR($BC$3&amp;VLOOKUP(H627,'Pay Table'!$M$3:$N$18,2,FALSE)&amp;$BB$3&amp;I627&amp;$BD$3,"")</f>
        <v/>
      </c>
      <c r="BF625" s="27" t="str">
        <f>IFERROR($BC$3&amp;VLOOKUP(J627,'Pay Table'!$M$3:$N$18,2,FALSE)&amp;$BB$3&amp;K627&amp;$BD$3,"")</f>
        <v/>
      </c>
    </row>
    <row r="626" spans="54:58" x14ac:dyDescent="0.15">
      <c r="BB626" s="26" t="str">
        <f>IFERROR($BC$3&amp;VLOOKUP(B628,'Pay Table'!$M$3:$N$18,2,FALSE)&amp;$BB$3&amp;C628&amp;$BD$3,"")</f>
        <v/>
      </c>
      <c r="BC626" s="1" t="str">
        <f>IFERROR($BC$3&amp;VLOOKUP(D628,'Pay Table'!$M$3:$N$18,2,FALSE)&amp;$BB$3&amp;E628&amp;$BD$3,"")</f>
        <v/>
      </c>
      <c r="BD626" s="1" t="str">
        <f>IFERROR($BC$3&amp;VLOOKUP(F628,'Pay Table'!$M$3:$N$18,2,FALSE)&amp;$BB$3&amp;G628&amp;$BD$3,"")</f>
        <v/>
      </c>
      <c r="BE626" s="1" t="str">
        <f>IFERROR($BC$3&amp;VLOOKUP(H628,'Pay Table'!$M$3:$N$18,2,FALSE)&amp;$BB$3&amp;I628&amp;$BD$3,"")</f>
        <v/>
      </c>
      <c r="BF626" s="27" t="str">
        <f>IFERROR($BC$3&amp;VLOOKUP(J628,'Pay Table'!$M$3:$N$18,2,FALSE)&amp;$BB$3&amp;K628&amp;$BD$3,"")</f>
        <v/>
      </c>
    </row>
    <row r="627" spans="54:58" x14ac:dyDescent="0.15">
      <c r="BB627" s="26" t="str">
        <f>IFERROR($BC$3&amp;VLOOKUP(B629,'Pay Table'!$M$3:$N$18,2,FALSE)&amp;$BB$3&amp;C629&amp;$BD$3,"")</f>
        <v/>
      </c>
      <c r="BC627" s="1" t="str">
        <f>IFERROR($BC$3&amp;VLOOKUP(D629,'Pay Table'!$M$3:$N$18,2,FALSE)&amp;$BB$3&amp;E629&amp;$BD$3,"")</f>
        <v/>
      </c>
      <c r="BD627" s="1" t="str">
        <f>IFERROR($BC$3&amp;VLOOKUP(F629,'Pay Table'!$M$3:$N$18,2,FALSE)&amp;$BB$3&amp;G629&amp;$BD$3,"")</f>
        <v/>
      </c>
      <c r="BE627" s="1" t="str">
        <f>IFERROR($BC$3&amp;VLOOKUP(H629,'Pay Table'!$M$3:$N$18,2,FALSE)&amp;$BB$3&amp;I629&amp;$BD$3,"")</f>
        <v/>
      </c>
      <c r="BF627" s="27" t="str">
        <f>IFERROR($BC$3&amp;VLOOKUP(J629,'Pay Table'!$M$3:$N$18,2,FALSE)&amp;$BB$3&amp;K629&amp;$BD$3,"")</f>
        <v/>
      </c>
    </row>
    <row r="628" spans="54:58" x14ac:dyDescent="0.15">
      <c r="BB628" s="26" t="str">
        <f>IFERROR($BC$3&amp;VLOOKUP(B630,'Pay Table'!$M$3:$N$18,2,FALSE)&amp;$BB$3&amp;C630&amp;$BD$3,"")</f>
        <v/>
      </c>
      <c r="BC628" s="1" t="str">
        <f>IFERROR($BC$3&amp;VLOOKUP(D630,'Pay Table'!$M$3:$N$18,2,FALSE)&amp;$BB$3&amp;E630&amp;$BD$3,"")</f>
        <v/>
      </c>
      <c r="BD628" s="1" t="str">
        <f>IFERROR($BC$3&amp;VLOOKUP(F630,'Pay Table'!$M$3:$N$18,2,FALSE)&amp;$BB$3&amp;G630&amp;$BD$3,"")</f>
        <v/>
      </c>
      <c r="BE628" s="1" t="str">
        <f>IFERROR($BC$3&amp;VLOOKUP(H630,'Pay Table'!$M$3:$N$18,2,FALSE)&amp;$BB$3&amp;I630&amp;$BD$3,"")</f>
        <v/>
      </c>
      <c r="BF628" s="27" t="str">
        <f>IFERROR($BC$3&amp;VLOOKUP(J630,'Pay Table'!$M$3:$N$18,2,FALSE)&amp;$BB$3&amp;K630&amp;$BD$3,"")</f>
        <v/>
      </c>
    </row>
    <row r="629" spans="54:58" x14ac:dyDescent="0.15">
      <c r="BB629" s="26" t="str">
        <f>IFERROR($BC$3&amp;VLOOKUP(B631,'Pay Table'!$M$3:$N$18,2,FALSE)&amp;$BB$3&amp;C631&amp;$BD$3,"")</f>
        <v/>
      </c>
      <c r="BC629" s="1" t="str">
        <f>IFERROR($BC$3&amp;VLOOKUP(D631,'Pay Table'!$M$3:$N$18,2,FALSE)&amp;$BB$3&amp;E631&amp;$BD$3,"")</f>
        <v/>
      </c>
      <c r="BD629" s="1" t="str">
        <f>IFERROR($BC$3&amp;VLOOKUP(F631,'Pay Table'!$M$3:$N$18,2,FALSE)&amp;$BB$3&amp;G631&amp;$BD$3,"")</f>
        <v/>
      </c>
      <c r="BE629" s="1" t="str">
        <f>IFERROR($BC$3&amp;VLOOKUP(H631,'Pay Table'!$M$3:$N$18,2,FALSE)&amp;$BB$3&amp;I631&amp;$BD$3,"")</f>
        <v/>
      </c>
      <c r="BF629" s="27" t="str">
        <f>IFERROR($BC$3&amp;VLOOKUP(J631,'Pay Table'!$M$3:$N$18,2,FALSE)&amp;$BB$3&amp;K631&amp;$BD$3,"")</f>
        <v/>
      </c>
    </row>
    <row r="630" spans="54:58" x14ac:dyDescent="0.15">
      <c r="BB630" s="26" t="str">
        <f>IFERROR($BC$3&amp;VLOOKUP(B632,'Pay Table'!$M$3:$N$18,2,FALSE)&amp;$BB$3&amp;C632&amp;$BD$3,"")</f>
        <v/>
      </c>
      <c r="BC630" s="1" t="str">
        <f>IFERROR($BC$3&amp;VLOOKUP(D632,'Pay Table'!$M$3:$N$18,2,FALSE)&amp;$BB$3&amp;E632&amp;$BD$3,"")</f>
        <v/>
      </c>
      <c r="BD630" s="1" t="str">
        <f>IFERROR($BC$3&amp;VLOOKUP(F632,'Pay Table'!$M$3:$N$18,2,FALSE)&amp;$BB$3&amp;G632&amp;$BD$3,"")</f>
        <v/>
      </c>
      <c r="BE630" s="1" t="str">
        <f>IFERROR($BC$3&amp;VLOOKUP(H632,'Pay Table'!$M$3:$N$18,2,FALSE)&amp;$BB$3&amp;I632&amp;$BD$3,"")</f>
        <v/>
      </c>
      <c r="BF630" s="27" t="str">
        <f>IFERROR($BC$3&amp;VLOOKUP(J632,'Pay Table'!$M$3:$N$18,2,FALSE)&amp;$BB$3&amp;K632&amp;$BD$3,"")</f>
        <v/>
      </c>
    </row>
    <row r="631" spans="54:58" x14ac:dyDescent="0.15">
      <c r="BB631" s="26" t="str">
        <f>IFERROR($BC$3&amp;VLOOKUP(B633,'Pay Table'!$M$3:$N$18,2,FALSE)&amp;$BB$3&amp;C633&amp;$BD$3,"")</f>
        <v/>
      </c>
      <c r="BC631" s="1" t="str">
        <f>IFERROR($BC$3&amp;VLOOKUP(D633,'Pay Table'!$M$3:$N$18,2,FALSE)&amp;$BB$3&amp;E633&amp;$BD$3,"")</f>
        <v/>
      </c>
      <c r="BD631" s="1" t="str">
        <f>IFERROR($BC$3&amp;VLOOKUP(F633,'Pay Table'!$M$3:$N$18,2,FALSE)&amp;$BB$3&amp;G633&amp;$BD$3,"")</f>
        <v/>
      </c>
      <c r="BE631" s="1" t="str">
        <f>IFERROR($BC$3&amp;VLOOKUP(H633,'Pay Table'!$M$3:$N$18,2,FALSE)&amp;$BB$3&amp;I633&amp;$BD$3,"")</f>
        <v/>
      </c>
      <c r="BF631" s="27" t="str">
        <f>IFERROR($BC$3&amp;VLOOKUP(J633,'Pay Table'!$M$3:$N$18,2,FALSE)&amp;$BB$3&amp;K633&amp;$BD$3,"")</f>
        <v/>
      </c>
    </row>
    <row r="632" spans="54:58" x14ac:dyDescent="0.15">
      <c r="BB632" s="26" t="str">
        <f>IFERROR($BC$3&amp;VLOOKUP(B634,'Pay Table'!$M$3:$N$18,2,FALSE)&amp;$BB$3&amp;C634&amp;$BD$3,"")</f>
        <v/>
      </c>
      <c r="BC632" s="1" t="str">
        <f>IFERROR($BC$3&amp;VLOOKUP(D634,'Pay Table'!$M$3:$N$18,2,FALSE)&amp;$BB$3&amp;E634&amp;$BD$3,"")</f>
        <v/>
      </c>
      <c r="BD632" s="1" t="str">
        <f>IFERROR($BC$3&amp;VLOOKUP(F634,'Pay Table'!$M$3:$N$18,2,FALSE)&amp;$BB$3&amp;G634&amp;$BD$3,"")</f>
        <v/>
      </c>
      <c r="BE632" s="1" t="str">
        <f>IFERROR($BC$3&amp;VLOOKUP(H634,'Pay Table'!$M$3:$N$18,2,FALSE)&amp;$BB$3&amp;I634&amp;$BD$3,"")</f>
        <v/>
      </c>
      <c r="BF632" s="27" t="str">
        <f>IFERROR($BC$3&amp;VLOOKUP(J634,'Pay Table'!$M$3:$N$18,2,FALSE)&amp;$BB$3&amp;K634&amp;$BD$3,"")</f>
        <v/>
      </c>
    </row>
    <row r="633" spans="54:58" x14ac:dyDescent="0.15">
      <c r="BB633" s="26" t="str">
        <f>IFERROR($BC$3&amp;VLOOKUP(B635,'Pay Table'!$M$3:$N$18,2,FALSE)&amp;$BB$3&amp;C635&amp;$BD$3,"")</f>
        <v/>
      </c>
      <c r="BC633" s="1" t="str">
        <f>IFERROR($BC$3&amp;VLOOKUP(D635,'Pay Table'!$M$3:$N$18,2,FALSE)&amp;$BB$3&amp;E635&amp;$BD$3,"")</f>
        <v/>
      </c>
      <c r="BD633" s="1" t="str">
        <f>IFERROR($BC$3&amp;VLOOKUP(F635,'Pay Table'!$M$3:$N$18,2,FALSE)&amp;$BB$3&amp;G635&amp;$BD$3,"")</f>
        <v/>
      </c>
      <c r="BE633" s="1" t="str">
        <f>IFERROR($BC$3&amp;VLOOKUP(H635,'Pay Table'!$M$3:$N$18,2,FALSE)&amp;$BB$3&amp;I635&amp;$BD$3,"")</f>
        <v/>
      </c>
      <c r="BF633" s="27" t="str">
        <f>IFERROR($BC$3&amp;VLOOKUP(J635,'Pay Table'!$M$3:$N$18,2,FALSE)&amp;$BB$3&amp;K635&amp;$BD$3,"")</f>
        <v/>
      </c>
    </row>
    <row r="634" spans="54:58" x14ac:dyDescent="0.15">
      <c r="BB634" s="26" t="str">
        <f>IFERROR($BC$3&amp;VLOOKUP(B636,'Pay Table'!$M$3:$N$18,2,FALSE)&amp;$BB$3&amp;C636&amp;$BD$3,"")</f>
        <v/>
      </c>
      <c r="BC634" s="1" t="str">
        <f>IFERROR($BC$3&amp;VLOOKUP(D636,'Pay Table'!$M$3:$N$18,2,FALSE)&amp;$BB$3&amp;E636&amp;$BD$3,"")</f>
        <v/>
      </c>
      <c r="BD634" s="1" t="str">
        <f>IFERROR($BC$3&amp;VLOOKUP(F636,'Pay Table'!$M$3:$N$18,2,FALSE)&amp;$BB$3&amp;G636&amp;$BD$3,"")</f>
        <v/>
      </c>
      <c r="BE634" s="1" t="str">
        <f>IFERROR($BC$3&amp;VLOOKUP(H636,'Pay Table'!$M$3:$N$18,2,FALSE)&amp;$BB$3&amp;I636&amp;$BD$3,"")</f>
        <v/>
      </c>
      <c r="BF634" s="27" t="str">
        <f>IFERROR($BC$3&amp;VLOOKUP(J636,'Pay Table'!$M$3:$N$18,2,FALSE)&amp;$BB$3&amp;K636&amp;$BD$3,"")</f>
        <v/>
      </c>
    </row>
    <row r="635" spans="54:58" x14ac:dyDescent="0.15">
      <c r="BB635" s="26" t="str">
        <f>IFERROR($BC$3&amp;VLOOKUP(B637,'Pay Table'!$M$3:$N$18,2,FALSE)&amp;$BB$3&amp;C637&amp;$BD$3,"")</f>
        <v/>
      </c>
      <c r="BC635" s="1" t="str">
        <f>IFERROR($BC$3&amp;VLOOKUP(D637,'Pay Table'!$M$3:$N$18,2,FALSE)&amp;$BB$3&amp;E637&amp;$BD$3,"")</f>
        <v/>
      </c>
      <c r="BD635" s="1" t="str">
        <f>IFERROR($BC$3&amp;VLOOKUP(F637,'Pay Table'!$M$3:$N$18,2,FALSE)&amp;$BB$3&amp;G637&amp;$BD$3,"")</f>
        <v/>
      </c>
      <c r="BE635" s="1" t="str">
        <f>IFERROR($BC$3&amp;VLOOKUP(H637,'Pay Table'!$M$3:$N$18,2,FALSE)&amp;$BB$3&amp;I637&amp;$BD$3,"")</f>
        <v/>
      </c>
      <c r="BF635" s="27" t="str">
        <f>IFERROR($BC$3&amp;VLOOKUP(J637,'Pay Table'!$M$3:$N$18,2,FALSE)&amp;$BB$3&amp;K637&amp;$BD$3,"")</f>
        <v/>
      </c>
    </row>
    <row r="636" spans="54:58" x14ac:dyDescent="0.15">
      <c r="BB636" s="26" t="str">
        <f>IFERROR($BC$3&amp;VLOOKUP(B638,'Pay Table'!$M$3:$N$18,2,FALSE)&amp;$BB$3&amp;C638&amp;$BD$3,"")</f>
        <v/>
      </c>
      <c r="BC636" s="1" t="str">
        <f>IFERROR($BC$3&amp;VLOOKUP(D638,'Pay Table'!$M$3:$N$18,2,FALSE)&amp;$BB$3&amp;E638&amp;$BD$3,"")</f>
        <v/>
      </c>
      <c r="BD636" s="1" t="str">
        <f>IFERROR($BC$3&amp;VLOOKUP(F638,'Pay Table'!$M$3:$N$18,2,FALSE)&amp;$BB$3&amp;G638&amp;$BD$3,"")</f>
        <v/>
      </c>
      <c r="BE636" s="1" t="str">
        <f>IFERROR($BC$3&amp;VLOOKUP(H638,'Pay Table'!$M$3:$N$18,2,FALSE)&amp;$BB$3&amp;I638&amp;$BD$3,"")</f>
        <v/>
      </c>
      <c r="BF636" s="27" t="str">
        <f>IFERROR($BC$3&amp;VLOOKUP(J638,'Pay Table'!$M$3:$N$18,2,FALSE)&amp;$BB$3&amp;K638&amp;$BD$3,"")</f>
        <v/>
      </c>
    </row>
    <row r="637" spans="54:58" x14ac:dyDescent="0.15">
      <c r="BB637" s="26" t="str">
        <f>IFERROR($BC$3&amp;VLOOKUP(B639,'Pay Table'!$M$3:$N$18,2,FALSE)&amp;$BB$3&amp;C639&amp;$BD$3,"")</f>
        <v/>
      </c>
      <c r="BC637" s="1" t="str">
        <f>IFERROR($BC$3&amp;VLOOKUP(D639,'Pay Table'!$M$3:$N$18,2,FALSE)&amp;$BB$3&amp;E639&amp;$BD$3,"")</f>
        <v/>
      </c>
      <c r="BD637" s="1" t="str">
        <f>IFERROR($BC$3&amp;VLOOKUP(F639,'Pay Table'!$M$3:$N$18,2,FALSE)&amp;$BB$3&amp;G639&amp;$BD$3,"")</f>
        <v/>
      </c>
      <c r="BE637" s="1" t="str">
        <f>IFERROR($BC$3&amp;VLOOKUP(H639,'Pay Table'!$M$3:$N$18,2,FALSE)&amp;$BB$3&amp;I639&amp;$BD$3,"")</f>
        <v/>
      </c>
      <c r="BF637" s="27" t="str">
        <f>IFERROR($BC$3&amp;VLOOKUP(J639,'Pay Table'!$M$3:$N$18,2,FALSE)&amp;$BB$3&amp;K639&amp;$BD$3,"")</f>
        <v/>
      </c>
    </row>
    <row r="638" spans="54:58" x14ac:dyDescent="0.15">
      <c r="BB638" s="26" t="str">
        <f>IFERROR($BC$3&amp;VLOOKUP(B640,'Pay Table'!$M$3:$N$18,2,FALSE)&amp;$BB$3&amp;C640&amp;$BD$3,"")</f>
        <v/>
      </c>
      <c r="BC638" s="1" t="str">
        <f>IFERROR($BC$3&amp;VLOOKUP(D640,'Pay Table'!$M$3:$N$18,2,FALSE)&amp;$BB$3&amp;E640&amp;$BD$3,"")</f>
        <v/>
      </c>
      <c r="BD638" s="1" t="str">
        <f>IFERROR($BC$3&amp;VLOOKUP(F640,'Pay Table'!$M$3:$N$18,2,FALSE)&amp;$BB$3&amp;G640&amp;$BD$3,"")</f>
        <v/>
      </c>
      <c r="BE638" s="1" t="str">
        <f>IFERROR($BC$3&amp;VLOOKUP(H640,'Pay Table'!$M$3:$N$18,2,FALSE)&amp;$BB$3&amp;I640&amp;$BD$3,"")</f>
        <v/>
      </c>
      <c r="BF638" s="27" t="str">
        <f>IFERROR($BC$3&amp;VLOOKUP(J640,'Pay Table'!$M$3:$N$18,2,FALSE)&amp;$BB$3&amp;K640&amp;$BD$3,"")</f>
        <v/>
      </c>
    </row>
    <row r="639" spans="54:58" x14ac:dyDescent="0.15">
      <c r="BB639" s="26" t="str">
        <f>IFERROR($BC$3&amp;VLOOKUP(B641,'Pay Table'!$M$3:$N$18,2,FALSE)&amp;$BB$3&amp;C641&amp;$BD$3,"")</f>
        <v/>
      </c>
      <c r="BC639" s="1" t="str">
        <f>IFERROR($BC$3&amp;VLOOKUP(D641,'Pay Table'!$M$3:$N$18,2,FALSE)&amp;$BB$3&amp;E641&amp;$BD$3,"")</f>
        <v/>
      </c>
      <c r="BD639" s="1" t="str">
        <f>IFERROR($BC$3&amp;VLOOKUP(F641,'Pay Table'!$M$3:$N$18,2,FALSE)&amp;$BB$3&amp;G641&amp;$BD$3,"")</f>
        <v/>
      </c>
      <c r="BE639" s="1" t="str">
        <f>IFERROR($BC$3&amp;VLOOKUP(H641,'Pay Table'!$M$3:$N$18,2,FALSE)&amp;$BB$3&amp;I641&amp;$BD$3,"")</f>
        <v/>
      </c>
      <c r="BF639" s="27" t="str">
        <f>IFERROR($BC$3&amp;VLOOKUP(J641,'Pay Table'!$M$3:$N$18,2,FALSE)&amp;$BB$3&amp;K641&amp;$BD$3,"")</f>
        <v/>
      </c>
    </row>
    <row r="640" spans="54:58" x14ac:dyDescent="0.15">
      <c r="BB640" s="26" t="str">
        <f>IFERROR($BC$3&amp;VLOOKUP(B642,'Pay Table'!$M$3:$N$18,2,FALSE)&amp;$BB$3&amp;C642&amp;$BD$3,"")</f>
        <v/>
      </c>
      <c r="BC640" s="1" t="str">
        <f>IFERROR($BC$3&amp;VLOOKUP(D642,'Pay Table'!$M$3:$N$18,2,FALSE)&amp;$BB$3&amp;E642&amp;$BD$3,"")</f>
        <v/>
      </c>
      <c r="BD640" s="1" t="str">
        <f>IFERROR($BC$3&amp;VLOOKUP(F642,'Pay Table'!$M$3:$N$18,2,FALSE)&amp;$BB$3&amp;G642&amp;$BD$3,"")</f>
        <v/>
      </c>
      <c r="BE640" s="1" t="str">
        <f>IFERROR($BC$3&amp;VLOOKUP(H642,'Pay Table'!$M$3:$N$18,2,FALSE)&amp;$BB$3&amp;I642&amp;$BD$3,"")</f>
        <v/>
      </c>
      <c r="BF640" s="27" t="str">
        <f>IFERROR($BC$3&amp;VLOOKUP(J642,'Pay Table'!$M$3:$N$18,2,FALSE)&amp;$BB$3&amp;K642&amp;$BD$3,"")</f>
        <v/>
      </c>
    </row>
    <row r="641" spans="54:58" x14ac:dyDescent="0.15">
      <c r="BB641" s="26" t="str">
        <f>IFERROR($BC$3&amp;VLOOKUP(B643,'Pay Table'!$M$3:$N$18,2,FALSE)&amp;$BB$3&amp;C643&amp;$BD$3,"")</f>
        <v/>
      </c>
      <c r="BC641" s="1" t="str">
        <f>IFERROR($BC$3&amp;VLOOKUP(D643,'Pay Table'!$M$3:$N$18,2,FALSE)&amp;$BB$3&amp;E643&amp;$BD$3,"")</f>
        <v/>
      </c>
      <c r="BD641" s="1" t="str">
        <f>IFERROR($BC$3&amp;VLOOKUP(F643,'Pay Table'!$M$3:$N$18,2,FALSE)&amp;$BB$3&amp;G643&amp;$BD$3,"")</f>
        <v/>
      </c>
      <c r="BE641" s="1" t="str">
        <f>IFERROR($BC$3&amp;VLOOKUP(H643,'Pay Table'!$M$3:$N$18,2,FALSE)&amp;$BB$3&amp;I643&amp;$BD$3,"")</f>
        <v/>
      </c>
      <c r="BF641" s="27" t="str">
        <f>IFERROR($BC$3&amp;VLOOKUP(J643,'Pay Table'!$M$3:$N$18,2,FALSE)&amp;$BB$3&amp;K643&amp;$BD$3,"")</f>
        <v/>
      </c>
    </row>
    <row r="642" spans="54:58" x14ac:dyDescent="0.15">
      <c r="BB642" s="26" t="str">
        <f>IFERROR($BC$3&amp;VLOOKUP(B644,'Pay Table'!$M$3:$N$18,2,FALSE)&amp;$BB$3&amp;C644&amp;$BD$3,"")</f>
        <v/>
      </c>
      <c r="BC642" s="1" t="str">
        <f>IFERROR($BC$3&amp;VLOOKUP(D644,'Pay Table'!$M$3:$N$18,2,FALSE)&amp;$BB$3&amp;E644&amp;$BD$3,"")</f>
        <v/>
      </c>
      <c r="BD642" s="1" t="str">
        <f>IFERROR($BC$3&amp;VLOOKUP(F644,'Pay Table'!$M$3:$N$18,2,FALSE)&amp;$BB$3&amp;G644&amp;$BD$3,"")</f>
        <v/>
      </c>
      <c r="BE642" s="1" t="str">
        <f>IFERROR($BC$3&amp;VLOOKUP(H644,'Pay Table'!$M$3:$N$18,2,FALSE)&amp;$BB$3&amp;I644&amp;$BD$3,"")</f>
        <v/>
      </c>
      <c r="BF642" s="27" t="str">
        <f>IFERROR($BC$3&amp;VLOOKUP(J644,'Pay Table'!$M$3:$N$18,2,FALSE)&amp;$BB$3&amp;K644&amp;$BD$3,"")</f>
        <v/>
      </c>
    </row>
    <row r="643" spans="54:58" x14ac:dyDescent="0.15">
      <c r="BB643" s="26" t="str">
        <f>IFERROR($BC$3&amp;VLOOKUP(B645,'Pay Table'!$M$3:$N$18,2,FALSE)&amp;$BB$3&amp;C645&amp;$BD$3,"")</f>
        <v/>
      </c>
      <c r="BC643" s="1" t="str">
        <f>IFERROR($BC$3&amp;VLOOKUP(D645,'Pay Table'!$M$3:$N$18,2,FALSE)&amp;$BB$3&amp;E645&amp;$BD$3,"")</f>
        <v/>
      </c>
      <c r="BD643" s="1" t="str">
        <f>IFERROR($BC$3&amp;VLOOKUP(F645,'Pay Table'!$M$3:$N$18,2,FALSE)&amp;$BB$3&amp;G645&amp;$BD$3,"")</f>
        <v/>
      </c>
      <c r="BE643" s="1" t="str">
        <f>IFERROR($BC$3&amp;VLOOKUP(H645,'Pay Table'!$M$3:$N$18,2,FALSE)&amp;$BB$3&amp;I645&amp;$BD$3,"")</f>
        <v/>
      </c>
      <c r="BF643" s="27" t="str">
        <f>IFERROR($BC$3&amp;VLOOKUP(J645,'Pay Table'!$M$3:$N$18,2,FALSE)&amp;$BB$3&amp;K645&amp;$BD$3,"")</f>
        <v/>
      </c>
    </row>
    <row r="644" spans="54:58" x14ac:dyDescent="0.15">
      <c r="BB644" s="26" t="str">
        <f>IFERROR($BC$3&amp;VLOOKUP(B646,'Pay Table'!$M$3:$N$18,2,FALSE)&amp;$BB$3&amp;C646&amp;$BD$3,"")</f>
        <v/>
      </c>
      <c r="BC644" s="1" t="str">
        <f>IFERROR($BC$3&amp;VLOOKUP(D646,'Pay Table'!$M$3:$N$18,2,FALSE)&amp;$BB$3&amp;E646&amp;$BD$3,"")</f>
        <v/>
      </c>
      <c r="BD644" s="1" t="str">
        <f>IFERROR($BC$3&amp;VLOOKUP(F646,'Pay Table'!$M$3:$N$18,2,FALSE)&amp;$BB$3&amp;G646&amp;$BD$3,"")</f>
        <v/>
      </c>
      <c r="BE644" s="1" t="str">
        <f>IFERROR($BC$3&amp;VLOOKUP(H646,'Pay Table'!$M$3:$N$18,2,FALSE)&amp;$BB$3&amp;I646&amp;$BD$3,"")</f>
        <v/>
      </c>
      <c r="BF644" s="27" t="str">
        <f>IFERROR($BC$3&amp;VLOOKUP(J646,'Pay Table'!$M$3:$N$18,2,FALSE)&amp;$BB$3&amp;K646&amp;$BD$3,"")</f>
        <v/>
      </c>
    </row>
    <row r="645" spans="54:58" x14ac:dyDescent="0.15">
      <c r="BB645" s="26" t="str">
        <f>IFERROR($BC$3&amp;VLOOKUP(B647,'Pay Table'!$M$3:$N$18,2,FALSE)&amp;$BB$3&amp;C647&amp;$BD$3,"")</f>
        <v/>
      </c>
      <c r="BC645" s="1" t="str">
        <f>IFERROR($BC$3&amp;VLOOKUP(D647,'Pay Table'!$M$3:$N$18,2,FALSE)&amp;$BB$3&amp;E647&amp;$BD$3,"")</f>
        <v/>
      </c>
      <c r="BD645" s="1" t="str">
        <f>IFERROR($BC$3&amp;VLOOKUP(F647,'Pay Table'!$M$3:$N$18,2,FALSE)&amp;$BB$3&amp;G647&amp;$BD$3,"")</f>
        <v/>
      </c>
      <c r="BE645" s="1" t="str">
        <f>IFERROR($BC$3&amp;VLOOKUP(H647,'Pay Table'!$M$3:$N$18,2,FALSE)&amp;$BB$3&amp;I647&amp;$BD$3,"")</f>
        <v/>
      </c>
      <c r="BF645" s="27" t="str">
        <f>IFERROR($BC$3&amp;VLOOKUP(J647,'Pay Table'!$M$3:$N$18,2,FALSE)&amp;$BB$3&amp;K647&amp;$BD$3,"")</f>
        <v/>
      </c>
    </row>
    <row r="646" spans="54:58" x14ac:dyDescent="0.15">
      <c r="BB646" s="26" t="str">
        <f>IFERROR($BC$3&amp;VLOOKUP(B648,'Pay Table'!$M$3:$N$18,2,FALSE)&amp;$BB$3&amp;C648&amp;$BD$3,"")</f>
        <v/>
      </c>
      <c r="BC646" s="1" t="str">
        <f>IFERROR($BC$3&amp;VLOOKUP(D648,'Pay Table'!$M$3:$N$18,2,FALSE)&amp;$BB$3&amp;E648&amp;$BD$3,"")</f>
        <v/>
      </c>
      <c r="BD646" s="1" t="str">
        <f>IFERROR($BC$3&amp;VLOOKUP(F648,'Pay Table'!$M$3:$N$18,2,FALSE)&amp;$BB$3&amp;G648&amp;$BD$3,"")</f>
        <v/>
      </c>
      <c r="BE646" s="1" t="str">
        <f>IFERROR($BC$3&amp;VLOOKUP(H648,'Pay Table'!$M$3:$N$18,2,FALSE)&amp;$BB$3&amp;I648&amp;$BD$3,"")</f>
        <v/>
      </c>
      <c r="BF646" s="27" t="str">
        <f>IFERROR($BC$3&amp;VLOOKUP(J648,'Pay Table'!$M$3:$N$18,2,FALSE)&amp;$BB$3&amp;K648&amp;$BD$3,"")</f>
        <v/>
      </c>
    </row>
    <row r="647" spans="54:58" x14ac:dyDescent="0.15">
      <c r="BB647" s="26" t="str">
        <f>IFERROR($BC$3&amp;VLOOKUP(B649,'Pay Table'!$M$3:$N$18,2,FALSE)&amp;$BB$3&amp;C649&amp;$BD$3,"")</f>
        <v/>
      </c>
      <c r="BC647" s="1" t="str">
        <f>IFERROR($BC$3&amp;VLOOKUP(D649,'Pay Table'!$M$3:$N$18,2,FALSE)&amp;$BB$3&amp;E649&amp;$BD$3,"")</f>
        <v/>
      </c>
      <c r="BD647" s="1" t="str">
        <f>IFERROR($BC$3&amp;VLOOKUP(F649,'Pay Table'!$M$3:$N$18,2,FALSE)&amp;$BB$3&amp;G649&amp;$BD$3,"")</f>
        <v/>
      </c>
      <c r="BE647" s="1" t="str">
        <f>IFERROR($BC$3&amp;VLOOKUP(H649,'Pay Table'!$M$3:$N$18,2,FALSE)&amp;$BB$3&amp;I649&amp;$BD$3,"")</f>
        <v/>
      </c>
      <c r="BF647" s="27" t="str">
        <f>IFERROR($BC$3&amp;VLOOKUP(J649,'Pay Table'!$M$3:$N$18,2,FALSE)&amp;$BB$3&amp;K649&amp;$BD$3,"")</f>
        <v/>
      </c>
    </row>
    <row r="648" spans="54:58" x14ac:dyDescent="0.15">
      <c r="BB648" s="26" t="str">
        <f>IFERROR($BC$3&amp;VLOOKUP(B650,'Pay Table'!$M$3:$N$18,2,FALSE)&amp;$BB$3&amp;C650&amp;$BD$3,"")</f>
        <v/>
      </c>
      <c r="BC648" s="1" t="str">
        <f>IFERROR($BC$3&amp;VLOOKUP(D650,'Pay Table'!$M$3:$N$18,2,FALSE)&amp;$BB$3&amp;E650&amp;$BD$3,"")</f>
        <v/>
      </c>
      <c r="BD648" s="1" t="str">
        <f>IFERROR($BC$3&amp;VLOOKUP(F650,'Pay Table'!$M$3:$N$18,2,FALSE)&amp;$BB$3&amp;G650&amp;$BD$3,"")</f>
        <v/>
      </c>
      <c r="BE648" s="1" t="str">
        <f>IFERROR($BC$3&amp;VLOOKUP(H650,'Pay Table'!$M$3:$N$18,2,FALSE)&amp;$BB$3&amp;I650&amp;$BD$3,"")</f>
        <v/>
      </c>
      <c r="BF648" s="27" t="str">
        <f>IFERROR($BC$3&amp;VLOOKUP(J650,'Pay Table'!$M$3:$N$18,2,FALSE)&amp;$BB$3&amp;K650&amp;$BD$3,"")</f>
        <v/>
      </c>
    </row>
    <row r="649" spans="54:58" x14ac:dyDescent="0.15">
      <c r="BB649" s="26" t="str">
        <f>IFERROR($BC$3&amp;VLOOKUP(B651,'Pay Table'!$M$3:$N$18,2,FALSE)&amp;$BB$3&amp;C651&amp;$BD$3,"")</f>
        <v/>
      </c>
      <c r="BC649" s="1" t="str">
        <f>IFERROR($BC$3&amp;VLOOKUP(D651,'Pay Table'!$M$3:$N$18,2,FALSE)&amp;$BB$3&amp;E651&amp;$BD$3,"")</f>
        <v/>
      </c>
      <c r="BD649" s="1" t="str">
        <f>IFERROR($BC$3&amp;VLOOKUP(F651,'Pay Table'!$M$3:$N$18,2,FALSE)&amp;$BB$3&amp;G651&amp;$BD$3,"")</f>
        <v/>
      </c>
      <c r="BE649" s="1" t="str">
        <f>IFERROR($BC$3&amp;VLOOKUP(H651,'Pay Table'!$M$3:$N$18,2,FALSE)&amp;$BB$3&amp;I651&amp;$BD$3,"")</f>
        <v/>
      </c>
      <c r="BF649" s="27" t="str">
        <f>IFERROR($BC$3&amp;VLOOKUP(J651,'Pay Table'!$M$3:$N$18,2,FALSE)&amp;$BB$3&amp;K651&amp;$BD$3,"")</f>
        <v/>
      </c>
    </row>
    <row r="650" spans="54:58" x14ac:dyDescent="0.15">
      <c r="BB650" s="26" t="str">
        <f>IFERROR($BC$3&amp;VLOOKUP(B652,'Pay Table'!$M$3:$N$18,2,FALSE)&amp;$BB$3&amp;C652&amp;$BD$3,"")</f>
        <v/>
      </c>
      <c r="BC650" s="1" t="str">
        <f>IFERROR($BC$3&amp;VLOOKUP(D652,'Pay Table'!$M$3:$N$18,2,FALSE)&amp;$BB$3&amp;E652&amp;$BD$3,"")</f>
        <v/>
      </c>
      <c r="BD650" s="1" t="str">
        <f>IFERROR($BC$3&amp;VLOOKUP(F652,'Pay Table'!$M$3:$N$18,2,FALSE)&amp;$BB$3&amp;G652&amp;$BD$3,"")</f>
        <v/>
      </c>
      <c r="BE650" s="1" t="str">
        <f>IFERROR($BC$3&amp;VLOOKUP(H652,'Pay Table'!$M$3:$N$18,2,FALSE)&amp;$BB$3&amp;I652&amp;$BD$3,"")</f>
        <v/>
      </c>
      <c r="BF650" s="27" t="str">
        <f>IFERROR($BC$3&amp;VLOOKUP(J652,'Pay Table'!$M$3:$N$18,2,FALSE)&amp;$BB$3&amp;K652&amp;$BD$3,"")</f>
        <v/>
      </c>
    </row>
    <row r="651" spans="54:58" x14ac:dyDescent="0.15">
      <c r="BB651" s="26" t="str">
        <f>IFERROR($BC$3&amp;VLOOKUP(B653,'Pay Table'!$M$3:$N$18,2,FALSE)&amp;$BB$3&amp;C653&amp;$BD$3,"")</f>
        <v/>
      </c>
      <c r="BC651" s="1" t="str">
        <f>IFERROR($BC$3&amp;VLOOKUP(D653,'Pay Table'!$M$3:$N$18,2,FALSE)&amp;$BB$3&amp;E653&amp;$BD$3,"")</f>
        <v/>
      </c>
      <c r="BD651" s="1" t="str">
        <f>IFERROR($BC$3&amp;VLOOKUP(F653,'Pay Table'!$M$3:$N$18,2,FALSE)&amp;$BB$3&amp;G653&amp;$BD$3,"")</f>
        <v/>
      </c>
      <c r="BE651" s="1" t="str">
        <f>IFERROR($BC$3&amp;VLOOKUP(H653,'Pay Table'!$M$3:$N$18,2,FALSE)&amp;$BB$3&amp;I653&amp;$BD$3,"")</f>
        <v/>
      </c>
      <c r="BF651" s="27" t="str">
        <f>IFERROR($BC$3&amp;VLOOKUP(J653,'Pay Table'!$M$3:$N$18,2,FALSE)&amp;$BB$3&amp;K653&amp;$BD$3,"")</f>
        <v/>
      </c>
    </row>
    <row r="652" spans="54:58" x14ac:dyDescent="0.15">
      <c r="BB652" s="26" t="str">
        <f>IFERROR($BC$3&amp;VLOOKUP(B654,'Pay Table'!$M$3:$N$18,2,FALSE)&amp;$BB$3&amp;C654&amp;$BD$3,"")</f>
        <v/>
      </c>
      <c r="BC652" s="1" t="str">
        <f>IFERROR($BC$3&amp;VLOOKUP(D654,'Pay Table'!$M$3:$N$18,2,FALSE)&amp;$BB$3&amp;E654&amp;$BD$3,"")</f>
        <v/>
      </c>
      <c r="BD652" s="1" t="str">
        <f>IFERROR($BC$3&amp;VLOOKUP(F654,'Pay Table'!$M$3:$N$18,2,FALSE)&amp;$BB$3&amp;G654&amp;$BD$3,"")</f>
        <v/>
      </c>
      <c r="BE652" s="1" t="str">
        <f>IFERROR($BC$3&amp;VLOOKUP(H654,'Pay Table'!$M$3:$N$18,2,FALSE)&amp;$BB$3&amp;I654&amp;$BD$3,"")</f>
        <v/>
      </c>
      <c r="BF652" s="27" t="str">
        <f>IFERROR($BC$3&amp;VLOOKUP(J654,'Pay Table'!$M$3:$N$18,2,FALSE)&amp;$BB$3&amp;K654&amp;$BD$3,"")</f>
        <v/>
      </c>
    </row>
    <row r="653" spans="54:58" x14ac:dyDescent="0.15">
      <c r="BB653" s="26" t="str">
        <f>IFERROR($BC$3&amp;VLOOKUP(B655,'Pay Table'!$M$3:$N$18,2,FALSE)&amp;$BB$3&amp;C655&amp;$BD$3,"")</f>
        <v/>
      </c>
      <c r="BC653" s="1" t="str">
        <f>IFERROR($BC$3&amp;VLOOKUP(D655,'Pay Table'!$M$3:$N$18,2,FALSE)&amp;$BB$3&amp;E655&amp;$BD$3,"")</f>
        <v/>
      </c>
      <c r="BD653" s="1" t="str">
        <f>IFERROR($BC$3&amp;VLOOKUP(F655,'Pay Table'!$M$3:$N$18,2,FALSE)&amp;$BB$3&amp;G655&amp;$BD$3,"")</f>
        <v/>
      </c>
      <c r="BE653" s="1" t="str">
        <f>IFERROR($BC$3&amp;VLOOKUP(H655,'Pay Table'!$M$3:$N$18,2,FALSE)&amp;$BB$3&amp;I655&amp;$BD$3,"")</f>
        <v/>
      </c>
      <c r="BF653" s="27" t="str">
        <f>IFERROR($BC$3&amp;VLOOKUP(J655,'Pay Table'!$M$3:$N$18,2,FALSE)&amp;$BB$3&amp;K655&amp;$BD$3,"")</f>
        <v/>
      </c>
    </row>
    <row r="654" spans="54:58" x14ac:dyDescent="0.15">
      <c r="BB654" s="26" t="str">
        <f>IFERROR($BC$3&amp;VLOOKUP(B656,'Pay Table'!$M$3:$N$18,2,FALSE)&amp;$BB$3&amp;C656&amp;$BD$3,"")</f>
        <v/>
      </c>
      <c r="BC654" s="1" t="str">
        <f>IFERROR($BC$3&amp;VLOOKUP(D656,'Pay Table'!$M$3:$N$18,2,FALSE)&amp;$BB$3&amp;E656&amp;$BD$3,"")</f>
        <v/>
      </c>
      <c r="BD654" s="1" t="str">
        <f>IFERROR($BC$3&amp;VLOOKUP(F656,'Pay Table'!$M$3:$N$18,2,FALSE)&amp;$BB$3&amp;G656&amp;$BD$3,"")</f>
        <v/>
      </c>
      <c r="BE654" s="1" t="str">
        <f>IFERROR($BC$3&amp;VLOOKUP(H656,'Pay Table'!$M$3:$N$18,2,FALSE)&amp;$BB$3&amp;I656&amp;$BD$3,"")</f>
        <v/>
      </c>
      <c r="BF654" s="27" t="str">
        <f>IFERROR($BC$3&amp;VLOOKUP(J656,'Pay Table'!$M$3:$N$18,2,FALSE)&amp;$BB$3&amp;K656&amp;$BD$3,"")</f>
        <v/>
      </c>
    </row>
    <row r="655" spans="54:58" x14ac:dyDescent="0.15">
      <c r="BB655" s="26" t="str">
        <f>IFERROR($BC$3&amp;VLOOKUP(B657,'Pay Table'!$M$3:$N$18,2,FALSE)&amp;$BB$3&amp;C657&amp;$BD$3,"")</f>
        <v/>
      </c>
      <c r="BC655" s="1" t="str">
        <f>IFERROR($BC$3&amp;VLOOKUP(D657,'Pay Table'!$M$3:$N$18,2,FALSE)&amp;$BB$3&amp;E657&amp;$BD$3,"")</f>
        <v/>
      </c>
      <c r="BD655" s="1" t="str">
        <f>IFERROR($BC$3&amp;VLOOKUP(F657,'Pay Table'!$M$3:$N$18,2,FALSE)&amp;$BB$3&amp;G657&amp;$BD$3,"")</f>
        <v/>
      </c>
      <c r="BE655" s="1" t="str">
        <f>IFERROR($BC$3&amp;VLOOKUP(H657,'Pay Table'!$M$3:$N$18,2,FALSE)&amp;$BB$3&amp;I657&amp;$BD$3,"")</f>
        <v/>
      </c>
      <c r="BF655" s="27" t="str">
        <f>IFERROR($BC$3&amp;VLOOKUP(J657,'Pay Table'!$M$3:$N$18,2,FALSE)&amp;$BB$3&amp;K657&amp;$BD$3,"")</f>
        <v/>
      </c>
    </row>
    <row r="656" spans="54:58" x14ac:dyDescent="0.15">
      <c r="BB656" s="26" t="str">
        <f>IFERROR($BC$3&amp;VLOOKUP(B658,'Pay Table'!$M$3:$N$18,2,FALSE)&amp;$BB$3&amp;C658&amp;$BD$3,"")</f>
        <v/>
      </c>
      <c r="BC656" s="1" t="str">
        <f>IFERROR($BC$3&amp;VLOOKUP(D658,'Pay Table'!$M$3:$N$18,2,FALSE)&amp;$BB$3&amp;E658&amp;$BD$3,"")</f>
        <v/>
      </c>
      <c r="BD656" s="1" t="str">
        <f>IFERROR($BC$3&amp;VLOOKUP(F658,'Pay Table'!$M$3:$N$18,2,FALSE)&amp;$BB$3&amp;G658&amp;$BD$3,"")</f>
        <v/>
      </c>
      <c r="BE656" s="1" t="str">
        <f>IFERROR($BC$3&amp;VLOOKUP(H658,'Pay Table'!$M$3:$N$18,2,FALSE)&amp;$BB$3&amp;I658&amp;$BD$3,"")</f>
        <v/>
      </c>
      <c r="BF656" s="27" t="str">
        <f>IFERROR($BC$3&amp;VLOOKUP(J658,'Pay Table'!$M$3:$N$18,2,FALSE)&amp;$BB$3&amp;K658&amp;$BD$3,"")</f>
        <v/>
      </c>
    </row>
    <row r="657" spans="54:58" x14ac:dyDescent="0.15">
      <c r="BB657" s="26" t="str">
        <f>IFERROR($BC$3&amp;VLOOKUP(B659,'Pay Table'!$M$3:$N$18,2,FALSE)&amp;$BB$3&amp;C659&amp;$BD$3,"")</f>
        <v/>
      </c>
      <c r="BC657" s="1" t="str">
        <f>IFERROR($BC$3&amp;VLOOKUP(D659,'Pay Table'!$M$3:$N$18,2,FALSE)&amp;$BB$3&amp;E659&amp;$BD$3,"")</f>
        <v/>
      </c>
      <c r="BD657" s="1" t="str">
        <f>IFERROR($BC$3&amp;VLOOKUP(F659,'Pay Table'!$M$3:$N$18,2,FALSE)&amp;$BB$3&amp;G659&amp;$BD$3,"")</f>
        <v/>
      </c>
      <c r="BE657" s="1" t="str">
        <f>IFERROR($BC$3&amp;VLOOKUP(H659,'Pay Table'!$M$3:$N$18,2,FALSE)&amp;$BB$3&amp;I659&amp;$BD$3,"")</f>
        <v/>
      </c>
      <c r="BF657" s="27" t="str">
        <f>IFERROR($BC$3&amp;VLOOKUP(J659,'Pay Table'!$M$3:$N$18,2,FALSE)&amp;$BB$3&amp;K659&amp;$BD$3,"")</f>
        <v/>
      </c>
    </row>
    <row r="658" spans="54:58" x14ac:dyDescent="0.15">
      <c r="BB658" s="26" t="str">
        <f>IFERROR($BC$3&amp;VLOOKUP(B660,'Pay Table'!$M$3:$N$18,2,FALSE)&amp;$BB$3&amp;C660&amp;$BD$3,"")</f>
        <v/>
      </c>
      <c r="BC658" s="1" t="str">
        <f>IFERROR($BC$3&amp;VLOOKUP(D660,'Pay Table'!$M$3:$N$18,2,FALSE)&amp;$BB$3&amp;E660&amp;$BD$3,"")</f>
        <v/>
      </c>
      <c r="BD658" s="1" t="str">
        <f>IFERROR($BC$3&amp;VLOOKUP(F660,'Pay Table'!$M$3:$N$18,2,FALSE)&amp;$BB$3&amp;G660&amp;$BD$3,"")</f>
        <v/>
      </c>
      <c r="BE658" s="1" t="str">
        <f>IFERROR($BC$3&amp;VLOOKUP(H660,'Pay Table'!$M$3:$N$18,2,FALSE)&amp;$BB$3&amp;I660&amp;$BD$3,"")</f>
        <v/>
      </c>
      <c r="BF658" s="27" t="str">
        <f>IFERROR($BC$3&amp;VLOOKUP(J660,'Pay Table'!$M$3:$N$18,2,FALSE)&amp;$BB$3&amp;K660&amp;$BD$3,"")</f>
        <v/>
      </c>
    </row>
    <row r="659" spans="54:58" x14ac:dyDescent="0.15">
      <c r="BB659" s="26" t="str">
        <f>IFERROR($BC$3&amp;VLOOKUP(B661,'Pay Table'!$M$3:$N$18,2,FALSE)&amp;$BB$3&amp;C661&amp;$BD$3,"")</f>
        <v/>
      </c>
      <c r="BC659" s="1" t="str">
        <f>IFERROR($BC$3&amp;VLOOKUP(D661,'Pay Table'!$M$3:$N$18,2,FALSE)&amp;$BB$3&amp;E661&amp;$BD$3,"")</f>
        <v/>
      </c>
      <c r="BD659" s="1" t="str">
        <f>IFERROR($BC$3&amp;VLOOKUP(F661,'Pay Table'!$M$3:$N$18,2,FALSE)&amp;$BB$3&amp;G661&amp;$BD$3,"")</f>
        <v/>
      </c>
      <c r="BE659" s="1" t="str">
        <f>IFERROR($BC$3&amp;VLOOKUP(H661,'Pay Table'!$M$3:$N$18,2,FALSE)&amp;$BB$3&amp;I661&amp;$BD$3,"")</f>
        <v/>
      </c>
      <c r="BF659" s="27" t="str">
        <f>IFERROR($BC$3&amp;VLOOKUP(J661,'Pay Table'!$M$3:$N$18,2,FALSE)&amp;$BB$3&amp;K661&amp;$BD$3,"")</f>
        <v/>
      </c>
    </row>
    <row r="660" spans="54:58" x14ac:dyDescent="0.15">
      <c r="BB660" s="26" t="str">
        <f>IFERROR($BC$3&amp;VLOOKUP(B662,'Pay Table'!$M$3:$N$18,2,FALSE)&amp;$BB$3&amp;C662&amp;$BD$3,"")</f>
        <v/>
      </c>
      <c r="BC660" s="1" t="str">
        <f>IFERROR($BC$3&amp;VLOOKUP(D662,'Pay Table'!$M$3:$N$18,2,FALSE)&amp;$BB$3&amp;E662&amp;$BD$3,"")</f>
        <v/>
      </c>
      <c r="BD660" s="1" t="str">
        <f>IFERROR($BC$3&amp;VLOOKUP(F662,'Pay Table'!$M$3:$N$18,2,FALSE)&amp;$BB$3&amp;G662&amp;$BD$3,"")</f>
        <v/>
      </c>
      <c r="BE660" s="1" t="str">
        <f>IFERROR($BC$3&amp;VLOOKUP(H662,'Pay Table'!$M$3:$N$18,2,FALSE)&amp;$BB$3&amp;I662&amp;$BD$3,"")</f>
        <v/>
      </c>
      <c r="BF660" s="27" t="str">
        <f>IFERROR($BC$3&amp;VLOOKUP(J662,'Pay Table'!$M$3:$N$18,2,FALSE)&amp;$BB$3&amp;K662&amp;$BD$3,"")</f>
        <v/>
      </c>
    </row>
    <row r="661" spans="54:58" x14ac:dyDescent="0.15">
      <c r="BB661" s="26" t="str">
        <f>IFERROR($BC$3&amp;VLOOKUP(B663,'Pay Table'!$M$3:$N$18,2,FALSE)&amp;$BB$3&amp;C663&amp;$BD$3,"")</f>
        <v/>
      </c>
      <c r="BC661" s="1" t="str">
        <f>IFERROR($BC$3&amp;VLOOKUP(D663,'Pay Table'!$M$3:$N$18,2,FALSE)&amp;$BB$3&amp;E663&amp;$BD$3,"")</f>
        <v/>
      </c>
      <c r="BD661" s="1" t="str">
        <f>IFERROR($BC$3&amp;VLOOKUP(F663,'Pay Table'!$M$3:$N$18,2,FALSE)&amp;$BB$3&amp;G663&amp;$BD$3,"")</f>
        <v/>
      </c>
      <c r="BE661" s="1" t="str">
        <f>IFERROR($BC$3&amp;VLOOKUP(H663,'Pay Table'!$M$3:$N$18,2,FALSE)&amp;$BB$3&amp;I663&amp;$BD$3,"")</f>
        <v/>
      </c>
      <c r="BF661" s="27" t="str">
        <f>IFERROR($BC$3&amp;VLOOKUP(J663,'Pay Table'!$M$3:$N$18,2,FALSE)&amp;$BB$3&amp;K663&amp;$BD$3,"")</f>
        <v/>
      </c>
    </row>
    <row r="662" spans="54:58" x14ac:dyDescent="0.15">
      <c r="BB662" s="26" t="str">
        <f>IFERROR($BC$3&amp;VLOOKUP(B664,'Pay Table'!$M$3:$N$18,2,FALSE)&amp;$BB$3&amp;C664&amp;$BD$3,"")</f>
        <v/>
      </c>
      <c r="BC662" s="1" t="str">
        <f>IFERROR($BC$3&amp;VLOOKUP(D664,'Pay Table'!$M$3:$N$18,2,FALSE)&amp;$BB$3&amp;E664&amp;$BD$3,"")</f>
        <v/>
      </c>
      <c r="BD662" s="1" t="str">
        <f>IFERROR($BC$3&amp;VLOOKUP(F664,'Pay Table'!$M$3:$N$18,2,FALSE)&amp;$BB$3&amp;G664&amp;$BD$3,"")</f>
        <v/>
      </c>
      <c r="BE662" s="1" t="str">
        <f>IFERROR($BC$3&amp;VLOOKUP(H664,'Pay Table'!$M$3:$N$18,2,FALSE)&amp;$BB$3&amp;I664&amp;$BD$3,"")</f>
        <v/>
      </c>
      <c r="BF662" s="27" t="str">
        <f>IFERROR($BC$3&amp;VLOOKUP(J664,'Pay Table'!$M$3:$N$18,2,FALSE)&amp;$BB$3&amp;K664&amp;$BD$3,"")</f>
        <v/>
      </c>
    </row>
    <row r="663" spans="54:58" x14ac:dyDescent="0.15">
      <c r="BB663" s="26" t="str">
        <f>IFERROR($BC$3&amp;VLOOKUP(B665,'Pay Table'!$M$3:$N$18,2,FALSE)&amp;$BB$3&amp;C665&amp;$BD$3,"")</f>
        <v/>
      </c>
      <c r="BC663" s="1" t="str">
        <f>IFERROR($BC$3&amp;VLOOKUP(D665,'Pay Table'!$M$3:$N$18,2,FALSE)&amp;$BB$3&amp;E665&amp;$BD$3,"")</f>
        <v/>
      </c>
      <c r="BD663" s="1" t="str">
        <f>IFERROR($BC$3&amp;VLOOKUP(F665,'Pay Table'!$M$3:$N$18,2,FALSE)&amp;$BB$3&amp;G665&amp;$BD$3,"")</f>
        <v/>
      </c>
      <c r="BE663" s="1" t="str">
        <f>IFERROR($BC$3&amp;VLOOKUP(H665,'Pay Table'!$M$3:$N$18,2,FALSE)&amp;$BB$3&amp;I665&amp;$BD$3,"")</f>
        <v/>
      </c>
      <c r="BF663" s="27" t="str">
        <f>IFERROR($BC$3&amp;VLOOKUP(J665,'Pay Table'!$M$3:$N$18,2,FALSE)&amp;$BB$3&amp;K665&amp;$BD$3,"")</f>
        <v/>
      </c>
    </row>
    <row r="664" spans="54:58" x14ac:dyDescent="0.15">
      <c r="BB664" s="26" t="str">
        <f>IFERROR($BC$3&amp;VLOOKUP(B666,'Pay Table'!$M$3:$N$18,2,FALSE)&amp;$BB$3&amp;C666&amp;$BD$3,"")</f>
        <v/>
      </c>
      <c r="BC664" s="1" t="str">
        <f>IFERROR($BC$3&amp;VLOOKUP(D666,'Pay Table'!$M$3:$N$18,2,FALSE)&amp;$BB$3&amp;E666&amp;$BD$3,"")</f>
        <v/>
      </c>
      <c r="BD664" s="1" t="str">
        <f>IFERROR($BC$3&amp;VLOOKUP(F666,'Pay Table'!$M$3:$N$18,2,FALSE)&amp;$BB$3&amp;G666&amp;$BD$3,"")</f>
        <v/>
      </c>
      <c r="BE664" s="1" t="str">
        <f>IFERROR($BC$3&amp;VLOOKUP(H666,'Pay Table'!$M$3:$N$18,2,FALSE)&amp;$BB$3&amp;I666&amp;$BD$3,"")</f>
        <v/>
      </c>
      <c r="BF664" s="27" t="str">
        <f>IFERROR($BC$3&amp;VLOOKUP(J666,'Pay Table'!$M$3:$N$18,2,FALSE)&amp;$BB$3&amp;K666&amp;$BD$3,"")</f>
        <v/>
      </c>
    </row>
    <row r="665" spans="54:58" x14ac:dyDescent="0.15">
      <c r="BB665" s="26" t="str">
        <f>IFERROR($BC$3&amp;VLOOKUP(B667,'Pay Table'!$M$3:$N$18,2,FALSE)&amp;$BB$3&amp;C667&amp;$BD$3,"")</f>
        <v/>
      </c>
      <c r="BC665" s="1" t="str">
        <f>IFERROR($BC$3&amp;VLOOKUP(D667,'Pay Table'!$M$3:$N$18,2,FALSE)&amp;$BB$3&amp;E667&amp;$BD$3,"")</f>
        <v/>
      </c>
      <c r="BD665" s="1" t="str">
        <f>IFERROR($BC$3&amp;VLOOKUP(F667,'Pay Table'!$M$3:$N$18,2,FALSE)&amp;$BB$3&amp;G667&amp;$BD$3,"")</f>
        <v/>
      </c>
      <c r="BE665" s="1" t="str">
        <f>IFERROR($BC$3&amp;VLOOKUP(H667,'Pay Table'!$M$3:$N$18,2,FALSE)&amp;$BB$3&amp;I667&amp;$BD$3,"")</f>
        <v/>
      </c>
      <c r="BF665" s="27" t="str">
        <f>IFERROR($BC$3&amp;VLOOKUP(J667,'Pay Table'!$M$3:$N$18,2,FALSE)&amp;$BB$3&amp;K667&amp;$BD$3,"")</f>
        <v/>
      </c>
    </row>
    <row r="666" spans="54:58" x14ac:dyDescent="0.15">
      <c r="BB666" s="26" t="str">
        <f>IFERROR($BC$3&amp;VLOOKUP(B668,'Pay Table'!$M$3:$N$18,2,FALSE)&amp;$BB$3&amp;C668&amp;$BD$3,"")</f>
        <v/>
      </c>
      <c r="BC666" s="1" t="str">
        <f>IFERROR($BC$3&amp;VLOOKUP(D668,'Pay Table'!$M$3:$N$18,2,FALSE)&amp;$BB$3&amp;E668&amp;$BD$3,"")</f>
        <v/>
      </c>
      <c r="BD666" s="1" t="str">
        <f>IFERROR($BC$3&amp;VLOOKUP(F668,'Pay Table'!$M$3:$N$18,2,FALSE)&amp;$BB$3&amp;G668&amp;$BD$3,"")</f>
        <v/>
      </c>
      <c r="BE666" s="1" t="str">
        <f>IFERROR($BC$3&amp;VLOOKUP(H668,'Pay Table'!$M$3:$N$18,2,FALSE)&amp;$BB$3&amp;I668&amp;$BD$3,"")</f>
        <v/>
      </c>
      <c r="BF666" s="27" t="str">
        <f>IFERROR($BC$3&amp;VLOOKUP(J668,'Pay Table'!$M$3:$N$18,2,FALSE)&amp;$BB$3&amp;K668&amp;$BD$3,"")</f>
        <v/>
      </c>
    </row>
    <row r="667" spans="54:58" x14ac:dyDescent="0.15">
      <c r="BB667" s="26" t="str">
        <f>IFERROR($BC$3&amp;VLOOKUP(B669,'Pay Table'!$M$3:$N$18,2,FALSE)&amp;$BB$3&amp;C669&amp;$BD$3,"")</f>
        <v/>
      </c>
      <c r="BC667" s="1" t="str">
        <f>IFERROR($BC$3&amp;VLOOKUP(D669,'Pay Table'!$M$3:$N$18,2,FALSE)&amp;$BB$3&amp;E669&amp;$BD$3,"")</f>
        <v/>
      </c>
      <c r="BD667" s="1" t="str">
        <f>IFERROR($BC$3&amp;VLOOKUP(F669,'Pay Table'!$M$3:$N$18,2,FALSE)&amp;$BB$3&amp;G669&amp;$BD$3,"")</f>
        <v/>
      </c>
      <c r="BE667" s="1" t="str">
        <f>IFERROR($BC$3&amp;VLOOKUP(H669,'Pay Table'!$M$3:$N$18,2,FALSE)&amp;$BB$3&amp;I669&amp;$BD$3,"")</f>
        <v/>
      </c>
      <c r="BF667" s="27" t="str">
        <f>IFERROR($BC$3&amp;VLOOKUP(J669,'Pay Table'!$M$3:$N$18,2,FALSE)&amp;$BB$3&amp;K669&amp;$BD$3,"")</f>
        <v/>
      </c>
    </row>
    <row r="668" spans="54:58" x14ac:dyDescent="0.15">
      <c r="BB668" s="26" t="str">
        <f>IFERROR($BC$3&amp;VLOOKUP(B670,'Pay Table'!$M$3:$N$18,2,FALSE)&amp;$BB$3&amp;C670&amp;$BD$3,"")</f>
        <v/>
      </c>
      <c r="BC668" s="1" t="str">
        <f>IFERROR($BC$3&amp;VLOOKUP(D670,'Pay Table'!$M$3:$N$18,2,FALSE)&amp;$BB$3&amp;E670&amp;$BD$3,"")</f>
        <v/>
      </c>
      <c r="BD668" s="1" t="str">
        <f>IFERROR($BC$3&amp;VLOOKUP(F670,'Pay Table'!$M$3:$N$18,2,FALSE)&amp;$BB$3&amp;G670&amp;$BD$3,"")</f>
        <v/>
      </c>
      <c r="BE668" s="1" t="str">
        <f>IFERROR($BC$3&amp;VLOOKUP(H670,'Pay Table'!$M$3:$N$18,2,FALSE)&amp;$BB$3&amp;I670&amp;$BD$3,"")</f>
        <v/>
      </c>
      <c r="BF668" s="27" t="str">
        <f>IFERROR($BC$3&amp;VLOOKUP(J670,'Pay Table'!$M$3:$N$18,2,FALSE)&amp;$BB$3&amp;K670&amp;$BD$3,"")</f>
        <v/>
      </c>
    </row>
    <row r="669" spans="54:58" x14ac:dyDescent="0.15">
      <c r="BB669" s="26" t="str">
        <f>IFERROR($BC$3&amp;VLOOKUP(B671,'Pay Table'!$M$3:$N$18,2,FALSE)&amp;$BB$3&amp;C671&amp;$BD$3,"")</f>
        <v/>
      </c>
      <c r="BC669" s="1" t="str">
        <f>IFERROR($BC$3&amp;VLOOKUP(D671,'Pay Table'!$M$3:$N$18,2,FALSE)&amp;$BB$3&amp;E671&amp;$BD$3,"")</f>
        <v/>
      </c>
      <c r="BD669" s="1" t="str">
        <f>IFERROR($BC$3&amp;VLOOKUP(F671,'Pay Table'!$M$3:$N$18,2,FALSE)&amp;$BB$3&amp;G671&amp;$BD$3,"")</f>
        <v/>
      </c>
      <c r="BE669" s="1" t="str">
        <f>IFERROR($BC$3&amp;VLOOKUP(H671,'Pay Table'!$M$3:$N$18,2,FALSE)&amp;$BB$3&amp;I671&amp;$BD$3,"")</f>
        <v/>
      </c>
      <c r="BF669" s="27" t="str">
        <f>IFERROR($BC$3&amp;VLOOKUP(J671,'Pay Table'!$M$3:$N$18,2,FALSE)&amp;$BB$3&amp;K671&amp;$BD$3,"")</f>
        <v/>
      </c>
    </row>
    <row r="670" spans="54:58" x14ac:dyDescent="0.15">
      <c r="BB670" s="26" t="str">
        <f>IFERROR($BC$3&amp;VLOOKUP(B672,'Pay Table'!$M$3:$N$18,2,FALSE)&amp;$BB$3&amp;C672&amp;$BD$3,"")</f>
        <v/>
      </c>
      <c r="BC670" s="1" t="str">
        <f>IFERROR($BC$3&amp;VLOOKUP(D672,'Pay Table'!$M$3:$N$18,2,FALSE)&amp;$BB$3&amp;E672&amp;$BD$3,"")</f>
        <v/>
      </c>
      <c r="BD670" s="1" t="str">
        <f>IFERROR($BC$3&amp;VLOOKUP(F672,'Pay Table'!$M$3:$N$18,2,FALSE)&amp;$BB$3&amp;G672&amp;$BD$3,"")</f>
        <v/>
      </c>
      <c r="BE670" s="1" t="str">
        <f>IFERROR($BC$3&amp;VLOOKUP(H672,'Pay Table'!$M$3:$N$18,2,FALSE)&amp;$BB$3&amp;I672&amp;$BD$3,"")</f>
        <v/>
      </c>
      <c r="BF670" s="27" t="str">
        <f>IFERROR($BC$3&amp;VLOOKUP(J672,'Pay Table'!$M$3:$N$18,2,FALSE)&amp;$BB$3&amp;K672&amp;$BD$3,"")</f>
        <v/>
      </c>
    </row>
    <row r="671" spans="54:58" x14ac:dyDescent="0.15">
      <c r="BB671" s="26" t="str">
        <f>IFERROR($BC$3&amp;VLOOKUP(B673,'Pay Table'!$M$3:$N$18,2,FALSE)&amp;$BB$3&amp;C673&amp;$BD$3,"")</f>
        <v/>
      </c>
      <c r="BC671" s="1" t="str">
        <f>IFERROR($BC$3&amp;VLOOKUP(D673,'Pay Table'!$M$3:$N$18,2,FALSE)&amp;$BB$3&amp;E673&amp;$BD$3,"")</f>
        <v/>
      </c>
      <c r="BD671" s="1" t="str">
        <f>IFERROR($BC$3&amp;VLOOKUP(F673,'Pay Table'!$M$3:$N$18,2,FALSE)&amp;$BB$3&amp;G673&amp;$BD$3,"")</f>
        <v/>
      </c>
      <c r="BE671" s="1" t="str">
        <f>IFERROR($BC$3&amp;VLOOKUP(H673,'Pay Table'!$M$3:$N$18,2,FALSE)&amp;$BB$3&amp;I673&amp;$BD$3,"")</f>
        <v/>
      </c>
      <c r="BF671" s="27" t="str">
        <f>IFERROR($BC$3&amp;VLOOKUP(J673,'Pay Table'!$M$3:$N$18,2,FALSE)&amp;$BB$3&amp;K673&amp;$BD$3,"")</f>
        <v/>
      </c>
    </row>
    <row r="672" spans="54:58" x14ac:dyDescent="0.15">
      <c r="BB672" s="26" t="str">
        <f>IFERROR($BC$3&amp;VLOOKUP(B674,'Pay Table'!$M$3:$N$18,2,FALSE)&amp;$BB$3&amp;C674&amp;$BD$3,"")</f>
        <v/>
      </c>
      <c r="BC672" s="1" t="str">
        <f>IFERROR($BC$3&amp;VLOOKUP(D674,'Pay Table'!$M$3:$N$18,2,FALSE)&amp;$BB$3&amp;E674&amp;$BD$3,"")</f>
        <v/>
      </c>
      <c r="BD672" s="1" t="str">
        <f>IFERROR($BC$3&amp;VLOOKUP(F674,'Pay Table'!$M$3:$N$18,2,FALSE)&amp;$BB$3&amp;G674&amp;$BD$3,"")</f>
        <v/>
      </c>
      <c r="BE672" s="1" t="str">
        <f>IFERROR($BC$3&amp;VLOOKUP(H674,'Pay Table'!$M$3:$N$18,2,FALSE)&amp;$BB$3&amp;I674&amp;$BD$3,"")</f>
        <v/>
      </c>
      <c r="BF672" s="27" t="str">
        <f>IFERROR($BC$3&amp;VLOOKUP(J674,'Pay Table'!$M$3:$N$18,2,FALSE)&amp;$BB$3&amp;K674&amp;$BD$3,"")</f>
        <v/>
      </c>
    </row>
    <row r="673" spans="54:58" x14ac:dyDescent="0.15">
      <c r="BB673" s="26" t="str">
        <f>IFERROR($BC$3&amp;VLOOKUP(B675,'Pay Table'!$M$3:$N$18,2,FALSE)&amp;$BB$3&amp;C675&amp;$BD$3,"")</f>
        <v/>
      </c>
      <c r="BC673" s="1" t="str">
        <f>IFERROR($BC$3&amp;VLOOKUP(D675,'Pay Table'!$M$3:$N$18,2,FALSE)&amp;$BB$3&amp;E675&amp;$BD$3,"")</f>
        <v/>
      </c>
      <c r="BD673" s="1" t="str">
        <f>IFERROR($BC$3&amp;VLOOKUP(F675,'Pay Table'!$M$3:$N$18,2,FALSE)&amp;$BB$3&amp;G675&amp;$BD$3,"")</f>
        <v/>
      </c>
      <c r="BE673" s="1" t="str">
        <f>IFERROR($BC$3&amp;VLOOKUP(H675,'Pay Table'!$M$3:$N$18,2,FALSE)&amp;$BB$3&amp;I675&amp;$BD$3,"")</f>
        <v/>
      </c>
      <c r="BF673" s="27" t="str">
        <f>IFERROR($BC$3&amp;VLOOKUP(J675,'Pay Table'!$M$3:$N$18,2,FALSE)&amp;$BB$3&amp;K675&amp;$BD$3,"")</f>
        <v/>
      </c>
    </row>
    <row r="674" spans="54:58" x14ac:dyDescent="0.15">
      <c r="BB674" s="26" t="str">
        <f>IFERROR($BC$3&amp;VLOOKUP(B676,'Pay Table'!$M$3:$N$18,2,FALSE)&amp;$BB$3&amp;C676&amp;$BD$3,"")</f>
        <v/>
      </c>
      <c r="BC674" s="1" t="str">
        <f>IFERROR($BC$3&amp;VLOOKUP(D676,'Pay Table'!$M$3:$N$18,2,FALSE)&amp;$BB$3&amp;E676&amp;$BD$3,"")</f>
        <v/>
      </c>
      <c r="BD674" s="1" t="str">
        <f>IFERROR($BC$3&amp;VLOOKUP(F676,'Pay Table'!$M$3:$N$18,2,FALSE)&amp;$BB$3&amp;G676&amp;$BD$3,"")</f>
        <v/>
      </c>
      <c r="BE674" s="1" t="str">
        <f>IFERROR($BC$3&amp;VLOOKUP(H676,'Pay Table'!$M$3:$N$18,2,FALSE)&amp;$BB$3&amp;I676&amp;$BD$3,"")</f>
        <v/>
      </c>
      <c r="BF674" s="27" t="str">
        <f>IFERROR($BC$3&amp;VLOOKUP(J676,'Pay Table'!$M$3:$N$18,2,FALSE)&amp;$BB$3&amp;K676&amp;$BD$3,"")</f>
        <v/>
      </c>
    </row>
    <row r="675" spans="54:58" x14ac:dyDescent="0.15">
      <c r="BB675" s="26" t="str">
        <f>IFERROR($BC$3&amp;VLOOKUP(B677,'Pay Table'!$M$3:$N$18,2,FALSE)&amp;$BB$3&amp;C677&amp;$BD$3,"")</f>
        <v/>
      </c>
      <c r="BC675" s="1" t="str">
        <f>IFERROR($BC$3&amp;VLOOKUP(D677,'Pay Table'!$M$3:$N$18,2,FALSE)&amp;$BB$3&amp;E677&amp;$BD$3,"")</f>
        <v/>
      </c>
      <c r="BD675" s="1" t="str">
        <f>IFERROR($BC$3&amp;VLOOKUP(F677,'Pay Table'!$M$3:$N$18,2,FALSE)&amp;$BB$3&amp;G677&amp;$BD$3,"")</f>
        <v/>
      </c>
      <c r="BE675" s="1" t="str">
        <f>IFERROR($BC$3&amp;VLOOKUP(H677,'Pay Table'!$M$3:$N$18,2,FALSE)&amp;$BB$3&amp;I677&amp;$BD$3,"")</f>
        <v/>
      </c>
      <c r="BF675" s="27" t="str">
        <f>IFERROR($BC$3&amp;VLOOKUP(J677,'Pay Table'!$M$3:$N$18,2,FALSE)&amp;$BB$3&amp;K677&amp;$BD$3,"")</f>
        <v/>
      </c>
    </row>
    <row r="676" spans="54:58" x14ac:dyDescent="0.15">
      <c r="BB676" s="26" t="str">
        <f>IFERROR($BC$3&amp;VLOOKUP(B678,'Pay Table'!$M$3:$N$18,2,FALSE)&amp;$BB$3&amp;C678&amp;$BD$3,"")</f>
        <v/>
      </c>
      <c r="BC676" s="1" t="str">
        <f>IFERROR($BC$3&amp;VLOOKUP(D678,'Pay Table'!$M$3:$N$18,2,FALSE)&amp;$BB$3&amp;E678&amp;$BD$3,"")</f>
        <v/>
      </c>
      <c r="BD676" s="1" t="str">
        <f>IFERROR($BC$3&amp;VLOOKUP(F678,'Pay Table'!$M$3:$N$18,2,FALSE)&amp;$BB$3&amp;G678&amp;$BD$3,"")</f>
        <v/>
      </c>
      <c r="BE676" s="1" t="str">
        <f>IFERROR($BC$3&amp;VLOOKUP(H678,'Pay Table'!$M$3:$N$18,2,FALSE)&amp;$BB$3&amp;I678&amp;$BD$3,"")</f>
        <v/>
      </c>
      <c r="BF676" s="27" t="str">
        <f>IFERROR($BC$3&amp;VLOOKUP(J678,'Pay Table'!$M$3:$N$18,2,FALSE)&amp;$BB$3&amp;K678&amp;$BD$3,"")</f>
        <v/>
      </c>
    </row>
    <row r="677" spans="54:58" x14ac:dyDescent="0.15">
      <c r="BB677" s="26" t="str">
        <f>IFERROR($BC$3&amp;VLOOKUP(B679,'Pay Table'!$M$3:$N$18,2,FALSE)&amp;$BB$3&amp;C679&amp;$BD$3,"")</f>
        <v/>
      </c>
      <c r="BC677" s="1" t="str">
        <f>IFERROR($BC$3&amp;VLOOKUP(D679,'Pay Table'!$M$3:$N$18,2,FALSE)&amp;$BB$3&amp;E679&amp;$BD$3,"")</f>
        <v/>
      </c>
      <c r="BD677" s="1" t="str">
        <f>IFERROR($BC$3&amp;VLOOKUP(F679,'Pay Table'!$M$3:$N$18,2,FALSE)&amp;$BB$3&amp;G679&amp;$BD$3,"")</f>
        <v/>
      </c>
      <c r="BE677" s="1" t="str">
        <f>IFERROR($BC$3&amp;VLOOKUP(H679,'Pay Table'!$M$3:$N$18,2,FALSE)&amp;$BB$3&amp;I679&amp;$BD$3,"")</f>
        <v/>
      </c>
      <c r="BF677" s="27" t="str">
        <f>IFERROR($BC$3&amp;VLOOKUP(J679,'Pay Table'!$M$3:$N$18,2,FALSE)&amp;$BB$3&amp;K679&amp;$BD$3,"")</f>
        <v/>
      </c>
    </row>
    <row r="678" spans="54:58" x14ac:dyDescent="0.15">
      <c r="BB678" s="26" t="str">
        <f>IFERROR($BC$3&amp;VLOOKUP(B680,'Pay Table'!$M$3:$N$18,2,FALSE)&amp;$BB$3&amp;C680&amp;$BD$3,"")</f>
        <v/>
      </c>
      <c r="BC678" s="1" t="str">
        <f>IFERROR($BC$3&amp;VLOOKUP(D680,'Pay Table'!$M$3:$N$18,2,FALSE)&amp;$BB$3&amp;E680&amp;$BD$3,"")</f>
        <v/>
      </c>
      <c r="BD678" s="1" t="str">
        <f>IFERROR($BC$3&amp;VLOOKUP(F680,'Pay Table'!$M$3:$N$18,2,FALSE)&amp;$BB$3&amp;G680&amp;$BD$3,"")</f>
        <v/>
      </c>
      <c r="BE678" s="1" t="str">
        <f>IFERROR($BC$3&amp;VLOOKUP(H680,'Pay Table'!$M$3:$N$18,2,FALSE)&amp;$BB$3&amp;I680&amp;$BD$3,"")</f>
        <v/>
      </c>
      <c r="BF678" s="27" t="str">
        <f>IFERROR($BC$3&amp;VLOOKUP(J680,'Pay Table'!$M$3:$N$18,2,FALSE)&amp;$BB$3&amp;K680&amp;$BD$3,"")</f>
        <v/>
      </c>
    </row>
    <row r="679" spans="54:58" x14ac:dyDescent="0.15">
      <c r="BB679" s="26" t="str">
        <f>IFERROR($BC$3&amp;VLOOKUP(B681,'Pay Table'!$M$3:$N$18,2,FALSE)&amp;$BB$3&amp;C681&amp;$BD$3,"")</f>
        <v/>
      </c>
      <c r="BC679" s="1" t="str">
        <f>IFERROR($BC$3&amp;VLOOKUP(D681,'Pay Table'!$M$3:$N$18,2,FALSE)&amp;$BB$3&amp;E681&amp;$BD$3,"")</f>
        <v/>
      </c>
      <c r="BD679" s="1" t="str">
        <f>IFERROR($BC$3&amp;VLOOKUP(F681,'Pay Table'!$M$3:$N$18,2,FALSE)&amp;$BB$3&amp;G681&amp;$BD$3,"")</f>
        <v/>
      </c>
      <c r="BE679" s="1" t="str">
        <f>IFERROR($BC$3&amp;VLOOKUP(H681,'Pay Table'!$M$3:$N$18,2,FALSE)&amp;$BB$3&amp;I681&amp;$BD$3,"")</f>
        <v/>
      </c>
      <c r="BF679" s="27" t="str">
        <f>IFERROR($BC$3&amp;VLOOKUP(J681,'Pay Table'!$M$3:$N$18,2,FALSE)&amp;$BB$3&amp;K681&amp;$BD$3,"")</f>
        <v/>
      </c>
    </row>
    <row r="680" spans="54:58" x14ac:dyDescent="0.15">
      <c r="BB680" s="26" t="str">
        <f>IFERROR($BC$3&amp;VLOOKUP(B682,'Pay Table'!$M$3:$N$18,2,FALSE)&amp;$BB$3&amp;C682&amp;$BD$3,"")</f>
        <v/>
      </c>
      <c r="BC680" s="1" t="str">
        <f>IFERROR($BC$3&amp;VLOOKUP(D682,'Pay Table'!$M$3:$N$18,2,FALSE)&amp;$BB$3&amp;E682&amp;$BD$3,"")</f>
        <v/>
      </c>
      <c r="BD680" s="1" t="str">
        <f>IFERROR($BC$3&amp;VLOOKUP(F682,'Pay Table'!$M$3:$N$18,2,FALSE)&amp;$BB$3&amp;G682&amp;$BD$3,"")</f>
        <v/>
      </c>
      <c r="BE680" s="1" t="str">
        <f>IFERROR($BC$3&amp;VLOOKUP(H682,'Pay Table'!$M$3:$N$18,2,FALSE)&amp;$BB$3&amp;I682&amp;$BD$3,"")</f>
        <v/>
      </c>
      <c r="BF680" s="27" t="str">
        <f>IFERROR($BC$3&amp;VLOOKUP(J682,'Pay Table'!$M$3:$N$18,2,FALSE)&amp;$BB$3&amp;K682&amp;$BD$3,"")</f>
        <v/>
      </c>
    </row>
    <row r="681" spans="54:58" x14ac:dyDescent="0.15">
      <c r="BB681" s="26" t="str">
        <f>IFERROR($BC$3&amp;VLOOKUP(B683,'Pay Table'!$M$3:$N$18,2,FALSE)&amp;$BB$3&amp;C683&amp;$BD$3,"")</f>
        <v/>
      </c>
      <c r="BC681" s="1" t="str">
        <f>IFERROR($BC$3&amp;VLOOKUP(D683,'Pay Table'!$M$3:$N$18,2,FALSE)&amp;$BB$3&amp;E683&amp;$BD$3,"")</f>
        <v/>
      </c>
      <c r="BD681" s="1" t="str">
        <f>IFERROR($BC$3&amp;VLOOKUP(F683,'Pay Table'!$M$3:$N$18,2,FALSE)&amp;$BB$3&amp;G683&amp;$BD$3,"")</f>
        <v/>
      </c>
      <c r="BE681" s="1" t="str">
        <f>IFERROR($BC$3&amp;VLOOKUP(H683,'Pay Table'!$M$3:$N$18,2,FALSE)&amp;$BB$3&amp;I683&amp;$BD$3,"")</f>
        <v/>
      </c>
      <c r="BF681" s="27" t="str">
        <f>IFERROR($BC$3&amp;VLOOKUP(J683,'Pay Table'!$M$3:$N$18,2,FALSE)&amp;$BB$3&amp;K683&amp;$BD$3,"")</f>
        <v/>
      </c>
    </row>
    <row r="682" spans="54:58" x14ac:dyDescent="0.15">
      <c r="BB682" s="26" t="str">
        <f>IFERROR($BC$3&amp;VLOOKUP(B684,'Pay Table'!$M$3:$N$18,2,FALSE)&amp;$BB$3&amp;C684&amp;$BD$3,"")</f>
        <v/>
      </c>
      <c r="BC682" s="1" t="str">
        <f>IFERROR($BC$3&amp;VLOOKUP(D684,'Pay Table'!$M$3:$N$18,2,FALSE)&amp;$BB$3&amp;E684&amp;$BD$3,"")</f>
        <v/>
      </c>
      <c r="BD682" s="1" t="str">
        <f>IFERROR($BC$3&amp;VLOOKUP(F684,'Pay Table'!$M$3:$N$18,2,FALSE)&amp;$BB$3&amp;G684&amp;$BD$3,"")</f>
        <v/>
      </c>
      <c r="BE682" s="1" t="str">
        <f>IFERROR($BC$3&amp;VLOOKUP(H684,'Pay Table'!$M$3:$N$18,2,FALSE)&amp;$BB$3&amp;I684&amp;$BD$3,"")</f>
        <v/>
      </c>
      <c r="BF682" s="27" t="str">
        <f>IFERROR($BC$3&amp;VLOOKUP(J684,'Pay Table'!$M$3:$N$18,2,FALSE)&amp;$BB$3&amp;K684&amp;$BD$3,"")</f>
        <v/>
      </c>
    </row>
    <row r="683" spans="54:58" x14ac:dyDescent="0.15">
      <c r="BB683" s="26" t="str">
        <f>IFERROR($BC$3&amp;VLOOKUP(B685,'Pay Table'!$M$3:$N$18,2,FALSE)&amp;$BB$3&amp;C685&amp;$BD$3,"")</f>
        <v/>
      </c>
      <c r="BC683" s="1" t="str">
        <f>IFERROR($BC$3&amp;VLOOKUP(D685,'Pay Table'!$M$3:$N$18,2,FALSE)&amp;$BB$3&amp;E685&amp;$BD$3,"")</f>
        <v/>
      </c>
      <c r="BD683" s="1" t="str">
        <f>IFERROR($BC$3&amp;VLOOKUP(F685,'Pay Table'!$M$3:$N$18,2,FALSE)&amp;$BB$3&amp;G685&amp;$BD$3,"")</f>
        <v/>
      </c>
      <c r="BE683" s="1" t="str">
        <f>IFERROR($BC$3&amp;VLOOKUP(H685,'Pay Table'!$M$3:$N$18,2,FALSE)&amp;$BB$3&amp;I685&amp;$BD$3,"")</f>
        <v/>
      </c>
      <c r="BF683" s="27" t="str">
        <f>IFERROR($BC$3&amp;VLOOKUP(J685,'Pay Table'!$M$3:$N$18,2,FALSE)&amp;$BB$3&amp;K685&amp;$BD$3,"")</f>
        <v/>
      </c>
    </row>
    <row r="684" spans="54:58" ht="15.75" thickBot="1" x14ac:dyDescent="0.2">
      <c r="BB684" s="29" t="str">
        <f>IFERROR($BC$3&amp;VLOOKUP(B686,'Pay Table'!$M$3:$N$18,2,FALSE)&amp;$BB$3&amp;C686&amp;$BD$3,"")</f>
        <v/>
      </c>
      <c r="BC684" s="34" t="str">
        <f>IFERROR($BC$3&amp;VLOOKUP(D686,'Pay Table'!$M$3:$N$18,2,FALSE)&amp;$BB$3&amp;E686&amp;$BD$3,"")</f>
        <v/>
      </c>
      <c r="BD684" s="34" t="str">
        <f>IFERROR($BC$3&amp;VLOOKUP(F686,'Pay Table'!$M$3:$N$18,2,FALSE)&amp;$BB$3&amp;G686&amp;$BD$3,"")</f>
        <v/>
      </c>
      <c r="BE684" s="34" t="str">
        <f>IFERROR($BC$3&amp;VLOOKUP(H686,'Pay Table'!$M$3:$N$18,2,FALSE)&amp;$BB$3&amp;I686&amp;$BD$3,"")</f>
        <v/>
      </c>
      <c r="BF684" s="28" t="str">
        <f>IFERROR($BC$3&amp;VLOOKUP(J686,'Pay Table'!$M$3:$N$18,2,FALSE)&amp;$BB$3&amp;K686&amp;$BD$3,"")</f>
        <v/>
      </c>
    </row>
  </sheetData>
  <phoneticPr fontId="8" type="noConversion"/>
  <conditionalFormatting sqref="A1:K5 A6:A123 A124:K1048576">
    <cfRule type="cellIs" dxfId="397" priority="17" operator="equal">
      <formula>"LINK"</formula>
    </cfRule>
  </conditionalFormatting>
  <conditionalFormatting sqref="A2:K5 A6:A223">
    <cfRule type="cellIs" dxfId="396" priority="125" operator="equal">
      <formula>"NONE"</formula>
    </cfRule>
  </conditionalFormatting>
  <conditionalFormatting sqref="A3:K5 A6:A50">
    <cfRule type="cellIs" dxfId="395" priority="124" operator="equal">
      <formula>"COIN"</formula>
    </cfRule>
  </conditionalFormatting>
  <conditionalFormatting sqref="B1:D1048576">
    <cfRule type="cellIs" dxfId="394" priority="8" operator="equal">
      <formula>"M3"</formula>
    </cfRule>
  </conditionalFormatting>
  <conditionalFormatting sqref="B128:F137">
    <cfRule type="cellIs" dxfId="393" priority="88" operator="equal">
      <formula>"pear"</formula>
    </cfRule>
  </conditionalFormatting>
  <conditionalFormatting sqref="B141:J207">
    <cfRule type="cellIs" dxfId="392" priority="93" operator="equal">
      <formula>"link"</formula>
    </cfRule>
    <cfRule type="cellIs" dxfId="391" priority="94" operator="equal">
      <formula>"scatter"</formula>
    </cfRule>
    <cfRule type="cellIs" dxfId="390" priority="95" operator="equal">
      <formula>"scatter"</formula>
    </cfRule>
    <cfRule type="cellIs" dxfId="389" priority="96" operator="equal">
      <formula>"wild"</formula>
    </cfRule>
  </conditionalFormatting>
  <conditionalFormatting sqref="B1:K1048576">
    <cfRule type="cellIs" dxfId="388" priority="9" operator="equal">
      <formula>"SCATTER"</formula>
    </cfRule>
    <cfRule type="cellIs" dxfId="387" priority="10" operator="equal">
      <formula>"WILD"</formula>
    </cfRule>
    <cfRule type="cellIs" dxfId="386" priority="11" operator="equal">
      <formula>"LINK"</formula>
    </cfRule>
    <cfRule type="cellIs" dxfId="385" priority="12" operator="equal">
      <formula>"M2"</formula>
    </cfRule>
    <cfRule type="cellIs" dxfId="384" priority="13" operator="equal">
      <formula>"M1"</formula>
    </cfRule>
  </conditionalFormatting>
  <conditionalFormatting sqref="B2:K3 K4:K5">
    <cfRule type="cellIs" dxfId="383" priority="126" operator="equal">
      <formula>"WILD"</formula>
    </cfRule>
  </conditionalFormatting>
  <conditionalFormatting sqref="B2:K5 B124:K1048576">
    <cfRule type="cellIs" dxfId="382" priority="75" operator="equal">
      <formula>"LINK"</formula>
    </cfRule>
    <cfRule type="cellIs" dxfId="381" priority="77" operator="equal">
      <formula>"SCATTER"</formula>
    </cfRule>
  </conditionalFormatting>
  <conditionalFormatting sqref="B2:K5 B128:K1048576">
    <cfRule type="cellIs" dxfId="380" priority="78" operator="equal">
      <formula>"link"</formula>
    </cfRule>
    <cfRule type="cellIs" dxfId="379" priority="79" operator="equal">
      <formula>"scatter"</formula>
    </cfRule>
    <cfRule type="cellIs" dxfId="378" priority="80" operator="equal">
      <formula>"wild"</formula>
    </cfRule>
    <cfRule type="cellIs" dxfId="377" priority="81" operator="equal">
      <formula>"scatter"</formula>
    </cfRule>
  </conditionalFormatting>
  <conditionalFormatting sqref="B124:K132">
    <cfRule type="cellIs" dxfId="376" priority="74" operator="equal">
      <formula>"MAGIC"</formula>
    </cfRule>
  </conditionalFormatting>
  <conditionalFormatting sqref="B128:K141">
    <cfRule type="cellIs" dxfId="375" priority="84" operator="equal">
      <formula>"SCATTER"</formula>
    </cfRule>
  </conditionalFormatting>
  <conditionalFormatting sqref="B128:K221">
    <cfRule type="cellIs" dxfId="374" priority="83" operator="equal">
      <formula>"WILD"</formula>
    </cfRule>
  </conditionalFormatting>
  <conditionalFormatting sqref="B128:K1048576 B2:K5">
    <cfRule type="cellIs" dxfId="373" priority="82" operator="equal">
      <formula>"MAGIC"</formula>
    </cfRule>
  </conditionalFormatting>
  <conditionalFormatting sqref="B138:K140">
    <cfRule type="cellIs" dxfId="372" priority="92" operator="equal">
      <formula>"pear"</formula>
    </cfRule>
  </conditionalFormatting>
  <conditionalFormatting sqref="B208:K210">
    <cfRule type="cellIs" dxfId="371" priority="121" operator="equal">
      <formula>"SCATTER"</formula>
    </cfRule>
  </conditionalFormatting>
  <conditionalFormatting sqref="B208:K221">
    <cfRule type="cellIs" dxfId="370" priority="117" operator="equal">
      <formula>"WILD"</formula>
    </cfRule>
    <cfRule type="cellIs" dxfId="369" priority="118" operator="equal">
      <formula>"SCATTER"</formula>
    </cfRule>
    <cfRule type="cellIs" dxfId="368" priority="119" operator="equal">
      <formula>"LINK_2"</formula>
    </cfRule>
    <cfRule type="cellIs" dxfId="367" priority="120" operator="equal">
      <formula>"LINK_1"</formula>
    </cfRule>
  </conditionalFormatting>
  <conditionalFormatting sqref="B208:K1048576">
    <cfRule type="cellIs" dxfId="366" priority="122" operator="equal">
      <formula>"WILD"</formula>
    </cfRule>
  </conditionalFormatting>
  <conditionalFormatting sqref="B220:K223">
    <cfRule type="cellIs" dxfId="365" priority="123" operator="equal">
      <formula>"NONE"</formula>
    </cfRule>
  </conditionalFormatting>
  <conditionalFormatting sqref="F128:K140">
    <cfRule type="cellIs" dxfId="364" priority="89" operator="equal">
      <formula>"MIGHTCASH"</formula>
    </cfRule>
  </conditionalFormatting>
  <conditionalFormatting sqref="G128:G140">
    <cfRule type="cellIs" dxfId="363" priority="87" operator="equal">
      <formula>"pear"</formula>
    </cfRule>
  </conditionalFormatting>
  <conditionalFormatting sqref="H128:H137">
    <cfRule type="cellIs" dxfId="362" priority="91" operator="equal">
      <formula>"pear"</formula>
    </cfRule>
  </conditionalFormatting>
  <conditionalFormatting sqref="I128:I140">
    <cfRule type="cellIs" dxfId="361" priority="86" operator="equal">
      <formula>"pear"</formula>
    </cfRule>
  </conditionalFormatting>
  <conditionalFormatting sqref="J128:J137">
    <cfRule type="cellIs" dxfId="360" priority="90" operator="equal">
      <formula>"pear"</formula>
    </cfRule>
  </conditionalFormatting>
  <conditionalFormatting sqref="K128:K140">
    <cfRule type="cellIs" dxfId="359" priority="85" operator="equal">
      <formula>"pear"</formula>
    </cfRule>
  </conditionalFormatting>
  <conditionalFormatting sqref="K141:K165">
    <cfRule type="cellIs" dxfId="358" priority="97" operator="equal">
      <formula>"LINK"</formula>
    </cfRule>
    <cfRule type="cellIs" dxfId="357" priority="102" operator="equal">
      <formula>"BONUS"</formula>
    </cfRule>
  </conditionalFormatting>
  <conditionalFormatting sqref="K141:K170">
    <cfRule type="cellIs" dxfId="356" priority="104" operator="equal">
      <formula>"BONUS"</formula>
    </cfRule>
    <cfRule type="cellIs" dxfId="355" priority="105" operator="equal">
      <formula>"LINK"</formula>
    </cfRule>
    <cfRule type="cellIs" dxfId="354" priority="106" operator="equal">
      <formula>"S2"</formula>
    </cfRule>
    <cfRule type="cellIs" dxfId="353" priority="107" operator="equal">
      <formula>"S1"</formula>
    </cfRule>
    <cfRule type="cellIs" dxfId="352" priority="108" operator="equal">
      <formula>"MYSTIC"</formula>
    </cfRule>
    <cfRule type="cellIs" dxfId="351" priority="109" operator="equal">
      <formula>"s2"</formula>
    </cfRule>
    <cfRule type="cellIs" dxfId="350" priority="110" operator="equal">
      <formula>"s1"</formula>
    </cfRule>
    <cfRule type="cellIs" dxfId="349" priority="111" operator="equal">
      <formula>"m1"</formula>
    </cfRule>
    <cfRule type="cellIs" dxfId="348" priority="112" operator="equal">
      <formula>"scatter"</formula>
    </cfRule>
    <cfRule type="cellIs" dxfId="347" priority="113" operator="equal">
      <formula>"M"</formula>
    </cfRule>
    <cfRule type="cellIs" dxfId="346" priority="114" operator="equal">
      <formula>"wild"</formula>
    </cfRule>
    <cfRule type="cellIs" dxfId="345" priority="115" operator="equal">
      <formula>"link"</formula>
    </cfRule>
  </conditionalFormatting>
  <conditionalFormatting sqref="K141:K207">
    <cfRule type="cellIs" dxfId="344" priority="98" operator="equal">
      <formula>"WILD"</formula>
    </cfRule>
    <cfRule type="cellIs" dxfId="343" priority="99" operator="equal">
      <formula>"SCATTER"</formula>
    </cfRule>
    <cfRule type="cellIs" dxfId="342" priority="100" operator="equal">
      <formula>"LINK_2"</formula>
    </cfRule>
    <cfRule type="cellIs" dxfId="341" priority="101" operator="equal">
      <formula>"LINK_1"</formula>
    </cfRule>
    <cfRule type="cellIs" dxfId="340" priority="103" operator="equal">
      <formula>"WILD"</formula>
    </cfRule>
    <cfRule type="cellIs" dxfId="339" priority="116" operator="equal">
      <formula>"SCATTER"</formula>
    </cfRule>
  </conditionalFormatting>
  <conditionalFormatting sqref="L4:L16">
    <cfRule type="cellIs" dxfId="338" priority="127" operator="equal">
      <formula>$L$8</formula>
    </cfRule>
    <cfRule type="cellIs" dxfId="337" priority="128" operator="equal">
      <formula>$L$7</formula>
    </cfRule>
    <cfRule type="cellIs" dxfId="336" priority="129" operator="equal">
      <formula>$L$6</formula>
    </cfRule>
    <cfRule type="cellIs" dxfId="335" priority="130" operator="equal">
      <formula>$L$5</formula>
    </cfRule>
    <cfRule type="cellIs" dxfId="334" priority="131" operator="equal">
      <formula>$L$4</formula>
    </cfRule>
  </conditionalFormatting>
  <conditionalFormatting sqref="BB3:BF3 BB4:BE4 BB5:BF99 BC100:BF142 BB100:BB152">
    <cfRule type="cellIs" dxfId="333" priority="132" operator="equal">
      <formula>#REF!</formula>
    </cfRule>
    <cfRule type="cellIs" dxfId="332" priority="133" operator="equal">
      <formula>#REF!</formula>
    </cfRule>
    <cfRule type="cellIs" dxfId="331" priority="134" operator="equal">
      <formula>#REF!</formula>
    </cfRule>
    <cfRule type="cellIs" dxfId="330" priority="135" operator="equal">
      <formula>#REF!</formula>
    </cfRule>
    <cfRule type="cellIs" dxfId="329" priority="136" operator="equal">
      <formula>#REF!</formula>
    </cfRule>
  </conditionalFormatting>
  <conditionalFormatting sqref="K8:K10">
    <cfRule type="cellIs" dxfId="323" priority="7" operator="equal">
      <formula>"M3"</formula>
    </cfRule>
  </conditionalFormatting>
  <conditionalFormatting sqref="E40:E42">
    <cfRule type="cellIs" dxfId="322" priority="6" operator="equal">
      <formula>"M3"</formula>
    </cfRule>
  </conditionalFormatting>
  <conditionalFormatting sqref="G59:G61">
    <cfRule type="cellIs" dxfId="321" priority="5" operator="equal">
      <formula>"M3"</formula>
    </cfRule>
  </conditionalFormatting>
  <conditionalFormatting sqref="I57:I59">
    <cfRule type="cellIs" dxfId="320" priority="4" operator="equal">
      <formula>"M3"</formula>
    </cfRule>
  </conditionalFormatting>
  <conditionalFormatting sqref="G38">
    <cfRule type="cellIs" dxfId="315" priority="3" operator="equal">
      <formula>"M3"</formula>
    </cfRule>
  </conditionalFormatting>
  <conditionalFormatting sqref="I43">
    <cfRule type="cellIs" dxfId="314" priority="2" operator="equal">
      <formula>"M3"</formula>
    </cfRule>
  </conditionalFormatting>
  <conditionalFormatting sqref="K26">
    <cfRule type="cellIs" dxfId="313" priority="1" operator="equal">
      <formula>"M3"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683"/>
  <sheetViews>
    <sheetView zoomScale="85" zoomScaleNormal="85" workbookViewId="0">
      <selection activeCell="Q119" sqref="Q119"/>
    </sheetView>
  </sheetViews>
  <sheetFormatPr defaultColWidth="9" defaultRowHeight="15" x14ac:dyDescent="0.15"/>
  <cols>
    <col min="1" max="1" width="9.125" style="1" customWidth="1"/>
    <col min="2" max="3" width="13.125" style="10" customWidth="1"/>
    <col min="4" max="5" width="12.5" style="10" customWidth="1"/>
    <col min="6" max="7" width="12" style="10" customWidth="1"/>
    <col min="8" max="9" width="12.125" style="10" customWidth="1"/>
    <col min="10" max="10" width="12.5" style="10" customWidth="1"/>
    <col min="11" max="11" width="8.875" style="10" customWidth="1"/>
    <col min="12" max="13" width="9" style="1"/>
    <col min="14" max="14" width="28.875" style="1" bestFit="1" customWidth="1"/>
    <col min="15" max="48" width="11.625" style="1" customWidth="1"/>
    <col min="49" max="16384" width="9" style="1"/>
  </cols>
  <sheetData>
    <row r="1" spans="1:64" ht="17.100000000000001" customHeight="1" x14ac:dyDescent="0.15">
      <c r="A1" s="30" t="s">
        <v>5</v>
      </c>
    </row>
    <row r="2" spans="1:64" ht="17.100000000000001" customHeight="1" thickBot="1" x14ac:dyDescent="0.3">
      <c r="A2" s="30"/>
      <c r="B2" s="11" t="s">
        <v>6</v>
      </c>
      <c r="C2" s="11"/>
      <c r="D2" s="11" t="s">
        <v>7</v>
      </c>
      <c r="E2" s="11"/>
      <c r="F2" s="11" t="s">
        <v>8</v>
      </c>
      <c r="G2" s="11"/>
      <c r="H2" s="11" t="s">
        <v>9</v>
      </c>
      <c r="I2" s="11"/>
      <c r="J2" s="11" t="s">
        <v>10</v>
      </c>
      <c r="N2" s="17" t="s">
        <v>70</v>
      </c>
      <c r="O2" s="18">
        <v>3</v>
      </c>
      <c r="P2" s="18">
        <v>3</v>
      </c>
      <c r="Q2" s="18">
        <v>3</v>
      </c>
      <c r="R2" s="18">
        <v>3</v>
      </c>
      <c r="S2" s="36">
        <v>3</v>
      </c>
      <c r="BB2" s="50" t="s">
        <v>57</v>
      </c>
      <c r="BC2" s="50" t="s">
        <v>53</v>
      </c>
      <c r="BD2" s="50" t="s">
        <v>52</v>
      </c>
      <c r="BE2" s="50"/>
      <c r="BF2" s="54"/>
    </row>
    <row r="3" spans="1:64" ht="17.100000000000001" customHeight="1" x14ac:dyDescent="0.15">
      <c r="A3" s="30"/>
      <c r="B3" s="279" t="str">
        <f>LOOKUP(COUNTA(B$5:B$290)-1,$A$5:$A$290,B$5:B$290)</f>
        <v>K</v>
      </c>
      <c r="C3" s="280">
        <f t="shared" ref="C3:K3" si="0">LOOKUP(COUNTA(C$5:C$290)-1,$A$5:$A$290,C$5:C$290)</f>
        <v>100</v>
      </c>
      <c r="D3" s="280" t="str">
        <f t="shared" si="0"/>
        <v>K</v>
      </c>
      <c r="E3" s="280">
        <f t="shared" si="0"/>
        <v>100</v>
      </c>
      <c r="F3" s="280" t="str">
        <f t="shared" si="0"/>
        <v>LINK</v>
      </c>
      <c r="G3" s="280">
        <f t="shared" si="0"/>
        <v>25</v>
      </c>
      <c r="H3" s="280" t="str">
        <f t="shared" si="0"/>
        <v>M2</v>
      </c>
      <c r="I3" s="280">
        <f t="shared" si="0"/>
        <v>100</v>
      </c>
      <c r="J3" s="280" t="str">
        <f t="shared" si="0"/>
        <v>M2</v>
      </c>
      <c r="K3" s="281">
        <f t="shared" si="0"/>
        <v>100</v>
      </c>
      <c r="L3" s="31"/>
      <c r="BB3" s="57" t="str">
        <f>IFERROR($BC$2&amp;VLOOKUP(B5,'Pay Table'!$M$3:$N$18,2,FALSE)&amp;$BB$2&amp;C5&amp;$BD$2,"")</f>
        <v>[1,100]</v>
      </c>
      <c r="BC3" s="58" t="str">
        <f>IFERROR($BC$2&amp;VLOOKUP(D5,'Pay Table'!$M$3:$N$18,2,FALSE)&amp;$BB$2&amp;E5&amp;$BD$2,"")</f>
        <v>[3,100]</v>
      </c>
      <c r="BD3" s="58" t="str">
        <f>IFERROR($BC$2&amp;VLOOKUP(F5,'Pay Table'!$M$3:$N$18,2,FALSE)&amp;$BB$2&amp;G5&amp;$BD$2,"")</f>
        <v>[4,100]</v>
      </c>
      <c r="BE3" s="33" t="str">
        <f>IFERROR($BC$2&amp;VLOOKUP(H5,'Pay Table'!$M$3:$N$18,2,FALSE)&amp;$BB$2&amp;I5&amp;$BD$2,"")</f>
        <v>[6,100]</v>
      </c>
      <c r="BF3" s="25" t="str">
        <f>IFERROR($BC$2&amp;VLOOKUP(J5,'Pay Table'!$M$3:$N$18,2,FALSE)&amp;$BB$2&amp;K5&amp;$BD$2,"")</f>
        <v>[1,100]</v>
      </c>
      <c r="BG3" s="1" t="str">
        <f>IFERROR($BC$2&amp;VLOOKUP(G5,'Pay Table'!$M$3:$N$18,2,FALSE)&amp;$BB$2&amp;H5&amp;$BD$2,"")</f>
        <v/>
      </c>
      <c r="BI3" s="1" t="str">
        <f>IFERROR($BC$2&amp;VLOOKUP(I5,'Pay Table'!$M$3:$N$18,2,FALSE)&amp;$BB$2&amp;J5&amp;$BD$2,"")</f>
        <v/>
      </c>
      <c r="BK3" s="1" t="str">
        <f>IFERROR($BC$2&amp;VLOOKUP(K5,'Pay Table'!$M$3:$N$18,2,FALSE)&amp;$BB$2&amp;L5&amp;$BD$2,"")</f>
        <v/>
      </c>
      <c r="BL3" s="1" t="str">
        <f>IFERROR($BC$2&amp;VLOOKUP(L5,'Pay Table'!$M$3:$N$18,2,FALSE)&amp;$BB$2&amp;M5&amp;$BD$2,"")</f>
        <v/>
      </c>
    </row>
    <row r="4" spans="1:64" ht="17.100000000000001" customHeight="1" thickBot="1" x14ac:dyDescent="0.2">
      <c r="A4" s="30"/>
      <c r="B4" s="35" t="str">
        <f>LOOKUP(COUNTA(B$5:B$290),$A$5:$A$290,B$5:B$290)</f>
        <v>M4</v>
      </c>
      <c r="C4" s="41">
        <f t="shared" ref="C4:K4" si="1">LOOKUP(COUNTA(C$5:C$290),$A$5:$A$290,C$5:C$290)</f>
        <v>100</v>
      </c>
      <c r="D4" s="41" t="str">
        <f t="shared" si="1"/>
        <v>M4</v>
      </c>
      <c r="E4" s="41">
        <f t="shared" si="1"/>
        <v>100</v>
      </c>
      <c r="F4" s="41" t="str">
        <f t="shared" si="1"/>
        <v>Q</v>
      </c>
      <c r="G4" s="41">
        <f t="shared" si="1"/>
        <v>100</v>
      </c>
      <c r="H4" s="41" t="str">
        <f t="shared" si="1"/>
        <v>M2</v>
      </c>
      <c r="I4" s="41">
        <f t="shared" si="1"/>
        <v>100</v>
      </c>
      <c r="J4" s="41" t="str">
        <f t="shared" si="1"/>
        <v>M2</v>
      </c>
      <c r="K4" s="42">
        <f t="shared" si="1"/>
        <v>100</v>
      </c>
      <c r="L4" s="31"/>
      <c r="N4" s="17"/>
      <c r="O4" s="18">
        <v>1</v>
      </c>
      <c r="P4" s="18">
        <v>2</v>
      </c>
      <c r="Q4" s="18">
        <v>3</v>
      </c>
      <c r="R4" s="18">
        <v>4</v>
      </c>
      <c r="S4" s="36">
        <v>5</v>
      </c>
      <c r="BB4" s="59" t="str">
        <f>IFERROR($BC$2&amp;VLOOKUP(B6,'Pay Table'!$M$3:$N$18,2,FALSE)&amp;$BB$2&amp;C6&amp;$BD$2,"")</f>
        <v>[3,100]</v>
      </c>
      <c r="BC4" s="49" t="str">
        <f>IFERROR($BC$2&amp;VLOOKUP(D6,'Pay Table'!$M$3:$N$18,2,FALSE)&amp;$BB$2&amp;E6&amp;$BD$2,"")</f>
        <v>[0,100]</v>
      </c>
      <c r="BD4" s="49" t="str">
        <f>IFERROR($BC$2&amp;VLOOKUP(F6,'Pay Table'!$M$3:$N$18,2,FALSE)&amp;$BB$2&amp;G6&amp;$BD$2,"")</f>
        <v>[92,100]</v>
      </c>
      <c r="BE4" s="49" t="str">
        <f>IFERROR($BC$2&amp;VLOOKUP(H6,'Pay Table'!$M$3:$N$18,2,FALSE)&amp;$BB$2&amp;I6&amp;$BD$2,"")</f>
        <v>[0,100]</v>
      </c>
      <c r="BF4" s="60" t="str">
        <f>IFERROR($BC$2&amp;VLOOKUP(J6,'Pay Table'!$M$3:$N$18,2,FALSE)&amp;$BB$2&amp;K6&amp;$BD$2,"")</f>
        <v>[6,100]</v>
      </c>
    </row>
    <row r="5" spans="1:64" ht="17.100000000000001" customHeight="1" x14ac:dyDescent="0.15">
      <c r="A5" s="30">
        <v>1</v>
      </c>
      <c r="B5" s="45" t="s">
        <v>152</v>
      </c>
      <c r="C5" s="45">
        <v>100</v>
      </c>
      <c r="D5" s="45" t="s">
        <v>172</v>
      </c>
      <c r="E5" s="45">
        <v>100</v>
      </c>
      <c r="F5" s="45" t="s">
        <v>128</v>
      </c>
      <c r="G5" s="45">
        <v>100</v>
      </c>
      <c r="H5" s="45" t="s">
        <v>121</v>
      </c>
      <c r="I5" s="10">
        <v>100</v>
      </c>
      <c r="J5" s="45" t="s">
        <v>152</v>
      </c>
      <c r="K5" s="45">
        <v>100</v>
      </c>
      <c r="N5" s="4" t="str">
        <f>'Pay Table'!B17</f>
        <v>LINK</v>
      </c>
      <c r="O5" s="260">
        <f t="array" ref="O5">SUM(IF(B$5:B$288=$N5,1,0)*(C$5:C$288+C$4:C$287+C$3:C$286)/O$2)</f>
        <v>145</v>
      </c>
      <c r="P5" s="261">
        <f t="array" ref="P5">SUM(IF(D$5:D$288=$N5,1,0)*(E$5:E$288+E$4:E$287+E$3:E$286)/P$2)</f>
        <v>145</v>
      </c>
      <c r="Q5" s="261">
        <f t="array" ref="Q5">SUM(IF(F$5:F$288=$N5,1,0)*(G$5:G$288+G$4:G$287+G$3:G$286)/Q$2)</f>
        <v>140</v>
      </c>
      <c r="R5" s="261">
        <f t="array" ref="R5">SUM(IF(H$5:H$288=$N5,1,0)*(I$5:I$288+I$4:I$287+I$3:I$286)/R$2)</f>
        <v>145</v>
      </c>
      <c r="S5" s="262">
        <f t="array" ref="S5">SUM(IF(J$5:J$288=$N5,1,0)*(K$5:K$288+K$4:K$287+K$3:K$286)/S$2)</f>
        <v>145</v>
      </c>
      <c r="BB5" s="59" t="str">
        <f>IFERROR($BC$2&amp;VLOOKUP(B7,'Pay Table'!$M$3:$N$18,2,FALSE)&amp;$BB$2&amp;C7&amp;$BD$2,"")</f>
        <v>[7,100]</v>
      </c>
      <c r="BC5" s="49" t="str">
        <f>IFERROR($BC$2&amp;VLOOKUP(D7,'Pay Table'!$M$3:$N$18,2,FALSE)&amp;$BB$2&amp;E7&amp;$BD$2,"")</f>
        <v>[0,100]</v>
      </c>
      <c r="BD5" s="49" t="str">
        <f>IFERROR($BC$2&amp;VLOOKUP(F7,'Pay Table'!$M$3:$N$18,2,FALSE)&amp;$BB$2&amp;G7&amp;$BD$2,"")</f>
        <v>[92,100]</v>
      </c>
      <c r="BE5" s="49" t="str">
        <f>IFERROR($BC$2&amp;VLOOKUP(H7,'Pay Table'!$M$3:$N$18,2,FALSE)&amp;$BB$2&amp;I7&amp;$BD$2,"")</f>
        <v>[0,100]</v>
      </c>
      <c r="BF5" s="60" t="str">
        <f>IFERROR($BC$2&amp;VLOOKUP(J7,'Pay Table'!$M$3:$N$18,2,FALSE)&amp;$BB$2&amp;K7&amp;$BD$2,"")</f>
        <v>[94,5]</v>
      </c>
    </row>
    <row r="6" spans="1:64" ht="17.100000000000001" customHeight="1" x14ac:dyDescent="0.15">
      <c r="A6" s="14">
        <v>2</v>
      </c>
      <c r="B6" s="10" t="s">
        <v>172</v>
      </c>
      <c r="C6" s="10">
        <v>100</v>
      </c>
      <c r="D6" s="10" t="s">
        <v>153</v>
      </c>
      <c r="E6" s="10">
        <v>100</v>
      </c>
      <c r="F6" s="10" t="s">
        <v>122</v>
      </c>
      <c r="G6" s="10">
        <v>100</v>
      </c>
      <c r="H6" s="10" t="s">
        <v>124</v>
      </c>
      <c r="I6" s="10">
        <v>100</v>
      </c>
      <c r="J6" s="10" t="s">
        <v>121</v>
      </c>
      <c r="K6" s="10">
        <v>100</v>
      </c>
      <c r="L6" s="31"/>
      <c r="N6" s="4" t="str">
        <f>'Pay Table'!B6</f>
        <v>WILD</v>
      </c>
      <c r="O6" s="263">
        <f t="array" ref="O6">SUM(IF(B$5:B$288=$N6,1,0)*(C$5:C$288+C$4:C$287+C$3:C$286)/O$2)</f>
        <v>0</v>
      </c>
      <c r="P6" s="264">
        <f t="array" ref="P6">SUM(IF(D$5:D$288=$N6,1,0)*(E$5:E$288+E$4:E$287+E$3:E$286)/P$2)</f>
        <v>575</v>
      </c>
      <c r="Q6" s="264">
        <f t="array" ref="Q6">SUM(IF(F$5:F$288=$N6,1,0)*(G$5:G$288+G$4:G$287+G$3:G$286)/Q$2)</f>
        <v>475</v>
      </c>
      <c r="R6" s="264">
        <f t="array" ref="R6">SUM(IF(H$5:H$288=$N6,1,0)*(I$5:I$288+I$4:I$287+I$3:I$286)/R$2)</f>
        <v>800</v>
      </c>
      <c r="S6" s="265">
        <f t="array" ref="S6">SUM(IF(J$5:J$288=$N6,1,0)*(K$5:K$288+K$4:K$287+K$3:K$286)/S$2)</f>
        <v>600</v>
      </c>
      <c r="BB6" s="59" t="str">
        <f>IFERROR($BC$2&amp;VLOOKUP(B8,'Pay Table'!$M$3:$N$18,2,FALSE)&amp;$BB$2&amp;C8&amp;$BD$2,"")</f>
        <v>[94,5]</v>
      </c>
      <c r="BC6" s="49" t="str">
        <f>IFERROR($BC$2&amp;VLOOKUP(D8,'Pay Table'!$M$3:$N$18,2,FALSE)&amp;$BB$2&amp;E8&amp;$BD$2,"")</f>
        <v>[0,100]</v>
      </c>
      <c r="BD6" s="49" t="str">
        <f>IFERROR($BC$2&amp;VLOOKUP(F8,'Pay Table'!$M$3:$N$18,2,FALSE)&amp;$BB$2&amp;G8&amp;$BD$2,"")</f>
        <v>[92,100]</v>
      </c>
      <c r="BE6" s="49" t="str">
        <f>IFERROR($BC$2&amp;VLOOKUP(H8,'Pay Table'!$M$3:$N$18,2,FALSE)&amp;$BB$2&amp;I8&amp;$BD$2,"")</f>
        <v>[0,100]</v>
      </c>
      <c r="BF6" s="60" t="str">
        <f>IFERROR($BC$2&amp;VLOOKUP(J8,'Pay Table'!$M$3:$N$18,2,FALSE)&amp;$BB$2&amp;K8&amp;$BD$2,"")</f>
        <v>[94,10]</v>
      </c>
    </row>
    <row r="7" spans="1:64" ht="17.100000000000001" customHeight="1" x14ac:dyDescent="0.15">
      <c r="A7" s="14">
        <v>3</v>
      </c>
      <c r="B7" s="10" t="s">
        <v>119</v>
      </c>
      <c r="C7" s="10">
        <v>100</v>
      </c>
      <c r="D7" s="10" t="s">
        <v>153</v>
      </c>
      <c r="E7" s="10">
        <v>100</v>
      </c>
      <c r="F7" s="10" t="s">
        <v>122</v>
      </c>
      <c r="G7" s="10">
        <v>100</v>
      </c>
      <c r="H7" s="10" t="s">
        <v>153</v>
      </c>
      <c r="I7" s="10">
        <v>100</v>
      </c>
      <c r="J7" s="10" t="s">
        <v>47</v>
      </c>
      <c r="K7" s="10">
        <v>5</v>
      </c>
      <c r="L7" s="31"/>
      <c r="N7" s="4" t="str">
        <f>'Pay Table'!B7</f>
        <v>M1</v>
      </c>
      <c r="O7" s="263">
        <f t="array" ref="O7">SUM(IF(B$5:B$288=$N7,1,0)*(C$5:C$288+C$4:C$287+C$3:C$286)/O$2)</f>
        <v>500</v>
      </c>
      <c r="P7" s="264">
        <f t="array" ref="P7">SUM(IF(D$5:D$288=$N7,1,0)*(E$5:E$288+E$4:E$287+E$3:E$286)/P$2)</f>
        <v>700</v>
      </c>
      <c r="Q7" s="264">
        <f t="array" ref="Q7">SUM(IF(F$5:F$288=$N7,1,0)*(G$5:G$288+G$4:G$287+G$3:G$286)/Q$2)</f>
        <v>1000</v>
      </c>
      <c r="R7" s="264">
        <f t="array" ref="R7">SUM(IF(H$5:H$288=$N7,1,0)*(I$5:I$288+I$4:I$287+I$3:I$286)/R$2)</f>
        <v>1100</v>
      </c>
      <c r="S7" s="265">
        <f t="array" ref="S7">SUM(IF(J$5:J$288=$N7,1,0)*(K$5:K$288+K$4:K$287+K$3:K$286)/S$2)</f>
        <v>900</v>
      </c>
      <c r="BB7" s="59" t="str">
        <f>IFERROR($BC$2&amp;VLOOKUP(B9,'Pay Table'!$M$3:$N$18,2,FALSE)&amp;$BB$2&amp;C9&amp;$BD$2,"")</f>
        <v>[94,10]</v>
      </c>
      <c r="BC7" s="49" t="str">
        <f>IFERROR($BC$2&amp;VLOOKUP(D9,'Pay Table'!$M$3:$N$18,2,FALSE)&amp;$BB$2&amp;E9&amp;$BD$2,"")</f>
        <v>[4,100]</v>
      </c>
      <c r="BD7" s="49" t="str">
        <f>IFERROR($BC$2&amp;VLOOKUP(F9,'Pay Table'!$M$3:$N$18,2,FALSE)&amp;$BB$2&amp;G9&amp;$BD$2,"")</f>
        <v>[2,100]</v>
      </c>
      <c r="BE7" s="49" t="str">
        <f>IFERROR($BC$2&amp;VLOOKUP(H9,'Pay Table'!$M$3:$N$18,2,FALSE)&amp;$BB$2&amp;I9&amp;$BD$2,"")</f>
        <v>[5,100]</v>
      </c>
      <c r="BF7" s="60" t="str">
        <f>IFERROR($BC$2&amp;VLOOKUP(J9,'Pay Table'!$M$3:$N$18,2,FALSE)&amp;$BB$2&amp;K9&amp;$BD$2,"")</f>
        <v>[94,25]</v>
      </c>
    </row>
    <row r="8" spans="1:64" ht="17.100000000000001" customHeight="1" x14ac:dyDescent="0.15">
      <c r="A8" s="14">
        <v>4</v>
      </c>
      <c r="B8" s="10" t="s">
        <v>47</v>
      </c>
      <c r="C8" s="10">
        <v>5</v>
      </c>
      <c r="D8" s="10" t="s">
        <v>153</v>
      </c>
      <c r="E8" s="10">
        <v>100</v>
      </c>
      <c r="F8" s="10" t="s">
        <v>122</v>
      </c>
      <c r="G8" s="10">
        <v>100</v>
      </c>
      <c r="H8" s="10" t="s">
        <v>153</v>
      </c>
      <c r="I8" s="10">
        <v>100</v>
      </c>
      <c r="J8" s="10" t="s">
        <v>47</v>
      </c>
      <c r="K8" s="10">
        <v>10</v>
      </c>
      <c r="L8" s="31"/>
      <c r="N8" s="4" t="str">
        <f>'Pay Table'!B8</f>
        <v>M2</v>
      </c>
      <c r="O8" s="263">
        <f t="array" ref="O8">SUM(IF(B$5:B$288=$N8,1,0)*(C$5:C$288+C$4:C$287+C$3:C$286)/O$2)</f>
        <v>700</v>
      </c>
      <c r="P8" s="264">
        <f t="array" ref="P8">SUM(IF(D$5:D$288=$N8,1,0)*(E$5:E$288+E$4:E$287+E$3:E$286)/P$2)</f>
        <v>800</v>
      </c>
      <c r="Q8" s="264">
        <f t="array" ref="Q8">SUM(IF(F$5:F$288=$N8,1,0)*(G$5:G$288+G$4:G$287+G$3:G$286)/Q$2)</f>
        <v>600</v>
      </c>
      <c r="R8" s="264">
        <f t="array" ref="R8">SUM(IF(H$5:H$288=$N8,1,0)*(I$5:I$288+I$4:I$287+I$3:I$286)/R$2)</f>
        <v>900</v>
      </c>
      <c r="S8" s="265">
        <f t="array" ref="S8">SUM(IF(J$5:J$288=$N8,1,0)*(K$5:K$288+K$4:K$287+K$3:K$286)/S$2)</f>
        <v>1100</v>
      </c>
      <c r="BB8" s="59" t="str">
        <f>IFERROR($BC$2&amp;VLOOKUP(B10,'Pay Table'!$M$3:$N$18,2,FALSE)&amp;$BB$2&amp;C10&amp;$BD$2,"")</f>
        <v>[94,25]</v>
      </c>
      <c r="BC8" s="49" t="str">
        <f>IFERROR($BC$2&amp;VLOOKUP(D10,'Pay Table'!$M$3:$N$18,2,FALSE)&amp;$BB$2&amp;E10&amp;$BD$2,"")</f>
        <v>[6,100]</v>
      </c>
      <c r="BD8" s="49" t="str">
        <f>IFERROR($BC$2&amp;VLOOKUP(F10,'Pay Table'!$M$3:$N$18,2,FALSE)&amp;$BB$2&amp;G10&amp;$BD$2,"")</f>
        <v>[8,100]</v>
      </c>
      <c r="BE8" s="49" t="str">
        <f>IFERROR($BC$2&amp;VLOOKUP(H10,'Pay Table'!$M$3:$N$18,2,FALSE)&amp;$BB$2&amp;I10&amp;$BD$2,"")</f>
        <v>[3,100]</v>
      </c>
      <c r="BF8" s="60" t="str">
        <f>IFERROR($BC$2&amp;VLOOKUP(J10,'Pay Table'!$M$3:$N$18,2,FALSE)&amp;$BB$2&amp;K10&amp;$BD$2,"")</f>
        <v>[4,100]</v>
      </c>
    </row>
    <row r="9" spans="1:64" ht="17.100000000000001" customHeight="1" x14ac:dyDescent="0.15">
      <c r="A9" s="14">
        <v>5</v>
      </c>
      <c r="B9" s="10" t="s">
        <v>47</v>
      </c>
      <c r="C9" s="10">
        <v>10</v>
      </c>
      <c r="D9" s="10" t="s">
        <v>148</v>
      </c>
      <c r="E9" s="10">
        <v>100</v>
      </c>
      <c r="F9" s="10" t="s">
        <v>151</v>
      </c>
      <c r="G9" s="10">
        <v>100</v>
      </c>
      <c r="H9" s="10" t="s">
        <v>123</v>
      </c>
      <c r="I9" s="10">
        <v>100</v>
      </c>
      <c r="J9" s="10" t="s">
        <v>47</v>
      </c>
      <c r="K9" s="10">
        <v>25</v>
      </c>
      <c r="L9" s="31"/>
      <c r="N9" s="4" t="str">
        <f>'Pay Table'!B9</f>
        <v>M3</v>
      </c>
      <c r="O9" s="263">
        <f t="array" ref="O9">SUM(IF(B$5:B$288=$N9,1,0)*(C$5:C$288+C$4:C$287+C$3:C$286)/O$2)</f>
        <v>750</v>
      </c>
      <c r="P9" s="264">
        <f t="array" ref="P9">SUM(IF(D$5:D$288=$N9,1,0)*(E$5:E$288+E$4:E$287+E$3:E$286)/P$2)</f>
        <v>425</v>
      </c>
      <c r="Q9" s="264">
        <f t="array" ref="Q9">SUM(IF(F$5:F$288=$N9,1,0)*(G$5:G$288+G$4:G$287+G$3:G$286)/Q$2)</f>
        <v>670</v>
      </c>
      <c r="R9" s="264">
        <f t="array" ref="R9">SUM(IF(H$5:H$288=$N9,1,0)*(I$5:I$288+I$4:I$287+I$3:I$286)/R$2)</f>
        <v>1050</v>
      </c>
      <c r="S9" s="265">
        <f t="array" ref="S9">SUM(IF(J$5:J$288=$N9,1,0)*(K$5:K$288+K$4:K$287+K$3:K$286)/S$2)</f>
        <v>425</v>
      </c>
      <c r="BB9" s="59" t="str">
        <f>IFERROR($BC$2&amp;VLOOKUP(B11,'Pay Table'!$M$3:$N$18,2,FALSE)&amp;$BB$2&amp;C11&amp;$BD$2,"")</f>
        <v>[6,100]</v>
      </c>
      <c r="BC9" s="49" t="str">
        <f>IFERROR($BC$2&amp;VLOOKUP(D11,'Pay Table'!$M$3:$N$18,2,FALSE)&amp;$BB$2&amp;E11&amp;$BD$2,"")</f>
        <v>[4,100]</v>
      </c>
      <c r="BD9" s="49" t="str">
        <f>IFERROR($BC$2&amp;VLOOKUP(F11,'Pay Table'!$M$3:$N$18,2,FALSE)&amp;$BB$2&amp;G11&amp;$BD$2,"")</f>
        <v>[3,100]</v>
      </c>
      <c r="BE9" s="49" t="str">
        <f>IFERROR($BC$2&amp;VLOOKUP(H11,'Pay Table'!$M$3:$N$18,2,FALSE)&amp;$BB$2&amp;I11&amp;$BD$2,"")</f>
        <v>[6,100]</v>
      </c>
      <c r="BF9" s="60" t="str">
        <f>IFERROR($BC$2&amp;VLOOKUP(J11,'Pay Table'!$M$3:$N$18,2,FALSE)&amp;$BB$2&amp;K11&amp;$BD$2,"")</f>
        <v>[7,100]</v>
      </c>
    </row>
    <row r="10" spans="1:64" ht="17.100000000000001" customHeight="1" x14ac:dyDescent="0.15">
      <c r="A10" s="14">
        <v>6</v>
      </c>
      <c r="B10" s="10" t="s">
        <v>47</v>
      </c>
      <c r="C10" s="10">
        <v>25</v>
      </c>
      <c r="D10" s="10" t="s">
        <v>121</v>
      </c>
      <c r="E10" s="10">
        <v>100</v>
      </c>
      <c r="F10" s="10" t="s">
        <v>120</v>
      </c>
      <c r="G10" s="10">
        <v>100</v>
      </c>
      <c r="H10" s="10" t="s">
        <v>172</v>
      </c>
      <c r="I10" s="10">
        <v>100</v>
      </c>
      <c r="J10" s="10" t="s">
        <v>148</v>
      </c>
      <c r="K10" s="10">
        <v>100</v>
      </c>
      <c r="L10" s="31"/>
      <c r="N10" s="4" t="str">
        <f>'Pay Table'!B10</f>
        <v>M4</v>
      </c>
      <c r="O10" s="263">
        <f t="array" ref="O10">SUM(IF(B$5:B$288=$N10,1,0)*(C$5:C$288+C$4:C$287+C$3:C$286)/O$2)</f>
        <v>800</v>
      </c>
      <c r="P10" s="264">
        <f t="array" ref="P10">SUM(IF(D$5:D$288=$N10,1,0)*(E$5:E$288+E$4:E$287+E$3:E$286)/P$2)</f>
        <v>500</v>
      </c>
      <c r="Q10" s="264">
        <f t="array" ref="Q10">SUM(IF(F$5:F$288=$N10,1,0)*(G$5:G$288+G$4:G$287+G$3:G$286)/Q$2)</f>
        <v>300</v>
      </c>
      <c r="R10" s="264">
        <f t="array" ref="R10">SUM(IF(H$5:H$288=$N10,1,0)*(I$5:I$288+I$4:I$287+I$3:I$286)/R$2)</f>
        <v>500</v>
      </c>
      <c r="S10" s="265">
        <f t="array" ref="S10">SUM(IF(J$5:J$288=$N10,1,0)*(K$5:K$288+K$4:K$287+K$3:K$286)/S$2)</f>
        <v>500</v>
      </c>
      <c r="BB10" s="59" t="str">
        <f>IFERROR($BC$2&amp;VLOOKUP(B12,'Pay Table'!$M$3:$N$18,2,FALSE)&amp;$BB$2&amp;C12&amp;$BD$2,"")</f>
        <v>[7,100]</v>
      </c>
      <c r="BC10" s="49" t="str">
        <f>IFERROR($BC$2&amp;VLOOKUP(D12,'Pay Table'!$M$3:$N$18,2,FALSE)&amp;$BB$2&amp;E12&amp;$BD$2,"")</f>
        <v>[92,100]</v>
      </c>
      <c r="BD10" s="49" t="str">
        <f>IFERROR($BC$2&amp;VLOOKUP(F12,'Pay Table'!$M$3:$N$18,2,FALSE)&amp;$BB$2&amp;G12&amp;$BD$2,"")</f>
        <v>[3,100]</v>
      </c>
      <c r="BE10" s="49" t="str">
        <f>IFERROR($BC$2&amp;VLOOKUP(H12,'Pay Table'!$M$3:$N$18,2,FALSE)&amp;$BB$2&amp;I12&amp;$BD$2,"")</f>
        <v>[92,100]</v>
      </c>
      <c r="BF10" s="60" t="str">
        <f>IFERROR($BC$2&amp;VLOOKUP(J12,'Pay Table'!$M$3:$N$18,2,FALSE)&amp;$BB$2&amp;K12&amp;$BD$2,"")</f>
        <v>[8,100]</v>
      </c>
    </row>
    <row r="11" spans="1:64" ht="17.100000000000001" customHeight="1" x14ac:dyDescent="0.15">
      <c r="A11" s="14">
        <v>7</v>
      </c>
      <c r="B11" s="10" t="s">
        <v>121</v>
      </c>
      <c r="C11" s="10">
        <v>100</v>
      </c>
      <c r="D11" s="10" t="s">
        <v>148</v>
      </c>
      <c r="E11" s="10">
        <v>100</v>
      </c>
      <c r="F11" s="10" t="s">
        <v>172</v>
      </c>
      <c r="G11" s="10">
        <v>100</v>
      </c>
      <c r="H11" s="10" t="s">
        <v>132</v>
      </c>
      <c r="I11" s="10">
        <v>100</v>
      </c>
      <c r="J11" s="10" t="s">
        <v>119</v>
      </c>
      <c r="K11" s="10">
        <v>100</v>
      </c>
      <c r="L11" s="31"/>
      <c r="N11" s="4" t="str">
        <f>'Pay Table'!B11</f>
        <v>M5</v>
      </c>
      <c r="O11" s="263">
        <f t="array" ref="O11">SUM(IF(B$5:B$288=$N11,1,0)*(C$5:C$288+C$4:C$287+C$3:C$286)/O$2)</f>
        <v>800</v>
      </c>
      <c r="P11" s="264">
        <f t="array" ref="P11">SUM(IF(D$5:D$288=$N11,1,0)*(E$5:E$288+E$4:E$287+E$3:E$286)/P$2)</f>
        <v>500</v>
      </c>
      <c r="Q11" s="264">
        <f t="array" ref="Q11">SUM(IF(F$5:F$288=$N11,1,0)*(G$5:G$288+G$4:G$287+G$3:G$286)/Q$2)</f>
        <v>475</v>
      </c>
      <c r="R11" s="264">
        <f t="array" ref="R11">SUM(IF(H$5:H$288=$N11,1,0)*(I$5:I$288+I$4:I$287+I$3:I$286)/R$2)</f>
        <v>600</v>
      </c>
      <c r="S11" s="265">
        <f t="array" ref="S11">SUM(IF(J$5:J$288=$N11,1,0)*(K$5:K$288+K$4:K$287+K$3:K$286)/S$2)</f>
        <v>745</v>
      </c>
      <c r="T11" s="23">
        <f>SUM(O7:O8)/O21</f>
        <v>0.21371326803205698</v>
      </c>
      <c r="U11" s="23">
        <f t="shared" ref="U11:X11" si="2">SUM(P7:P8)/P21</f>
        <v>0.28222013170272814</v>
      </c>
      <c r="V11" s="23">
        <f t="shared" si="2"/>
        <v>0.30769230769230771</v>
      </c>
      <c r="W11" s="23">
        <f t="shared" si="2"/>
        <v>0.2661343978709248</v>
      </c>
      <c r="X11" s="23">
        <f t="shared" si="2"/>
        <v>0.30234315948601664</v>
      </c>
      <c r="BB11" s="59" t="str">
        <f>IFERROR($BC$2&amp;VLOOKUP(B13,'Pay Table'!$M$3:$N$18,2,FALSE)&amp;$BB$2&amp;C13&amp;$BD$2,"")</f>
        <v>[2,100]</v>
      </c>
      <c r="BC11" s="49" t="str">
        <f>IFERROR($BC$2&amp;VLOOKUP(D13,'Pay Table'!$M$3:$N$18,2,FALSE)&amp;$BB$2&amp;E13&amp;$BD$2,"")</f>
        <v>[92,100]</v>
      </c>
      <c r="BD11" s="49" t="str">
        <f>IFERROR($BC$2&amp;VLOOKUP(F13,'Pay Table'!$M$3:$N$18,2,FALSE)&amp;$BB$2&amp;G13&amp;$BD$2,"")</f>
        <v>[1,100]</v>
      </c>
      <c r="BE11" s="49" t="str">
        <f>IFERROR($BC$2&amp;VLOOKUP(H13,'Pay Table'!$M$3:$N$18,2,FALSE)&amp;$BB$2&amp;I13&amp;$BD$2,"")</f>
        <v>[92,100]</v>
      </c>
      <c r="BF11" s="60" t="str">
        <f>IFERROR($BC$2&amp;VLOOKUP(J13,'Pay Table'!$M$3:$N$18,2,FALSE)&amp;$BB$2&amp;K13&amp;$BD$2,"")</f>
        <v>[5,100]</v>
      </c>
    </row>
    <row r="12" spans="1:64" ht="17.100000000000001" customHeight="1" x14ac:dyDescent="0.15">
      <c r="A12" s="14">
        <v>8</v>
      </c>
      <c r="B12" s="10" t="s">
        <v>119</v>
      </c>
      <c r="C12" s="10">
        <v>100</v>
      </c>
      <c r="D12" s="10" t="s">
        <v>122</v>
      </c>
      <c r="E12" s="10">
        <v>100</v>
      </c>
      <c r="F12" s="10" t="s">
        <v>172</v>
      </c>
      <c r="G12" s="10">
        <v>100</v>
      </c>
      <c r="H12" s="10" t="s">
        <v>122</v>
      </c>
      <c r="I12" s="10">
        <v>100</v>
      </c>
      <c r="J12" s="10" t="s">
        <v>120</v>
      </c>
      <c r="K12" s="10">
        <v>100</v>
      </c>
      <c r="L12" s="31"/>
      <c r="N12" s="4" t="str">
        <f>'Pay Table'!B12</f>
        <v>A</v>
      </c>
      <c r="O12" s="263">
        <f t="array" ref="O12">SUM(IF(B$5:B$288=$N12,1,0)*(C$5:C$288+C$4:C$287+C$3:C$286)/O$2)</f>
        <v>400</v>
      </c>
      <c r="P12" s="264">
        <f t="array" ref="P12">SUM(IF(D$5:D$288=$N12,1,0)*(E$5:E$288+E$4:E$287+E$3:E$286)/P$2)</f>
        <v>300</v>
      </c>
      <c r="Q12" s="264">
        <f t="array" ref="Q12">SUM(IF(F$5:F$288=$N12,1,0)*(G$5:G$288+G$4:G$287+G$3:G$286)/Q$2)</f>
        <v>300</v>
      </c>
      <c r="R12" s="264">
        <f t="array" ref="R12">SUM(IF(H$5:H$288=$N12,1,0)*(I$5:I$288+I$4:I$287+I$3:I$286)/R$2)</f>
        <v>500</v>
      </c>
      <c r="S12" s="265">
        <f t="array" ref="S12">SUM(IF(J$5:J$288=$N12,1,0)*(K$5:K$288+K$4:K$287+K$3:K$286)/S$2)</f>
        <v>600</v>
      </c>
      <c r="U12"/>
      <c r="V12"/>
      <c r="W12"/>
      <c r="X12"/>
      <c r="BB12" s="59" t="str">
        <f>IFERROR($BC$2&amp;VLOOKUP(B14,'Pay Table'!$M$3:$N$18,2,FALSE)&amp;$BB$2&amp;C14&amp;$BD$2,"")</f>
        <v>[4,100]</v>
      </c>
      <c r="BC12" s="49" t="str">
        <f>IFERROR($BC$2&amp;VLOOKUP(D14,'Pay Table'!$M$3:$N$18,2,FALSE)&amp;$BB$2&amp;E14&amp;$BD$2,"")</f>
        <v>[2,100]</v>
      </c>
      <c r="BD12" s="49" t="str">
        <f>IFERROR($BC$2&amp;VLOOKUP(F14,'Pay Table'!$M$3:$N$18,2,FALSE)&amp;$BB$2&amp;G14&amp;$BD$2,"")</f>
        <v>[1,100]</v>
      </c>
      <c r="BE12" s="49" t="str">
        <f>IFERROR($BC$2&amp;VLOOKUP(H14,'Pay Table'!$M$3:$N$18,2,FALSE)&amp;$BB$2&amp;I14&amp;$BD$2,"")</f>
        <v>[92,100]</v>
      </c>
      <c r="BF12" s="60" t="str">
        <f>IFERROR($BC$2&amp;VLOOKUP(J14,'Pay Table'!$M$3:$N$18,2,FALSE)&amp;$BB$2&amp;K14&amp;$BD$2,"")</f>
        <v>[4,100]</v>
      </c>
    </row>
    <row r="13" spans="1:64" ht="17.100000000000001" customHeight="1" x14ac:dyDescent="0.15">
      <c r="A13" s="14">
        <v>9</v>
      </c>
      <c r="B13" s="10" t="s">
        <v>151</v>
      </c>
      <c r="C13" s="10">
        <v>100</v>
      </c>
      <c r="D13" s="10" t="s">
        <v>122</v>
      </c>
      <c r="E13" s="10">
        <v>100</v>
      </c>
      <c r="F13" s="10" t="s">
        <v>152</v>
      </c>
      <c r="G13" s="10">
        <v>100</v>
      </c>
      <c r="H13" s="10" t="s">
        <v>122</v>
      </c>
      <c r="I13" s="10">
        <v>100</v>
      </c>
      <c r="J13" s="10" t="s">
        <v>123</v>
      </c>
      <c r="K13" s="10">
        <v>100</v>
      </c>
      <c r="L13" s="31"/>
      <c r="N13" s="4" t="str">
        <f>'Pay Table'!B13</f>
        <v>K</v>
      </c>
      <c r="O13" s="263">
        <f t="array" ref="O13">SUM(IF(B$5:B$288=$N13,1,0)*(C$5:C$288+C$4:C$287+C$3:C$286)/O$2)</f>
        <v>495</v>
      </c>
      <c r="P13" s="264">
        <f t="array" ref="P13">SUM(IF(D$5:D$288=$N13,1,0)*(E$5:E$288+E$4:E$287+E$3:E$286)/P$2)</f>
        <v>575</v>
      </c>
      <c r="Q13" s="264">
        <f t="array" ref="Q13">SUM(IF(F$5:F$288=$N13,1,0)*(G$5:G$288+G$4:G$287+G$3:G$286)/Q$2)</f>
        <v>550</v>
      </c>
      <c r="R13" s="264">
        <f t="array" ref="R13">SUM(IF(H$5:H$288=$N13,1,0)*(I$5:I$288+I$4:I$287+I$3:I$286)/R$2)</f>
        <v>845</v>
      </c>
      <c r="S13" s="265">
        <f t="array" ref="S13">SUM(IF(J$5:J$288=$N13,1,0)*(K$5:K$288+K$4:K$287+K$3:K$286)/S$2)</f>
        <v>800</v>
      </c>
      <c r="BB13" s="59" t="str">
        <f>IFERROR($BC$2&amp;VLOOKUP(B15,'Pay Table'!$M$3:$N$18,2,FALSE)&amp;$BB$2&amp;C15&amp;$BD$2,"")</f>
        <v>[3,100]</v>
      </c>
      <c r="BC13" s="49" t="str">
        <f>IFERROR($BC$2&amp;VLOOKUP(D15,'Pay Table'!$M$3:$N$18,2,FALSE)&amp;$BB$2&amp;E15&amp;$BD$2,"")</f>
        <v>[5,100]</v>
      </c>
      <c r="BD13" s="49" t="str">
        <f>IFERROR($BC$2&amp;VLOOKUP(F15,'Pay Table'!$M$3:$N$18,2,FALSE)&amp;$BB$2&amp;G15&amp;$BD$2,"")</f>
        <v>[1,100]</v>
      </c>
      <c r="BE13" s="49" t="str">
        <f>IFERROR($BC$2&amp;VLOOKUP(H15,'Pay Table'!$M$3:$N$18,2,FALSE)&amp;$BB$2&amp;I15&amp;$BD$2,"")</f>
        <v>[8,100]</v>
      </c>
      <c r="BF13" s="60" t="str">
        <f>IFERROR($BC$2&amp;VLOOKUP(J15,'Pay Table'!$M$3:$N$18,2,FALSE)&amp;$BB$2&amp;K15&amp;$BD$2,"")</f>
        <v>[1,100]</v>
      </c>
    </row>
    <row r="14" spans="1:64" ht="17.100000000000001" customHeight="1" x14ac:dyDescent="0.15">
      <c r="A14" s="14">
        <v>10</v>
      </c>
      <c r="B14" s="10" t="s">
        <v>148</v>
      </c>
      <c r="C14" s="10">
        <v>100</v>
      </c>
      <c r="D14" s="10" t="s">
        <v>151</v>
      </c>
      <c r="E14" s="10">
        <v>100</v>
      </c>
      <c r="F14" s="10" t="s">
        <v>152</v>
      </c>
      <c r="G14" s="10">
        <v>100</v>
      </c>
      <c r="H14" s="10" t="s">
        <v>122</v>
      </c>
      <c r="I14" s="10">
        <v>100</v>
      </c>
      <c r="J14" s="10" t="s">
        <v>148</v>
      </c>
      <c r="K14" s="10">
        <v>100</v>
      </c>
      <c r="L14" s="31"/>
      <c r="N14" s="4" t="str">
        <f>'Pay Table'!B14</f>
        <v>Q</v>
      </c>
      <c r="O14" s="263">
        <f t="array" ref="O14">SUM(IF(B$5:B$288=$N14,1,0)*(C$5:C$288+C$4:C$287+C$3:C$286)/O$2)</f>
        <v>475</v>
      </c>
      <c r="P14" s="264">
        <f t="array" ref="P14">SUM(IF(D$5:D$288=$N14,1,0)*(E$5:E$288+E$4:E$287+E$3:E$286)/P$2)</f>
        <v>400</v>
      </c>
      <c r="Q14" s="264">
        <f t="array" ref="Q14">SUM(IF(F$5:F$288=$N14,1,0)*(G$5:G$288+G$4:G$287+G$3:G$286)/Q$2)</f>
        <v>290</v>
      </c>
      <c r="R14" s="264">
        <f t="array" ref="R14">SUM(IF(H$5:H$288=$N14,1,0)*(I$5:I$288+I$4:I$287+I$3:I$286)/R$2)</f>
        <v>400</v>
      </c>
      <c r="S14" s="265">
        <f t="array" ref="S14">SUM(IF(J$5:J$288=$N14,1,0)*(K$5:K$288+K$4:K$287+K$3:K$286)/S$2)</f>
        <v>450</v>
      </c>
      <c r="BB14" s="59" t="str">
        <f>IFERROR($BC$2&amp;VLOOKUP(B16,'Pay Table'!$M$3:$N$18,2,FALSE)&amp;$BB$2&amp;C16&amp;$BD$2,"")</f>
        <v>[8,100]</v>
      </c>
      <c r="BC14" s="49" t="str">
        <f>IFERROR($BC$2&amp;VLOOKUP(D16,'Pay Table'!$M$3:$N$18,2,FALSE)&amp;$BB$2&amp;E16&amp;$BD$2,"")</f>
        <v>[8,100]</v>
      </c>
      <c r="BD14" s="49" t="str">
        <f>IFERROR($BC$2&amp;VLOOKUP(F16,'Pay Table'!$M$3:$N$18,2,FALSE)&amp;$BB$2&amp;G16&amp;$BD$2,"")</f>
        <v>[6,100]</v>
      </c>
      <c r="BE14" s="49" t="str">
        <f>IFERROR($BC$2&amp;VLOOKUP(H16,'Pay Table'!$M$3:$N$18,2,FALSE)&amp;$BB$2&amp;I16&amp;$BD$2,"")</f>
        <v>[2,100]</v>
      </c>
      <c r="BF14" s="60" t="str">
        <f>IFERROR($BC$2&amp;VLOOKUP(J16,'Pay Table'!$M$3:$N$18,2,FALSE)&amp;$BB$2&amp;K16&amp;$BD$2,"")</f>
        <v>[1,100]</v>
      </c>
    </row>
    <row r="15" spans="1:64" ht="17.100000000000001" customHeight="1" x14ac:dyDescent="0.15">
      <c r="A15" s="14">
        <v>11</v>
      </c>
      <c r="B15" s="282" t="s">
        <v>172</v>
      </c>
      <c r="C15" s="10">
        <v>100</v>
      </c>
      <c r="D15" s="10" t="s">
        <v>123</v>
      </c>
      <c r="E15" s="10">
        <v>100</v>
      </c>
      <c r="F15" s="10" t="s">
        <v>152</v>
      </c>
      <c r="G15" s="10">
        <v>100</v>
      </c>
      <c r="H15" s="10" t="s">
        <v>120</v>
      </c>
      <c r="I15" s="10">
        <v>100</v>
      </c>
      <c r="J15" s="10" t="s">
        <v>152</v>
      </c>
      <c r="K15" s="10">
        <v>100</v>
      </c>
      <c r="L15" s="31"/>
      <c r="N15" s="4" t="str">
        <f>'Pay Table'!B15</f>
        <v>J</v>
      </c>
      <c r="O15" s="263">
        <f t="array" ref="O15">SUM(IF(B$5:B$288=$N15,1,0)*(C$5:C$288+C$4:C$287+C$3:C$286)/O$2)</f>
        <v>550</v>
      </c>
      <c r="P15" s="264">
        <f t="array" ref="P15">SUM(IF(D$5:D$288=$N15,1,0)*(E$5:E$288+E$4:E$287+E$3:E$286)/P$2)</f>
        <v>395</v>
      </c>
      <c r="Q15" s="264">
        <f t="array" ref="Q15">SUM(IF(F$5:F$288=$N15,1,0)*(G$5:G$288+G$4:G$287+G$3:G$286)/Q$2)</f>
        <v>400</v>
      </c>
      <c r="R15" s="264">
        <f t="array" ref="R15">SUM(IF(H$5:H$288=$N15,1,0)*(I$5:I$288+I$4:I$287+I$3:I$286)/R$2)</f>
        <v>675</v>
      </c>
      <c r="S15" s="265">
        <f t="array" ref="S15">SUM(IF(J$5:J$288=$N15,1,0)*(K$5:K$288+K$4:K$287+K$3:K$286)/S$2)</f>
        <v>350</v>
      </c>
      <c r="BB15" s="59" t="str">
        <f>IFERROR($BC$2&amp;VLOOKUP(B17,'Pay Table'!$M$3:$N$18,2,FALSE)&amp;$BB$2&amp;C17&amp;$BD$2,"")</f>
        <v>[5,100]</v>
      </c>
      <c r="BC15" s="49" t="str">
        <f>IFERROR($BC$2&amp;VLOOKUP(D17,'Pay Table'!$M$3:$N$18,2,FALSE)&amp;$BB$2&amp;E17&amp;$BD$2,"")</f>
        <v>[1,100]</v>
      </c>
      <c r="BD15" s="49" t="str">
        <f>IFERROR($BC$2&amp;VLOOKUP(F17,'Pay Table'!$M$3:$N$18,2,FALSE)&amp;$BB$2&amp;G17&amp;$BD$2,"")</f>
        <v>[3,100]</v>
      </c>
      <c r="BE15" s="49" t="str">
        <f>IFERROR($BC$2&amp;VLOOKUP(H17,'Pay Table'!$M$3:$N$18,2,FALSE)&amp;$BB$2&amp;I17&amp;$BD$2,"")</f>
        <v>[6,100]</v>
      </c>
      <c r="BF15" s="60" t="str">
        <f>IFERROR($BC$2&amp;VLOOKUP(J17,'Pay Table'!$M$3:$N$18,2,FALSE)&amp;$BB$2&amp;K17&amp;$BD$2,"")</f>
        <v>[6,100]</v>
      </c>
    </row>
    <row r="16" spans="1:64" ht="17.100000000000001" customHeight="1" x14ac:dyDescent="0.15">
      <c r="A16" s="14">
        <v>12</v>
      </c>
      <c r="B16" s="10" t="s">
        <v>120</v>
      </c>
      <c r="C16" s="10">
        <v>100</v>
      </c>
      <c r="D16" s="10" t="s">
        <v>120</v>
      </c>
      <c r="E16" s="10">
        <v>100</v>
      </c>
      <c r="F16" s="10" t="s">
        <v>121</v>
      </c>
      <c r="G16" s="10">
        <v>100</v>
      </c>
      <c r="H16" s="10" t="s">
        <v>151</v>
      </c>
      <c r="I16" s="10">
        <v>100</v>
      </c>
      <c r="J16" s="10" t="s">
        <v>152</v>
      </c>
      <c r="K16" s="10">
        <v>100</v>
      </c>
      <c r="N16" s="4" t="str">
        <f>'Pay Table'!B16</f>
        <v>SCATTER</v>
      </c>
      <c r="O16" s="263">
        <f t="array" ref="O16">SUM(IF(B$5:B$288=$N16,1,0)*(C$5:C$288+C$4:C$287+C$3:C$286)/O$2)</f>
        <v>0</v>
      </c>
      <c r="P16" s="264">
        <f t="array" ref="P16">SUM(IF(D$5:D$288=$N16,1,0)*(E$5:E$288+E$4:E$287+E$3:E$286)/P$2)</f>
        <v>0</v>
      </c>
      <c r="Q16" s="264">
        <f t="array" ref="Q16">SUM(IF(F$5:F$288=$N16,1,0)*(G$5:G$288+G$4:G$287+G$3:G$286)/Q$2)</f>
        <v>0</v>
      </c>
      <c r="R16" s="264">
        <f t="array" ref="R16">SUM(IF(H$5:H$288=$N16,1,0)*(I$5:I$288+I$4:I$287+I$3:I$286)/R$2)</f>
        <v>0</v>
      </c>
      <c r="S16" s="265">
        <f t="array" ref="S16">SUM(IF(J$5:J$288=$N16,1,0)*(K$5:K$288+K$4:K$287+K$3:K$286)/S$2)</f>
        <v>0</v>
      </c>
      <c r="BB16" s="59" t="str">
        <f>IFERROR($BC$2&amp;VLOOKUP(B18,'Pay Table'!$M$3:$N$18,2,FALSE)&amp;$BB$2&amp;C18&amp;$BD$2,"")</f>
        <v>[3,100]</v>
      </c>
      <c r="BC16" s="49" t="str">
        <f>IFERROR($BC$2&amp;VLOOKUP(D18,'Pay Table'!$M$3:$N$18,2,FALSE)&amp;$BB$2&amp;E18&amp;$BD$2,"")</f>
        <v>[1,100]</v>
      </c>
      <c r="BD16" s="49" t="str">
        <f>IFERROR($BC$2&amp;VLOOKUP(F18,'Pay Table'!$M$3:$N$18,2,FALSE)&amp;$BB$2&amp;G18&amp;$BD$2,"")</f>
        <v>[5,100]</v>
      </c>
      <c r="BE16" s="49" t="str">
        <f>IFERROR($BC$2&amp;VLOOKUP(H18,'Pay Table'!$M$3:$N$18,2,FALSE)&amp;$BB$2&amp;I18&amp;$BD$2,"")</f>
        <v>[4,100]</v>
      </c>
      <c r="BF16" s="60" t="str">
        <f>IFERROR($BC$2&amp;VLOOKUP(J18,'Pay Table'!$M$3:$N$18,2,FALSE)&amp;$BB$2&amp;K18&amp;$BD$2,"")</f>
        <v>[8,100]</v>
      </c>
    </row>
    <row r="17" spans="1:58" ht="17.100000000000001" customHeight="1" x14ac:dyDescent="0.15">
      <c r="A17" s="14">
        <v>13</v>
      </c>
      <c r="B17" s="10" t="s">
        <v>123</v>
      </c>
      <c r="C17" s="10">
        <v>100</v>
      </c>
      <c r="D17" s="10" t="s">
        <v>152</v>
      </c>
      <c r="E17" s="10">
        <v>100</v>
      </c>
      <c r="F17" s="10" t="s">
        <v>172</v>
      </c>
      <c r="G17" s="10">
        <v>100</v>
      </c>
      <c r="H17" s="10" t="s">
        <v>121</v>
      </c>
      <c r="I17" s="10">
        <v>100</v>
      </c>
      <c r="J17" s="10" t="s">
        <v>121</v>
      </c>
      <c r="K17" s="10">
        <v>100</v>
      </c>
      <c r="N17" s="4">
        <f>'Pay Table'!B19</f>
        <v>0</v>
      </c>
      <c r="O17" s="263"/>
      <c r="P17" s="264"/>
      <c r="Q17" s="264"/>
      <c r="R17" s="264"/>
      <c r="S17" s="265"/>
      <c r="BB17" s="59" t="str">
        <f>IFERROR($BC$2&amp;VLOOKUP(B19,'Pay Table'!$M$3:$N$18,2,FALSE)&amp;$BB$2&amp;C19&amp;$BD$2,"")</f>
        <v>[4,100]</v>
      </c>
      <c r="BC17" s="49" t="str">
        <f>IFERROR($BC$2&amp;VLOOKUP(D19,'Pay Table'!$M$3:$N$18,2,FALSE)&amp;$BB$2&amp;E19&amp;$BD$2,"")</f>
        <v>[1,100]</v>
      </c>
      <c r="BD17" s="49" t="str">
        <f>IFERROR($BC$2&amp;VLOOKUP(F19,'Pay Table'!$M$3:$N$18,2,FALSE)&amp;$BB$2&amp;G19&amp;$BD$2,"")</f>
        <v>[2,100]</v>
      </c>
      <c r="BE17" s="49" t="str">
        <f>IFERROR($BC$2&amp;VLOOKUP(H19,'Pay Table'!$M$3:$N$18,2,FALSE)&amp;$BB$2&amp;I19&amp;$BD$2,"")</f>
        <v>[2,100]</v>
      </c>
      <c r="BF17" s="60" t="str">
        <f>IFERROR($BC$2&amp;VLOOKUP(J19,'Pay Table'!$M$3:$N$18,2,FALSE)&amp;$BB$2&amp;K19&amp;$BD$2,"")</f>
        <v>[92,100]</v>
      </c>
    </row>
    <row r="18" spans="1:58" ht="17.100000000000001" customHeight="1" x14ac:dyDescent="0.15">
      <c r="A18" s="14">
        <v>14</v>
      </c>
      <c r="B18" s="10" t="s">
        <v>172</v>
      </c>
      <c r="C18" s="10">
        <v>100</v>
      </c>
      <c r="D18" s="10" t="s">
        <v>152</v>
      </c>
      <c r="E18" s="10">
        <v>100</v>
      </c>
      <c r="F18" s="10" t="s">
        <v>438</v>
      </c>
      <c r="G18" s="10">
        <v>100</v>
      </c>
      <c r="H18" s="10" t="s">
        <v>148</v>
      </c>
      <c r="I18" s="10">
        <v>100</v>
      </c>
      <c r="J18" s="10" t="s">
        <v>120</v>
      </c>
      <c r="K18" s="10">
        <v>100</v>
      </c>
      <c r="N18" s="4">
        <f>'Pay Table'!B20</f>
        <v>0</v>
      </c>
      <c r="O18" s="263"/>
      <c r="P18" s="264"/>
      <c r="Q18" s="264"/>
      <c r="R18" s="264"/>
      <c r="S18" s="265"/>
      <c r="BB18" s="59" t="str">
        <f>IFERROR($BC$2&amp;VLOOKUP(B20,'Pay Table'!$M$3:$N$18,2,FALSE)&amp;$BB$2&amp;C20&amp;$BD$2,"")</f>
        <v>[6,100]</v>
      </c>
      <c r="BC18" s="49" t="str">
        <f>IFERROR($BC$2&amp;VLOOKUP(D20,'Pay Table'!$M$3:$N$18,2,FALSE)&amp;$BB$2&amp;E20&amp;$BD$2,"")</f>
        <v>[7,100]</v>
      </c>
      <c r="BD18" s="49" t="str">
        <f>IFERROR($BC$2&amp;VLOOKUP(F20,'Pay Table'!$M$3:$N$18,2,FALSE)&amp;$BB$2&amp;G20&amp;$BD$2,"")</f>
        <v>[0,100]</v>
      </c>
      <c r="BE18" s="49" t="str">
        <f>IFERROR($BC$2&amp;VLOOKUP(H20,'Pay Table'!$M$3:$N$18,2,FALSE)&amp;$BB$2&amp;I20&amp;$BD$2,"")</f>
        <v>[0,100]</v>
      </c>
      <c r="BF18" s="60" t="str">
        <f>IFERROR($BC$2&amp;VLOOKUP(J20,'Pay Table'!$M$3:$N$18,2,FALSE)&amp;$BB$2&amp;K20&amp;$BD$2,"")</f>
        <v>[0,100]</v>
      </c>
    </row>
    <row r="19" spans="1:58" ht="17.100000000000001" customHeight="1" x14ac:dyDescent="0.15">
      <c r="A19" s="14">
        <v>15</v>
      </c>
      <c r="B19" s="10" t="s">
        <v>148</v>
      </c>
      <c r="C19" s="10">
        <v>100</v>
      </c>
      <c r="D19" s="10" t="s">
        <v>152</v>
      </c>
      <c r="E19" s="10">
        <v>100</v>
      </c>
      <c r="F19" s="10" t="s">
        <v>151</v>
      </c>
      <c r="G19" s="10">
        <v>100</v>
      </c>
      <c r="H19" s="10" t="s">
        <v>151</v>
      </c>
      <c r="I19" s="10">
        <v>100</v>
      </c>
      <c r="J19" s="10" t="s">
        <v>122</v>
      </c>
      <c r="K19" s="10">
        <v>100</v>
      </c>
      <c r="N19" s="4">
        <f>'Pay Table'!B21</f>
        <v>0</v>
      </c>
      <c r="O19" s="263"/>
      <c r="P19" s="264"/>
      <c r="Q19" s="264"/>
      <c r="R19" s="264"/>
      <c r="S19" s="265"/>
      <c r="BB19" s="59" t="str">
        <f>IFERROR($BC$2&amp;VLOOKUP(B21,'Pay Table'!$M$3:$N$18,2,FALSE)&amp;$BB$2&amp;C21&amp;$BD$2,"")</f>
        <v>[0,100]</v>
      </c>
      <c r="BC19" s="49" t="str">
        <f>IFERROR($BC$2&amp;VLOOKUP(D21,'Pay Table'!$M$3:$N$18,2,FALSE)&amp;$BB$2&amp;E21&amp;$BD$2,"")</f>
        <v>[8,100]</v>
      </c>
      <c r="BD19" s="49" t="str">
        <f>IFERROR($BC$2&amp;VLOOKUP(F21,'Pay Table'!$M$3:$N$18,2,FALSE)&amp;$BB$2&amp;G21&amp;$BD$2,"")</f>
        <v>[0,100]</v>
      </c>
      <c r="BE19" s="49" t="str">
        <f>IFERROR($BC$2&amp;VLOOKUP(H21,'Pay Table'!$M$3:$N$18,2,FALSE)&amp;$BB$2&amp;I21&amp;$BD$2,"")</f>
        <v>[92,100]</v>
      </c>
      <c r="BF19" s="60" t="str">
        <f>IFERROR($BC$2&amp;VLOOKUP(J21,'Pay Table'!$M$3:$N$18,2,FALSE)&amp;$BB$2&amp;K21&amp;$BD$2,"")</f>
        <v>[0,100]</v>
      </c>
    </row>
    <row r="20" spans="1:58" ht="17.100000000000001" customHeight="1" x14ac:dyDescent="0.15">
      <c r="A20" s="14">
        <v>16</v>
      </c>
      <c r="B20" s="10" t="s">
        <v>121</v>
      </c>
      <c r="C20" s="10">
        <v>100</v>
      </c>
      <c r="D20" s="10" t="s">
        <v>119</v>
      </c>
      <c r="E20" s="10">
        <v>100</v>
      </c>
      <c r="F20" s="10" t="s">
        <v>153</v>
      </c>
      <c r="G20" s="10">
        <v>100</v>
      </c>
      <c r="H20" s="10" t="s">
        <v>153</v>
      </c>
      <c r="I20" s="10">
        <v>100</v>
      </c>
      <c r="J20" s="10" t="s">
        <v>153</v>
      </c>
      <c r="K20" s="10">
        <v>100</v>
      </c>
      <c r="N20" s="4">
        <f>'Pay Table'!B22</f>
        <v>0</v>
      </c>
      <c r="O20" s="266"/>
      <c r="P20" s="267"/>
      <c r="Q20" s="267"/>
      <c r="R20" s="267"/>
      <c r="S20" s="268"/>
      <c r="BB20" s="59" t="str">
        <f>IFERROR($BC$2&amp;VLOOKUP(B22,'Pay Table'!$M$3:$N$18,2,FALSE)&amp;$BB$2&amp;C22&amp;$BD$2,"")</f>
        <v>[0,100]</v>
      </c>
      <c r="BC20" s="49" t="str">
        <f>IFERROR($BC$2&amp;VLOOKUP(D22,'Pay Table'!$M$3:$N$18,2,FALSE)&amp;$BB$2&amp;E22&amp;$BD$2,"")</f>
        <v>[6,100]</v>
      </c>
      <c r="BD20" s="49" t="str">
        <f>IFERROR($BC$2&amp;VLOOKUP(F22,'Pay Table'!$M$3:$N$18,2,FALSE)&amp;$BB$2&amp;G22&amp;$BD$2,"")</f>
        <v>[4,100]</v>
      </c>
      <c r="BE20" s="49" t="str">
        <f>IFERROR($BC$2&amp;VLOOKUP(H22,'Pay Table'!$M$3:$N$18,2,FALSE)&amp;$BB$2&amp;I22&amp;$BD$2,"")</f>
        <v>[4,100]</v>
      </c>
      <c r="BF20" s="60" t="str">
        <f>IFERROR($BC$2&amp;VLOOKUP(J22,'Pay Table'!$M$3:$N$18,2,FALSE)&amp;$BB$2&amp;K22&amp;$BD$2,"")</f>
        <v>[0,100]</v>
      </c>
    </row>
    <row r="21" spans="1:58" ht="17.100000000000001" customHeight="1" x14ac:dyDescent="0.15">
      <c r="A21" s="14">
        <v>17</v>
      </c>
      <c r="B21" s="10" t="s">
        <v>153</v>
      </c>
      <c r="C21" s="10">
        <v>100</v>
      </c>
      <c r="D21" s="10" t="s">
        <v>120</v>
      </c>
      <c r="E21" s="10">
        <v>100</v>
      </c>
      <c r="F21" s="10" t="s">
        <v>153</v>
      </c>
      <c r="G21" s="10">
        <v>100</v>
      </c>
      <c r="H21" s="10" t="s">
        <v>122</v>
      </c>
      <c r="I21" s="10">
        <v>100</v>
      </c>
      <c r="J21" s="10" t="s">
        <v>153</v>
      </c>
      <c r="K21" s="10">
        <v>100</v>
      </c>
      <c r="N21" s="6" t="s">
        <v>15</v>
      </c>
      <c r="O21" s="18">
        <f>SUM(O5:O20)</f>
        <v>5615</v>
      </c>
      <c r="P21" s="18">
        <f>SUM(P5:P20)</f>
        <v>5315</v>
      </c>
      <c r="Q21" s="18">
        <f>SUM(Q5:Q20)</f>
        <v>5200</v>
      </c>
      <c r="R21" s="18">
        <f t="array" ref="R21">SUM(R5:R20)</f>
        <v>7515</v>
      </c>
      <c r="S21" s="36">
        <f>SUM(S5:S20)</f>
        <v>6615</v>
      </c>
      <c r="T21" s="1">
        <f>SUM(O95:O98)</f>
        <v>5615</v>
      </c>
      <c r="U21" s="1">
        <f>SUM(P95:P98)</f>
        <v>5315</v>
      </c>
      <c r="V21" s="1">
        <f>SUM(Q95:Q98)</f>
        <v>5200</v>
      </c>
      <c r="W21" s="1">
        <f>SUM(R95:R98)</f>
        <v>7515</v>
      </c>
      <c r="X21" s="1">
        <f>SUM(S95:S98)</f>
        <v>6615</v>
      </c>
      <c r="BB21" s="59" t="str">
        <f>IFERROR($BC$2&amp;VLOOKUP(B23,'Pay Table'!$M$3:$N$18,2,FALSE)&amp;$BB$2&amp;C23&amp;$BD$2,"")</f>
        <v>[2,100]</v>
      </c>
      <c r="BC21" s="49" t="str">
        <f>IFERROR($BC$2&amp;VLOOKUP(D23,'Pay Table'!$M$3:$N$18,2,FALSE)&amp;$BB$2&amp;E23&amp;$BD$2,"")</f>
        <v>[92,100]</v>
      </c>
      <c r="BD21" s="49" t="str">
        <f>IFERROR($BC$2&amp;VLOOKUP(F23,'Pay Table'!$M$3:$N$18,2,FALSE)&amp;$BB$2&amp;G23&amp;$BD$2,"")</f>
        <v>[8,100]</v>
      </c>
      <c r="BE21" s="49" t="str">
        <f>IFERROR($BC$2&amp;VLOOKUP(H23,'Pay Table'!$M$3:$N$18,2,FALSE)&amp;$BB$2&amp;I23&amp;$BD$2,"")</f>
        <v>[5,100]</v>
      </c>
      <c r="BF21" s="60" t="str">
        <f>IFERROR($BC$2&amp;VLOOKUP(J23,'Pay Table'!$M$3:$N$18,2,FALSE)&amp;$BB$2&amp;K23&amp;$BD$2,"")</f>
        <v>[6,100]</v>
      </c>
    </row>
    <row r="22" spans="1:58" ht="17.100000000000001" customHeight="1" x14ac:dyDescent="0.15">
      <c r="A22" s="14">
        <v>18</v>
      </c>
      <c r="B22" s="10" t="s">
        <v>153</v>
      </c>
      <c r="C22" s="10">
        <v>100</v>
      </c>
      <c r="D22" s="10" t="s">
        <v>121</v>
      </c>
      <c r="E22" s="10">
        <v>100</v>
      </c>
      <c r="F22" s="10" t="s">
        <v>148</v>
      </c>
      <c r="G22" s="10">
        <v>100</v>
      </c>
      <c r="H22" s="10" t="s">
        <v>148</v>
      </c>
      <c r="I22" s="10">
        <v>100</v>
      </c>
      <c r="J22" s="10" t="s">
        <v>153</v>
      </c>
      <c r="K22" s="10">
        <v>100</v>
      </c>
      <c r="N22" s="1" t="s">
        <v>11</v>
      </c>
      <c r="O22" s="1">
        <f>O21*P21*Q21*R21*S21</f>
        <v>7.7146318609132503E+18</v>
      </c>
      <c r="BB22" s="59" t="str">
        <f>IFERROR($BC$2&amp;VLOOKUP(B24,'Pay Table'!$M$3:$N$18,2,FALSE)&amp;$BB$2&amp;C24&amp;$BD$2,"")</f>
        <v>[8,100]</v>
      </c>
      <c r="BC22" s="49" t="str">
        <f>IFERROR($BC$2&amp;VLOOKUP(D24,'Pay Table'!$M$3:$N$18,2,FALSE)&amp;$BB$2&amp;E24&amp;$BD$2,"")</f>
        <v>[7,100]</v>
      </c>
      <c r="BD22" s="49" t="str">
        <f>IFERROR($BC$2&amp;VLOOKUP(F24,'Pay Table'!$M$3:$N$18,2,FALSE)&amp;$BB$2&amp;G24&amp;$BD$2,"")</f>
        <v>[5,100]</v>
      </c>
      <c r="BE22" s="49" t="str">
        <f>IFERROR($BC$2&amp;VLOOKUP(H24,'Pay Table'!$M$3:$N$18,2,FALSE)&amp;$BB$2&amp;I24&amp;$BD$2,"")</f>
        <v>[7,100]</v>
      </c>
      <c r="BF22" s="60" t="str">
        <f>IFERROR($BC$2&amp;VLOOKUP(J24,'Pay Table'!$M$3:$N$18,2,FALSE)&amp;$BB$2&amp;K24&amp;$BD$2,"")</f>
        <v>[5,100]</v>
      </c>
    </row>
    <row r="23" spans="1:58" ht="17.100000000000001" customHeight="1" x14ac:dyDescent="0.15">
      <c r="A23" s="14">
        <v>19</v>
      </c>
      <c r="B23" s="10" t="s">
        <v>151</v>
      </c>
      <c r="C23" s="10">
        <v>100</v>
      </c>
      <c r="D23" s="10" t="s">
        <v>122</v>
      </c>
      <c r="E23" s="10">
        <v>100</v>
      </c>
      <c r="F23" s="10" t="s">
        <v>120</v>
      </c>
      <c r="G23" s="10">
        <v>100</v>
      </c>
      <c r="H23" s="10" t="s">
        <v>131</v>
      </c>
      <c r="I23" s="10">
        <v>100</v>
      </c>
      <c r="J23" s="10" t="s">
        <v>121</v>
      </c>
      <c r="K23" s="10">
        <v>100</v>
      </c>
      <c r="BB23" s="59" t="str">
        <f>IFERROR($BC$2&amp;VLOOKUP(B25,'Pay Table'!$M$3:$N$18,2,FALSE)&amp;$BB$2&amp;C25&amp;$BD$2,"")</f>
        <v>[2,100]</v>
      </c>
      <c r="BC23" s="49" t="str">
        <f>IFERROR($BC$2&amp;VLOOKUP(D25,'Pay Table'!$M$3:$N$18,2,FALSE)&amp;$BB$2&amp;E25&amp;$BD$2,"")</f>
        <v>[3,100]</v>
      </c>
      <c r="BD23" s="49" t="str">
        <f>IFERROR($BC$2&amp;VLOOKUP(F25,'Pay Table'!$M$3:$N$18,2,FALSE)&amp;$BB$2&amp;G25&amp;$BD$2,"")</f>
        <v>[92,100]</v>
      </c>
      <c r="BE23" s="49" t="str">
        <f>IFERROR($BC$2&amp;VLOOKUP(H25,'Pay Table'!$M$3:$N$18,2,FALSE)&amp;$BB$2&amp;I25&amp;$BD$2,"")</f>
        <v>[0,100]</v>
      </c>
      <c r="BF23" s="60" t="str">
        <f>IFERROR($BC$2&amp;VLOOKUP(J25,'Pay Table'!$M$3:$N$18,2,FALSE)&amp;$BB$2&amp;K25&amp;$BD$2,"")</f>
        <v>[2,25]</v>
      </c>
    </row>
    <row r="24" spans="1:58" ht="17.100000000000001" customHeight="1" x14ac:dyDescent="0.15">
      <c r="A24" s="14">
        <v>20</v>
      </c>
      <c r="B24" s="10" t="s">
        <v>120</v>
      </c>
      <c r="C24" s="10">
        <v>100</v>
      </c>
      <c r="D24" s="10" t="s">
        <v>119</v>
      </c>
      <c r="E24" s="10">
        <v>100</v>
      </c>
      <c r="F24" s="10" t="s">
        <v>131</v>
      </c>
      <c r="G24" s="10">
        <v>100</v>
      </c>
      <c r="H24" s="10" t="s">
        <v>119</v>
      </c>
      <c r="I24" s="10">
        <v>100</v>
      </c>
      <c r="J24" s="10" t="s">
        <v>123</v>
      </c>
      <c r="K24" s="10">
        <v>100</v>
      </c>
      <c r="N24" s="37"/>
      <c r="O24" s="1" t="s">
        <v>27</v>
      </c>
      <c r="T24" s="1" t="s">
        <v>28</v>
      </c>
      <c r="AA24" s="1" t="s">
        <v>28</v>
      </c>
      <c r="AB24" s="1" t="s">
        <v>41</v>
      </c>
      <c r="AG24" s="1" t="s">
        <v>28</v>
      </c>
      <c r="AH24" s="1" t="s">
        <v>42</v>
      </c>
      <c r="AM24" s="1" t="s">
        <v>28</v>
      </c>
      <c r="AN24" s="1" t="s">
        <v>43</v>
      </c>
      <c r="AR24" s="1" t="s">
        <v>28</v>
      </c>
      <c r="AS24" s="1" t="s">
        <v>44</v>
      </c>
      <c r="AV24" s="1" t="s">
        <v>28</v>
      </c>
      <c r="AW24" s="1" t="s">
        <v>113</v>
      </c>
      <c r="BB24" s="59" t="str">
        <f>IFERROR($BC$2&amp;VLOOKUP(B26,'Pay Table'!$M$3:$N$18,2,FALSE)&amp;$BB$2&amp;C26&amp;$BD$2,"")</f>
        <v>[3,100]</v>
      </c>
      <c r="BC24" s="49" t="str">
        <f>IFERROR($BC$2&amp;VLOOKUP(D26,'Pay Table'!$M$3:$N$18,2,FALSE)&amp;$BB$2&amp;E26&amp;$BD$2,"")</f>
        <v>[4,100]</v>
      </c>
      <c r="BD24" s="49" t="str">
        <f>IFERROR($BC$2&amp;VLOOKUP(F26,'Pay Table'!$M$3:$N$18,2,FALSE)&amp;$BB$2&amp;G26&amp;$BD$2,"")</f>
        <v>[0,100]</v>
      </c>
      <c r="BE24" s="49" t="str">
        <f>IFERROR($BC$2&amp;VLOOKUP(H26,'Pay Table'!$M$3:$N$18,2,FALSE)&amp;$BB$2&amp;I26&amp;$BD$2,"")</f>
        <v>[5,100]</v>
      </c>
      <c r="BF24" s="60" t="str">
        <f>IFERROR($BC$2&amp;VLOOKUP(J26,'Pay Table'!$M$3:$N$18,2,FALSE)&amp;$BB$2&amp;K26&amp;$BD$2,"")</f>
        <v>[2,25]</v>
      </c>
    </row>
    <row r="25" spans="1:58" ht="17.100000000000001" customHeight="1" x14ac:dyDescent="0.15">
      <c r="A25" s="14">
        <v>21</v>
      </c>
      <c r="B25" s="10" t="s">
        <v>151</v>
      </c>
      <c r="C25" s="10">
        <v>100</v>
      </c>
      <c r="D25" s="10" t="s">
        <v>172</v>
      </c>
      <c r="E25" s="10">
        <v>100</v>
      </c>
      <c r="F25" s="10" t="s">
        <v>122</v>
      </c>
      <c r="G25" s="10">
        <v>100</v>
      </c>
      <c r="H25" s="10" t="s">
        <v>153</v>
      </c>
      <c r="I25" s="10">
        <v>100</v>
      </c>
      <c r="J25" s="10" t="s">
        <v>151</v>
      </c>
      <c r="K25" s="10">
        <v>25</v>
      </c>
      <c r="N25" s="6" t="s">
        <v>4</v>
      </c>
      <c r="O25" s="18">
        <v>2</v>
      </c>
      <c r="P25" s="18">
        <v>3</v>
      </c>
      <c r="Q25" s="18">
        <v>4</v>
      </c>
      <c r="R25" s="36">
        <v>5</v>
      </c>
      <c r="T25" s="17" t="str">
        <f t="shared" ref="T25:U40" si="3">N25</f>
        <v>Symbol</v>
      </c>
      <c r="U25" s="18">
        <f>O25</f>
        <v>2</v>
      </c>
      <c r="V25" s="18">
        <f>P25</f>
        <v>3</v>
      </c>
      <c r="W25" s="18">
        <f>Q25</f>
        <v>4</v>
      </c>
      <c r="X25" s="36">
        <f>R25</f>
        <v>5</v>
      </c>
      <c r="Y25" s="1" t="s">
        <v>12</v>
      </c>
      <c r="AA25" s="6" t="s">
        <v>4</v>
      </c>
      <c r="AB25" s="18">
        <v>2</v>
      </c>
      <c r="AC25" s="18">
        <v>3</v>
      </c>
      <c r="AD25" s="18">
        <v>4</v>
      </c>
      <c r="AE25" s="36">
        <v>5</v>
      </c>
      <c r="AG25" s="6" t="s">
        <v>4</v>
      </c>
      <c r="AH25" s="18">
        <v>2</v>
      </c>
      <c r="AI25" s="18">
        <v>3</v>
      </c>
      <c r="AJ25" s="18">
        <v>4</v>
      </c>
      <c r="AK25" s="36">
        <v>5</v>
      </c>
      <c r="AM25" s="6" t="s">
        <v>4</v>
      </c>
      <c r="AN25" s="18">
        <v>3</v>
      </c>
      <c r="AO25" s="18">
        <v>4</v>
      </c>
      <c r="AP25" s="36">
        <v>5</v>
      </c>
      <c r="AR25" s="6" t="s">
        <v>4</v>
      </c>
      <c r="AS25" s="18">
        <v>4</v>
      </c>
      <c r="AT25" s="36">
        <v>5</v>
      </c>
      <c r="AV25" s="6" t="s">
        <v>4</v>
      </c>
      <c r="AW25" s="36">
        <v>5</v>
      </c>
      <c r="BB25" s="59" t="str">
        <f>IFERROR($BC$2&amp;VLOOKUP(B27,'Pay Table'!$M$3:$N$18,2,FALSE)&amp;$BB$2&amp;C27&amp;$BD$2,"")</f>
        <v>[2,100]</v>
      </c>
      <c r="BC25" s="49" t="str">
        <f>IFERROR($BC$2&amp;VLOOKUP(D27,'Pay Table'!$M$3:$N$18,2,FALSE)&amp;$BB$2&amp;E27&amp;$BD$2,"")</f>
        <v>[4,100]</v>
      </c>
      <c r="BD25" s="49" t="str">
        <f>IFERROR($BC$2&amp;VLOOKUP(F27,'Pay Table'!$M$3:$N$18,2,FALSE)&amp;$BB$2&amp;G27&amp;$BD$2,"")</f>
        <v>[0,100]</v>
      </c>
      <c r="BE25" s="49" t="str">
        <f>IFERROR($BC$2&amp;VLOOKUP(H27,'Pay Table'!$M$3:$N$18,2,FALSE)&amp;$BB$2&amp;I27&amp;$BD$2,"")</f>
        <v>[8,100]</v>
      </c>
      <c r="BF25" s="60" t="str">
        <f>IFERROR($BC$2&amp;VLOOKUP(J27,'Pay Table'!$M$3:$N$18,2,FALSE)&amp;$BB$2&amp;K27&amp;$BD$2,"")</f>
        <v>[94,25]</v>
      </c>
    </row>
    <row r="26" spans="1:58" ht="17.100000000000001" customHeight="1" x14ac:dyDescent="0.15">
      <c r="A26" s="14">
        <v>22</v>
      </c>
      <c r="B26" s="10" t="s">
        <v>172</v>
      </c>
      <c r="C26" s="10">
        <v>100</v>
      </c>
      <c r="D26" s="10" t="s">
        <v>148</v>
      </c>
      <c r="E26" s="10">
        <v>100</v>
      </c>
      <c r="F26" s="10" t="s">
        <v>153</v>
      </c>
      <c r="G26" s="10">
        <v>100</v>
      </c>
      <c r="H26" s="10" t="s">
        <v>123</v>
      </c>
      <c r="I26" s="10">
        <v>100</v>
      </c>
      <c r="J26" s="10" t="s">
        <v>151</v>
      </c>
      <c r="K26" s="10">
        <v>25</v>
      </c>
      <c r="N26" s="3" t="str">
        <f t="shared" ref="N26:N41" si="4">N5</f>
        <v>LINK</v>
      </c>
      <c r="O26" s="21"/>
      <c r="P26" s="21"/>
      <c r="Q26" s="21"/>
      <c r="R26" s="20"/>
      <c r="T26" s="7" t="str">
        <f t="shared" si="3"/>
        <v>LINK</v>
      </c>
      <c r="U26" s="21"/>
      <c r="V26" s="21"/>
      <c r="W26" s="21"/>
      <c r="X26" s="20"/>
      <c r="AA26" s="3" t="str">
        <f t="shared" ref="AA26:AA41" si="5">N5</f>
        <v>LINK</v>
      </c>
      <c r="AB26" s="7"/>
      <c r="AC26" s="21"/>
      <c r="AD26" s="21"/>
      <c r="AE26" s="20"/>
      <c r="AG26" s="3" t="str">
        <f>AA26</f>
        <v>LINK</v>
      </c>
      <c r="AH26" s="7"/>
      <c r="AI26" s="21"/>
      <c r="AJ26" s="21"/>
      <c r="AK26" s="20"/>
      <c r="AM26" s="3" t="str">
        <f>AG26</f>
        <v>LINK</v>
      </c>
      <c r="AN26" s="21"/>
      <c r="AO26" s="21"/>
      <c r="AP26" s="20"/>
      <c r="AR26" s="3" t="str">
        <f t="shared" ref="AR26:AR41" si="6">AM26</f>
        <v>LINK</v>
      </c>
      <c r="AS26" s="21"/>
      <c r="AT26" s="20"/>
      <c r="AV26" s="3" t="str">
        <f t="shared" ref="AV26:AV41" si="7">AR26</f>
        <v>LINK</v>
      </c>
      <c r="AW26" s="20"/>
      <c r="BB26" s="59" t="str">
        <f>IFERROR($BC$2&amp;VLOOKUP(B28,'Pay Table'!$M$3:$N$18,2,FALSE)&amp;$BB$2&amp;C28&amp;$BD$2,"")</f>
        <v>[7,100]</v>
      </c>
      <c r="BC26" s="49" t="str">
        <f>IFERROR($BC$2&amp;VLOOKUP(D28,'Pay Table'!$M$3:$N$18,2,FALSE)&amp;$BB$2&amp;E28&amp;$BD$2,"")</f>
        <v>[0,100]</v>
      </c>
      <c r="BD26" s="49" t="str">
        <f>IFERROR($BC$2&amp;VLOOKUP(F28,'Pay Table'!$M$3:$N$18,2,FALSE)&amp;$BB$2&amp;G28&amp;$BD$2,"")</f>
        <v>[0,100]</v>
      </c>
      <c r="BE26" s="49" t="str">
        <f>IFERROR($BC$2&amp;VLOOKUP(H28,'Pay Table'!$M$3:$N$18,2,FALSE)&amp;$BB$2&amp;I28&amp;$BD$2,"")</f>
        <v>[2,100]</v>
      </c>
      <c r="BF26" s="60" t="str">
        <f>IFERROR($BC$2&amp;VLOOKUP(J28,'Pay Table'!$M$3:$N$18,2,FALSE)&amp;$BB$2&amp;K28&amp;$BD$2,"")</f>
        <v>[8,100]</v>
      </c>
    </row>
    <row r="27" spans="1:58" ht="17.100000000000001" customHeight="1" x14ac:dyDescent="0.15">
      <c r="A27" s="14">
        <v>23</v>
      </c>
      <c r="B27" s="10" t="s">
        <v>151</v>
      </c>
      <c r="C27" s="10">
        <v>100</v>
      </c>
      <c r="D27" s="10" t="s">
        <v>148</v>
      </c>
      <c r="E27" s="10">
        <v>100</v>
      </c>
      <c r="F27" s="10" t="s">
        <v>153</v>
      </c>
      <c r="G27" s="10">
        <v>100</v>
      </c>
      <c r="H27" s="10" t="s">
        <v>120</v>
      </c>
      <c r="I27" s="10">
        <v>100</v>
      </c>
      <c r="J27" s="10" t="s">
        <v>47</v>
      </c>
      <c r="K27" s="10">
        <v>25</v>
      </c>
      <c r="N27" s="4" t="str">
        <f t="shared" si="4"/>
        <v>WILD</v>
      </c>
      <c r="R27" s="5"/>
      <c r="T27" s="2" t="str">
        <f t="shared" si="3"/>
        <v>WILD</v>
      </c>
      <c r="V27" s="1">
        <f>P27</f>
        <v>0</v>
      </c>
      <c r="W27" s="1">
        <f>Q27</f>
        <v>0</v>
      </c>
      <c r="X27" s="5">
        <f>R27</f>
        <v>0</v>
      </c>
      <c r="Y27" s="1">
        <f>SUM(U27:X27)</f>
        <v>0</v>
      </c>
      <c r="AA27" s="4" t="str">
        <f t="shared" si="5"/>
        <v>WILD</v>
      </c>
      <c r="AB27" s="2"/>
      <c r="AE27" s="5"/>
      <c r="AG27" s="4" t="str">
        <f t="shared" ref="AG27:AG41" si="8">AA27</f>
        <v>WILD</v>
      </c>
      <c r="AH27" s="2"/>
      <c r="AK27" s="5"/>
      <c r="AM27" s="4" t="str">
        <f t="shared" ref="AM27:AM41" si="9">AG27</f>
        <v>WILD</v>
      </c>
      <c r="AP27" s="5"/>
      <c r="AR27" s="4" t="str">
        <f t="shared" si="6"/>
        <v>WILD</v>
      </c>
      <c r="AT27" s="5"/>
      <c r="AV27" s="4" t="str">
        <f t="shared" si="7"/>
        <v>WILD</v>
      </c>
      <c r="AW27" s="5"/>
      <c r="BB27" s="59" t="str">
        <f>IFERROR($BC$2&amp;VLOOKUP(B29,'Pay Table'!$M$3:$N$18,2,FALSE)&amp;$BB$2&amp;C29&amp;$BD$2,"")</f>
        <v>[6,100]</v>
      </c>
      <c r="BC27" s="49" t="str">
        <f>IFERROR($BC$2&amp;VLOOKUP(D29,'Pay Table'!$M$3:$N$18,2,FALSE)&amp;$BB$2&amp;E29&amp;$BD$2,"")</f>
        <v>[0,100]</v>
      </c>
      <c r="BD27" s="49" t="str">
        <f>IFERROR($BC$2&amp;VLOOKUP(F29,'Pay Table'!$M$3:$N$18,2,FALSE)&amp;$BB$2&amp;G29&amp;$BD$2,"")</f>
        <v>[2,100]</v>
      </c>
      <c r="BE27" s="49" t="str">
        <f>IFERROR($BC$2&amp;VLOOKUP(H29,'Pay Table'!$M$3:$N$18,2,FALSE)&amp;$BB$2&amp;I29&amp;$BD$2,"")</f>
        <v>[7,100]</v>
      </c>
      <c r="BF27" s="60" t="str">
        <f>IFERROR($BC$2&amp;VLOOKUP(J29,'Pay Table'!$M$3:$N$18,2,FALSE)&amp;$BB$2&amp;K29&amp;$BD$2,"")</f>
        <v>[7,100]</v>
      </c>
    </row>
    <row r="28" spans="1:58" ht="17.100000000000001" customHeight="1" x14ac:dyDescent="0.15">
      <c r="A28" s="14">
        <v>24</v>
      </c>
      <c r="B28" s="10" t="s">
        <v>119</v>
      </c>
      <c r="C28" s="10">
        <v>100</v>
      </c>
      <c r="D28" s="10" t="s">
        <v>153</v>
      </c>
      <c r="E28" s="10">
        <v>100</v>
      </c>
      <c r="F28" s="10" t="s">
        <v>153</v>
      </c>
      <c r="G28" s="10">
        <v>100</v>
      </c>
      <c r="H28" s="10" t="s">
        <v>126</v>
      </c>
      <c r="I28" s="10">
        <v>100</v>
      </c>
      <c r="J28" s="10" t="s">
        <v>120</v>
      </c>
      <c r="K28" s="10">
        <v>100</v>
      </c>
      <c r="N28" s="4" t="str">
        <f t="shared" si="4"/>
        <v>M1</v>
      </c>
      <c r="O28" s="1">
        <f t="shared" ref="O28:O40" si="10">O7*($P$6+P7)*($Q$21-Q7-$Q$6)*$R$21*$S$21</f>
        <v>1.180498119609375E+17</v>
      </c>
      <c r="P28" s="1">
        <f t="shared" ref="P28:P40" si="11">O7*($P$6+P7)*($Q$6+Q7)*($R$21-R7-$R$6)*$S$21</f>
        <v>3.49262387578125E+16</v>
      </c>
      <c r="Q28" s="1">
        <f t="shared" ref="Q28:Q40" si="12">O7*($P$6+P7)*($Q$6+Q7)*($R$6+R7)*($S$21-S7-$S$6)</f>
        <v>9138427031250000</v>
      </c>
      <c r="R28" s="5">
        <f t="shared" ref="R28:R40" si="13">O7*($P$6+P7)*($Q$6+Q7)*($R$6+R7)*($S$6+S7)</f>
        <v>2679890625000000</v>
      </c>
      <c r="T28" s="2" t="str">
        <f t="shared" si="3"/>
        <v>M1</v>
      </c>
      <c r="U28" s="1">
        <f>O28</f>
        <v>1.180498119609375E+17</v>
      </c>
      <c r="V28" s="1">
        <f t="shared" ref="V28:X40" si="14">P28</f>
        <v>3.49262387578125E+16</v>
      </c>
      <c r="W28" s="1">
        <f t="shared" si="14"/>
        <v>9138427031250000</v>
      </c>
      <c r="X28" s="5">
        <f>R28</f>
        <v>2679890625000000</v>
      </c>
      <c r="Y28" s="1">
        <f t="shared" ref="Y28:Y38" si="15">SUM(U28:X28)</f>
        <v>1.64794368375E+17</v>
      </c>
      <c r="AA28" s="4" t="str">
        <f t="shared" si="5"/>
        <v>M1</v>
      </c>
      <c r="AB28" s="2">
        <f t="shared" ref="AB28:AB40" si="16">O7*P7*($Q$21-Q7-$Q$6)*$R$21*$S$21</f>
        <v>6.481166146875E+16</v>
      </c>
      <c r="AC28" s="1">
        <f t="shared" ref="AC28:AC40" si="17">O7*P7*Q7*($R$21-R7-$R$6)*$S$21</f>
        <v>1.300012875E+16</v>
      </c>
      <c r="AD28" s="1">
        <f t="shared" ref="AD28:AD40" si="18">O7*P7*Q7*R7*($S$21-S7-$S$6)</f>
        <v>1969275000000000</v>
      </c>
      <c r="AE28" s="5">
        <f>O7*P7*Q7*R7*S7</f>
        <v>346500000000000</v>
      </c>
      <c r="AG28" s="4" t="str">
        <f t="shared" si="8"/>
        <v>M1</v>
      </c>
      <c r="AH28" s="2">
        <f t="shared" ref="AH28:AH40" si="19">O7*$P$6*($Q$21-Q7-$Q$6)*$R$21*$S$21</f>
        <v>5.3238150492187504E+16</v>
      </c>
      <c r="AI28" s="1">
        <f t="shared" ref="AI28:AI40" si="20">O7*$P$6*Q7*($R$21-R7-$R$6)*$S$21+
O7*P7*$Q$6*($R$21-R7-$R$6)*$S$21</f>
        <v>1.685373834375E+16</v>
      </c>
      <c r="AJ28" s="1">
        <f t="shared" ref="AJ28:AJ40" si="21">O7*$P$6*Q7*R7*($S$21-S7-$S$6)+
O7*P7*$Q$6*R7*($S$21-S7-$S$6)+
O7*P7*Q7*$R$6*($S$21-S7-$S$6)</f>
        <v>3985224375000000</v>
      </c>
      <c r="AK28" s="5">
        <f t="array" ref="AK28">O7*$P$6*Q7*R7*S7+
O7*P7*$Q$6*R7*S7+
O7*P7*Q7*$R$6*S7+
O7*P7*Q7*R7*$S$6</f>
        <v>932212500000000</v>
      </c>
      <c r="AM28" s="4" t="str">
        <f t="shared" si="9"/>
        <v>M1</v>
      </c>
      <c r="AN28" s="1">
        <f t="shared" ref="AN28:AN40" si="22">O7*$P$6*$Q$6*($R$21-R7-$R$6)*$S$21</f>
        <v>5072371664062500</v>
      </c>
      <c r="AO28" s="1">
        <f t="shared" ref="AO28:AO40" si="23">O7*$P$6*$Q$6*R7*($S$21-S7-$S$6)+
O7*$P$6*Q7*$R$6*($S$21-S7-$S$6)+
O7*P7*$Q$6*$R$6*($S$21-S7-$S$6)</f>
        <v>2625113906250000</v>
      </c>
      <c r="AP28" s="5">
        <f t="array" ref="AP28">O7*$P$6*$Q$6*R7*S7+
O7*$P$6*Q7*$R$6*S7+
O7*P7*$Q$6*$R$6*S7+
O7*P7*$Q$6*R7*$S$6+
O7*P7*Q7*$R$6*$S$6+
O7*$P$6*Q7*R7*$S$6</f>
        <v>929371875000000</v>
      </c>
      <c r="AR28" s="4" t="str">
        <f t="shared" si="6"/>
        <v>M1</v>
      </c>
      <c r="AS28" s="1">
        <f t="shared" ref="AS28:AS41" si="24">O7*$P$6*$Q$6*$R$6*($S$21-S7-$S$6)</f>
        <v>558813750000000</v>
      </c>
      <c r="AT28" s="5">
        <f t="shared" ref="AT28:AT41" si="25">O7*$P$6*$Q$6*$R$6*S7+
O7*$P$6*$Q$6*R7*$S$6+
O7*$P$6*Q7*$R$6*$S$6+
O7*P7*$Q$6*$R$6*$S$6</f>
        <v>406256250000000</v>
      </c>
      <c r="AV28" s="4" t="str">
        <f t="shared" si="7"/>
        <v>M1</v>
      </c>
      <c r="AW28" s="5">
        <f t="shared" ref="AW28:AW41" si="26">O7*$P$6*$Q$6*$R$6*$S$6</f>
        <v>65550000000000</v>
      </c>
      <c r="BB28" s="59" t="str">
        <f>IFERROR($BC$2&amp;VLOOKUP(B30,'Pay Table'!$M$3:$N$18,2,FALSE)&amp;$BB$2&amp;C30&amp;$BD$2,"")</f>
        <v>[1,100]</v>
      </c>
      <c r="BC28" s="49" t="str">
        <f>IFERROR($BC$2&amp;VLOOKUP(D30,'Pay Table'!$M$3:$N$18,2,FALSE)&amp;$BB$2&amp;E30&amp;$BD$2,"")</f>
        <v>[0,100]</v>
      </c>
      <c r="BD28" s="49" t="str">
        <f>IFERROR($BC$2&amp;VLOOKUP(F30,'Pay Table'!$M$3:$N$18,2,FALSE)&amp;$BB$2&amp;G30&amp;$BD$2,"")</f>
        <v>[7,100]</v>
      </c>
      <c r="BE28" s="49" t="str">
        <f>IFERROR($BC$2&amp;VLOOKUP(H30,'Pay Table'!$M$3:$N$18,2,FALSE)&amp;$BB$2&amp;I30&amp;$BD$2,"")</f>
        <v>[1,100]</v>
      </c>
      <c r="BF28" s="60" t="str">
        <f>IFERROR($BC$2&amp;VLOOKUP(J30,'Pay Table'!$M$3:$N$18,2,FALSE)&amp;$BB$2&amp;K30&amp;$BD$2,"")</f>
        <v>[6,100]</v>
      </c>
    </row>
    <row r="29" spans="1:58" ht="17.100000000000001" customHeight="1" x14ac:dyDescent="0.15">
      <c r="A29" s="14">
        <v>25</v>
      </c>
      <c r="B29" s="10" t="s">
        <v>121</v>
      </c>
      <c r="C29" s="10">
        <v>100</v>
      </c>
      <c r="D29" s="10" t="s">
        <v>153</v>
      </c>
      <c r="E29" s="10">
        <v>100</v>
      </c>
      <c r="F29" s="10" t="s">
        <v>151</v>
      </c>
      <c r="G29" s="10">
        <v>100</v>
      </c>
      <c r="H29" s="10" t="s">
        <v>119</v>
      </c>
      <c r="I29" s="10">
        <v>100</v>
      </c>
      <c r="J29" s="10" t="s">
        <v>119</v>
      </c>
      <c r="K29" s="10">
        <v>100</v>
      </c>
      <c r="N29" s="4" t="str">
        <f t="shared" si="4"/>
        <v>M2</v>
      </c>
      <c r="O29" s="1">
        <f t="shared" si="10"/>
        <v>1.973710831640625E+17</v>
      </c>
      <c r="P29" s="1">
        <f t="shared" si="11"/>
        <v>3.9800522179687504E+16</v>
      </c>
      <c r="Q29" s="1">
        <f t="shared" si="12"/>
        <v>8645331406250000</v>
      </c>
      <c r="R29" s="5">
        <f t="shared" si="13"/>
        <v>2990246875000000</v>
      </c>
      <c r="T29" s="2" t="str">
        <f t="shared" si="3"/>
        <v>M2</v>
      </c>
      <c r="U29" s="1">
        <f t="shared" si="3"/>
        <v>1.973710831640625E+17</v>
      </c>
      <c r="V29" s="1">
        <f t="shared" si="14"/>
        <v>3.9800522179687504E+16</v>
      </c>
      <c r="W29" s="1">
        <f t="shared" si="14"/>
        <v>8645331406250000</v>
      </c>
      <c r="X29" s="5">
        <f t="shared" si="14"/>
        <v>2990246875000000</v>
      </c>
      <c r="Y29" s="1">
        <f t="shared" si="15"/>
        <v>2.48807183625E+17</v>
      </c>
      <c r="AA29" s="4" t="str">
        <f t="shared" si="5"/>
        <v>M2</v>
      </c>
      <c r="AB29" s="2">
        <f t="shared" si="16"/>
        <v>1.1483408475E+17</v>
      </c>
      <c r="AC29" s="1">
        <f t="shared" si="17"/>
        <v>1.29246516E+16</v>
      </c>
      <c r="AD29" s="1">
        <f t="shared" si="18"/>
        <v>1486296000000000</v>
      </c>
      <c r="AE29" s="5">
        <f t="shared" ref="AE29:AE40" si="27">O8*P8*Q8*R8*S8</f>
        <v>332640000000000</v>
      </c>
      <c r="AG29" s="4" t="str">
        <f t="shared" si="8"/>
        <v>M2</v>
      </c>
      <c r="AH29" s="2">
        <f t="shared" si="19"/>
        <v>8.2536998414062496E+16</v>
      </c>
      <c r="AI29" s="1">
        <f t="shared" si="20"/>
        <v>1.95216091875E+16</v>
      </c>
      <c r="AJ29" s="1">
        <f t="shared" si="21"/>
        <v>3566078250000000</v>
      </c>
      <c r="AK29" s="5">
        <f t="array" ref="AK29">O8*$P$6*Q8*R8*S8+
O8*P8*$Q$6*R8*S8+
O8*P8*Q8*$R$6*S8+
O8*P8*Q8*R8*$S$6</f>
        <v>979545000000000</v>
      </c>
      <c r="AM29" s="4" t="str">
        <f t="shared" si="9"/>
        <v>M2</v>
      </c>
      <c r="AN29" s="1">
        <f t="shared" si="22"/>
        <v>7354261392187500</v>
      </c>
      <c r="AO29" s="1">
        <f t="shared" si="23"/>
        <v>2841207906250000</v>
      </c>
      <c r="AP29" s="5">
        <f t="array" ref="AP29">O8*$P$6*$Q$6*R8*S8+
O8*$P$6*Q8*$R$6*S8+
O8*P8*$Q$6*$R$6*S8+
O8*P8*$Q$6*R8*$S$6+
O8*P8*Q8*$R$6*$S$6+
O8*$P$6*Q8*R8*$S$6</f>
        <v>1071205625000000</v>
      </c>
      <c r="AR29" s="4" t="str">
        <f t="shared" si="6"/>
        <v>M2</v>
      </c>
      <c r="AS29" s="1">
        <f t="shared" si="24"/>
        <v>751749250000000</v>
      </c>
      <c r="AT29" s="5">
        <f t="shared" si="25"/>
        <v>515086250000000</v>
      </c>
      <c r="AV29" s="4" t="str">
        <f t="shared" si="7"/>
        <v>M2</v>
      </c>
      <c r="AW29" s="5">
        <f t="shared" si="26"/>
        <v>91770000000000</v>
      </c>
      <c r="BB29" s="59" t="str">
        <f>IFERROR($BC$2&amp;VLOOKUP(B31,'Pay Table'!$M$3:$N$18,2,FALSE)&amp;$BB$2&amp;C31&amp;$BD$2,"")</f>
        <v>[1,100]</v>
      </c>
      <c r="BC29" s="49" t="str">
        <f>IFERROR($BC$2&amp;VLOOKUP(D31,'Pay Table'!$M$3:$N$18,2,FALSE)&amp;$BB$2&amp;E31&amp;$BD$2,"")</f>
        <v>[6,100]</v>
      </c>
      <c r="BD29" s="49" t="str">
        <f>IFERROR($BC$2&amp;VLOOKUP(F31,'Pay Table'!$M$3:$N$18,2,FALSE)&amp;$BB$2&amp;G31&amp;$BD$2,"")</f>
        <v>[6,100]</v>
      </c>
      <c r="BE29" s="49" t="str">
        <f>IFERROR($BC$2&amp;VLOOKUP(H31,'Pay Table'!$M$3:$N$18,2,FALSE)&amp;$BB$2&amp;I31&amp;$BD$2,"")</f>
        <v>[1,100]</v>
      </c>
      <c r="BF29" s="60" t="str">
        <f>IFERROR($BC$2&amp;VLOOKUP(J31,'Pay Table'!$M$3:$N$18,2,FALSE)&amp;$BB$2&amp;K31&amp;$BD$2,"")</f>
        <v>[92,100]</v>
      </c>
    </row>
    <row r="30" spans="1:58" ht="17.100000000000001" customHeight="1" x14ac:dyDescent="0.15">
      <c r="A30" s="14">
        <v>26</v>
      </c>
      <c r="B30" s="10" t="s">
        <v>152</v>
      </c>
      <c r="C30" s="10">
        <v>100</v>
      </c>
      <c r="D30" s="10" t="s">
        <v>153</v>
      </c>
      <c r="E30" s="10">
        <v>100</v>
      </c>
      <c r="F30" s="10" t="s">
        <v>119</v>
      </c>
      <c r="G30" s="10">
        <v>100</v>
      </c>
      <c r="H30" s="10" t="s">
        <v>125</v>
      </c>
      <c r="I30" s="10">
        <v>100</v>
      </c>
      <c r="J30" s="10" t="s">
        <v>121</v>
      </c>
      <c r="K30" s="10">
        <v>100</v>
      </c>
      <c r="N30" s="4" t="str">
        <f t="shared" si="4"/>
        <v>M3</v>
      </c>
      <c r="O30" s="1">
        <f t="shared" si="10"/>
        <v>1.5118578365624998E+17</v>
      </c>
      <c r="P30" s="1">
        <f t="shared" si="11"/>
        <v>3.218077603125E+16</v>
      </c>
      <c r="Q30" s="1">
        <f t="shared" si="12"/>
        <v>8880763125000000</v>
      </c>
      <c r="R30" s="5">
        <f t="shared" si="13"/>
        <v>1628404687500000</v>
      </c>
      <c r="T30" s="2" t="str">
        <f t="shared" si="3"/>
        <v>M3</v>
      </c>
      <c r="U30" s="1">
        <f t="shared" si="3"/>
        <v>1.5118578365624998E+17</v>
      </c>
      <c r="V30" s="1">
        <f t="shared" si="14"/>
        <v>3.218077603125E+16</v>
      </c>
      <c r="W30" s="1">
        <f t="shared" si="14"/>
        <v>8880763125000000</v>
      </c>
      <c r="X30" s="5">
        <f t="shared" si="14"/>
        <v>1628404687500000</v>
      </c>
      <c r="Y30" s="1">
        <f t="shared" si="15"/>
        <v>1.9387572749999997E+17</v>
      </c>
      <c r="AA30" s="4" t="str">
        <f t="shared" si="5"/>
        <v>M3</v>
      </c>
      <c r="AB30" s="2">
        <f t="shared" si="16"/>
        <v>6.4253958053906248E+16</v>
      </c>
      <c r="AC30" s="1">
        <f t="shared" si="17"/>
        <v>8003035785937500</v>
      </c>
      <c r="AD30" s="1">
        <f t="shared" si="18"/>
        <v>1253505093750000</v>
      </c>
      <c r="AE30" s="5">
        <f t="shared" si="27"/>
        <v>95302265625000</v>
      </c>
      <c r="AG30" s="4" t="str">
        <f t="shared" si="8"/>
        <v>M3</v>
      </c>
      <c r="AH30" s="2">
        <f t="shared" si="19"/>
        <v>8.6931825602343744E+16</v>
      </c>
      <c r="AI30" s="1">
        <f t="shared" si="20"/>
        <v>1.650143067890625E+16</v>
      </c>
      <c r="AJ30" s="1">
        <f t="shared" si="21"/>
        <v>3539649140625000</v>
      </c>
      <c r="AK30" s="5">
        <f t="array" ref="AK30">O9*$P$6*Q9*R9*S9+
O9*P9*$Q$6*R9*S9+
O9*P9*Q9*$R$6*S9+
O9*P9*Q9*R9*$S$6</f>
        <v>403659023437500</v>
      </c>
      <c r="AM30" s="4" t="str">
        <f t="shared" si="9"/>
        <v>M3</v>
      </c>
      <c r="AN30" s="1">
        <f t="shared" si="22"/>
        <v>7676309566406250</v>
      </c>
      <c r="AO30" s="1">
        <f t="shared" si="23"/>
        <v>3171547640625000</v>
      </c>
      <c r="AP30" s="5">
        <f t="array" ref="AP30">O9*$P$6*$Q$6*R9*S9+
O9*$P$6*Q9*$R$6*S9+
O9*P9*$Q$6*$R$6*S9+
O9*P9*$Q$6*R9*$S$6+
O9*P9*Q9*$R$6*$S$6+
O9*$P$6*Q9*R9*$S$6</f>
        <v>621054960937500</v>
      </c>
      <c r="AR30" s="4" t="str">
        <f t="shared" si="6"/>
        <v>M3</v>
      </c>
      <c r="AS30" s="1">
        <f t="shared" si="24"/>
        <v>916061250000000</v>
      </c>
      <c r="AT30" s="5">
        <f t="shared" si="25"/>
        <v>410063437500000</v>
      </c>
      <c r="AV30" s="4" t="str">
        <f t="shared" si="7"/>
        <v>M3</v>
      </c>
      <c r="AW30" s="5">
        <f t="shared" si="26"/>
        <v>98325000000000</v>
      </c>
      <c r="BB30" s="59" t="str">
        <f>IFERROR($BC$2&amp;VLOOKUP(B32,'Pay Table'!$M$3:$N$18,2,FALSE)&amp;$BB$2&amp;C32&amp;$BD$2,"")</f>
        <v>[4,100]</v>
      </c>
      <c r="BC30" s="49" t="str">
        <f>IFERROR($BC$2&amp;VLOOKUP(D32,'Pay Table'!$M$3:$N$18,2,FALSE)&amp;$BB$2&amp;E32&amp;$BD$2,"")</f>
        <v>[5,100]</v>
      </c>
      <c r="BD30" s="49" t="str">
        <f>IFERROR($BC$2&amp;VLOOKUP(F32,'Pay Table'!$M$3:$N$18,2,FALSE)&amp;$BB$2&amp;G32&amp;$BD$2,"")</f>
        <v>[0,100]</v>
      </c>
      <c r="BE30" s="49" t="str">
        <f>IFERROR($BC$2&amp;VLOOKUP(H32,'Pay Table'!$M$3:$N$18,2,FALSE)&amp;$BB$2&amp;I32&amp;$BD$2,"")</f>
        <v>[92,100]</v>
      </c>
      <c r="BF30" s="60" t="str">
        <f>IFERROR($BC$2&amp;VLOOKUP(J32,'Pay Table'!$M$3:$N$18,2,FALSE)&amp;$BB$2&amp;K32&amp;$BD$2,"")</f>
        <v>[92,100]</v>
      </c>
    </row>
    <row r="31" spans="1:58" ht="17.100000000000001" customHeight="1" x14ac:dyDescent="0.15">
      <c r="A31" s="14">
        <v>27</v>
      </c>
      <c r="B31" s="10" t="s">
        <v>152</v>
      </c>
      <c r="C31" s="10">
        <v>100</v>
      </c>
      <c r="D31" s="10" t="s">
        <v>121</v>
      </c>
      <c r="E31" s="10">
        <v>100</v>
      </c>
      <c r="F31" s="10" t="s">
        <v>121</v>
      </c>
      <c r="G31" s="10">
        <v>100</v>
      </c>
      <c r="H31" s="10" t="s">
        <v>152</v>
      </c>
      <c r="I31" s="10">
        <v>100</v>
      </c>
      <c r="J31" s="10" t="s">
        <v>122</v>
      </c>
      <c r="K31" s="10">
        <v>100</v>
      </c>
      <c r="L31" s="1" t="s">
        <v>228</v>
      </c>
      <c r="N31" s="4" t="str">
        <f t="shared" si="4"/>
        <v>M4</v>
      </c>
      <c r="O31" s="1">
        <f t="shared" si="10"/>
        <v>1.891779694875E+17</v>
      </c>
      <c r="P31" s="1">
        <f t="shared" si="11"/>
        <v>2.74012979625E+16</v>
      </c>
      <c r="Q31" s="1">
        <f t="shared" si="12"/>
        <v>4778471750000000</v>
      </c>
      <c r="R31" s="5">
        <f t="shared" si="13"/>
        <v>953095000000000</v>
      </c>
      <c r="T31" s="2" t="str">
        <f t="shared" si="3"/>
        <v>M4</v>
      </c>
      <c r="U31" s="1">
        <f t="shared" si="3"/>
        <v>1.891779694875E+17</v>
      </c>
      <c r="V31" s="1">
        <f t="shared" si="14"/>
        <v>2.74012979625E+16</v>
      </c>
      <c r="W31" s="1">
        <f t="shared" si="14"/>
        <v>4778471750000000</v>
      </c>
      <c r="X31" s="5">
        <f t="shared" si="14"/>
        <v>953095000000000</v>
      </c>
      <c r="Y31" s="1">
        <f t="shared" si="15"/>
        <v>2.223108342E+17</v>
      </c>
      <c r="AA31" s="4" t="str">
        <f t="shared" si="5"/>
        <v>M4</v>
      </c>
      <c r="AB31" s="2">
        <f t="shared" si="16"/>
        <v>8.798975325E+16</v>
      </c>
      <c r="AC31" s="1">
        <f t="shared" si="17"/>
        <v>4933467000000000</v>
      </c>
      <c r="AD31" s="1">
        <f t="shared" si="18"/>
        <v>330900000000000</v>
      </c>
      <c r="AE31" s="5">
        <f t="shared" si="27"/>
        <v>30000000000000</v>
      </c>
      <c r="AG31" s="4" t="str">
        <f t="shared" si="8"/>
        <v>M4</v>
      </c>
      <c r="AH31" s="2">
        <f t="shared" si="19"/>
        <v>1.011882162375E+17</v>
      </c>
      <c r="AI31" s="1">
        <f t="shared" si="20"/>
        <v>1.34848098E+16</v>
      </c>
      <c r="AJ31" s="1">
        <f t="shared" si="21"/>
        <v>1433900000000000</v>
      </c>
      <c r="AK31" s="5">
        <f t="array" ref="AK31">O10*$P$6*Q10*R10*S10+
O10*P10*$Q$6*R10*S10+
O10*P10*Q10*$R$6*S10+
O10*P10*Q10*R10*$S$6</f>
        <v>166000000000000</v>
      </c>
      <c r="AM31" s="4" t="str">
        <f t="shared" si="9"/>
        <v>M4</v>
      </c>
      <c r="AN31" s="1">
        <f t="shared" si="22"/>
        <v>8983021162500000</v>
      </c>
      <c r="AO31" s="1">
        <f t="shared" si="23"/>
        <v>2049649750000000</v>
      </c>
      <c r="AP31" s="5">
        <f t="array" ref="AP31">O10*$P$6*$Q$6*R10*S10+
O10*$P$6*Q10*$R$6*S10+
O10*P10*$Q$6*$R$6*S10+
O10*P10*$Q$6*R10*$S$6+
O10*P10*Q10*$R$6*$S$6+
O10*$P$6*Q10*R10*$S$6</f>
        <v>341825000000000</v>
      </c>
      <c r="AR31" s="4" t="str">
        <f t="shared" si="6"/>
        <v>M4</v>
      </c>
      <c r="AS31" s="1">
        <f t="shared" si="24"/>
        <v>964022000000000</v>
      </c>
      <c r="AT31" s="5">
        <f t="shared" si="25"/>
        <v>310390000000000</v>
      </c>
      <c r="AV31" s="4" t="str">
        <f t="shared" si="7"/>
        <v>M4</v>
      </c>
      <c r="AW31" s="5">
        <f t="shared" si="26"/>
        <v>104880000000000</v>
      </c>
      <c r="BB31" s="59" t="str">
        <f>IFERROR($BC$2&amp;VLOOKUP(B33,'Pay Table'!$M$3:$N$18,2,FALSE)&amp;$BB$2&amp;C33&amp;$BD$2,"")</f>
        <v>[4,100]</v>
      </c>
      <c r="BC31" s="49" t="str">
        <f>IFERROR($BC$2&amp;VLOOKUP(D33,'Pay Table'!$M$3:$N$18,2,FALSE)&amp;$BB$2&amp;E33&amp;$BD$2,"")</f>
        <v>[7,100]</v>
      </c>
      <c r="BD31" s="49" t="str">
        <f>IFERROR($BC$2&amp;VLOOKUP(F33,'Pay Table'!$M$3:$N$18,2,FALSE)&amp;$BB$2&amp;G33&amp;$BD$2,"")</f>
        <v>[0,100]</v>
      </c>
      <c r="BE31" s="49" t="str">
        <f>IFERROR($BC$2&amp;VLOOKUP(H33,'Pay Table'!$M$3:$N$18,2,FALSE)&amp;$BB$2&amp;I33&amp;$BD$2,"")</f>
        <v>[4,100]</v>
      </c>
      <c r="BF31" s="60" t="str">
        <f>IFERROR($BC$2&amp;VLOOKUP(J33,'Pay Table'!$M$3:$N$18,2,FALSE)&amp;$BB$2&amp;K33&amp;$BD$2,"")</f>
        <v>[92,100]</v>
      </c>
    </row>
    <row r="32" spans="1:58" ht="17.100000000000001" customHeight="1" x14ac:dyDescent="0.15">
      <c r="A32" s="14">
        <v>28</v>
      </c>
      <c r="B32" s="10" t="s">
        <v>148</v>
      </c>
      <c r="C32" s="10">
        <v>100</v>
      </c>
      <c r="D32" s="10" t="s">
        <v>123</v>
      </c>
      <c r="E32" s="10">
        <v>100</v>
      </c>
      <c r="F32" s="10" t="s">
        <v>153</v>
      </c>
      <c r="G32" s="10">
        <v>100</v>
      </c>
      <c r="H32" s="10" t="s">
        <v>122</v>
      </c>
      <c r="I32" s="10">
        <v>100</v>
      </c>
      <c r="J32" s="10" t="s">
        <v>122</v>
      </c>
      <c r="K32" s="10">
        <v>100</v>
      </c>
      <c r="N32" s="4" t="str">
        <f t="shared" si="4"/>
        <v>M5</v>
      </c>
      <c r="O32" s="1">
        <f t="shared" si="10"/>
        <v>1.81696354875E+17</v>
      </c>
      <c r="P32" s="1">
        <f t="shared" si="11"/>
        <v>3.3048242325E+16</v>
      </c>
      <c r="Q32" s="1">
        <f t="shared" si="12"/>
        <v>6027826000000000</v>
      </c>
      <c r="R32" s="5">
        <f t="shared" si="13"/>
        <v>1538411000000000</v>
      </c>
      <c r="T32" s="2" t="str">
        <f t="shared" si="3"/>
        <v>M5</v>
      </c>
      <c r="U32" s="1">
        <f t="shared" si="3"/>
        <v>1.81696354875E+17</v>
      </c>
      <c r="V32" s="1">
        <f t="shared" si="14"/>
        <v>3.3048242325E+16</v>
      </c>
      <c r="W32" s="1">
        <f t="shared" si="14"/>
        <v>6027826000000000</v>
      </c>
      <c r="X32" s="5">
        <f t="shared" si="14"/>
        <v>1538411000000000</v>
      </c>
      <c r="Y32" s="1">
        <f t="shared" si="15"/>
        <v>2.223108342E+17</v>
      </c>
      <c r="AA32" s="4" t="str">
        <f t="shared" si="5"/>
        <v>M5</v>
      </c>
      <c r="AB32" s="2">
        <f t="shared" si="16"/>
        <v>8.45099325E+16</v>
      </c>
      <c r="AC32" s="1">
        <f t="shared" si="17"/>
        <v>7685637750000000</v>
      </c>
      <c r="AD32" s="1">
        <f t="shared" si="18"/>
        <v>600780000000000</v>
      </c>
      <c r="AE32" s="5">
        <f t="shared" si="27"/>
        <v>84930000000000</v>
      </c>
      <c r="AG32" s="4" t="str">
        <f t="shared" si="8"/>
        <v>M5</v>
      </c>
      <c r="AH32" s="2">
        <f t="shared" si="19"/>
        <v>9.7186422375E+16</v>
      </c>
      <c r="AI32" s="1">
        <f t="shared" si="20"/>
        <v>1.65241211625E+16</v>
      </c>
      <c r="AJ32" s="1">
        <f t="shared" si="21"/>
        <v>2092717000000000</v>
      </c>
      <c r="AK32" s="5">
        <f t="array" ref="AK32">O11*$P$6*Q11*R11*S11+
O11*P11*$Q$6*R11*S11+
O11*P11*Q11*$R$6*S11+
O11*P11*Q11*R11*$S$6</f>
        <v>364239500000000</v>
      </c>
      <c r="AM32" s="4" t="str">
        <f t="shared" si="9"/>
        <v>M5</v>
      </c>
      <c r="AN32" s="1">
        <f t="shared" si="22"/>
        <v>8838483412500000</v>
      </c>
      <c r="AO32" s="1">
        <f t="shared" si="23"/>
        <v>2413133000000000</v>
      </c>
      <c r="AP32" s="5">
        <f t="array" ref="AP32">O11*$P$6*$Q$6*R11*S11+
O11*$P$6*Q11*$R$6*S11+
O11*P11*$Q$6*$R$6*S11+
O11*P11*$Q$6*R11*$S$6+
O11*P11*Q11*$R$6*$S$6+
O11*$P$6*Q11*R11*$S$6</f>
        <v>579395500000000</v>
      </c>
      <c r="AR32" s="4" t="str">
        <f t="shared" si="6"/>
        <v>M5</v>
      </c>
      <c r="AS32" s="1">
        <f t="shared" si="24"/>
        <v>921196000000000</v>
      </c>
      <c r="AT32" s="5">
        <f t="shared" si="25"/>
        <v>404966000000000</v>
      </c>
      <c r="AV32" s="4" t="str">
        <f t="shared" si="7"/>
        <v>M5</v>
      </c>
      <c r="AW32" s="5">
        <f t="shared" si="26"/>
        <v>104880000000000</v>
      </c>
      <c r="BB32" s="59" t="str">
        <f>IFERROR($BC$2&amp;VLOOKUP(B34,'Pay Table'!$M$3:$N$18,2,FALSE)&amp;$BB$2&amp;C34&amp;$BD$2,"")</f>
        <v>[8,100]</v>
      </c>
      <c r="BC32" s="49" t="str">
        <f>IFERROR($BC$2&amp;VLOOKUP(D34,'Pay Table'!$M$3:$N$18,2,FALSE)&amp;$BB$2&amp;E34&amp;$BD$2,"")</f>
        <v>[2,100]</v>
      </c>
      <c r="BD32" s="49" t="str">
        <f>IFERROR($BC$2&amp;VLOOKUP(F34,'Pay Table'!$M$3:$N$18,2,FALSE)&amp;$BB$2&amp;G34&amp;$BD$2,"")</f>
        <v>[0,100]</v>
      </c>
      <c r="BE32" s="49" t="str">
        <f>IFERROR($BC$2&amp;VLOOKUP(H34,'Pay Table'!$M$3:$N$18,2,FALSE)&amp;$BB$2&amp;I34&amp;$BD$2,"")</f>
        <v>[2,100]</v>
      </c>
      <c r="BF32" s="60" t="str">
        <f>IFERROR($BC$2&amp;VLOOKUP(J34,'Pay Table'!$M$3:$N$18,2,FALSE)&amp;$BB$2&amp;K34&amp;$BD$2,"")</f>
        <v>[3,100]</v>
      </c>
    </row>
    <row r="33" spans="1:58" ht="17.100000000000001" customHeight="1" x14ac:dyDescent="0.15">
      <c r="A33" s="14">
        <v>29</v>
      </c>
      <c r="B33" s="10" t="s">
        <v>148</v>
      </c>
      <c r="C33" s="10">
        <v>100</v>
      </c>
      <c r="D33" s="10" t="s">
        <v>119</v>
      </c>
      <c r="E33" s="10">
        <v>100</v>
      </c>
      <c r="F33" s="10" t="s">
        <v>153</v>
      </c>
      <c r="G33" s="10">
        <v>100</v>
      </c>
      <c r="H33" s="10" t="s">
        <v>148</v>
      </c>
      <c r="I33" s="10">
        <v>100</v>
      </c>
      <c r="J33" s="10" t="s">
        <v>122</v>
      </c>
      <c r="K33" s="10">
        <v>100</v>
      </c>
      <c r="N33" s="4" t="str">
        <f t="shared" si="4"/>
        <v>A</v>
      </c>
      <c r="O33" s="1">
        <f t="shared" si="10"/>
        <v>7.699103409375E+16</v>
      </c>
      <c r="P33" s="1">
        <f t="shared" si="11"/>
        <v>1.115169103125E+16</v>
      </c>
      <c r="Q33" s="1">
        <f t="shared" si="12"/>
        <v>1909464375000000</v>
      </c>
      <c r="R33" s="5">
        <f t="shared" si="13"/>
        <v>423150000000000</v>
      </c>
      <c r="T33" s="2" t="str">
        <f t="shared" si="3"/>
        <v>A</v>
      </c>
      <c r="U33" s="1">
        <f t="shared" si="3"/>
        <v>7.699103409375E+16</v>
      </c>
      <c r="V33" s="1">
        <f t="shared" si="14"/>
        <v>1.115169103125E+16</v>
      </c>
      <c r="W33" s="1">
        <f t="shared" si="14"/>
        <v>1909464375000000</v>
      </c>
      <c r="X33" s="5">
        <f t="shared" si="14"/>
        <v>423150000000000</v>
      </c>
      <c r="Y33" s="1">
        <f>SUM(V33:X33)</f>
        <v>1.348430540625E+16</v>
      </c>
      <c r="AA33" s="4" t="str">
        <f t="shared" si="5"/>
        <v>A</v>
      </c>
      <c r="AB33" s="2">
        <f t="shared" si="16"/>
        <v>2.6396925975E+16</v>
      </c>
      <c r="AC33" s="1">
        <f t="shared" si="17"/>
        <v>1480040100000000</v>
      </c>
      <c r="AD33" s="1">
        <f t="shared" si="18"/>
        <v>97470000000000</v>
      </c>
      <c r="AE33" s="5">
        <f t="shared" si="27"/>
        <v>10800000000000</v>
      </c>
      <c r="AG33" s="4" t="str">
        <f t="shared" si="8"/>
        <v>A</v>
      </c>
      <c r="AH33" s="2">
        <f t="shared" si="19"/>
        <v>5.059410811875E+16</v>
      </c>
      <c r="AI33" s="1">
        <f t="shared" si="20"/>
        <v>5180140350000000</v>
      </c>
      <c r="AJ33" s="1">
        <f t="shared" si="21"/>
        <v>497097000000000</v>
      </c>
      <c r="AK33" s="5">
        <f t="array" ref="AK33">O12*$P$6*Q12*R12*S12+
O12*P12*$Q$6*R12*S12+
O12*P12*Q12*$R$6*S12+
O12*P12*Q12*R12*$S$6</f>
        <v>65880000000000</v>
      </c>
      <c r="AM33" s="4" t="str">
        <f t="shared" si="9"/>
        <v>A</v>
      </c>
      <c r="AN33" s="1">
        <f t="shared" si="22"/>
        <v>4491510581250000</v>
      </c>
      <c r="AO33" s="1">
        <f t="shared" si="23"/>
        <v>841626375000000</v>
      </c>
      <c r="AP33" s="5">
        <f t="array" ref="AP33">O12*$P$6*$Q$6*R12*S12+
O12*$P$6*Q12*$R$6*S12+
O12*P12*$Q$6*$R$6*S12+
O12*P12*$Q$6*R12*$S$6+
O12*P12*Q12*$R$6*$S$6+
O12*$P$6*Q12*R12*$S$6</f>
        <v>148335000000000</v>
      </c>
      <c r="AR33" s="4" t="str">
        <f t="shared" si="6"/>
        <v>A</v>
      </c>
      <c r="AS33" s="1">
        <f t="shared" si="24"/>
        <v>473271000000000</v>
      </c>
      <c r="AT33" s="5">
        <f t="shared" si="25"/>
        <v>145695000000000</v>
      </c>
      <c r="AV33" s="4" t="str">
        <f t="shared" si="7"/>
        <v>A</v>
      </c>
      <c r="AW33" s="5">
        <f t="shared" si="26"/>
        <v>52440000000000</v>
      </c>
      <c r="BB33" s="59" t="str">
        <f>IFERROR($BC$2&amp;VLOOKUP(B35,'Pay Table'!$M$3:$N$18,2,FALSE)&amp;$BB$2&amp;C35&amp;$BD$2,"")</f>
        <v>[1,100]</v>
      </c>
      <c r="BC33" s="49" t="str">
        <f>IFERROR($BC$2&amp;VLOOKUP(D35,'Pay Table'!$M$3:$N$18,2,FALSE)&amp;$BB$2&amp;E35&amp;$BD$2,"")</f>
        <v>[1,100]</v>
      </c>
      <c r="BD33" s="49" t="str">
        <f>IFERROR($BC$2&amp;VLOOKUP(F35,'Pay Table'!$M$3:$N$18,2,FALSE)&amp;$BB$2&amp;G35&amp;$BD$2,"")</f>
        <v>[6,100]</v>
      </c>
      <c r="BE33" s="49" t="str">
        <f>IFERROR($BC$2&amp;VLOOKUP(H35,'Pay Table'!$M$3:$N$18,2,FALSE)&amp;$BB$2&amp;I35&amp;$BD$2,"")</f>
        <v>[8,100]</v>
      </c>
      <c r="BF33" s="60" t="str">
        <f>IFERROR($BC$2&amp;VLOOKUP(J35,'Pay Table'!$M$3:$N$18,2,FALSE)&amp;$BB$2&amp;K35&amp;$BD$2,"")</f>
        <v>[5,100]</v>
      </c>
    </row>
    <row r="34" spans="1:58" ht="17.100000000000001" customHeight="1" x14ac:dyDescent="0.15">
      <c r="A34" s="14">
        <v>30</v>
      </c>
      <c r="B34" s="10" t="s">
        <v>120</v>
      </c>
      <c r="C34" s="10">
        <v>100</v>
      </c>
      <c r="D34" s="10" t="s">
        <v>151</v>
      </c>
      <c r="E34" s="10">
        <v>100</v>
      </c>
      <c r="F34" s="10" t="s">
        <v>153</v>
      </c>
      <c r="G34" s="10">
        <v>100</v>
      </c>
      <c r="H34" s="10" t="s">
        <v>126</v>
      </c>
      <c r="I34" s="10">
        <v>100</v>
      </c>
      <c r="J34" s="10" t="s">
        <v>136</v>
      </c>
      <c r="K34" s="10">
        <v>100</v>
      </c>
      <c r="N34" s="4" t="str">
        <f t="shared" si="4"/>
        <v>K</v>
      </c>
      <c r="O34" s="1">
        <f t="shared" si="10"/>
        <v>1.1814581772984374E+17</v>
      </c>
      <c r="P34" s="1">
        <f t="shared" si="11"/>
        <v>2.26566061115625E+16</v>
      </c>
      <c r="Q34" s="1">
        <f t="shared" si="12"/>
        <v>5005496012343750</v>
      </c>
      <c r="R34" s="5">
        <f t="shared" si="13"/>
        <v>1343757318750000</v>
      </c>
      <c r="T34" s="2" t="str">
        <f t="shared" si="3"/>
        <v>K</v>
      </c>
      <c r="U34" s="1">
        <f t="shared" si="3"/>
        <v>1.1814581772984374E+17</v>
      </c>
      <c r="V34" s="1">
        <f t="shared" si="14"/>
        <v>2.26566061115625E+16</v>
      </c>
      <c r="W34" s="1">
        <f t="shared" si="14"/>
        <v>5005496012343750</v>
      </c>
      <c r="X34" s="5">
        <f t="shared" si="14"/>
        <v>1343757318750000</v>
      </c>
      <c r="Y34" s="1">
        <f>SUM(V34:X34)</f>
        <v>2.9005859442656248E+16</v>
      </c>
      <c r="AA34" s="4" t="str">
        <f t="shared" si="5"/>
        <v>K</v>
      </c>
      <c r="AB34" s="2">
        <f t="shared" si="16"/>
        <v>5.9072908864921872E+16</v>
      </c>
      <c r="AC34" s="1">
        <f t="shared" si="17"/>
        <v>6078601639687500</v>
      </c>
      <c r="AD34" s="1">
        <f t="shared" si="18"/>
        <v>689837429531250</v>
      </c>
      <c r="AE34" s="5">
        <f t="shared" si="27"/>
        <v>105823575000000</v>
      </c>
      <c r="AG34" s="4" t="str">
        <f t="shared" si="8"/>
        <v>K</v>
      </c>
      <c r="AH34" s="2">
        <f t="shared" si="19"/>
        <v>5.9072908864921872E+16</v>
      </c>
      <c r="AI34" s="1">
        <f t="shared" si="20"/>
        <v>1.132830305578125E+16</v>
      </c>
      <c r="AJ34" s="1">
        <f t="shared" si="21"/>
        <v>1938706643671875</v>
      </c>
      <c r="AK34" s="5">
        <f t="array" ref="AK34">O13*$P$6*Q13*R13*S13+
O13*P13*$Q$6*R13*S13+
O13*P13*Q13*$R$6*S13+
O13*P13*Q13*R13*$S$6</f>
        <v>376772343750000</v>
      </c>
      <c r="AM34" s="4" t="str">
        <f t="shared" si="9"/>
        <v>K</v>
      </c>
      <c r="AN34" s="1">
        <f t="shared" si="22"/>
        <v>5249701416093750</v>
      </c>
      <c r="AO34" s="1">
        <f t="shared" si="23"/>
        <v>1812910576640625</v>
      </c>
      <c r="AP34" s="5">
        <f t="array" ref="AP34">O13*$P$6*$Q$6*R13*S13+
O13*$P$6*Q13*$R$6*S13+
O13*P13*$Q$6*$R$6*S13+
O13*P13*$Q$6*R13*$S$6+
O13*P13*Q13*$R$6*$S$6+
O13*$P$6*Q13*R13*$S$6</f>
        <v>501160584375000</v>
      </c>
      <c r="AR34" s="4" t="str">
        <f t="shared" si="6"/>
        <v>K</v>
      </c>
      <c r="AS34" s="1">
        <f t="shared" si="24"/>
        <v>564041362500000</v>
      </c>
      <c r="AT34" s="5">
        <f t="shared" si="25"/>
        <v>295106315625000</v>
      </c>
      <c r="AV34" s="4" t="str">
        <f t="shared" si="7"/>
        <v>K</v>
      </c>
      <c r="AW34" s="5">
        <f t="shared" si="26"/>
        <v>64894500000000</v>
      </c>
      <c r="BB34" s="59" t="str">
        <f>IFERROR($BC$2&amp;VLOOKUP(B36,'Pay Table'!$M$3:$N$18,2,FALSE)&amp;$BB$2&amp;C36&amp;$BD$2,"")</f>
        <v>[6,100]</v>
      </c>
      <c r="BC34" s="49" t="str">
        <f>IFERROR($BC$2&amp;VLOOKUP(D36,'Pay Table'!$M$3:$N$18,2,FALSE)&amp;$BB$2&amp;E36&amp;$BD$2,"")</f>
        <v>[3,100]</v>
      </c>
      <c r="BD34" s="49" t="str">
        <f>IFERROR($BC$2&amp;VLOOKUP(F36,'Pay Table'!$M$3:$N$18,2,FALSE)&amp;$BB$2&amp;G36&amp;$BD$2,"")</f>
        <v>[5,100]</v>
      </c>
      <c r="BE34" s="49" t="str">
        <f>IFERROR($BC$2&amp;VLOOKUP(H36,'Pay Table'!$M$3:$N$18,2,FALSE)&amp;$BB$2&amp;I36&amp;$BD$2,"")</f>
        <v>[3,100]</v>
      </c>
      <c r="BF34" s="60" t="str">
        <f>IFERROR($BC$2&amp;VLOOKUP(J36,'Pay Table'!$M$3:$N$18,2,FALSE)&amp;$BB$2&amp;K36&amp;$BD$2,"")</f>
        <v>[4,100]</v>
      </c>
    </row>
    <row r="35" spans="1:58" ht="17.100000000000001" customHeight="1" x14ac:dyDescent="0.15">
      <c r="A35" s="14">
        <v>31</v>
      </c>
      <c r="B35" s="10" t="s">
        <v>152</v>
      </c>
      <c r="C35" s="10">
        <v>100</v>
      </c>
      <c r="D35" s="10" t="s">
        <v>152</v>
      </c>
      <c r="E35" s="10">
        <v>100</v>
      </c>
      <c r="F35" s="10" t="s">
        <v>121</v>
      </c>
      <c r="G35" s="10">
        <v>100</v>
      </c>
      <c r="H35" s="10" t="s">
        <v>120</v>
      </c>
      <c r="I35" s="10">
        <v>100</v>
      </c>
      <c r="J35" s="10" t="s">
        <v>123</v>
      </c>
      <c r="K35" s="10">
        <v>100</v>
      </c>
      <c r="N35" s="4" t="str">
        <f t="shared" si="4"/>
        <v>Q</v>
      </c>
      <c r="O35" s="1">
        <f t="shared" si="10"/>
        <v>1.0210586361117187E+17</v>
      </c>
      <c r="P35" s="1">
        <f t="shared" si="11"/>
        <v>1.4800039138828124E+16</v>
      </c>
      <c r="Q35" s="1">
        <f t="shared" si="12"/>
        <v>2365952793750000</v>
      </c>
      <c r="R35" s="5">
        <f t="shared" si="13"/>
        <v>446406187500000</v>
      </c>
      <c r="T35" s="2" t="str">
        <f t="shared" si="3"/>
        <v>Q</v>
      </c>
      <c r="U35" s="1">
        <f t="shared" si="3"/>
        <v>1.0210586361117187E+17</v>
      </c>
      <c r="V35" s="1">
        <f t="shared" si="14"/>
        <v>1.4800039138828124E+16</v>
      </c>
      <c r="W35" s="1">
        <f t="shared" si="14"/>
        <v>2365952793750000</v>
      </c>
      <c r="X35" s="5">
        <f t="shared" si="14"/>
        <v>446406187500000</v>
      </c>
      <c r="Y35" s="1">
        <f>SUM(V35:X35)</f>
        <v>1.7612398120078124E+16</v>
      </c>
      <c r="AA35" s="4" t="str">
        <f t="shared" si="5"/>
        <v>Q</v>
      </c>
      <c r="AB35" s="2">
        <f t="shared" si="16"/>
        <v>4.188958507125E+16</v>
      </c>
      <c r="AC35" s="1">
        <f t="shared" si="17"/>
        <v>2301732247500000</v>
      </c>
      <c r="AD35" s="1">
        <f t="shared" si="18"/>
        <v>122652600000000</v>
      </c>
      <c r="AE35" s="5">
        <f t="shared" si="27"/>
        <v>9918000000000</v>
      </c>
      <c r="AG35" s="4" t="str">
        <f t="shared" si="8"/>
        <v>Q</v>
      </c>
      <c r="AH35" s="2">
        <f t="shared" si="19"/>
        <v>6.0216278539921872E+16</v>
      </c>
      <c r="AI35" s="1">
        <f t="shared" si="20"/>
        <v>7078818787031250</v>
      </c>
      <c r="AJ35" s="1">
        <f t="shared" si="21"/>
        <v>622514812500000</v>
      </c>
      <c r="AK35" s="5">
        <f t="array" ref="AK35">O14*$P$6*Q14*R14*S14+
O14*P14*$Q$6*R14*S14+
O14*P14*Q14*$R$6*S14+
O14*P14*Q14*R14*$S$6</f>
        <v>63562125000000</v>
      </c>
      <c r="AM35" s="4" t="str">
        <f t="shared" si="9"/>
        <v>Q</v>
      </c>
      <c r="AN35" s="1">
        <f t="shared" si="22"/>
        <v>5419488104296875</v>
      </c>
      <c r="AO35" s="1">
        <f t="shared" si="23"/>
        <v>1043207943750000</v>
      </c>
      <c r="AP35" s="5">
        <f t="array" ref="AP35">O14*$P$6*$Q$6*R14*S14+
O14*$P$6*Q14*$R$6*S14+
O14*P14*$Q$6*$R$6*S14+
O14*P14*$Q$6*R14*$S$6+
O14*P14*Q14*$R$6*$S$6+
O14*$P$6*Q14*R14*$S$6</f>
        <v>151473937500000</v>
      </c>
      <c r="AR35" s="4" t="str">
        <f t="shared" si="6"/>
        <v>Q</v>
      </c>
      <c r="AS35" s="1">
        <f t="shared" si="24"/>
        <v>577577437500000</v>
      </c>
      <c r="AT35" s="5">
        <f t="shared" si="25"/>
        <v>159179625000000</v>
      </c>
      <c r="AV35" s="4" t="str">
        <f t="shared" si="7"/>
        <v>Q</v>
      </c>
      <c r="AW35" s="5">
        <f t="shared" si="26"/>
        <v>62272500000000</v>
      </c>
      <c r="BB35" s="59" t="str">
        <f>IFERROR($BC$2&amp;VLOOKUP(B37,'Pay Table'!$M$3:$N$18,2,FALSE)&amp;$BB$2&amp;C37&amp;$BD$2,"")</f>
        <v>[4,100]</v>
      </c>
      <c r="BC35" s="49" t="str">
        <f>IFERROR($BC$2&amp;VLOOKUP(D37,'Pay Table'!$M$3:$N$18,2,FALSE)&amp;$BB$2&amp;E37&amp;$BD$2,"")</f>
        <v>[3,100]</v>
      </c>
      <c r="BD35" s="49" t="str">
        <f>IFERROR($BC$2&amp;VLOOKUP(F37,'Pay Table'!$M$3:$N$18,2,FALSE)&amp;$BB$2&amp;G37&amp;$BD$2,"")</f>
        <v>[2,10]</v>
      </c>
      <c r="BE35" s="49" t="str">
        <f>IFERROR($BC$2&amp;VLOOKUP(H37,'Pay Table'!$M$3:$N$18,2,FALSE)&amp;$BB$2&amp;I37&amp;$BD$2,"")</f>
        <v>[1,100]</v>
      </c>
      <c r="BF35" s="60" t="str">
        <f>IFERROR($BC$2&amp;VLOOKUP(J37,'Pay Table'!$M$3:$N$18,2,FALSE)&amp;$BB$2&amp;K37&amp;$BD$2,"")</f>
        <v>[0,100]</v>
      </c>
    </row>
    <row r="36" spans="1:58" ht="17.100000000000001" customHeight="1" x14ac:dyDescent="0.15">
      <c r="A36" s="14">
        <v>32</v>
      </c>
      <c r="B36" s="10" t="s">
        <v>121</v>
      </c>
      <c r="C36" s="10">
        <v>100</v>
      </c>
      <c r="D36" s="10" t="s">
        <v>172</v>
      </c>
      <c r="E36" s="10">
        <v>100</v>
      </c>
      <c r="F36" s="10" t="s">
        <v>123</v>
      </c>
      <c r="G36" s="10">
        <v>100</v>
      </c>
      <c r="H36" s="10" t="s">
        <v>172</v>
      </c>
      <c r="I36" s="10">
        <v>100</v>
      </c>
      <c r="J36" s="10" t="s">
        <v>148</v>
      </c>
      <c r="K36" s="10">
        <v>100</v>
      </c>
      <c r="N36" s="4" t="str">
        <f t="shared" si="4"/>
        <v>J</v>
      </c>
      <c r="O36" s="1">
        <f t="shared" si="10"/>
        <v>1.147042128684375E+17</v>
      </c>
      <c r="P36" s="1">
        <f t="shared" si="11"/>
        <v>1.86513067125E+16</v>
      </c>
      <c r="Q36" s="1">
        <f t="shared" si="12"/>
        <v>3900626898437500</v>
      </c>
      <c r="R36" s="5">
        <f t="shared" si="13"/>
        <v>654121015625000</v>
      </c>
      <c r="T36" s="2" t="str">
        <f t="shared" si="3"/>
        <v>J</v>
      </c>
      <c r="U36" s="1">
        <f t="shared" si="3"/>
        <v>1.147042128684375E+17</v>
      </c>
      <c r="V36" s="1">
        <f t="shared" si="14"/>
        <v>1.86513067125E+16</v>
      </c>
      <c r="W36" s="1">
        <f t="shared" si="14"/>
        <v>3900626898437500</v>
      </c>
      <c r="X36" s="5">
        <f t="shared" si="14"/>
        <v>654121015625000</v>
      </c>
      <c r="Y36" s="1">
        <f>SUM(V36:X36)</f>
        <v>2.32060546265625E+16</v>
      </c>
      <c r="AA36" s="4" t="str">
        <f t="shared" si="5"/>
        <v>J</v>
      </c>
      <c r="AB36" s="2">
        <f t="shared" si="16"/>
        <v>4.6709447508281248E+16</v>
      </c>
      <c r="AC36" s="1">
        <f t="shared" si="17"/>
        <v>3472054740000000</v>
      </c>
      <c r="AD36" s="1">
        <f t="shared" si="18"/>
        <v>332294737500000</v>
      </c>
      <c r="AE36" s="5">
        <f t="shared" si="27"/>
        <v>20530125000000</v>
      </c>
      <c r="AG36" s="4" t="str">
        <f t="shared" si="8"/>
        <v>J</v>
      </c>
      <c r="AH36" s="2">
        <f t="shared" si="19"/>
        <v>6.7994765360156248E+16</v>
      </c>
      <c r="AI36" s="1">
        <f t="shared" si="20"/>
        <v>9177321903750000</v>
      </c>
      <c r="AJ36" s="1">
        <f t="shared" si="21"/>
        <v>1272150988281250</v>
      </c>
      <c r="AK36" s="5">
        <f t="array" ref="AK36">O15*$P$6*Q15*R15*S15+
O15*P15*$Q$6*R15*S15+
O15*P15*Q15*$R$6*S15+
O15*P15*Q15*R15*$S$6</f>
        <v>113791648437500</v>
      </c>
      <c r="AM36" s="4" t="str">
        <f t="shared" si="9"/>
        <v>J</v>
      </c>
      <c r="AN36" s="1">
        <f t="shared" si="22"/>
        <v>6001930068750000</v>
      </c>
      <c r="AO36" s="1">
        <f t="shared" si="23"/>
        <v>1615389797656250</v>
      </c>
      <c r="AP36" s="5">
        <f t="array" ref="AP36">O15*$P$6*$Q$6*R15*S15+
O15*$P$6*Q15*$R$6*S15+
O15*P15*$Q$6*$R$6*S15+
O15*P15*$Q$6*R15*$S$6+
O15*P15*Q15*$R$6*$S$6+
O15*$P$6*Q15*R15*$S$6</f>
        <v>234541398437500</v>
      </c>
      <c r="AR36" s="4" t="str">
        <f t="shared" si="6"/>
        <v>J</v>
      </c>
      <c r="AS36" s="1">
        <f t="shared" si="24"/>
        <v>680791375000000</v>
      </c>
      <c r="AT36" s="5">
        <f t="shared" si="25"/>
        <v>213152843750000</v>
      </c>
      <c r="AV36" s="4" t="str">
        <f t="shared" si="7"/>
        <v>J</v>
      </c>
      <c r="AW36" s="5">
        <f t="shared" si="26"/>
        <v>72105000000000</v>
      </c>
      <c r="BB36" s="59" t="str">
        <f>IFERROR($BC$2&amp;VLOOKUP(B38,'Pay Table'!$M$3:$N$18,2,FALSE)&amp;$BB$2&amp;C38&amp;$BD$2,"")</f>
        <v>[2,100]</v>
      </c>
      <c r="BC36" s="49" t="str">
        <f>IFERROR($BC$2&amp;VLOOKUP(D38,'Pay Table'!$M$3:$N$18,2,FALSE)&amp;$BB$2&amp;E38&amp;$BD$2,"")</f>
        <v>[6,100]</v>
      </c>
      <c r="BD36" s="49" t="str">
        <f>IFERROR($BC$2&amp;VLOOKUP(F38,'Pay Table'!$M$3:$N$18,2,FALSE)&amp;$BB$2&amp;G38&amp;$BD$2,"")</f>
        <v>[7,25]</v>
      </c>
      <c r="BE36" s="49" t="str">
        <f>IFERROR($BC$2&amp;VLOOKUP(H38,'Pay Table'!$M$3:$N$18,2,FALSE)&amp;$BB$2&amp;I38&amp;$BD$2,"")</f>
        <v>[1,100]</v>
      </c>
      <c r="BF36" s="60" t="str">
        <f>IFERROR($BC$2&amp;VLOOKUP(J38,'Pay Table'!$M$3:$N$18,2,FALSE)&amp;$BB$2&amp;K38&amp;$BD$2,"")</f>
        <v>[0,100]</v>
      </c>
    </row>
    <row r="37" spans="1:58" ht="17.100000000000001" customHeight="1" x14ac:dyDescent="0.15">
      <c r="A37" s="14">
        <v>33</v>
      </c>
      <c r="B37" s="10" t="s">
        <v>148</v>
      </c>
      <c r="C37" s="10">
        <v>100</v>
      </c>
      <c r="D37" s="10" t="s">
        <v>127</v>
      </c>
      <c r="E37" s="10">
        <v>100</v>
      </c>
      <c r="F37" s="10" t="s">
        <v>151</v>
      </c>
      <c r="G37" s="10">
        <v>10</v>
      </c>
      <c r="H37" s="10" t="s">
        <v>152</v>
      </c>
      <c r="I37" s="10">
        <v>100</v>
      </c>
      <c r="J37" s="10" t="s">
        <v>153</v>
      </c>
      <c r="K37" s="10">
        <v>100</v>
      </c>
      <c r="N37" s="4" t="str">
        <f t="shared" si="4"/>
        <v>SCATTER</v>
      </c>
      <c r="O37" s="1">
        <f t="shared" si="10"/>
        <v>0</v>
      </c>
      <c r="P37" s="1">
        <f t="shared" si="11"/>
        <v>0</v>
      </c>
      <c r="Q37" s="1">
        <f t="shared" si="12"/>
        <v>0</v>
      </c>
      <c r="R37" s="5">
        <f t="shared" si="13"/>
        <v>0</v>
      </c>
      <c r="T37" s="2" t="str">
        <f t="shared" si="3"/>
        <v>SCATTER</v>
      </c>
      <c r="U37" s="1">
        <f t="shared" si="3"/>
        <v>0</v>
      </c>
      <c r="V37" s="1">
        <f t="shared" si="14"/>
        <v>0</v>
      </c>
      <c r="W37" s="1">
        <f t="shared" si="14"/>
        <v>0</v>
      </c>
      <c r="X37" s="5">
        <f t="shared" si="14"/>
        <v>0</v>
      </c>
      <c r="Y37" s="1">
        <f t="shared" si="15"/>
        <v>0</v>
      </c>
      <c r="AA37" s="4" t="str">
        <f t="shared" si="5"/>
        <v>SCATTER</v>
      </c>
      <c r="AB37" s="2">
        <f t="shared" si="16"/>
        <v>0</v>
      </c>
      <c r="AC37" s="1">
        <f t="shared" si="17"/>
        <v>0</v>
      </c>
      <c r="AD37" s="1">
        <f t="shared" si="18"/>
        <v>0</v>
      </c>
      <c r="AE37" s="5">
        <f t="shared" si="27"/>
        <v>0</v>
      </c>
      <c r="AG37" s="4" t="str">
        <f t="shared" si="8"/>
        <v>SCATTER</v>
      </c>
      <c r="AH37" s="2">
        <f t="shared" si="19"/>
        <v>0</v>
      </c>
      <c r="AI37" s="1">
        <f t="shared" si="20"/>
        <v>0</v>
      </c>
      <c r="AJ37" s="1">
        <f t="shared" si="21"/>
        <v>0</v>
      </c>
      <c r="AK37" s="5">
        <f t="array" ref="AK37">O16*$P$6*Q16*R16*S16+
O16*P16*$Q$6*R16*S16+
O16*P16*Q16*$R$6*S16+
O16*P16*Q16*R16*$S$6</f>
        <v>0</v>
      </c>
      <c r="AM37" s="4" t="str">
        <f t="shared" si="9"/>
        <v>SCATTER</v>
      </c>
      <c r="AN37" s="1">
        <f t="shared" si="22"/>
        <v>0</v>
      </c>
      <c r="AO37" s="1">
        <f t="shared" si="23"/>
        <v>0</v>
      </c>
      <c r="AP37" s="5">
        <f t="array" ref="AP37">O16*$P$6*$Q$6*R16*S16+
O16*$P$6*Q16*$R$6*S16+
O16*P16*$Q$6*$R$6*S16+
O16*P16*$Q$6*R16*$S$6+
O16*P16*Q16*$R$6*$S$6+
O16*$P$6*Q16*R16*$S$6</f>
        <v>0</v>
      </c>
      <c r="AR37" s="4" t="str">
        <f t="shared" si="6"/>
        <v>SCATTER</v>
      </c>
      <c r="AS37" s="1">
        <f t="shared" si="24"/>
        <v>0</v>
      </c>
      <c r="AT37" s="5">
        <f t="shared" si="25"/>
        <v>0</v>
      </c>
      <c r="AV37" s="4" t="str">
        <f t="shared" si="7"/>
        <v>SCATTER</v>
      </c>
      <c r="AW37" s="5">
        <f t="shared" si="26"/>
        <v>0</v>
      </c>
      <c r="BB37" s="59" t="str">
        <f>IFERROR($BC$2&amp;VLOOKUP(B39,'Pay Table'!$M$3:$N$18,2,FALSE)&amp;$BB$2&amp;C39&amp;$BD$2,"")</f>
        <v>[5,100]</v>
      </c>
      <c r="BC37" s="49" t="str">
        <f>IFERROR($BC$2&amp;VLOOKUP(D39,'Pay Table'!$M$3:$N$18,2,FALSE)&amp;$BB$2&amp;E39&amp;$BD$2,"")</f>
        <v>[94,5]</v>
      </c>
      <c r="BD37" s="49" t="str">
        <f>IFERROR($BC$2&amp;VLOOKUP(F39,'Pay Table'!$M$3:$N$18,2,FALSE)&amp;$BB$2&amp;G39&amp;$BD$2,"")</f>
        <v>[94,25]</v>
      </c>
      <c r="BE37" s="49" t="str">
        <f>IFERROR($BC$2&amp;VLOOKUP(H39,'Pay Table'!$M$3:$N$18,2,FALSE)&amp;$BB$2&amp;I39&amp;$BD$2,"")</f>
        <v>[1,100]</v>
      </c>
      <c r="BF37" s="60" t="str">
        <f>IFERROR($BC$2&amp;VLOOKUP(J39,'Pay Table'!$M$3:$N$18,2,FALSE)&amp;$BB$2&amp;K39&amp;$BD$2,"")</f>
        <v>[0,100]</v>
      </c>
    </row>
    <row r="38" spans="1:58" ht="17.100000000000001" customHeight="1" x14ac:dyDescent="0.15">
      <c r="A38" s="14">
        <v>34</v>
      </c>
      <c r="B38" s="10" t="s">
        <v>151</v>
      </c>
      <c r="C38" s="10">
        <v>100</v>
      </c>
      <c r="D38" s="10" t="s">
        <v>121</v>
      </c>
      <c r="E38" s="10">
        <v>100</v>
      </c>
      <c r="F38" s="10" t="s">
        <v>119</v>
      </c>
      <c r="G38" s="10">
        <v>25</v>
      </c>
      <c r="H38" s="10" t="s">
        <v>152</v>
      </c>
      <c r="I38" s="10">
        <v>100</v>
      </c>
      <c r="J38" s="10" t="s">
        <v>153</v>
      </c>
      <c r="K38" s="10">
        <v>100</v>
      </c>
      <c r="N38" s="4">
        <f t="shared" si="4"/>
        <v>0</v>
      </c>
      <c r="O38" s="1">
        <f t="shared" si="10"/>
        <v>0</v>
      </c>
      <c r="P38" s="1">
        <f t="shared" si="11"/>
        <v>0</v>
      </c>
      <c r="Q38" s="1">
        <f t="shared" si="12"/>
        <v>0</v>
      </c>
      <c r="R38" s="5">
        <f t="shared" si="13"/>
        <v>0</v>
      </c>
      <c r="T38" s="2">
        <f t="shared" si="3"/>
        <v>0</v>
      </c>
      <c r="U38" s="1">
        <f t="shared" si="3"/>
        <v>0</v>
      </c>
      <c r="V38" s="1">
        <f t="shared" si="14"/>
        <v>0</v>
      </c>
      <c r="W38" s="1">
        <f t="shared" si="14"/>
        <v>0</v>
      </c>
      <c r="X38" s="5">
        <f t="shared" si="14"/>
        <v>0</v>
      </c>
      <c r="Y38" s="1">
        <f t="shared" si="15"/>
        <v>0</v>
      </c>
      <c r="AA38" s="4">
        <f t="shared" si="5"/>
        <v>0</v>
      </c>
      <c r="AB38" s="2">
        <f t="shared" si="16"/>
        <v>0</v>
      </c>
      <c r="AC38" s="40">
        <f t="shared" si="17"/>
        <v>0</v>
      </c>
      <c r="AD38" s="1">
        <f t="shared" si="18"/>
        <v>0</v>
      </c>
      <c r="AE38" s="5">
        <f t="shared" si="27"/>
        <v>0</v>
      </c>
      <c r="AG38" s="4">
        <f t="shared" si="8"/>
        <v>0</v>
      </c>
      <c r="AH38" s="2">
        <f t="shared" si="19"/>
        <v>0</v>
      </c>
      <c r="AI38" s="40">
        <f t="shared" si="20"/>
        <v>0</v>
      </c>
      <c r="AJ38" s="1">
        <f t="shared" si="21"/>
        <v>0</v>
      </c>
      <c r="AK38" s="5">
        <f t="array" ref="AK38">O17*$P$6*Q17*R17*S17+
O17*P17*$Q$6*R17*S17+
O17*P17*Q17*$R$6*S17+
O17*P17*Q17*R17*$S$6</f>
        <v>0</v>
      </c>
      <c r="AM38" s="4">
        <f t="shared" si="9"/>
        <v>0</v>
      </c>
      <c r="AN38" s="40">
        <f t="shared" si="22"/>
        <v>0</v>
      </c>
      <c r="AO38" s="1">
        <f t="shared" si="23"/>
        <v>0</v>
      </c>
      <c r="AP38" s="5">
        <f t="array" ref="AP38">O17*$P$6*$Q$6*R17*S17+
O17*$P$6*Q17*$R$6*S17+
O17*P17*$Q$6*$R$6*S17+
O17*P17*$Q$6*R17*$S$6+
O17*P17*Q17*$R$6*$S$6+
O17*$P$6*Q17*R17*$S$6</f>
        <v>0</v>
      </c>
      <c r="AR38" s="4">
        <f t="shared" si="6"/>
        <v>0</v>
      </c>
      <c r="AS38" s="1">
        <f t="shared" si="24"/>
        <v>0</v>
      </c>
      <c r="AT38" s="5">
        <f t="shared" si="25"/>
        <v>0</v>
      </c>
      <c r="AV38" s="4">
        <f t="shared" si="7"/>
        <v>0</v>
      </c>
      <c r="AW38" s="5">
        <f t="shared" si="26"/>
        <v>0</v>
      </c>
      <c r="BB38" s="59" t="str">
        <f>IFERROR($BC$2&amp;VLOOKUP(B40,'Pay Table'!$M$3:$N$18,2,FALSE)&amp;$BB$2&amp;C40&amp;$BD$2,"")</f>
        <v>[1,100]</v>
      </c>
      <c r="BC38" s="49" t="str">
        <f>IFERROR($BC$2&amp;VLOOKUP(D40,'Pay Table'!$M$3:$N$18,2,FALSE)&amp;$BB$2&amp;E40&amp;$BD$2,"")</f>
        <v>[94,10]</v>
      </c>
      <c r="BD38" s="49" t="str">
        <f>IFERROR($BC$2&amp;VLOOKUP(F40,'Pay Table'!$M$3:$N$18,2,FALSE)&amp;$BB$2&amp;G40&amp;$BD$2,"")</f>
        <v>[6,100]</v>
      </c>
      <c r="BE38" s="49" t="str">
        <f>IFERROR($BC$2&amp;VLOOKUP(H40,'Pay Table'!$M$3:$N$18,2,FALSE)&amp;$BB$2&amp;I40&amp;$BD$2,"")</f>
        <v>[3,100]</v>
      </c>
      <c r="BF38" s="60" t="str">
        <f>IFERROR($BC$2&amp;VLOOKUP(J40,'Pay Table'!$M$3:$N$18,2,FALSE)&amp;$BB$2&amp;K40&amp;$BD$2,"")</f>
        <v>[6,100]</v>
      </c>
    </row>
    <row r="39" spans="1:58" ht="17.100000000000001" customHeight="1" x14ac:dyDescent="0.15">
      <c r="A39" s="14">
        <v>35</v>
      </c>
      <c r="B39" s="10" t="s">
        <v>123</v>
      </c>
      <c r="C39" s="10">
        <v>100</v>
      </c>
      <c r="D39" s="10" t="s">
        <v>47</v>
      </c>
      <c r="E39" s="10">
        <v>5</v>
      </c>
      <c r="F39" s="10" t="s">
        <v>47</v>
      </c>
      <c r="G39" s="10">
        <v>25</v>
      </c>
      <c r="H39" s="10" t="s">
        <v>152</v>
      </c>
      <c r="I39" s="10">
        <v>100</v>
      </c>
      <c r="J39" s="10" t="s">
        <v>153</v>
      </c>
      <c r="K39" s="10">
        <v>100</v>
      </c>
      <c r="N39" s="4">
        <f t="shared" si="4"/>
        <v>0</v>
      </c>
      <c r="O39" s="1">
        <f t="shared" si="10"/>
        <v>0</v>
      </c>
      <c r="P39" s="1">
        <f t="shared" si="11"/>
        <v>0</v>
      </c>
      <c r="Q39" s="1">
        <f t="shared" si="12"/>
        <v>0</v>
      </c>
      <c r="R39" s="5">
        <f t="shared" si="13"/>
        <v>0</v>
      </c>
      <c r="T39" s="2">
        <f t="shared" si="3"/>
        <v>0</v>
      </c>
      <c r="U39" s="1">
        <f t="shared" si="3"/>
        <v>0</v>
      </c>
      <c r="V39" s="1">
        <f t="shared" si="14"/>
        <v>0</v>
      </c>
      <c r="W39" s="1">
        <f t="shared" si="14"/>
        <v>0</v>
      </c>
      <c r="X39" s="5">
        <f t="shared" si="14"/>
        <v>0</v>
      </c>
      <c r="Y39" s="1">
        <f>SUM(U39:X39)</f>
        <v>0</v>
      </c>
      <c r="AA39" s="4">
        <f t="shared" si="5"/>
        <v>0</v>
      </c>
      <c r="AB39" s="2">
        <f t="shared" si="16"/>
        <v>0</v>
      </c>
      <c r="AC39" s="40">
        <f t="shared" si="17"/>
        <v>0</v>
      </c>
      <c r="AD39" s="1">
        <f t="shared" si="18"/>
        <v>0</v>
      </c>
      <c r="AE39" s="5">
        <f t="shared" si="27"/>
        <v>0</v>
      </c>
      <c r="AG39" s="4">
        <f t="shared" si="8"/>
        <v>0</v>
      </c>
      <c r="AH39" s="2">
        <f t="shared" si="19"/>
        <v>0</v>
      </c>
      <c r="AI39" s="1">
        <f t="shared" si="20"/>
        <v>0</v>
      </c>
      <c r="AJ39" s="1">
        <f t="shared" si="21"/>
        <v>0</v>
      </c>
      <c r="AK39" s="5">
        <f t="array" ref="AK39">O18*$P$6*Q18*R18*S18+
O18*P18*$Q$6*R18*S18+
O18*P18*Q18*$R$6*S18+
O18*P18*Q18*R18*$S$6</f>
        <v>0</v>
      </c>
      <c r="AM39" s="4">
        <f t="shared" si="9"/>
        <v>0</v>
      </c>
      <c r="AN39" s="1">
        <f t="shared" si="22"/>
        <v>0</v>
      </c>
      <c r="AO39" s="1">
        <f t="shared" si="23"/>
        <v>0</v>
      </c>
      <c r="AP39" s="5">
        <f t="array" ref="AP39">O18*$P$6*$Q$6*R18*S18+
O18*$P$6*Q18*$R$6*S18+
O18*P18*$Q$6*$R$6*S18+
O18*P18*$Q$6*R18*$S$6+
O18*P18*Q18*$R$6*$S$6+
O18*$P$6*Q18*R18*$S$6</f>
        <v>0</v>
      </c>
      <c r="AR39" s="4">
        <f t="shared" si="6"/>
        <v>0</v>
      </c>
      <c r="AS39" s="1">
        <f t="shared" si="24"/>
        <v>0</v>
      </c>
      <c r="AT39" s="5">
        <f t="shared" si="25"/>
        <v>0</v>
      </c>
      <c r="AV39" s="4">
        <f t="shared" si="7"/>
        <v>0</v>
      </c>
      <c r="AW39" s="5">
        <f t="shared" si="26"/>
        <v>0</v>
      </c>
      <c r="BB39" s="59" t="str">
        <f>IFERROR($BC$2&amp;VLOOKUP(B41,'Pay Table'!$M$3:$N$18,2,FALSE)&amp;$BB$2&amp;C41&amp;$BD$2,"")</f>
        <v>[1,100]</v>
      </c>
      <c r="BC39" s="49" t="str">
        <f>IFERROR($BC$2&amp;VLOOKUP(D41,'Pay Table'!$M$3:$N$18,2,FALSE)&amp;$BB$2&amp;E41&amp;$BD$2,"")</f>
        <v>[94,25]</v>
      </c>
      <c r="BD39" s="49" t="str">
        <f>IFERROR($BC$2&amp;VLOOKUP(F41,'Pay Table'!$M$3:$N$18,2,FALSE)&amp;$BB$2&amp;G41&amp;$BD$2,"")</f>
        <v>[92,100]</v>
      </c>
      <c r="BE39" s="49" t="str">
        <f>IFERROR($BC$2&amp;VLOOKUP(H41,'Pay Table'!$M$3:$N$18,2,FALSE)&amp;$BB$2&amp;I41&amp;$BD$2,"")</f>
        <v>[3,100]</v>
      </c>
      <c r="BF39" s="60" t="str">
        <f>IFERROR($BC$2&amp;VLOOKUP(J41,'Pay Table'!$M$3:$N$18,2,FALSE)&amp;$BB$2&amp;K41&amp;$BD$2,"")</f>
        <v>[4,100]</v>
      </c>
    </row>
    <row r="40" spans="1:58" ht="17.100000000000001" customHeight="1" x14ac:dyDescent="0.15">
      <c r="A40" s="14">
        <v>36</v>
      </c>
      <c r="B40" s="10" t="s">
        <v>152</v>
      </c>
      <c r="C40" s="10">
        <v>100</v>
      </c>
      <c r="D40" s="10" t="s">
        <v>47</v>
      </c>
      <c r="E40" s="10">
        <v>10</v>
      </c>
      <c r="F40" s="10" t="s">
        <v>121</v>
      </c>
      <c r="G40" s="10">
        <v>100</v>
      </c>
      <c r="H40" s="10" t="s">
        <v>127</v>
      </c>
      <c r="I40" s="10">
        <v>100</v>
      </c>
      <c r="J40" s="10" t="s">
        <v>121</v>
      </c>
      <c r="K40" s="10">
        <v>100</v>
      </c>
      <c r="N40" s="4">
        <f t="shared" si="4"/>
        <v>0</v>
      </c>
      <c r="O40" s="1">
        <f t="shared" si="10"/>
        <v>0</v>
      </c>
      <c r="P40" s="1">
        <f t="shared" si="11"/>
        <v>0</v>
      </c>
      <c r="Q40" s="1">
        <f t="shared" si="12"/>
        <v>0</v>
      </c>
      <c r="R40" s="5">
        <f t="shared" si="13"/>
        <v>0</v>
      </c>
      <c r="S40" s="22"/>
      <c r="T40" s="2">
        <f t="shared" si="3"/>
        <v>0</v>
      </c>
      <c r="U40" s="1">
        <f t="shared" si="3"/>
        <v>0</v>
      </c>
      <c r="V40" s="40">
        <f t="shared" si="14"/>
        <v>0</v>
      </c>
      <c r="W40" s="1">
        <f t="shared" si="14"/>
        <v>0</v>
      </c>
      <c r="X40" s="5">
        <f t="shared" si="14"/>
        <v>0</v>
      </c>
      <c r="Y40" s="1">
        <f>SUM(U40:X40)</f>
        <v>0</v>
      </c>
      <c r="AA40" s="4">
        <f t="shared" si="5"/>
        <v>0</v>
      </c>
      <c r="AB40" s="2">
        <f t="shared" si="16"/>
        <v>0</v>
      </c>
      <c r="AC40" s="40">
        <f t="shared" si="17"/>
        <v>0</v>
      </c>
      <c r="AD40" s="1">
        <f t="shared" si="18"/>
        <v>0</v>
      </c>
      <c r="AE40" s="5">
        <f t="shared" si="27"/>
        <v>0</v>
      </c>
      <c r="AG40" s="4">
        <f t="shared" si="8"/>
        <v>0</v>
      </c>
      <c r="AH40" s="2">
        <f t="shared" si="19"/>
        <v>0</v>
      </c>
      <c r="AI40" s="1">
        <f t="shared" si="20"/>
        <v>0</v>
      </c>
      <c r="AJ40" s="1">
        <f t="shared" si="21"/>
        <v>0</v>
      </c>
      <c r="AK40" s="5">
        <f>O19*$P$6*Q19*R19*S19+
O19*P19*$Q$6*R19*S19+
O19*P19*Q19*$R$6*S19</f>
        <v>0</v>
      </c>
      <c r="AM40" s="4">
        <f t="shared" si="9"/>
        <v>0</v>
      </c>
      <c r="AN40" s="1">
        <f t="shared" si="22"/>
        <v>0</v>
      </c>
      <c r="AO40" s="1">
        <f t="shared" si="23"/>
        <v>0</v>
      </c>
      <c r="AP40" s="5">
        <f t="array" ref="AP40">O19*$P$6*$Q$6*R19*S19+
O19*$P$6*Q19*$R$6*S19+
O19*P19*$Q$6*$R$6*S19+
O19*P19*$Q$6*R19*$S$6+
O19*P19*Q19*$R$6*$S$6+
O19*$P$6*Q19*R19*$S$6</f>
        <v>0</v>
      </c>
      <c r="AR40" s="4">
        <f t="shared" si="6"/>
        <v>0</v>
      </c>
      <c r="AS40" s="1">
        <f t="shared" si="24"/>
        <v>0</v>
      </c>
      <c r="AT40" s="5">
        <f t="shared" si="25"/>
        <v>0</v>
      </c>
      <c r="AV40" s="4">
        <f t="shared" si="7"/>
        <v>0</v>
      </c>
      <c r="AW40" s="5">
        <f t="shared" si="26"/>
        <v>0</v>
      </c>
      <c r="BB40" s="59" t="str">
        <f>IFERROR($BC$2&amp;VLOOKUP(B42,'Pay Table'!$M$3:$N$18,2,FALSE)&amp;$BB$2&amp;C42&amp;$BD$2,"")</f>
        <v>[1,100]</v>
      </c>
      <c r="BC40" s="49" t="str">
        <f>IFERROR($BC$2&amp;VLOOKUP(D42,'Pay Table'!$M$3:$N$18,2,FALSE)&amp;$BB$2&amp;E42&amp;$BD$2,"")</f>
        <v>[8,100]</v>
      </c>
      <c r="BD40" s="49" t="str">
        <f>IFERROR($BC$2&amp;VLOOKUP(F42,'Pay Table'!$M$3:$N$18,2,FALSE)&amp;$BB$2&amp;G42&amp;$BD$2,"")</f>
        <v>[8,100]</v>
      </c>
      <c r="BE40" s="49" t="str">
        <f>IFERROR($BC$2&amp;VLOOKUP(H42,'Pay Table'!$M$3:$N$18,2,FALSE)&amp;$BB$2&amp;I42&amp;$BD$2,"")</f>
        <v>[2,25]</v>
      </c>
      <c r="BF40" s="60" t="str">
        <f>IFERROR($BC$2&amp;VLOOKUP(J42,'Pay Table'!$M$3:$N$18,2,FALSE)&amp;$BB$2&amp;K42&amp;$BD$2,"")</f>
        <v>[1,100]</v>
      </c>
    </row>
    <row r="41" spans="1:58" ht="17.100000000000001" customHeight="1" x14ac:dyDescent="0.15">
      <c r="A41" s="14">
        <v>37</v>
      </c>
      <c r="B41" s="10" t="s">
        <v>152</v>
      </c>
      <c r="C41" s="10">
        <v>100</v>
      </c>
      <c r="D41" s="10" t="s">
        <v>47</v>
      </c>
      <c r="E41" s="10">
        <v>25</v>
      </c>
      <c r="F41" s="10" t="s">
        <v>122</v>
      </c>
      <c r="G41" s="10">
        <v>100</v>
      </c>
      <c r="H41" s="10" t="s">
        <v>172</v>
      </c>
      <c r="I41" s="10">
        <v>100</v>
      </c>
      <c r="J41" s="10" t="s">
        <v>148</v>
      </c>
      <c r="K41" s="10">
        <v>100</v>
      </c>
      <c r="N41" s="19">
        <f t="shared" si="4"/>
        <v>0</v>
      </c>
      <c r="O41" s="15"/>
      <c r="P41" s="15"/>
      <c r="Q41" s="15"/>
      <c r="R41" s="16"/>
      <c r="T41" s="8">
        <f>N41</f>
        <v>0</v>
      </c>
      <c r="U41" s="15"/>
      <c r="V41" s="15"/>
      <c r="W41" s="15"/>
      <c r="X41" s="16"/>
      <c r="AA41" s="19">
        <f t="shared" si="5"/>
        <v>0</v>
      </c>
      <c r="AB41" s="8"/>
      <c r="AC41" s="38"/>
      <c r="AD41" s="15"/>
      <c r="AE41" s="16"/>
      <c r="AG41" s="19">
        <f t="shared" si="8"/>
        <v>0</v>
      </c>
      <c r="AH41" s="8"/>
      <c r="AI41" s="15"/>
      <c r="AJ41" s="15"/>
      <c r="AK41" s="16"/>
      <c r="AM41" s="19">
        <f t="shared" si="9"/>
        <v>0</v>
      </c>
      <c r="AN41" s="15"/>
      <c r="AO41" s="15"/>
      <c r="AP41" s="16"/>
      <c r="AR41" s="19">
        <f t="shared" si="6"/>
        <v>0</v>
      </c>
      <c r="AS41" s="15">
        <f t="shared" si="24"/>
        <v>0</v>
      </c>
      <c r="AT41" s="16">
        <f t="shared" si="25"/>
        <v>0</v>
      </c>
      <c r="AV41" s="19">
        <f t="shared" si="7"/>
        <v>0</v>
      </c>
      <c r="AW41" s="16">
        <f t="shared" si="26"/>
        <v>0</v>
      </c>
      <c r="BB41" s="59" t="str">
        <f>IFERROR($BC$2&amp;VLOOKUP(B43,'Pay Table'!$M$3:$N$18,2,FALSE)&amp;$BB$2&amp;C43&amp;$BD$2,"")</f>
        <v>[5,100]</v>
      </c>
      <c r="BC41" s="49" t="str">
        <f>IFERROR($BC$2&amp;VLOOKUP(D43,'Pay Table'!$M$3:$N$18,2,FALSE)&amp;$BB$2&amp;E43&amp;$BD$2,"")</f>
        <v>[6,100]</v>
      </c>
      <c r="BD41" s="49" t="str">
        <f>IFERROR($BC$2&amp;VLOOKUP(F43,'Pay Table'!$M$3:$N$18,2,FALSE)&amp;$BB$2&amp;G43&amp;$BD$2,"")</f>
        <v>[6,100]</v>
      </c>
      <c r="BE41" s="49" t="str">
        <f>IFERROR($BC$2&amp;VLOOKUP(H43,'Pay Table'!$M$3:$N$18,2,FALSE)&amp;$BB$2&amp;I43&amp;$BD$2,"")</f>
        <v>[6,25]</v>
      </c>
      <c r="BF41" s="60" t="str">
        <f>IFERROR($BC$2&amp;VLOOKUP(J43,'Pay Table'!$M$3:$N$18,2,FALSE)&amp;$BB$2&amp;K43&amp;$BD$2,"")</f>
        <v>[1,100]</v>
      </c>
    </row>
    <row r="42" spans="1:58" ht="17.100000000000001" customHeight="1" x14ac:dyDescent="0.15">
      <c r="A42" s="14">
        <v>38</v>
      </c>
      <c r="B42" s="10" t="s">
        <v>152</v>
      </c>
      <c r="C42" s="10">
        <v>100</v>
      </c>
      <c r="D42" s="10" t="s">
        <v>120</v>
      </c>
      <c r="E42" s="10">
        <v>100</v>
      </c>
      <c r="F42" s="10" t="s">
        <v>120</v>
      </c>
      <c r="G42" s="10">
        <v>100</v>
      </c>
      <c r="H42" s="10" t="s">
        <v>151</v>
      </c>
      <c r="I42" s="10">
        <v>25</v>
      </c>
      <c r="J42" s="10" t="s">
        <v>125</v>
      </c>
      <c r="K42" s="10">
        <v>100</v>
      </c>
      <c r="BB42" s="59" t="str">
        <f>IFERROR($BC$2&amp;VLOOKUP(B44,'Pay Table'!$M$3:$N$18,2,FALSE)&amp;$BB$2&amp;C44&amp;$BD$2,"")</f>
        <v>[4,100]</v>
      </c>
      <c r="BC42" s="49" t="str">
        <f>IFERROR($BC$2&amp;VLOOKUP(D44,'Pay Table'!$M$3:$N$18,2,FALSE)&amp;$BB$2&amp;E44&amp;$BD$2,"")</f>
        <v>[2,100]</v>
      </c>
      <c r="BD42" s="49" t="str">
        <f>IFERROR($BC$2&amp;VLOOKUP(F44,'Pay Table'!$M$3:$N$18,2,FALSE)&amp;$BB$2&amp;G44&amp;$BD$2,"")</f>
        <v>[0,100]</v>
      </c>
      <c r="BE42" s="49" t="str">
        <f>IFERROR($BC$2&amp;VLOOKUP(H44,'Pay Table'!$M$3:$N$18,2,FALSE)&amp;$BB$2&amp;I44&amp;$BD$2,"")</f>
        <v>[94,25]</v>
      </c>
      <c r="BF42" s="60" t="str">
        <f>IFERROR($BC$2&amp;VLOOKUP(J44,'Pay Table'!$M$3:$N$18,2,FALSE)&amp;$BB$2&amp;K44&amp;$BD$2,"")</f>
        <v>[1,100]</v>
      </c>
    </row>
    <row r="43" spans="1:58" ht="17.100000000000001" customHeight="1" x14ac:dyDescent="0.15">
      <c r="A43" s="14">
        <v>39</v>
      </c>
      <c r="B43" s="10" t="s">
        <v>123</v>
      </c>
      <c r="C43" s="10">
        <v>100</v>
      </c>
      <c r="D43" s="10" t="s">
        <v>121</v>
      </c>
      <c r="E43" s="10">
        <v>100</v>
      </c>
      <c r="F43" s="10" t="s">
        <v>121</v>
      </c>
      <c r="G43" s="10">
        <v>100</v>
      </c>
      <c r="H43" s="10" t="s">
        <v>121</v>
      </c>
      <c r="I43" s="10">
        <v>25</v>
      </c>
      <c r="J43" s="10" t="s">
        <v>152</v>
      </c>
      <c r="K43" s="10">
        <v>100</v>
      </c>
      <c r="N43" s="37"/>
      <c r="O43" s="1" t="s">
        <v>29</v>
      </c>
      <c r="S43" s="1" t="s">
        <v>30</v>
      </c>
      <c r="W43" s="1" t="s">
        <v>31</v>
      </c>
      <c r="Z43" s="1" t="s">
        <v>32</v>
      </c>
      <c r="AB43" s="1" t="s">
        <v>33</v>
      </c>
      <c r="AD43" s="1" t="s">
        <v>28</v>
      </c>
      <c r="BB43" s="59" t="str">
        <f>IFERROR($BC$2&amp;VLOOKUP(B45,'Pay Table'!$M$3:$N$18,2,FALSE)&amp;$BB$2&amp;C45&amp;$BD$2,"")</f>
        <v>[2,25]</v>
      </c>
      <c r="BC43" s="49" t="str">
        <f>IFERROR($BC$2&amp;VLOOKUP(D45,'Pay Table'!$M$3:$N$18,2,FALSE)&amp;$BB$2&amp;E45&amp;$BD$2,"")</f>
        <v>[0,100]</v>
      </c>
      <c r="BD43" s="49" t="str">
        <f>IFERROR($BC$2&amp;VLOOKUP(F45,'Pay Table'!$M$3:$N$18,2,FALSE)&amp;$BB$2&amp;G45&amp;$BD$2,"")</f>
        <v>[0,100]</v>
      </c>
      <c r="BE43" s="49" t="str">
        <f>IFERROR($BC$2&amp;VLOOKUP(H45,'Pay Table'!$M$3:$N$18,2,FALSE)&amp;$BB$2&amp;I45&amp;$BD$2,"")</f>
        <v>[6,100]</v>
      </c>
      <c r="BF43" s="60" t="str">
        <f>IFERROR($BC$2&amp;VLOOKUP(J45,'Pay Table'!$M$3:$N$18,2,FALSE)&amp;$BB$2&amp;K45&amp;$BD$2,"")</f>
        <v>[5,100]</v>
      </c>
    </row>
    <row r="44" spans="1:58" ht="17.100000000000001" customHeight="1" x14ac:dyDescent="0.15">
      <c r="A44" s="14">
        <v>40</v>
      </c>
      <c r="B44" s="10" t="s">
        <v>148</v>
      </c>
      <c r="C44" s="10">
        <v>100</v>
      </c>
      <c r="D44" s="10" t="s">
        <v>151</v>
      </c>
      <c r="E44" s="10">
        <v>100</v>
      </c>
      <c r="F44" s="10" t="s">
        <v>153</v>
      </c>
      <c r="G44" s="10">
        <v>100</v>
      </c>
      <c r="H44" s="10" t="s">
        <v>47</v>
      </c>
      <c r="I44" s="10">
        <v>25</v>
      </c>
      <c r="J44" s="10" t="s">
        <v>152</v>
      </c>
      <c r="K44" s="10">
        <v>100</v>
      </c>
      <c r="N44" s="6" t="s">
        <v>4</v>
      </c>
      <c r="O44" s="18">
        <v>2</v>
      </c>
      <c r="P44" s="18">
        <v>3</v>
      </c>
      <c r="Q44" s="18">
        <v>4</v>
      </c>
      <c r="R44" s="36">
        <v>5</v>
      </c>
      <c r="S44" s="18">
        <v>2</v>
      </c>
      <c r="T44" s="18">
        <v>3</v>
      </c>
      <c r="U44" s="18">
        <v>4</v>
      </c>
      <c r="V44" s="36">
        <v>5</v>
      </c>
      <c r="W44" s="18">
        <v>3</v>
      </c>
      <c r="X44" s="18">
        <v>4</v>
      </c>
      <c r="Y44" s="36">
        <v>5</v>
      </c>
      <c r="Z44" s="18">
        <v>4</v>
      </c>
      <c r="AA44" s="36">
        <v>5</v>
      </c>
      <c r="AB44" s="6">
        <v>5</v>
      </c>
      <c r="AD44" s="17" t="str">
        <f t="shared" ref="AD44:AD60" si="28">N25</f>
        <v>Symbol</v>
      </c>
      <c r="AE44" s="18">
        <v>2</v>
      </c>
      <c r="AF44" s="18">
        <f>P25</f>
        <v>3</v>
      </c>
      <c r="AG44" s="18">
        <f>Q25</f>
        <v>4</v>
      </c>
      <c r="AH44" s="36">
        <f>R25</f>
        <v>5</v>
      </c>
      <c r="AI44" s="1" t="s">
        <v>12</v>
      </c>
      <c r="BB44" s="59" t="str">
        <f>IFERROR($BC$2&amp;VLOOKUP(B46,'Pay Table'!$M$3:$N$18,2,FALSE)&amp;$BB$2&amp;C46&amp;$BD$2,"")</f>
        <v>[6,25]</v>
      </c>
      <c r="BC44" s="49" t="str">
        <f>IFERROR($BC$2&amp;VLOOKUP(D46,'Pay Table'!$M$3:$N$18,2,FALSE)&amp;$BB$2&amp;E46&amp;$BD$2,"")</f>
        <v>[4,100]</v>
      </c>
      <c r="BD44" s="49" t="str">
        <f>IFERROR($BC$2&amp;VLOOKUP(F46,'Pay Table'!$M$3:$N$18,2,FALSE)&amp;$BB$2&amp;G46&amp;$BD$2,"")</f>
        <v>[2,100]</v>
      </c>
      <c r="BE44" s="49" t="str">
        <f>IFERROR($BC$2&amp;VLOOKUP(H46,'Pay Table'!$M$3:$N$18,2,FALSE)&amp;$BB$2&amp;I46&amp;$BD$2,"")</f>
        <v>[2,100]</v>
      </c>
      <c r="BF44" s="60" t="str">
        <f>IFERROR($BC$2&amp;VLOOKUP(J46,'Pay Table'!$M$3:$N$18,2,FALSE)&amp;$BB$2&amp;K46&amp;$BD$2,"")</f>
        <v>[6,100]</v>
      </c>
    </row>
    <row r="45" spans="1:58" ht="17.100000000000001" customHeight="1" x14ac:dyDescent="0.15">
      <c r="A45" s="14">
        <v>41</v>
      </c>
      <c r="B45" s="10" t="s">
        <v>151</v>
      </c>
      <c r="C45" s="10">
        <v>25</v>
      </c>
      <c r="D45" s="10" t="s">
        <v>153</v>
      </c>
      <c r="E45" s="10">
        <v>100</v>
      </c>
      <c r="F45" s="10" t="s">
        <v>153</v>
      </c>
      <c r="G45" s="10">
        <v>100</v>
      </c>
      <c r="H45" s="10" t="s">
        <v>121</v>
      </c>
      <c r="I45" s="10">
        <v>100</v>
      </c>
      <c r="J45" s="10" t="s">
        <v>123</v>
      </c>
      <c r="K45" s="10">
        <v>100</v>
      </c>
      <c r="N45" s="4" t="str">
        <f>N26</f>
        <v>LINK</v>
      </c>
      <c r="R45" s="5"/>
      <c r="V45" s="5"/>
      <c r="W45" s="7"/>
      <c r="X45" s="21"/>
      <c r="Y45" s="20"/>
      <c r="Z45" s="7"/>
      <c r="AA45" s="20"/>
      <c r="AB45" s="3"/>
      <c r="AD45" s="7" t="str">
        <f t="shared" si="28"/>
        <v>LINK</v>
      </c>
      <c r="AE45" s="21"/>
      <c r="AF45" s="21"/>
      <c r="AG45" s="21"/>
      <c r="AH45" s="20"/>
      <c r="BB45" s="59" t="str">
        <f>IFERROR($BC$2&amp;VLOOKUP(B47,'Pay Table'!$M$3:$N$18,2,FALSE)&amp;$BB$2&amp;C47&amp;$BD$2,"")</f>
        <v>[94,25]</v>
      </c>
      <c r="BC45" s="49" t="str">
        <f>IFERROR($BC$2&amp;VLOOKUP(D47,'Pay Table'!$M$3:$N$18,2,FALSE)&amp;$BB$2&amp;E47&amp;$BD$2,"")</f>
        <v>[8,100]</v>
      </c>
      <c r="BD45" s="49" t="str">
        <f>IFERROR($BC$2&amp;VLOOKUP(F47,'Pay Table'!$M$3:$N$18,2,FALSE)&amp;$BB$2&amp;G47&amp;$BD$2,"")</f>
        <v>[2,100]</v>
      </c>
      <c r="BE45" s="49" t="str">
        <f>IFERROR($BC$2&amp;VLOOKUP(H47,'Pay Table'!$M$3:$N$18,2,FALSE)&amp;$BB$2&amp;I47&amp;$BD$2,"")</f>
        <v>[2,100]</v>
      </c>
      <c r="BF45" s="60" t="str">
        <f>IFERROR($BC$2&amp;VLOOKUP(J47,'Pay Table'!$M$3:$N$18,2,FALSE)&amp;$BB$2&amp;K47&amp;$BD$2,"")</f>
        <v>[2,100]</v>
      </c>
    </row>
    <row r="46" spans="1:58" ht="17.100000000000001" customHeight="1" x14ac:dyDescent="0.15">
      <c r="A46" s="14">
        <v>42</v>
      </c>
      <c r="B46" s="10" t="s">
        <v>121</v>
      </c>
      <c r="C46" s="10">
        <v>25</v>
      </c>
      <c r="D46" s="10" t="s">
        <v>148</v>
      </c>
      <c r="E46" s="10">
        <v>100</v>
      </c>
      <c r="F46" s="10" t="s">
        <v>126</v>
      </c>
      <c r="G46" s="10">
        <v>100</v>
      </c>
      <c r="H46" s="10" t="s">
        <v>151</v>
      </c>
      <c r="I46" s="10">
        <v>100</v>
      </c>
      <c r="J46" s="10" t="s">
        <v>121</v>
      </c>
      <c r="K46" s="10">
        <v>100</v>
      </c>
      <c r="N46" s="4" t="str">
        <f t="shared" ref="N46:N59" si="29">N27</f>
        <v>WILD</v>
      </c>
      <c r="R46" s="5"/>
      <c r="S46" s="1">
        <f>O6*P6*(Q21-Q6)*R21*S21</f>
        <v>0</v>
      </c>
      <c r="V46" s="5"/>
      <c r="W46" s="2">
        <f>O6*P6*Q6*(R21-R6)*S21</f>
        <v>0</v>
      </c>
      <c r="Y46" s="5"/>
      <c r="Z46" s="2">
        <f>O6*P6*Q6*R6*(S21-S6)</f>
        <v>0</v>
      </c>
      <c r="AA46" s="5"/>
      <c r="AB46" s="4">
        <f>O6*P6*Q6*R6*S6</f>
        <v>0</v>
      </c>
      <c r="AD46" s="2" t="str">
        <f t="shared" si="28"/>
        <v>WILD</v>
      </c>
      <c r="AE46" s="1">
        <f t="array" ref="AE46">S46-SUMIF('Pay Table'!D7:D16,"&gt;"&amp;'Pay Table'!C6,T47:T60)-SUMIF('Pay Table'!E7:E16,"&gt;"&amp;'Pay Table'!C6,U47:U60)-SUMIF('Pay Table'!F7:F16,"&gt;"&amp;'Pay Table'!C6,V47:V60)</f>
        <v>0</v>
      </c>
      <c r="AF46" s="1">
        <f t="array" ref="AF46">W46-SUMIF('Pay Table'!E7:E16,"&gt;"&amp;'Pay Table'!D6,X47:X60)-SUMIF('Pay Table'!F7:F16,"&gt;"&amp;'Pay Table'!D6,Y47:Y60)</f>
        <v>0</v>
      </c>
      <c r="AG46" s="1">
        <f>Z46-SUMIF('Pay Table'!F7:F16,"&gt;"&amp;'Pay Table'!E6,AA47:AA60)</f>
        <v>0</v>
      </c>
      <c r="AH46" s="5">
        <f>AB46</f>
        <v>0</v>
      </c>
      <c r="AI46" s="1">
        <f>SUM(AF46:AH46)</f>
        <v>0</v>
      </c>
      <c r="BB46" s="59" t="str">
        <f>IFERROR($BC$2&amp;VLOOKUP(B48,'Pay Table'!$M$3:$N$18,2,FALSE)&amp;$BB$2&amp;C48&amp;$BD$2,"")</f>
        <v>[8,100]</v>
      </c>
      <c r="BC46" s="49" t="str">
        <f>IFERROR($BC$2&amp;VLOOKUP(D48,'Pay Table'!$M$3:$N$18,2,FALSE)&amp;$BB$2&amp;E48&amp;$BD$2,"")</f>
        <v>[1,100]</v>
      </c>
      <c r="BD46" s="49" t="str">
        <f>IFERROR($BC$2&amp;VLOOKUP(F48,'Pay Table'!$M$3:$N$18,2,FALSE)&amp;$BB$2&amp;G48&amp;$BD$2,"")</f>
        <v>[8,100]</v>
      </c>
      <c r="BE46" s="49" t="str">
        <f>IFERROR($BC$2&amp;VLOOKUP(H48,'Pay Table'!$M$3:$N$18,2,FALSE)&amp;$BB$2&amp;I48&amp;$BD$2,"")</f>
        <v>[1,100]</v>
      </c>
      <c r="BF46" s="60" t="str">
        <f>IFERROR($BC$2&amp;VLOOKUP(J48,'Pay Table'!$M$3:$N$18,2,FALSE)&amp;$BB$2&amp;K48&amp;$BD$2,"")</f>
        <v>[8,100]</v>
      </c>
    </row>
    <row r="47" spans="1:58" ht="17.100000000000001" customHeight="1" x14ac:dyDescent="0.15">
      <c r="A47" s="14">
        <v>43</v>
      </c>
      <c r="B47" s="10" t="s">
        <v>47</v>
      </c>
      <c r="C47" s="10">
        <v>25</v>
      </c>
      <c r="D47" s="10" t="s">
        <v>120</v>
      </c>
      <c r="E47" s="10">
        <v>100</v>
      </c>
      <c r="F47" s="10" t="s">
        <v>151</v>
      </c>
      <c r="G47" s="10">
        <v>100</v>
      </c>
      <c r="H47" s="10" t="s">
        <v>151</v>
      </c>
      <c r="I47" s="10">
        <v>100</v>
      </c>
      <c r="J47" s="10" t="s">
        <v>151</v>
      </c>
      <c r="K47" s="10">
        <v>100</v>
      </c>
      <c r="N47" s="4" t="str">
        <f t="shared" si="29"/>
        <v>M1</v>
      </c>
      <c r="O47" s="1">
        <f t="shared" ref="O47:O60" si="30">$O$6*(P7)*($Q$21-Q7-$Q$6)*$R$21*$S$21</f>
        <v>0</v>
      </c>
      <c r="P47" s="1">
        <f t="shared" ref="P47:P60" si="31">$O$6*(P7)*(Q7+$Q$6)*($R$21-R7-$R$6)*$S$21</f>
        <v>0</v>
      </c>
      <c r="Q47" s="1">
        <f t="shared" ref="Q47:Q60" si="32">$O$6*(P7)*($Q$6+Q7)*($R$6+R7)*($S$21-S7-$S$6)</f>
        <v>0</v>
      </c>
      <c r="R47" s="5">
        <f t="shared" ref="R47:R60" si="33">$O$6*(P7)*($Q$6+Q7)*($R$6+R7)*($S$6+S7)</f>
        <v>0</v>
      </c>
      <c r="T47" s="1">
        <f t="shared" ref="T47:T60" si="34">$O$6*$P$6*(Q7)*($R$21-R7-$R$6)*$S$21</f>
        <v>0</v>
      </c>
      <c r="U47" s="1">
        <f t="shared" ref="U47:U60" si="35">$O$6*$P$6*(Q7)*($R$6+R7)*($S$21-S7-$S$6)</f>
        <v>0</v>
      </c>
      <c r="V47" s="5">
        <f t="shared" ref="V47:V60" si="36">$O$6*$P$6*(Q7)*($R$6+R7)*($S$6+S7)</f>
        <v>0</v>
      </c>
      <c r="W47" s="2"/>
      <c r="X47" s="1">
        <f>$O$6*$P$6*$Q$6*(R7)*($S$21-S7-$S$6)</f>
        <v>0</v>
      </c>
      <c r="Y47" s="5">
        <f t="shared" ref="Y47:Y60" si="37">$O$6*$P$6*$Q$6*(R7)*($S$6+S7)</f>
        <v>0</v>
      </c>
      <c r="Z47" s="2"/>
      <c r="AA47" s="5">
        <f t="shared" ref="AA47:AA60" si="38">$O$6*$P$6*$Q$6*$R$6*(S7)</f>
        <v>0</v>
      </c>
      <c r="AB47" s="4"/>
      <c r="AD47" s="2" t="str">
        <f t="shared" si="28"/>
        <v>M1</v>
      </c>
      <c r="AE47" s="1">
        <f>O47</f>
        <v>0</v>
      </c>
      <c r="AF47" s="1">
        <f t="array" ref="AF47">P47+IF('Pay Table'!D7&gt;'Pay Table'!$C$6,T47,0)</f>
        <v>0</v>
      </c>
      <c r="AG47" s="1">
        <f>Q47+IF('Pay Table'!E7&gt;'Pay Table'!$C$6,U47,0)+IF('Pay Table'!E7&gt;'Pay Table'!$D$6,X47,0)</f>
        <v>0</v>
      </c>
      <c r="AH47" s="5">
        <f t="array" ref="AH47">R47+IF('Pay Table'!F7&gt;'Pay Table'!$C$6,V47,0)+IF('Pay Table'!F7&gt;'Pay Table'!$D$6,Y47,0)+IF('Pay Table'!F7&gt;'Pay Table'!$E$6,AA47,0)</f>
        <v>0</v>
      </c>
      <c r="AI47" s="1">
        <f t="shared" ref="AI47:AI57" si="39">SUM(AF47:AH47)</f>
        <v>0</v>
      </c>
      <c r="BB47" s="59" t="str">
        <f>IFERROR($BC$2&amp;VLOOKUP(B49,'Pay Table'!$M$3:$N$18,2,FALSE)&amp;$BB$2&amp;C49&amp;$BD$2,"")</f>
        <v>[2,100]</v>
      </c>
      <c r="BC47" s="49" t="str">
        <f>IFERROR($BC$2&amp;VLOOKUP(D49,'Pay Table'!$M$3:$N$18,2,FALSE)&amp;$BB$2&amp;E49&amp;$BD$2,"")</f>
        <v>[2,25]</v>
      </c>
      <c r="BD47" s="49" t="str">
        <f>IFERROR($BC$2&amp;VLOOKUP(F49,'Pay Table'!$M$3:$N$18,2,FALSE)&amp;$BB$2&amp;G49&amp;$BD$2,"")</f>
        <v>[4,100]</v>
      </c>
      <c r="BE47" s="49" t="str">
        <f>IFERROR($BC$2&amp;VLOOKUP(H49,'Pay Table'!$M$3:$N$18,2,FALSE)&amp;$BB$2&amp;I49&amp;$BD$2,"")</f>
        <v>[5,100]</v>
      </c>
      <c r="BF47" s="60" t="str">
        <f>IFERROR($BC$2&amp;VLOOKUP(J49,'Pay Table'!$M$3:$N$18,2,FALSE)&amp;$BB$2&amp;K49&amp;$BD$2,"")</f>
        <v>[92,100]</v>
      </c>
    </row>
    <row r="48" spans="1:58" ht="17.100000000000001" customHeight="1" x14ac:dyDescent="0.15">
      <c r="A48" s="14">
        <v>44</v>
      </c>
      <c r="B48" s="10" t="s">
        <v>120</v>
      </c>
      <c r="C48" s="10">
        <v>100</v>
      </c>
      <c r="D48" s="10" t="s">
        <v>152</v>
      </c>
      <c r="E48" s="10">
        <v>100</v>
      </c>
      <c r="F48" s="10" t="s">
        <v>120</v>
      </c>
      <c r="G48" s="10">
        <v>100</v>
      </c>
      <c r="H48" s="10" t="s">
        <v>152</v>
      </c>
      <c r="I48" s="10">
        <v>100</v>
      </c>
      <c r="J48" s="10" t="s">
        <v>120</v>
      </c>
      <c r="K48" s="10">
        <v>100</v>
      </c>
      <c r="N48" s="4" t="str">
        <f t="shared" si="29"/>
        <v>M2</v>
      </c>
      <c r="O48" s="1">
        <f t="shared" si="30"/>
        <v>0</v>
      </c>
      <c r="P48" s="1">
        <f t="shared" si="31"/>
        <v>0</v>
      </c>
      <c r="Q48" s="1">
        <f t="shared" si="32"/>
        <v>0</v>
      </c>
      <c r="R48" s="5">
        <f t="shared" si="33"/>
        <v>0</v>
      </c>
      <c r="T48" s="1">
        <f t="shared" si="34"/>
        <v>0</v>
      </c>
      <c r="U48" s="1">
        <f t="shared" si="35"/>
        <v>0</v>
      </c>
      <c r="V48" s="5">
        <f t="shared" si="36"/>
        <v>0</v>
      </c>
      <c r="W48" s="2"/>
      <c r="X48" s="1">
        <f t="shared" ref="X48:X60" si="40">$O$6*$P$6*$Q$6*(R8)*($S$21-S8-$S$6)</f>
        <v>0</v>
      </c>
      <c r="Y48" s="5">
        <f t="shared" si="37"/>
        <v>0</v>
      </c>
      <c r="Z48" s="2"/>
      <c r="AA48" s="5">
        <f t="shared" si="38"/>
        <v>0</v>
      </c>
      <c r="AB48" s="4"/>
      <c r="AD48" s="2" t="str">
        <f t="shared" si="28"/>
        <v>M2</v>
      </c>
      <c r="AE48" s="1">
        <f t="shared" ref="AE48:AE60" si="41">O48</f>
        <v>0</v>
      </c>
      <c r="AF48" s="1">
        <f t="array" ref="AF48">P48+IF('Pay Table'!D8&gt;'Pay Table'!$C$6,T48,0)</f>
        <v>0</v>
      </c>
      <c r="AG48" s="1">
        <f>Q48+IF('Pay Table'!E8&gt;'Pay Table'!$C$6,U48,0)+IF('Pay Table'!E8&gt;'Pay Table'!$D$6,X48,0)</f>
        <v>0</v>
      </c>
      <c r="AH48" s="5">
        <f t="array" ref="AH48">R48+IF('Pay Table'!F8&gt;'Pay Table'!$C$6,V48,0)+IF('Pay Table'!F8&gt;'Pay Table'!$D$6,Y48,0)+IF('Pay Table'!F8&gt;'Pay Table'!$E$6,AA48,0)</f>
        <v>0</v>
      </c>
      <c r="AI48" s="1">
        <f t="shared" si="39"/>
        <v>0</v>
      </c>
      <c r="BB48" s="59" t="str">
        <f>IFERROR($BC$2&amp;VLOOKUP(B50,'Pay Table'!$M$3:$N$18,2,FALSE)&amp;$BB$2&amp;C50&amp;$BD$2,"")</f>
        <v>[3,100]</v>
      </c>
      <c r="BC48" s="49" t="str">
        <f>IFERROR($BC$2&amp;VLOOKUP(D50,'Pay Table'!$M$3:$N$18,2,FALSE)&amp;$BB$2&amp;E50&amp;$BD$2,"")</f>
        <v>[2,25]</v>
      </c>
      <c r="BD48" s="49" t="str">
        <f>IFERROR($BC$2&amp;VLOOKUP(F50,'Pay Table'!$M$3:$N$18,2,FALSE)&amp;$BB$2&amp;G50&amp;$BD$2,"")</f>
        <v>[6,100]</v>
      </c>
      <c r="BE48" s="49" t="str">
        <f>IFERROR($BC$2&amp;VLOOKUP(H50,'Pay Table'!$M$3:$N$18,2,FALSE)&amp;$BB$2&amp;I50&amp;$BD$2,"")</f>
        <v>[6,100]</v>
      </c>
      <c r="BF48" s="60" t="str">
        <f>IFERROR($BC$2&amp;VLOOKUP(J50,'Pay Table'!$M$3:$N$18,2,FALSE)&amp;$BB$2&amp;K50&amp;$BD$2,"")</f>
        <v>[5,100]</v>
      </c>
    </row>
    <row r="49" spans="1:58" ht="17.100000000000001" customHeight="1" x14ac:dyDescent="0.15">
      <c r="A49" s="14">
        <v>45</v>
      </c>
      <c r="B49" s="10" t="s">
        <v>151</v>
      </c>
      <c r="C49" s="10">
        <v>100</v>
      </c>
      <c r="D49" s="10" t="s">
        <v>151</v>
      </c>
      <c r="E49" s="10">
        <v>25</v>
      </c>
      <c r="F49" s="10" t="s">
        <v>148</v>
      </c>
      <c r="G49" s="10">
        <v>100</v>
      </c>
      <c r="H49" s="10" t="s">
        <v>123</v>
      </c>
      <c r="I49" s="10">
        <v>100</v>
      </c>
      <c r="J49" s="10" t="s">
        <v>122</v>
      </c>
      <c r="K49" s="10">
        <v>100</v>
      </c>
      <c r="N49" s="4" t="str">
        <f t="shared" si="29"/>
        <v>M3</v>
      </c>
      <c r="O49" s="1">
        <f t="shared" si="30"/>
        <v>0</v>
      </c>
      <c r="P49" s="1">
        <f t="shared" si="31"/>
        <v>0</v>
      </c>
      <c r="Q49" s="1">
        <f t="shared" si="32"/>
        <v>0</v>
      </c>
      <c r="R49" s="5">
        <f t="shared" si="33"/>
        <v>0</v>
      </c>
      <c r="T49" s="1">
        <f t="shared" si="34"/>
        <v>0</v>
      </c>
      <c r="U49" s="1">
        <f t="shared" si="35"/>
        <v>0</v>
      </c>
      <c r="V49" s="5">
        <f t="shared" si="36"/>
        <v>0</v>
      </c>
      <c r="W49" s="2"/>
      <c r="X49" s="1">
        <f t="shared" si="40"/>
        <v>0</v>
      </c>
      <c r="Y49" s="5">
        <f t="shared" si="37"/>
        <v>0</v>
      </c>
      <c r="Z49" s="2"/>
      <c r="AA49" s="5">
        <f t="shared" si="38"/>
        <v>0</v>
      </c>
      <c r="AB49" s="4"/>
      <c r="AD49" s="2" t="str">
        <f t="shared" si="28"/>
        <v>M3</v>
      </c>
      <c r="AE49" s="1">
        <f t="shared" si="41"/>
        <v>0</v>
      </c>
      <c r="AF49" s="1">
        <f t="array" ref="AF49">P49+IF('Pay Table'!D9&gt;'Pay Table'!$C$6,T49,0)</f>
        <v>0</v>
      </c>
      <c r="AG49" s="1">
        <f>Q49+IF('Pay Table'!E9&gt;'Pay Table'!$C$6,U49,0)+IF('Pay Table'!E9&gt;'Pay Table'!$D$6,X49,0)</f>
        <v>0</v>
      </c>
      <c r="AH49" s="5">
        <f t="array" ref="AH49">R49+IF('Pay Table'!F9&gt;'Pay Table'!$C$6,V49,0)+IF('Pay Table'!F9&gt;'Pay Table'!$D$6,Y49,0)+IF('Pay Table'!F9&gt;'Pay Table'!$E$6,AA49,0)</f>
        <v>0</v>
      </c>
      <c r="AI49" s="1">
        <f t="shared" si="39"/>
        <v>0</v>
      </c>
      <c r="BB49" s="59" t="str">
        <f>IFERROR($BC$2&amp;VLOOKUP(B51,'Pay Table'!$M$3:$N$18,2,FALSE)&amp;$BB$2&amp;C51&amp;$BD$2,"")</f>
        <v>[4,100]</v>
      </c>
      <c r="BC49" s="49" t="str">
        <f>IFERROR($BC$2&amp;VLOOKUP(D51,'Pay Table'!$M$3:$N$18,2,FALSE)&amp;$BB$2&amp;E51&amp;$BD$2,"")</f>
        <v>[94,25]</v>
      </c>
      <c r="BD49" s="49" t="str">
        <f>IFERROR($BC$2&amp;VLOOKUP(F51,'Pay Table'!$M$3:$N$18,2,FALSE)&amp;$BB$2&amp;G51&amp;$BD$2,"")</f>
        <v>[7,100]</v>
      </c>
      <c r="BE49" s="49" t="str">
        <f>IFERROR($BC$2&amp;VLOOKUP(H51,'Pay Table'!$M$3:$N$18,2,FALSE)&amp;$BB$2&amp;I51&amp;$BD$2,"")</f>
        <v>[0,100]</v>
      </c>
      <c r="BF49" s="60" t="str">
        <f>IFERROR($BC$2&amp;VLOOKUP(J51,'Pay Table'!$M$3:$N$18,2,FALSE)&amp;$BB$2&amp;K51&amp;$BD$2,"")</f>
        <v>[7,100]</v>
      </c>
    </row>
    <row r="50" spans="1:58" ht="17.100000000000001" customHeight="1" x14ac:dyDescent="0.15">
      <c r="A50" s="14">
        <v>46</v>
      </c>
      <c r="B50" s="10" t="s">
        <v>172</v>
      </c>
      <c r="C50" s="10">
        <v>100</v>
      </c>
      <c r="D50" s="10" t="s">
        <v>151</v>
      </c>
      <c r="E50" s="10">
        <v>25</v>
      </c>
      <c r="F50" s="10" t="s">
        <v>132</v>
      </c>
      <c r="G50" s="10">
        <v>100</v>
      </c>
      <c r="H50" s="10" t="s">
        <v>121</v>
      </c>
      <c r="I50" s="10">
        <v>100</v>
      </c>
      <c r="J50" s="10" t="s">
        <v>123</v>
      </c>
      <c r="K50" s="10">
        <v>100</v>
      </c>
      <c r="N50" s="4" t="str">
        <f t="shared" si="29"/>
        <v>M4</v>
      </c>
      <c r="O50" s="1">
        <f t="shared" si="30"/>
        <v>0</v>
      </c>
      <c r="P50" s="1">
        <f t="shared" si="31"/>
        <v>0</v>
      </c>
      <c r="Q50" s="1">
        <f t="shared" si="32"/>
        <v>0</v>
      </c>
      <c r="R50" s="5">
        <f t="shared" si="33"/>
        <v>0</v>
      </c>
      <c r="T50" s="1">
        <f t="shared" si="34"/>
        <v>0</v>
      </c>
      <c r="U50" s="1">
        <f t="shared" si="35"/>
        <v>0</v>
      </c>
      <c r="V50" s="5">
        <f t="shared" si="36"/>
        <v>0</v>
      </c>
      <c r="W50" s="2"/>
      <c r="X50" s="1">
        <f t="shared" si="40"/>
        <v>0</v>
      </c>
      <c r="Y50" s="5">
        <f t="shared" si="37"/>
        <v>0</v>
      </c>
      <c r="Z50" s="2"/>
      <c r="AA50" s="5">
        <f t="shared" si="38"/>
        <v>0</v>
      </c>
      <c r="AB50" s="4"/>
      <c r="AD50" s="2" t="str">
        <f t="shared" si="28"/>
        <v>M4</v>
      </c>
      <c r="AE50" s="1">
        <f t="shared" si="41"/>
        <v>0</v>
      </c>
      <c r="AF50" s="1">
        <f t="array" ref="AF50">P50+IF('Pay Table'!D10&gt;'Pay Table'!$C$6,T50,0)</f>
        <v>0</v>
      </c>
      <c r="AG50" s="1">
        <f>Q50+IF('Pay Table'!E10&gt;'Pay Table'!$C$6,U50,0)+IF('Pay Table'!E10&gt;'Pay Table'!$D$6,X50,0)</f>
        <v>0</v>
      </c>
      <c r="AH50" s="5">
        <f t="array" ref="AH50">R50+IF('Pay Table'!F10&gt;'Pay Table'!$C$6,V50,0)+IF('Pay Table'!F10&gt;'Pay Table'!$D$6,Y50,0)+IF('Pay Table'!F10&gt;'Pay Table'!$E$6,AA50,0)</f>
        <v>0</v>
      </c>
      <c r="AI50" s="1">
        <f t="shared" si="39"/>
        <v>0</v>
      </c>
      <c r="BB50" s="59" t="str">
        <f>IFERROR($BC$2&amp;VLOOKUP(B52,'Pay Table'!$M$3:$N$18,2,FALSE)&amp;$BB$2&amp;C52&amp;$BD$2,"")</f>
        <v>[7,100]</v>
      </c>
      <c r="BC50" s="49" t="str">
        <f>IFERROR($BC$2&amp;VLOOKUP(D52,'Pay Table'!$M$3:$N$18,2,FALSE)&amp;$BB$2&amp;E52&amp;$BD$2,"")</f>
        <v>[8,100]</v>
      </c>
      <c r="BD50" s="49" t="str">
        <f>IFERROR($BC$2&amp;VLOOKUP(F52,'Pay Table'!$M$3:$N$18,2,FALSE)&amp;$BB$2&amp;G52&amp;$BD$2,"")</f>
        <v>[1,100]</v>
      </c>
      <c r="BE50" s="49" t="str">
        <f>IFERROR($BC$2&amp;VLOOKUP(H52,'Pay Table'!$M$3:$N$18,2,FALSE)&amp;$BB$2&amp;I52&amp;$BD$2,"")</f>
        <v>[0,100]</v>
      </c>
      <c r="BF50" s="60" t="str">
        <f>IFERROR($BC$2&amp;VLOOKUP(J52,'Pay Table'!$M$3:$N$18,2,FALSE)&amp;$BB$2&amp;K52&amp;$BD$2,"")</f>
        <v>[3,100]</v>
      </c>
    </row>
    <row r="51" spans="1:58" ht="17.100000000000001" customHeight="1" x14ac:dyDescent="0.15">
      <c r="A51" s="14">
        <v>47</v>
      </c>
      <c r="B51" s="10" t="s">
        <v>148</v>
      </c>
      <c r="C51" s="10">
        <v>100</v>
      </c>
      <c r="D51" s="10" t="s">
        <v>47</v>
      </c>
      <c r="E51" s="10">
        <v>25</v>
      </c>
      <c r="F51" s="10" t="s">
        <v>133</v>
      </c>
      <c r="G51" s="10">
        <v>100</v>
      </c>
      <c r="H51" s="10" t="s">
        <v>153</v>
      </c>
      <c r="I51" s="10">
        <v>100</v>
      </c>
      <c r="J51" s="10" t="s">
        <v>119</v>
      </c>
      <c r="K51" s="10">
        <v>100</v>
      </c>
      <c r="N51" s="4" t="str">
        <f t="shared" si="29"/>
        <v>M5</v>
      </c>
      <c r="O51" s="1">
        <f t="shared" si="30"/>
        <v>0</v>
      </c>
      <c r="P51" s="1">
        <f t="shared" si="31"/>
        <v>0</v>
      </c>
      <c r="Q51" s="1">
        <f t="shared" si="32"/>
        <v>0</v>
      </c>
      <c r="R51" s="5">
        <f t="shared" si="33"/>
        <v>0</v>
      </c>
      <c r="T51" s="1">
        <f t="shared" si="34"/>
        <v>0</v>
      </c>
      <c r="U51" s="1">
        <f t="shared" si="35"/>
        <v>0</v>
      </c>
      <c r="V51" s="5">
        <f t="shared" si="36"/>
        <v>0</v>
      </c>
      <c r="W51" s="2"/>
      <c r="X51" s="1">
        <f t="shared" si="40"/>
        <v>0</v>
      </c>
      <c r="Y51" s="5">
        <f t="shared" si="37"/>
        <v>0</v>
      </c>
      <c r="Z51" s="2"/>
      <c r="AA51" s="5">
        <f t="shared" si="38"/>
        <v>0</v>
      </c>
      <c r="AB51" s="4"/>
      <c r="AD51" s="2" t="str">
        <f t="shared" si="28"/>
        <v>M5</v>
      </c>
      <c r="AE51" s="1">
        <f t="shared" si="41"/>
        <v>0</v>
      </c>
      <c r="AF51" s="1">
        <f t="array" ref="AF51">P51+IF('Pay Table'!D11&gt;'Pay Table'!$C$6,T51,0)</f>
        <v>0</v>
      </c>
      <c r="AG51" s="1">
        <f>Q51+IF('Pay Table'!E11&gt;'Pay Table'!$C$6,U51,0)+IF('Pay Table'!E11&gt;'Pay Table'!$D$6,X51,0)</f>
        <v>0</v>
      </c>
      <c r="AH51" s="5">
        <f t="array" ref="AH51">R51+IF('Pay Table'!F11&gt;'Pay Table'!$C$6,V51,0)+IF('Pay Table'!F11&gt;'Pay Table'!$D$6,Y51,0)+IF('Pay Table'!F11&gt;'Pay Table'!$E$6,AA51,0)</f>
        <v>0</v>
      </c>
      <c r="AI51" s="1">
        <f t="shared" si="39"/>
        <v>0</v>
      </c>
      <c r="BB51" s="59" t="str">
        <f>IFERROR($BC$2&amp;VLOOKUP(B53,'Pay Table'!$M$3:$N$18,2,FALSE)&amp;$BB$2&amp;C53&amp;$BD$2,"")</f>
        <v>[8,100]</v>
      </c>
      <c r="BC51" s="49" t="str">
        <f>IFERROR($BC$2&amp;VLOOKUP(D53,'Pay Table'!$M$3:$N$18,2,FALSE)&amp;$BB$2&amp;E53&amp;$BD$2,"")</f>
        <v>[92,100]</v>
      </c>
      <c r="BD51" s="49" t="str">
        <f>IFERROR($BC$2&amp;VLOOKUP(F53,'Pay Table'!$M$3:$N$18,2,FALSE)&amp;$BB$2&amp;G53&amp;$BD$2,"")</f>
        <v>[1,100]</v>
      </c>
      <c r="BE51" s="49" t="str">
        <f>IFERROR($BC$2&amp;VLOOKUP(H53,'Pay Table'!$M$3:$N$18,2,FALSE)&amp;$BB$2&amp;I53&amp;$BD$2,"")</f>
        <v>[0,100]</v>
      </c>
      <c r="BF51" s="60" t="str">
        <f>IFERROR($BC$2&amp;VLOOKUP(J53,'Pay Table'!$M$3:$N$18,2,FALSE)&amp;$BB$2&amp;K53&amp;$BD$2,"")</f>
        <v>[3,100]</v>
      </c>
    </row>
    <row r="52" spans="1:58" ht="17.100000000000001" customHeight="1" x14ac:dyDescent="0.15">
      <c r="A52" s="14">
        <v>48</v>
      </c>
      <c r="B52" s="10" t="s">
        <v>119</v>
      </c>
      <c r="C52" s="10">
        <v>100</v>
      </c>
      <c r="D52" s="10" t="s">
        <v>120</v>
      </c>
      <c r="E52" s="10">
        <v>100</v>
      </c>
      <c r="F52" s="10" t="s">
        <v>152</v>
      </c>
      <c r="G52" s="10">
        <v>100</v>
      </c>
      <c r="H52" s="10" t="s">
        <v>153</v>
      </c>
      <c r="I52" s="10">
        <v>100</v>
      </c>
      <c r="J52" s="10" t="s">
        <v>172</v>
      </c>
      <c r="K52" s="10">
        <v>100</v>
      </c>
      <c r="N52" s="4" t="str">
        <f t="shared" si="29"/>
        <v>A</v>
      </c>
      <c r="O52" s="1">
        <f t="shared" si="30"/>
        <v>0</v>
      </c>
      <c r="P52" s="1">
        <f t="shared" si="31"/>
        <v>0</v>
      </c>
      <c r="Q52" s="1">
        <f t="shared" si="32"/>
        <v>0</v>
      </c>
      <c r="R52" s="5">
        <f t="shared" si="33"/>
        <v>0</v>
      </c>
      <c r="T52" s="1">
        <f t="shared" si="34"/>
        <v>0</v>
      </c>
      <c r="U52" s="1">
        <f t="shared" si="35"/>
        <v>0</v>
      </c>
      <c r="V52" s="5">
        <f t="shared" si="36"/>
        <v>0</v>
      </c>
      <c r="W52" s="2"/>
      <c r="X52" s="1">
        <f t="shared" si="40"/>
        <v>0</v>
      </c>
      <c r="Y52" s="5">
        <f t="shared" si="37"/>
        <v>0</v>
      </c>
      <c r="Z52" s="2"/>
      <c r="AA52" s="5">
        <f t="shared" si="38"/>
        <v>0</v>
      </c>
      <c r="AB52" s="4"/>
      <c r="AD52" s="2" t="str">
        <f t="shared" si="28"/>
        <v>A</v>
      </c>
      <c r="AE52" s="1">
        <f t="shared" si="41"/>
        <v>0</v>
      </c>
      <c r="AF52" s="1">
        <f t="array" ref="AF52">P52+IF('Pay Table'!D12&gt;'Pay Table'!$C$6,T52,0)</f>
        <v>0</v>
      </c>
      <c r="AG52" s="1">
        <f>Q52+IF('Pay Table'!E12&gt;'Pay Table'!$C$6,U52,0)+IF('Pay Table'!E12&gt;'Pay Table'!$D$6,X52,0)</f>
        <v>0</v>
      </c>
      <c r="AH52" s="5">
        <f t="array" ref="AH52">R52+IF('Pay Table'!F12&gt;'Pay Table'!$C$6,V52,0)+IF('Pay Table'!F12&gt;'Pay Table'!$D$6,Y52,0)+IF('Pay Table'!F12&gt;'Pay Table'!$E$6,AA52,0)</f>
        <v>0</v>
      </c>
      <c r="AI52" s="1">
        <f>SUM(AE52:AH52)</f>
        <v>0</v>
      </c>
      <c r="AJ52" s="1">
        <f>AI52+Y33</f>
        <v>1.348430540625E+16</v>
      </c>
      <c r="BB52" s="59" t="str">
        <f>IFERROR($BC$2&amp;VLOOKUP(B54,'Pay Table'!$M$3:$N$18,2,FALSE)&amp;$BB$2&amp;C54&amp;$BD$2,"")</f>
        <v>[3,100]</v>
      </c>
      <c r="BC52" s="49" t="str">
        <f>IFERROR($BC$2&amp;VLOOKUP(D54,'Pay Table'!$M$3:$N$18,2,FALSE)&amp;$BB$2&amp;E54&amp;$BD$2,"")</f>
        <v>[92,100]</v>
      </c>
      <c r="BD52" s="49" t="str">
        <f>IFERROR($BC$2&amp;VLOOKUP(F54,'Pay Table'!$M$3:$N$18,2,FALSE)&amp;$BB$2&amp;G54&amp;$BD$2,"")</f>
        <v>[1,100]</v>
      </c>
      <c r="BE52" s="49" t="str">
        <f>IFERROR($BC$2&amp;VLOOKUP(H54,'Pay Table'!$M$3:$N$18,2,FALSE)&amp;$BB$2&amp;I54&amp;$BD$2,"")</f>
        <v>[2,100]</v>
      </c>
      <c r="BF52" s="60" t="str">
        <f>IFERROR($BC$2&amp;VLOOKUP(J54,'Pay Table'!$M$3:$N$18,2,FALSE)&amp;$BB$2&amp;K54&amp;$BD$2,"")</f>
        <v>[1,100]</v>
      </c>
    </row>
    <row r="53" spans="1:58" ht="17.100000000000001" customHeight="1" x14ac:dyDescent="0.15">
      <c r="A53" s="14">
        <v>49</v>
      </c>
      <c r="B53" s="10" t="s">
        <v>120</v>
      </c>
      <c r="C53" s="10">
        <v>100</v>
      </c>
      <c r="D53" s="10" t="s">
        <v>122</v>
      </c>
      <c r="E53" s="10">
        <v>100</v>
      </c>
      <c r="F53" s="10" t="s">
        <v>152</v>
      </c>
      <c r="G53" s="10">
        <v>100</v>
      </c>
      <c r="H53" s="10" t="s">
        <v>153</v>
      </c>
      <c r="I53" s="10">
        <v>100</v>
      </c>
      <c r="J53" s="10" t="s">
        <v>172</v>
      </c>
      <c r="K53" s="10">
        <v>100</v>
      </c>
      <c r="N53" s="4" t="str">
        <f t="shared" si="29"/>
        <v>K</v>
      </c>
      <c r="O53" s="1">
        <f t="shared" si="30"/>
        <v>0</v>
      </c>
      <c r="P53" s="1">
        <f t="shared" si="31"/>
        <v>0</v>
      </c>
      <c r="Q53" s="1">
        <f t="shared" si="32"/>
        <v>0</v>
      </c>
      <c r="R53" s="5">
        <f t="shared" si="33"/>
        <v>0</v>
      </c>
      <c r="T53" s="1">
        <f t="shared" si="34"/>
        <v>0</v>
      </c>
      <c r="U53" s="1">
        <f t="shared" si="35"/>
        <v>0</v>
      </c>
      <c r="V53" s="5">
        <f t="shared" si="36"/>
        <v>0</v>
      </c>
      <c r="W53" s="2"/>
      <c r="X53" s="1">
        <f t="shared" si="40"/>
        <v>0</v>
      </c>
      <c r="Y53" s="5">
        <f t="shared" si="37"/>
        <v>0</v>
      </c>
      <c r="Z53" s="2"/>
      <c r="AA53" s="5">
        <f t="shared" si="38"/>
        <v>0</v>
      </c>
      <c r="AB53" s="4"/>
      <c r="AD53" s="2" t="str">
        <f t="shared" si="28"/>
        <v>K</v>
      </c>
      <c r="AE53" s="1">
        <f t="shared" si="41"/>
        <v>0</v>
      </c>
      <c r="AF53" s="1">
        <f t="array" ref="AF53">P53+IF('Pay Table'!D13&gt;'Pay Table'!$C$6,T53,0)</f>
        <v>0</v>
      </c>
      <c r="AG53" s="1">
        <f>Q53+IF('Pay Table'!E13&gt;'Pay Table'!$C$6,U53,0)+IF('Pay Table'!E13&gt;'Pay Table'!$D$6,X53,0)</f>
        <v>0</v>
      </c>
      <c r="AH53" s="5">
        <f t="array" ref="AH53">R53+IF('Pay Table'!F13&gt;'Pay Table'!$C$6,V53,0)+IF('Pay Table'!F13&gt;'Pay Table'!$D$6,Y53,0)+IF('Pay Table'!F13&gt;'Pay Table'!$E$6,AA53,0)</f>
        <v>0</v>
      </c>
      <c r="AI53" s="1">
        <f>SUM(AE53:AH53)</f>
        <v>0</v>
      </c>
      <c r="AJ53" s="1">
        <f>AI53+Y34</f>
        <v>2.9005859442656248E+16</v>
      </c>
      <c r="BB53" s="59" t="str">
        <f>IFERROR($BC$2&amp;VLOOKUP(B55,'Pay Table'!$M$3:$N$18,2,FALSE)&amp;$BB$2&amp;C55&amp;$BD$2,"")</f>
        <v>[0,100]</v>
      </c>
      <c r="BC53" s="49" t="str">
        <f>IFERROR($BC$2&amp;VLOOKUP(D55,'Pay Table'!$M$3:$N$18,2,FALSE)&amp;$BB$2&amp;E55&amp;$BD$2,"")</f>
        <v>[92,100]</v>
      </c>
      <c r="BD53" s="49" t="str">
        <f>IFERROR($BC$2&amp;VLOOKUP(F55,'Pay Table'!$M$3:$N$18,2,FALSE)&amp;$BB$2&amp;G55&amp;$BD$2,"")</f>
        <v>[2,100]</v>
      </c>
      <c r="BE53" s="49" t="str">
        <f>IFERROR($BC$2&amp;VLOOKUP(H55,'Pay Table'!$M$3:$N$18,2,FALSE)&amp;$BB$2&amp;I55&amp;$BD$2,"")</f>
        <v>[8,100]</v>
      </c>
      <c r="BF53" s="60" t="str">
        <f>IFERROR($BC$2&amp;VLOOKUP(J55,'Pay Table'!$M$3:$N$18,2,FALSE)&amp;$BB$2&amp;K55&amp;$BD$2,"")</f>
        <v>[1,100]</v>
      </c>
    </row>
    <row r="54" spans="1:58" ht="17.100000000000001" customHeight="1" x14ac:dyDescent="0.15">
      <c r="A54" s="14">
        <v>50</v>
      </c>
      <c r="B54" s="10" t="s">
        <v>172</v>
      </c>
      <c r="C54" s="10">
        <v>100</v>
      </c>
      <c r="D54" s="10" t="s">
        <v>122</v>
      </c>
      <c r="E54" s="10">
        <v>100</v>
      </c>
      <c r="F54" s="10" t="s">
        <v>152</v>
      </c>
      <c r="G54" s="10">
        <v>100</v>
      </c>
      <c r="H54" s="282" t="s">
        <v>151</v>
      </c>
      <c r="I54" s="10">
        <v>100</v>
      </c>
      <c r="J54" s="10" t="s">
        <v>152</v>
      </c>
      <c r="K54" s="10">
        <v>100</v>
      </c>
      <c r="N54" s="4" t="str">
        <f t="shared" si="29"/>
        <v>Q</v>
      </c>
      <c r="O54" s="1">
        <f t="shared" si="30"/>
        <v>0</v>
      </c>
      <c r="P54" s="1">
        <f t="shared" si="31"/>
        <v>0</v>
      </c>
      <c r="Q54" s="1">
        <f t="shared" si="32"/>
        <v>0</v>
      </c>
      <c r="R54" s="5">
        <f t="shared" si="33"/>
        <v>0</v>
      </c>
      <c r="T54" s="1">
        <f t="shared" si="34"/>
        <v>0</v>
      </c>
      <c r="U54" s="1">
        <f t="shared" si="35"/>
        <v>0</v>
      </c>
      <c r="V54" s="5">
        <f t="shared" si="36"/>
        <v>0</v>
      </c>
      <c r="W54" s="2"/>
      <c r="X54" s="1">
        <f t="shared" si="40"/>
        <v>0</v>
      </c>
      <c r="Y54" s="5">
        <f t="shared" si="37"/>
        <v>0</v>
      </c>
      <c r="Z54" s="2"/>
      <c r="AA54" s="5">
        <f t="shared" si="38"/>
        <v>0</v>
      </c>
      <c r="AB54" s="4"/>
      <c r="AD54" s="2" t="str">
        <f t="shared" si="28"/>
        <v>Q</v>
      </c>
      <c r="AE54" s="1">
        <f t="shared" si="41"/>
        <v>0</v>
      </c>
      <c r="AF54" s="1">
        <f t="array" ref="AF54">P54+IF('Pay Table'!D14&gt;'Pay Table'!$C$6,T54,0)</f>
        <v>0</v>
      </c>
      <c r="AG54" s="1">
        <f>Q54+IF('Pay Table'!E14&gt;'Pay Table'!$C$6,U54,0)+IF('Pay Table'!E14&gt;'Pay Table'!$D$6,X54,0)</f>
        <v>0</v>
      </c>
      <c r="AH54" s="5">
        <f t="array" ref="AH54">R54+IF('Pay Table'!F14&gt;'Pay Table'!$C$6,V54,0)+IF('Pay Table'!F14&gt;'Pay Table'!$D$6,Y54,0)+IF('Pay Table'!F14&gt;'Pay Table'!$E$6,AA54,0)</f>
        <v>0</v>
      </c>
      <c r="AI54" s="1">
        <f>SUM(AE54:AH54)</f>
        <v>0</v>
      </c>
      <c r="AJ54" s="1">
        <f>AI54+Y35</f>
        <v>1.7612398120078124E+16</v>
      </c>
      <c r="BB54" s="59" t="str">
        <f>IFERROR($BC$2&amp;VLOOKUP(B56,'Pay Table'!$M$3:$N$18,2,FALSE)&amp;$BB$2&amp;C56&amp;$BD$2,"")</f>
        <v>[0,100]</v>
      </c>
      <c r="BC54" s="49" t="str">
        <f>IFERROR($BC$2&amp;VLOOKUP(D56,'Pay Table'!$M$3:$N$18,2,FALSE)&amp;$BB$2&amp;E56&amp;$BD$2,"")</f>
        <v>[7,100]</v>
      </c>
      <c r="BD54" s="49" t="str">
        <f>IFERROR($BC$2&amp;VLOOKUP(F56,'Pay Table'!$M$3:$N$18,2,FALSE)&amp;$BB$2&amp;G56&amp;$BD$2,"")</f>
        <v>[4,100]</v>
      </c>
      <c r="BE54" s="49" t="str">
        <f>IFERROR($BC$2&amp;VLOOKUP(H56,'Pay Table'!$M$3:$N$18,2,FALSE)&amp;$BB$2&amp;I56&amp;$BD$2,"")</f>
        <v>[94,5]</v>
      </c>
      <c r="BF54" s="60" t="str">
        <f>IFERROR($BC$2&amp;VLOOKUP(J56,'Pay Table'!$M$3:$N$18,2,FALSE)&amp;$BB$2&amp;K56&amp;$BD$2,"")</f>
        <v>[1,100]</v>
      </c>
    </row>
    <row r="55" spans="1:58" ht="17.100000000000001" customHeight="1" x14ac:dyDescent="0.15">
      <c r="A55" s="14">
        <v>51</v>
      </c>
      <c r="B55" s="10" t="s">
        <v>153</v>
      </c>
      <c r="C55" s="10">
        <v>100</v>
      </c>
      <c r="D55" s="10" t="s">
        <v>122</v>
      </c>
      <c r="E55" s="10">
        <v>100</v>
      </c>
      <c r="F55" s="10" t="s">
        <v>151</v>
      </c>
      <c r="G55" s="10">
        <v>100</v>
      </c>
      <c r="H55" s="10" t="s">
        <v>120</v>
      </c>
      <c r="I55" s="10">
        <v>100</v>
      </c>
      <c r="J55" s="10" t="s">
        <v>125</v>
      </c>
      <c r="K55" s="10">
        <v>100</v>
      </c>
      <c r="N55" s="4" t="str">
        <f t="shared" si="29"/>
        <v>J</v>
      </c>
      <c r="O55" s="1">
        <f t="shared" si="30"/>
        <v>0</v>
      </c>
      <c r="P55" s="1">
        <f t="shared" si="31"/>
        <v>0</v>
      </c>
      <c r="Q55" s="1">
        <f t="shared" si="32"/>
        <v>0</v>
      </c>
      <c r="R55" s="5">
        <f t="shared" si="33"/>
        <v>0</v>
      </c>
      <c r="T55" s="1">
        <f t="shared" si="34"/>
        <v>0</v>
      </c>
      <c r="U55" s="1">
        <f t="shared" si="35"/>
        <v>0</v>
      </c>
      <c r="V55" s="5">
        <f t="shared" si="36"/>
        <v>0</v>
      </c>
      <c r="W55" s="2"/>
      <c r="X55" s="1">
        <f t="shared" si="40"/>
        <v>0</v>
      </c>
      <c r="Y55" s="5">
        <f t="shared" si="37"/>
        <v>0</v>
      </c>
      <c r="Z55" s="2"/>
      <c r="AA55" s="5">
        <f t="shared" si="38"/>
        <v>0</v>
      </c>
      <c r="AB55" s="4"/>
      <c r="AD55" s="2" t="str">
        <f t="shared" si="28"/>
        <v>J</v>
      </c>
      <c r="AE55" s="1">
        <f t="shared" si="41"/>
        <v>0</v>
      </c>
      <c r="AF55" s="1">
        <f t="array" ref="AF55">P55+IF('Pay Table'!D15&gt;'Pay Table'!$C$6,T55,0)</f>
        <v>0</v>
      </c>
      <c r="AG55" s="1">
        <f>Q55+IF('Pay Table'!E15&gt;'Pay Table'!$C$6,U55,0)+IF('Pay Table'!E15&gt;'Pay Table'!$D$6,X55,0)</f>
        <v>0</v>
      </c>
      <c r="AH55" s="5">
        <f t="array" ref="AH55">R55+IF('Pay Table'!F15&gt;'Pay Table'!$C$6,V55,0)+IF('Pay Table'!F15&gt;'Pay Table'!$D$6,Y55,0)+IF('Pay Table'!F15&gt;'Pay Table'!$E$6,AA55,0)</f>
        <v>0</v>
      </c>
      <c r="AI55" s="1">
        <f>SUM(AE55:AH55)</f>
        <v>0</v>
      </c>
      <c r="AJ55" s="1">
        <f>AI55+Y36</f>
        <v>2.32060546265625E+16</v>
      </c>
      <c r="BB55" s="59" t="str">
        <f>IFERROR($BC$2&amp;VLOOKUP(B57,'Pay Table'!$M$3:$N$18,2,FALSE)&amp;$BB$2&amp;C57&amp;$BD$2,"")</f>
        <v>[0,100]</v>
      </c>
      <c r="BC55" s="49" t="str">
        <f>IFERROR($BC$2&amp;VLOOKUP(D57,'Pay Table'!$M$3:$N$18,2,FALSE)&amp;$BB$2&amp;E57&amp;$BD$2,"")</f>
        <v>[5,100]</v>
      </c>
      <c r="BD55" s="49" t="str">
        <f>IFERROR($BC$2&amp;VLOOKUP(F57,'Pay Table'!$M$3:$N$18,2,FALSE)&amp;$BB$2&amp;G57&amp;$BD$2,"")</f>
        <v>[4,100]</v>
      </c>
      <c r="BE55" s="49" t="str">
        <f>IFERROR($BC$2&amp;VLOOKUP(H57,'Pay Table'!$M$3:$N$18,2,FALSE)&amp;$BB$2&amp;I57&amp;$BD$2,"")</f>
        <v>[94,10]</v>
      </c>
      <c r="BF55" s="60" t="str">
        <f>IFERROR($BC$2&amp;VLOOKUP(J57,'Pay Table'!$M$3:$N$18,2,FALSE)&amp;$BB$2&amp;K57&amp;$BD$2,"")</f>
        <v>[6,100]</v>
      </c>
    </row>
    <row r="56" spans="1:58" ht="17.100000000000001" customHeight="1" x14ac:dyDescent="0.15">
      <c r="A56" s="14">
        <v>52</v>
      </c>
      <c r="B56" s="10" t="s">
        <v>153</v>
      </c>
      <c r="C56" s="10">
        <v>100</v>
      </c>
      <c r="D56" s="10" t="s">
        <v>119</v>
      </c>
      <c r="E56" s="10">
        <v>100</v>
      </c>
      <c r="F56" s="10" t="s">
        <v>148</v>
      </c>
      <c r="G56" s="10">
        <v>100</v>
      </c>
      <c r="H56" s="10" t="s">
        <v>47</v>
      </c>
      <c r="I56" s="10">
        <v>5</v>
      </c>
      <c r="J56" s="10" t="s">
        <v>152</v>
      </c>
      <c r="K56" s="10">
        <v>100</v>
      </c>
      <c r="N56" s="4" t="str">
        <f t="shared" si="29"/>
        <v>SCATTER</v>
      </c>
      <c r="O56" s="1">
        <f t="shared" si="30"/>
        <v>0</v>
      </c>
      <c r="P56" s="1">
        <f t="shared" si="31"/>
        <v>0</v>
      </c>
      <c r="Q56" s="1">
        <f t="shared" si="32"/>
        <v>0</v>
      </c>
      <c r="R56" s="5">
        <f t="shared" si="33"/>
        <v>0</v>
      </c>
      <c r="T56" s="1">
        <f t="shared" si="34"/>
        <v>0</v>
      </c>
      <c r="U56" s="1">
        <f t="shared" si="35"/>
        <v>0</v>
      </c>
      <c r="V56" s="5">
        <f t="shared" si="36"/>
        <v>0</v>
      </c>
      <c r="W56" s="2"/>
      <c r="X56" s="1">
        <f t="shared" si="40"/>
        <v>0</v>
      </c>
      <c r="Y56" s="5">
        <f t="shared" si="37"/>
        <v>0</v>
      </c>
      <c r="Z56" s="2"/>
      <c r="AA56" s="5">
        <f t="shared" si="38"/>
        <v>0</v>
      </c>
      <c r="AB56" s="4"/>
      <c r="AD56" s="2" t="str">
        <f t="shared" si="28"/>
        <v>SCATTER</v>
      </c>
      <c r="AE56" s="1">
        <f t="shared" si="41"/>
        <v>0</v>
      </c>
      <c r="AF56" s="1">
        <f t="array" ref="AF56">P56+IF('Pay Table'!D16&gt;'Pay Table'!$C$6,T56,0)</f>
        <v>0</v>
      </c>
      <c r="AG56" s="1">
        <f>Q56+IF('Pay Table'!E16&gt;'Pay Table'!$C$6,U56,0)+IF('Pay Table'!E16&gt;'Pay Table'!$D$6,X56,0)</f>
        <v>0</v>
      </c>
      <c r="AH56" s="5">
        <f t="array" ref="AH56">R56+IF('Pay Table'!F16&gt;'Pay Table'!$C$6,V56,0)+IF('Pay Table'!F16&gt;'Pay Table'!$D$6,Y56,0)+IF('Pay Table'!F16&gt;'Pay Table'!$E$6,AA56,0)</f>
        <v>0</v>
      </c>
      <c r="AI56" s="1">
        <f t="shared" si="39"/>
        <v>0</v>
      </c>
      <c r="BB56" s="59" t="str">
        <f>IFERROR($BC$2&amp;VLOOKUP(B58,'Pay Table'!$M$3:$N$18,2,FALSE)&amp;$BB$2&amp;C58&amp;$BD$2,"")</f>
        <v>[8,100]</v>
      </c>
      <c r="BC56" s="49" t="str">
        <f>IFERROR($BC$2&amp;VLOOKUP(D58,'Pay Table'!$M$3:$N$18,2,FALSE)&amp;$BB$2&amp;E58&amp;$BD$2,"")</f>
        <v>[1,100]</v>
      </c>
      <c r="BD56" s="49" t="str">
        <f>IFERROR($BC$2&amp;VLOOKUP(F58,'Pay Table'!$M$3:$N$18,2,FALSE)&amp;$BB$2&amp;G58&amp;$BD$2,"")</f>
        <v>[94,5]</v>
      </c>
      <c r="BE56" s="49" t="str">
        <f>IFERROR($BC$2&amp;VLOOKUP(H58,'Pay Table'!$M$3:$N$18,2,FALSE)&amp;$BB$2&amp;I58&amp;$BD$2,"")</f>
        <v>[94,25]</v>
      </c>
      <c r="BF56" s="60" t="str">
        <f>IFERROR($BC$2&amp;VLOOKUP(J58,'Pay Table'!$M$3:$N$18,2,FALSE)&amp;$BB$2&amp;K58&amp;$BD$2,"")</f>
        <v>[2,100]</v>
      </c>
    </row>
    <row r="57" spans="1:58" ht="17.100000000000001" customHeight="1" x14ac:dyDescent="0.15">
      <c r="A57" s="14">
        <v>53</v>
      </c>
      <c r="B57" s="10" t="s">
        <v>153</v>
      </c>
      <c r="C57" s="10">
        <v>100</v>
      </c>
      <c r="D57" s="10" t="s">
        <v>123</v>
      </c>
      <c r="E57" s="10">
        <v>100</v>
      </c>
      <c r="F57" s="10" t="s">
        <v>148</v>
      </c>
      <c r="G57" s="10">
        <v>100</v>
      </c>
      <c r="H57" s="10" t="s">
        <v>47</v>
      </c>
      <c r="I57" s="10">
        <v>10</v>
      </c>
      <c r="J57" s="10" t="s">
        <v>121</v>
      </c>
      <c r="K57" s="10">
        <v>100</v>
      </c>
      <c r="N57" s="4">
        <f t="shared" si="29"/>
        <v>0</v>
      </c>
      <c r="O57" s="1">
        <f t="shared" si="30"/>
        <v>0</v>
      </c>
      <c r="P57" s="1">
        <f t="shared" si="31"/>
        <v>0</v>
      </c>
      <c r="Q57" s="1">
        <f t="shared" si="32"/>
        <v>0</v>
      </c>
      <c r="R57" s="5">
        <f t="shared" si="33"/>
        <v>0</v>
      </c>
      <c r="T57" s="1">
        <f t="shared" si="34"/>
        <v>0</v>
      </c>
      <c r="U57" s="1">
        <f t="shared" si="35"/>
        <v>0</v>
      </c>
      <c r="V57" s="5">
        <f t="shared" si="36"/>
        <v>0</v>
      </c>
      <c r="W57" s="2"/>
      <c r="X57" s="1">
        <f t="shared" si="40"/>
        <v>0</v>
      </c>
      <c r="Y57" s="5">
        <f t="shared" si="37"/>
        <v>0</v>
      </c>
      <c r="Z57" s="2"/>
      <c r="AA57" s="5">
        <f t="shared" si="38"/>
        <v>0</v>
      </c>
      <c r="AB57" s="4"/>
      <c r="AD57" s="2">
        <f t="shared" si="28"/>
        <v>0</v>
      </c>
      <c r="AE57" s="1">
        <f t="shared" si="41"/>
        <v>0</v>
      </c>
      <c r="AF57" s="1">
        <f t="array" ref="AF57">P57+IF('Pay Table'!D19&gt;'Pay Table'!$C$6,T57,0)</f>
        <v>0</v>
      </c>
      <c r="AG57" s="1">
        <f>Q57+IF('Pay Table'!E19&gt;'Pay Table'!$C$6,U57,0)+IF('Pay Table'!E19&gt;'Pay Table'!$D$6,X57,0)</f>
        <v>0</v>
      </c>
      <c r="AH57" s="5">
        <f t="array" ref="AH57">R57+IF('Pay Table'!F19&gt;'Pay Table'!$C$6,V57,0)+IF('Pay Table'!F19&gt;'Pay Table'!$D$6,Y57,0)+IF('Pay Table'!F19&gt;'Pay Table'!$E$6,AA57,0)</f>
        <v>0</v>
      </c>
      <c r="AI57" s="1">
        <f t="shared" si="39"/>
        <v>0</v>
      </c>
      <c r="BB57" s="59" t="str">
        <f>IFERROR($BC$2&amp;VLOOKUP(B59,'Pay Table'!$M$3:$N$18,2,FALSE)&amp;$BB$2&amp;C59&amp;$BD$2,"")</f>
        <v>[7,100]</v>
      </c>
      <c r="BC57" s="49" t="str">
        <f>IFERROR($BC$2&amp;VLOOKUP(D59,'Pay Table'!$M$3:$N$18,2,FALSE)&amp;$BB$2&amp;E59&amp;$BD$2,"")</f>
        <v>[1,100]</v>
      </c>
      <c r="BD57" s="49" t="str">
        <f>IFERROR($BC$2&amp;VLOOKUP(F59,'Pay Table'!$M$3:$N$18,2,FALSE)&amp;$BB$2&amp;G59&amp;$BD$2,"")</f>
        <v>[94,10]</v>
      </c>
      <c r="BE57" s="49" t="str">
        <f>IFERROR($BC$2&amp;VLOOKUP(H59,'Pay Table'!$M$3:$N$18,2,FALSE)&amp;$BB$2&amp;I59&amp;$BD$2,"")</f>
        <v>[6,100]</v>
      </c>
      <c r="BF57" s="60" t="str">
        <f>IFERROR($BC$2&amp;VLOOKUP(J59,'Pay Table'!$M$3:$N$18,2,FALSE)&amp;$BB$2&amp;K59&amp;$BD$2,"")</f>
        <v>[4,100]</v>
      </c>
    </row>
    <row r="58" spans="1:58" ht="17.100000000000001" customHeight="1" x14ac:dyDescent="0.15">
      <c r="A58" s="14">
        <v>54</v>
      </c>
      <c r="B58" s="10" t="s">
        <v>120</v>
      </c>
      <c r="C58" s="10">
        <v>100</v>
      </c>
      <c r="D58" s="10" t="s">
        <v>152</v>
      </c>
      <c r="E58" s="10">
        <v>100</v>
      </c>
      <c r="F58" s="10" t="s">
        <v>47</v>
      </c>
      <c r="G58" s="10">
        <v>5</v>
      </c>
      <c r="H58" s="10" t="s">
        <v>47</v>
      </c>
      <c r="I58" s="10">
        <v>25</v>
      </c>
      <c r="J58" s="10" t="s">
        <v>151</v>
      </c>
      <c r="K58" s="10">
        <v>100</v>
      </c>
      <c r="N58" s="4">
        <f t="shared" si="29"/>
        <v>0</v>
      </c>
      <c r="O58" s="1">
        <f t="shared" si="30"/>
        <v>0</v>
      </c>
      <c r="P58" s="1">
        <f t="shared" si="31"/>
        <v>0</v>
      </c>
      <c r="Q58" s="1">
        <f t="shared" si="32"/>
        <v>0</v>
      </c>
      <c r="R58" s="5">
        <f t="shared" si="33"/>
        <v>0</v>
      </c>
      <c r="T58" s="1">
        <f t="shared" si="34"/>
        <v>0</v>
      </c>
      <c r="U58" s="1">
        <f t="shared" si="35"/>
        <v>0</v>
      </c>
      <c r="V58" s="5">
        <f t="shared" si="36"/>
        <v>0</v>
      </c>
      <c r="W58" s="2"/>
      <c r="X58" s="1">
        <f t="shared" si="40"/>
        <v>0</v>
      </c>
      <c r="Y58" s="5">
        <f t="shared" si="37"/>
        <v>0</v>
      </c>
      <c r="Z58" s="2"/>
      <c r="AA58" s="5">
        <f t="shared" si="38"/>
        <v>0</v>
      </c>
      <c r="AB58" s="4"/>
      <c r="AD58" s="2">
        <f t="shared" si="28"/>
        <v>0</v>
      </c>
      <c r="AE58" s="1">
        <f t="shared" si="41"/>
        <v>0</v>
      </c>
      <c r="AF58" s="1">
        <f t="array" ref="AF58">P58+IF('Pay Table'!D20&gt;'Pay Table'!$C$6,T58,0)</f>
        <v>0</v>
      </c>
      <c r="AG58" s="1">
        <f>Q58+IF('Pay Table'!E20&gt;'Pay Table'!$C$6,U58,0)+IF('Pay Table'!E20&gt;'Pay Table'!$D$6,X58,0)</f>
        <v>0</v>
      </c>
      <c r="AH58" s="5">
        <f t="array" ref="AH58">R58+IF('Pay Table'!F20&gt;'Pay Table'!$C$6,V58,0)+IF('Pay Table'!F20&gt;'Pay Table'!$D$6,Y58,0)+IF('Pay Table'!F20&gt;'Pay Table'!$E$6,AA58,0)</f>
        <v>0</v>
      </c>
      <c r="AI58" s="1">
        <f>SUM(AI46:AI57)</f>
        <v>0</v>
      </c>
      <c r="BB58" s="59" t="str">
        <f>IFERROR($BC$2&amp;VLOOKUP(B60,'Pay Table'!$M$3:$N$18,2,FALSE)&amp;$BB$2&amp;C60&amp;$BD$2,"")</f>
        <v>[4,100]</v>
      </c>
      <c r="BC58" s="49" t="str">
        <f>IFERROR($BC$2&amp;VLOOKUP(D60,'Pay Table'!$M$3:$N$18,2,FALSE)&amp;$BB$2&amp;E60&amp;$BD$2,"")</f>
        <v>[1,100]</v>
      </c>
      <c r="BD58" s="49" t="str">
        <f>IFERROR($BC$2&amp;VLOOKUP(F60,'Pay Table'!$M$3:$N$18,2,FALSE)&amp;$BB$2&amp;G60&amp;$BD$2,"")</f>
        <v>[94,25]</v>
      </c>
      <c r="BE58" s="49" t="str">
        <f>IFERROR($BC$2&amp;VLOOKUP(H60,'Pay Table'!$M$3:$N$18,2,FALSE)&amp;$BB$2&amp;I60&amp;$BD$2,"")</f>
        <v>[8,100]</v>
      </c>
      <c r="BF58" s="60" t="str">
        <f>IFERROR($BC$2&amp;VLOOKUP(J60,'Pay Table'!$M$3:$N$18,2,FALSE)&amp;$BB$2&amp;K60&amp;$BD$2,"")</f>
        <v>[0,100]</v>
      </c>
    </row>
    <row r="59" spans="1:58" ht="17.100000000000001" customHeight="1" x14ac:dyDescent="0.15">
      <c r="A59" s="14">
        <v>55</v>
      </c>
      <c r="B59" s="10" t="s">
        <v>119</v>
      </c>
      <c r="C59" s="10">
        <v>100</v>
      </c>
      <c r="D59" s="10" t="s">
        <v>152</v>
      </c>
      <c r="E59" s="10">
        <v>100</v>
      </c>
      <c r="F59" s="10" t="s">
        <v>47</v>
      </c>
      <c r="G59" s="10">
        <v>10</v>
      </c>
      <c r="H59" s="10" t="s">
        <v>121</v>
      </c>
      <c r="I59" s="10">
        <v>100</v>
      </c>
      <c r="J59" s="10" t="s">
        <v>128</v>
      </c>
      <c r="K59" s="10">
        <v>100</v>
      </c>
      <c r="N59" s="4">
        <f t="shared" si="29"/>
        <v>0</v>
      </c>
      <c r="O59" s="1">
        <f t="shared" si="30"/>
        <v>0</v>
      </c>
      <c r="P59" s="1">
        <f t="shared" si="31"/>
        <v>0</v>
      </c>
      <c r="Q59" s="1">
        <f t="shared" si="32"/>
        <v>0</v>
      </c>
      <c r="R59" s="5">
        <f t="shared" si="33"/>
        <v>0</v>
      </c>
      <c r="T59" s="1">
        <f t="shared" si="34"/>
        <v>0</v>
      </c>
      <c r="U59" s="1">
        <f t="shared" si="35"/>
        <v>0</v>
      </c>
      <c r="V59" s="5">
        <f t="shared" si="36"/>
        <v>0</v>
      </c>
      <c r="W59" s="2"/>
      <c r="X59" s="1">
        <f t="shared" si="40"/>
        <v>0</v>
      </c>
      <c r="Y59" s="5">
        <f t="shared" si="37"/>
        <v>0</v>
      </c>
      <c r="Z59" s="2"/>
      <c r="AA59" s="5">
        <f t="shared" si="38"/>
        <v>0</v>
      </c>
      <c r="AB59" s="4"/>
      <c r="AD59" s="2">
        <f t="shared" si="28"/>
        <v>0</v>
      </c>
      <c r="AE59" s="1">
        <f t="shared" si="41"/>
        <v>0</v>
      </c>
      <c r="AF59" s="1">
        <f t="array" ref="AF59">P59+IF('Pay Table'!D21&gt;'Pay Table'!$C$6,T59,0)</f>
        <v>0</v>
      </c>
      <c r="AG59" s="1">
        <f>Q59+IF('Pay Table'!E21&gt;'Pay Table'!$C$6,U59,0)+IF('Pay Table'!E21&gt;'Pay Table'!$D$6,X59,0)</f>
        <v>0</v>
      </c>
      <c r="AH59" s="5">
        <f t="array" ref="AH59">R59+IF('Pay Table'!F21&gt;'Pay Table'!$C$6,V59,0)+IF('Pay Table'!F21&gt;'Pay Table'!$D$6,Y59,0)+IF('Pay Table'!F21&gt;'Pay Table'!$E$6,AA59,0)</f>
        <v>0</v>
      </c>
      <c r="AI59" s="1">
        <f>SUM(AI47:AI58)</f>
        <v>0</v>
      </c>
      <c r="BB59" s="59" t="str">
        <f>IFERROR($BC$2&amp;VLOOKUP(B61,'Pay Table'!$M$3:$N$18,2,FALSE)&amp;$BB$2&amp;C61&amp;$BD$2,"")</f>
        <v>[2,100]</v>
      </c>
      <c r="BC59" s="49" t="str">
        <f>IFERROR($BC$2&amp;VLOOKUP(D61,'Pay Table'!$M$3:$N$18,2,FALSE)&amp;$BB$2&amp;E61&amp;$BD$2,"")</f>
        <v>[6,100]</v>
      </c>
      <c r="BD59" s="49" t="str">
        <f>IFERROR($BC$2&amp;VLOOKUP(F61,'Pay Table'!$M$3:$N$18,2,FALSE)&amp;$BB$2&amp;G61&amp;$BD$2,"")</f>
        <v>[7,100]</v>
      </c>
      <c r="BE59" s="49" t="str">
        <f>IFERROR($BC$2&amp;VLOOKUP(H61,'Pay Table'!$M$3:$N$18,2,FALSE)&amp;$BB$2&amp;I61&amp;$BD$2,"")</f>
        <v>[2,100]</v>
      </c>
      <c r="BF59" s="60" t="str">
        <f>IFERROR($BC$2&amp;VLOOKUP(J61,'Pay Table'!$M$3:$N$18,2,FALSE)&amp;$BB$2&amp;K61&amp;$BD$2,"")</f>
        <v>[0,100]</v>
      </c>
    </row>
    <row r="60" spans="1:58" ht="17.100000000000001" customHeight="1" x14ac:dyDescent="0.15">
      <c r="A60" s="14">
        <v>56</v>
      </c>
      <c r="B60" s="10" t="s">
        <v>148</v>
      </c>
      <c r="C60" s="10">
        <v>100</v>
      </c>
      <c r="D60" s="10" t="s">
        <v>152</v>
      </c>
      <c r="E60" s="10">
        <v>100</v>
      </c>
      <c r="F60" s="10" t="s">
        <v>47</v>
      </c>
      <c r="G60" s="10">
        <v>25</v>
      </c>
      <c r="H60" s="10" t="s">
        <v>120</v>
      </c>
      <c r="I60" s="10">
        <v>100</v>
      </c>
      <c r="J60" s="10" t="s">
        <v>153</v>
      </c>
      <c r="K60" s="10">
        <v>100</v>
      </c>
      <c r="N60" s="19">
        <f>N41</f>
        <v>0</v>
      </c>
      <c r="O60" s="15">
        <f t="shared" si="30"/>
        <v>0</v>
      </c>
      <c r="P60" s="15">
        <f t="shared" si="31"/>
        <v>0</v>
      </c>
      <c r="Q60" s="15">
        <f t="shared" si="32"/>
        <v>0</v>
      </c>
      <c r="R60" s="16">
        <f t="shared" si="33"/>
        <v>0</v>
      </c>
      <c r="S60" s="15"/>
      <c r="T60" s="15">
        <f t="shared" si="34"/>
        <v>0</v>
      </c>
      <c r="U60" s="15">
        <f t="shared" si="35"/>
        <v>0</v>
      </c>
      <c r="V60" s="16">
        <f t="shared" si="36"/>
        <v>0</v>
      </c>
      <c r="W60" s="8"/>
      <c r="X60" s="15">
        <f t="shared" si="40"/>
        <v>0</v>
      </c>
      <c r="Y60" s="16">
        <f t="shared" si="37"/>
        <v>0</v>
      </c>
      <c r="Z60" s="8"/>
      <c r="AA60" s="16">
        <f t="shared" si="38"/>
        <v>0</v>
      </c>
      <c r="AB60" s="19"/>
      <c r="AD60" s="8">
        <f t="shared" si="28"/>
        <v>0</v>
      </c>
      <c r="AE60" s="15">
        <f t="shared" si="41"/>
        <v>0</v>
      </c>
      <c r="AF60" s="15">
        <f t="array" ref="AF60">P60+IF('Pay Table'!D22&gt;'Pay Table'!$C$6,T60,0)</f>
        <v>0</v>
      </c>
      <c r="AG60" s="15">
        <f>Q60+IF('Pay Table'!E22&gt;'Pay Table'!$C$6,U60,0)+IF('Pay Table'!E22&gt;'Pay Table'!$D$6,X60,0)</f>
        <v>0</v>
      </c>
      <c r="AH60" s="16">
        <f t="array" ref="AH60">R60+IF('Pay Table'!F22&gt;'Pay Table'!$C$6,V60,0)+IF('Pay Table'!F22&gt;'Pay Table'!$D$6,Y60,0)+IF('Pay Table'!F22&gt;'Pay Table'!$E$6,AA60,0)</f>
        <v>0</v>
      </c>
      <c r="AI60" s="1">
        <f>SUM(AI48:AI59)</f>
        <v>0</v>
      </c>
      <c r="BB60" s="59" t="str">
        <f>IFERROR($BC$2&amp;VLOOKUP(B62,'Pay Table'!$M$3:$N$18,2,FALSE)&amp;$BB$2&amp;C62&amp;$BD$2,"")</f>
        <v>[3,100]</v>
      </c>
      <c r="BC60" s="49" t="str">
        <f>IFERROR($BC$2&amp;VLOOKUP(D62,'Pay Table'!$M$3:$N$18,2,FALSE)&amp;$BB$2&amp;E62&amp;$BD$2,"")</f>
        <v>[3,100]</v>
      </c>
      <c r="BD60" s="49" t="str">
        <f>IFERROR($BC$2&amp;VLOOKUP(F62,'Pay Table'!$M$3:$N$18,2,FALSE)&amp;$BB$2&amp;G62&amp;$BD$2,"")</f>
        <v/>
      </c>
      <c r="BE60" s="49" t="str">
        <f>IFERROR($BC$2&amp;VLOOKUP(H62,'Pay Table'!$M$3:$N$18,2,FALSE)&amp;$BB$2&amp;I62&amp;$BD$2,"")</f>
        <v>[92,100]</v>
      </c>
      <c r="BF60" s="60" t="str">
        <f>IFERROR($BC$2&amp;VLOOKUP(J62,'Pay Table'!$M$3:$N$18,2,FALSE)&amp;$BB$2&amp;K62&amp;$BD$2,"")</f>
        <v>[0,100]</v>
      </c>
    </row>
    <row r="61" spans="1:58" ht="17.100000000000001" customHeight="1" x14ac:dyDescent="0.15">
      <c r="A61" s="14">
        <v>57</v>
      </c>
      <c r="B61" s="10" t="s">
        <v>151</v>
      </c>
      <c r="C61" s="10">
        <v>100</v>
      </c>
      <c r="D61" s="10" t="s">
        <v>121</v>
      </c>
      <c r="E61" s="10">
        <v>100</v>
      </c>
      <c r="F61" s="10" t="s">
        <v>119</v>
      </c>
      <c r="G61" s="10">
        <v>100</v>
      </c>
      <c r="H61" s="10" t="s">
        <v>151</v>
      </c>
      <c r="I61" s="10">
        <v>100</v>
      </c>
      <c r="J61" s="10" t="s">
        <v>153</v>
      </c>
      <c r="K61" s="10">
        <v>100</v>
      </c>
      <c r="BB61" s="59" t="str">
        <f>IFERROR($BC$2&amp;VLOOKUP(B63,'Pay Table'!$M$3:$N$18,2,FALSE)&amp;$BB$2&amp;C63&amp;$BD$2,"")</f>
        <v>[5,100]</v>
      </c>
      <c r="BC61" s="49" t="str">
        <f>IFERROR($BC$2&amp;VLOOKUP(D63,'Pay Table'!$M$3:$N$18,2,FALSE)&amp;$BB$2&amp;E63&amp;$BD$2,"")</f>
        <v/>
      </c>
      <c r="BD61" s="49" t="str">
        <f>IFERROR($BC$2&amp;VLOOKUP(F63,'Pay Table'!$M$3:$N$18,2,FALSE)&amp;$BB$2&amp;G63&amp;$BD$2,"")</f>
        <v/>
      </c>
      <c r="BE61" s="49" t="str">
        <f>IFERROR($BC$2&amp;VLOOKUP(H63,'Pay Table'!$M$3:$N$18,2,FALSE)&amp;$BB$2&amp;I63&amp;$BD$2,"")</f>
        <v>[4,100]</v>
      </c>
      <c r="BF61" s="60" t="str">
        <f>IFERROR($BC$2&amp;VLOOKUP(J63,'Pay Table'!$M$3:$N$18,2,FALSE)&amp;$BB$2&amp;K63&amp;$BD$2,"")</f>
        <v>[7,100]</v>
      </c>
    </row>
    <row r="62" spans="1:58" ht="17.100000000000001" customHeight="1" x14ac:dyDescent="0.15">
      <c r="A62" s="14">
        <v>58</v>
      </c>
      <c r="B62" s="10" t="s">
        <v>172</v>
      </c>
      <c r="C62" s="10">
        <v>100</v>
      </c>
      <c r="D62" s="10" t="s">
        <v>172</v>
      </c>
      <c r="E62" s="10">
        <v>100</v>
      </c>
      <c r="H62" s="10" t="s">
        <v>122</v>
      </c>
      <c r="I62" s="10">
        <v>100</v>
      </c>
      <c r="J62" s="10" t="s">
        <v>153</v>
      </c>
      <c r="K62" s="10">
        <v>100</v>
      </c>
      <c r="N62" s="1" t="s">
        <v>174</v>
      </c>
      <c r="BB62" s="59" t="str">
        <f>IFERROR($BC$2&amp;VLOOKUP(B64,'Pay Table'!$M$3:$N$18,2,FALSE)&amp;$BB$2&amp;C64&amp;$BD$2,"")</f>
        <v>[6,100]</v>
      </c>
      <c r="BC62" s="49" t="str">
        <f>IFERROR($BC$2&amp;VLOOKUP(D64,'Pay Table'!$M$3:$N$18,2,FALSE)&amp;$BB$2&amp;E64&amp;$BD$2,"")</f>
        <v/>
      </c>
      <c r="BD62" s="49" t="str">
        <f>IFERROR($BC$2&amp;VLOOKUP(F64,'Pay Table'!$M$3:$N$18,2,FALSE)&amp;$BB$2&amp;G64&amp;$BD$2,"")</f>
        <v/>
      </c>
      <c r="BE62" s="49" t="str">
        <f>IFERROR($BC$2&amp;VLOOKUP(H64,'Pay Table'!$M$3:$N$18,2,FALSE)&amp;$BB$2&amp;I64&amp;$BD$2,"")</f>
        <v>[5,100]</v>
      </c>
      <c r="BF62" s="60" t="str">
        <f>IFERROR($BC$2&amp;VLOOKUP(J64,'Pay Table'!$M$3:$N$18,2,FALSE)&amp;$BB$2&amp;K64&amp;$BD$2,"")</f>
        <v>[4,100]</v>
      </c>
    </row>
    <row r="63" spans="1:58" ht="17.100000000000001" customHeight="1" x14ac:dyDescent="0.15">
      <c r="A63" s="14">
        <v>59</v>
      </c>
      <c r="B63" s="10" t="s">
        <v>123</v>
      </c>
      <c r="C63" s="10">
        <v>100</v>
      </c>
      <c r="H63" s="10" t="s">
        <v>148</v>
      </c>
      <c r="I63" s="10">
        <v>100</v>
      </c>
      <c r="J63" s="10" t="s">
        <v>119</v>
      </c>
      <c r="K63" s="10">
        <v>100</v>
      </c>
      <c r="N63" s="6" t="s">
        <v>4</v>
      </c>
      <c r="O63" s="17">
        <v>2</v>
      </c>
      <c r="P63" s="18">
        <v>3</v>
      </c>
      <c r="Q63" s="18">
        <v>4</v>
      </c>
      <c r="R63" s="18">
        <v>5</v>
      </c>
      <c r="S63" s="18">
        <v>6</v>
      </c>
      <c r="T63" s="18">
        <v>7</v>
      </c>
      <c r="U63" s="18">
        <v>8</v>
      </c>
      <c r="V63" s="18">
        <v>9</v>
      </c>
      <c r="W63" s="36">
        <v>10</v>
      </c>
      <c r="BB63" s="59" t="str">
        <f>IFERROR($BC$2&amp;VLOOKUP(B65,'Pay Table'!$M$3:$N$18,2,FALSE)&amp;$BB$2&amp;C65&amp;$BD$2,"")</f>
        <v>[3,100]</v>
      </c>
      <c r="BC63" s="49" t="str">
        <f>IFERROR($BC$2&amp;VLOOKUP(D65,'Pay Table'!$M$3:$N$18,2,FALSE)&amp;$BB$2&amp;E65&amp;$BD$2,"")</f>
        <v/>
      </c>
      <c r="BD63" s="49" t="str">
        <f>IFERROR($BC$2&amp;VLOOKUP(F65,'Pay Table'!$M$3:$N$18,2,FALSE)&amp;$BB$2&amp;G65&amp;$BD$2,"")</f>
        <v/>
      </c>
      <c r="BE63" s="49" t="str">
        <f>IFERROR($BC$2&amp;VLOOKUP(H65,'Pay Table'!$M$3:$N$18,2,FALSE)&amp;$BB$2&amp;I65&amp;$BD$2,"")</f>
        <v>[2,100]</v>
      </c>
      <c r="BF63" s="60" t="str">
        <f>IFERROR($BC$2&amp;VLOOKUP(J65,'Pay Table'!$M$3:$N$18,2,FALSE)&amp;$BB$2&amp;K65&amp;$BD$2,"")</f>
        <v>[4,100]</v>
      </c>
    </row>
    <row r="64" spans="1:58" ht="17.100000000000001" customHeight="1" x14ac:dyDescent="0.15">
      <c r="A64" s="14">
        <v>60</v>
      </c>
      <c r="B64" s="10" t="s">
        <v>121</v>
      </c>
      <c r="C64" s="10">
        <v>100</v>
      </c>
      <c r="E64" s="1"/>
      <c r="H64" s="10" t="s">
        <v>123</v>
      </c>
      <c r="I64" s="10">
        <v>100</v>
      </c>
      <c r="J64" s="10" t="s">
        <v>148</v>
      </c>
      <c r="K64" s="10">
        <v>100</v>
      </c>
      <c r="N64" s="3" t="str">
        <f>N45</f>
        <v>LINK</v>
      </c>
      <c r="O64" s="21"/>
      <c r="P64" s="21"/>
      <c r="Q64" s="21"/>
      <c r="R64" s="21"/>
      <c r="S64" s="21"/>
      <c r="T64" s="21"/>
      <c r="U64" s="21"/>
      <c r="V64" s="21"/>
      <c r="W64" s="20"/>
      <c r="AA64" s="1">
        <f>O64/$O$22</f>
        <v>0</v>
      </c>
      <c r="AB64" s="1">
        <f t="shared" ref="AB64:AI64" si="42">P64/$O$22</f>
        <v>0</v>
      </c>
      <c r="AC64" s="1">
        <f t="shared" si="42"/>
        <v>0</v>
      </c>
      <c r="AD64" s="1">
        <f t="shared" si="42"/>
        <v>0</v>
      </c>
      <c r="AE64" s="1">
        <f t="shared" si="42"/>
        <v>0</v>
      </c>
      <c r="AF64" s="1">
        <f t="shared" si="42"/>
        <v>0</v>
      </c>
      <c r="AG64" s="1">
        <f t="shared" si="42"/>
        <v>0</v>
      </c>
      <c r="AH64" s="1">
        <f t="shared" si="42"/>
        <v>0</v>
      </c>
      <c r="AI64" s="1">
        <f t="shared" si="42"/>
        <v>0</v>
      </c>
      <c r="AJ64"/>
      <c r="AK64"/>
      <c r="AL64"/>
      <c r="AM64"/>
      <c r="AN64"/>
      <c r="BB64" s="59" t="str">
        <f>IFERROR($BC$2&amp;VLOOKUP(B66,'Pay Table'!$M$3:$N$18,2,FALSE)&amp;$BB$2&amp;C66&amp;$BD$2,"")</f>
        <v/>
      </c>
      <c r="BC64" s="49" t="str">
        <f>IFERROR($BC$2&amp;VLOOKUP(D66,'Pay Table'!$M$3:$N$18,2,FALSE)&amp;$BB$2&amp;E66&amp;$BD$2,"")</f>
        <v/>
      </c>
      <c r="BD64" s="49" t="str">
        <f>IFERROR($BC$2&amp;VLOOKUP(F66,'Pay Table'!$M$3:$N$18,2,FALSE)&amp;$BB$2&amp;G66&amp;$BD$2,"")</f>
        <v/>
      </c>
      <c r="BE64" s="49" t="str">
        <f>IFERROR($BC$2&amp;VLOOKUP(H66,'Pay Table'!$M$3:$N$18,2,FALSE)&amp;$BB$2&amp;I66&amp;$BD$2,"")</f>
        <v>[92,100]</v>
      </c>
      <c r="BF64" s="60" t="str">
        <f>IFERROR($BC$2&amp;VLOOKUP(J66,'Pay Table'!$M$3:$N$18,2,FALSE)&amp;$BB$2&amp;K66&amp;$BD$2,"")</f>
        <v>[3,100]</v>
      </c>
    </row>
    <row r="65" spans="1:58" ht="17.100000000000001" customHeight="1" x14ac:dyDescent="0.15">
      <c r="A65" s="14">
        <v>61</v>
      </c>
      <c r="B65" s="10" t="s">
        <v>172</v>
      </c>
      <c r="C65" s="10">
        <v>100</v>
      </c>
      <c r="E65" s="1"/>
      <c r="H65" s="10" t="s">
        <v>151</v>
      </c>
      <c r="I65" s="10">
        <v>100</v>
      </c>
      <c r="J65" s="10" t="s">
        <v>128</v>
      </c>
      <c r="K65" s="10">
        <v>100</v>
      </c>
      <c r="N65" s="4" t="str">
        <f t="shared" ref="N65:N75" si="43">N46</f>
        <v>WILD</v>
      </c>
      <c r="Q65" s="1">
        <f>AE46</f>
        <v>0</v>
      </c>
      <c r="S65" s="1">
        <f>AF46</f>
        <v>0</v>
      </c>
      <c r="U65" s="1">
        <f>AG46</f>
        <v>0</v>
      </c>
      <c r="W65" s="5">
        <f>AH46</f>
        <v>0</v>
      </c>
      <c r="X65" s="1">
        <f>SUM(O65:W65)</f>
        <v>0</v>
      </c>
      <c r="Y65" s="23">
        <f>X65/$X$75</f>
        <v>0</v>
      </c>
      <c r="AA65" s="1">
        <f t="shared" ref="AA65:AA75" si="44">O65/$O$22</f>
        <v>0</v>
      </c>
      <c r="AB65" s="1">
        <f t="shared" ref="AB65:AB75" si="45">P65/$O$22</f>
        <v>0</v>
      </c>
      <c r="AC65" s="1">
        <f t="shared" ref="AC65:AC75" si="46">Q65/$O$22</f>
        <v>0</v>
      </c>
      <c r="AD65" s="1">
        <f t="shared" ref="AD65:AD75" si="47">R65/$O$22</f>
        <v>0</v>
      </c>
      <c r="AE65" s="1">
        <f t="shared" ref="AE65:AE75" si="48">S65/$O$22</f>
        <v>0</v>
      </c>
      <c r="AF65" s="1">
        <f t="shared" ref="AF65:AF75" si="49">T65/$O$22</f>
        <v>0</v>
      </c>
      <c r="AG65" s="1">
        <f t="shared" ref="AG65:AG75" si="50">U65/$O$22</f>
        <v>0</v>
      </c>
      <c r="AH65" s="1">
        <f t="shared" ref="AH65:AH75" si="51">V65/$O$22</f>
        <v>0</v>
      </c>
      <c r="AI65" s="1">
        <f t="shared" ref="AI65:AI75" si="52">W65/$O$22</f>
        <v>0</v>
      </c>
      <c r="AJ65"/>
      <c r="AK65"/>
      <c r="AL65"/>
      <c r="AM65"/>
      <c r="AN65"/>
      <c r="BB65" s="59" t="str">
        <f>IFERROR($BC$2&amp;VLOOKUP(B67,'Pay Table'!$M$3:$N$18,2,FALSE)&amp;$BB$2&amp;C67&amp;$BD$2,"")</f>
        <v/>
      </c>
      <c r="BC65" s="49" t="str">
        <f>IFERROR($BC$2&amp;VLOOKUP(D67,'Pay Table'!$M$3:$N$18,2,FALSE)&amp;$BB$2&amp;E67&amp;$BD$2,"")</f>
        <v/>
      </c>
      <c r="BD65" s="49" t="str">
        <f>IFERROR($BC$2&amp;VLOOKUP(F67,'Pay Table'!$M$3:$N$18,2,FALSE)&amp;$BB$2&amp;G67&amp;$BD$2,"")</f>
        <v/>
      </c>
      <c r="BE65" s="49" t="str">
        <f>IFERROR($BC$2&amp;VLOOKUP(H67,'Pay Table'!$M$3:$N$18,2,FALSE)&amp;$BB$2&amp;I67&amp;$BD$2,"")</f>
        <v>[3,100]</v>
      </c>
      <c r="BF65" s="60" t="str">
        <f>IFERROR($BC$2&amp;VLOOKUP(J67,'Pay Table'!$M$3:$N$18,2,FALSE)&amp;$BB$2&amp;K67&amp;$BD$2,"")</f>
        <v>[6,100]</v>
      </c>
    </row>
    <row r="66" spans="1:58" ht="17.100000000000001" customHeight="1" x14ac:dyDescent="0.15">
      <c r="A66" s="14">
        <v>62</v>
      </c>
      <c r="E66" s="1"/>
      <c r="H66" s="10" t="s">
        <v>122</v>
      </c>
      <c r="I66" s="10">
        <v>100</v>
      </c>
      <c r="J66" s="10" t="s">
        <v>127</v>
      </c>
      <c r="K66" s="10">
        <v>100</v>
      </c>
      <c r="N66" s="4" t="str">
        <f t="shared" si="43"/>
        <v>M1</v>
      </c>
      <c r="Q66" s="1">
        <f>O28+AE47</f>
        <v>1.180498119609375E+17</v>
      </c>
      <c r="S66" s="1">
        <f>P28+AF47</f>
        <v>3.49262387578125E+16</v>
      </c>
      <c r="U66" s="1">
        <f>Q28+AG47</f>
        <v>9138427031250000</v>
      </c>
      <c r="W66" s="5">
        <f>R28+AH47</f>
        <v>2679890625000000</v>
      </c>
      <c r="X66" s="1">
        <f t="shared" ref="X66:X74" si="53">SUM(O66:W66)</f>
        <v>1.64794368375E+17</v>
      </c>
      <c r="Y66" s="23">
        <f t="shared" ref="Y66:Y74" si="54">X66/$X$75</f>
        <v>0.14514115757461574</v>
      </c>
      <c r="AA66" s="1">
        <f t="shared" si="44"/>
        <v>0</v>
      </c>
      <c r="AB66" s="1">
        <f t="shared" si="45"/>
        <v>0</v>
      </c>
      <c r="AC66" s="1">
        <f t="shared" si="46"/>
        <v>1.5302066785460698E-2</v>
      </c>
      <c r="AD66" s="1">
        <f t="shared" si="47"/>
        <v>0</v>
      </c>
      <c r="AE66" s="1">
        <f t="shared" si="48"/>
        <v>4.5272722519358131E-3</v>
      </c>
      <c r="AF66" s="1">
        <f t="shared" si="49"/>
        <v>0</v>
      </c>
      <c r="AG66" s="1">
        <f t="shared" si="50"/>
        <v>1.1845577593339888E-3</v>
      </c>
      <c r="AH66" s="1">
        <f t="shared" si="51"/>
        <v>0</v>
      </c>
      <c r="AI66" s="1">
        <f t="shared" si="52"/>
        <v>3.4737764203342778E-4</v>
      </c>
      <c r="AJ66"/>
      <c r="AK66"/>
      <c r="AL66"/>
      <c r="AM66"/>
      <c r="AN66"/>
      <c r="BB66" s="59" t="str">
        <f>IFERROR($BC$2&amp;VLOOKUP(B68,'Pay Table'!$M$3:$N$18,2,FALSE)&amp;$BB$2&amp;C68&amp;$BD$2,"")</f>
        <v/>
      </c>
      <c r="BC66" s="49" t="str">
        <f>IFERROR($BC$2&amp;VLOOKUP(D68,'Pay Table'!$M$3:$N$18,2,FALSE)&amp;$BB$2&amp;E68&amp;$BD$2,"")</f>
        <v/>
      </c>
      <c r="BD66" s="49" t="str">
        <f>IFERROR($BC$2&amp;VLOOKUP(F68,'Pay Table'!$M$3:$N$18,2,FALSE)&amp;$BB$2&amp;G68&amp;$BD$2,"")</f>
        <v/>
      </c>
      <c r="BE66" s="49" t="str">
        <f>IFERROR($BC$2&amp;VLOOKUP(H68,'Pay Table'!$M$3:$N$18,2,FALSE)&amp;$BB$2&amp;I68&amp;$BD$2,"")</f>
        <v>[8,100]</v>
      </c>
      <c r="BF66" s="60" t="str">
        <f>IFERROR($BC$2&amp;VLOOKUP(J68,'Pay Table'!$M$3:$N$18,2,FALSE)&amp;$BB$2&amp;K68&amp;$BD$2,"")</f>
        <v>[92,100]</v>
      </c>
    </row>
    <row r="67" spans="1:58" ht="17.100000000000001" customHeight="1" x14ac:dyDescent="0.15">
      <c r="A67" s="14">
        <v>63</v>
      </c>
      <c r="H67" s="10" t="s">
        <v>172</v>
      </c>
      <c r="I67" s="10">
        <v>100</v>
      </c>
      <c r="J67" s="10" t="s">
        <v>121</v>
      </c>
      <c r="K67" s="10">
        <v>100</v>
      </c>
      <c r="N67" s="4" t="str">
        <f t="shared" si="43"/>
        <v>M2</v>
      </c>
      <c r="Q67" s="1">
        <f>O29+AE48</f>
        <v>1.973710831640625E+17</v>
      </c>
      <c r="S67" s="1">
        <f>P29+AF48</f>
        <v>3.9800522179687504E+16</v>
      </c>
      <c r="U67" s="1">
        <f>Q29+AG48</f>
        <v>8645331406250000</v>
      </c>
      <c r="W67" s="5">
        <f>R29+AH48</f>
        <v>2990246875000000</v>
      </c>
      <c r="X67" s="1">
        <f t="shared" si="53"/>
        <v>2.48807183625E+17</v>
      </c>
      <c r="Y67" s="23">
        <f t="shared" si="54"/>
        <v>0.21913468888716492</v>
      </c>
      <c r="AA67" s="1">
        <f t="shared" si="44"/>
        <v>0</v>
      </c>
      <c r="AB67" s="1">
        <f t="shared" si="45"/>
        <v>0</v>
      </c>
      <c r="AC67" s="1">
        <f t="shared" si="46"/>
        <v>2.5583992434435869E-2</v>
      </c>
      <c r="AD67" s="1">
        <f t="shared" si="47"/>
        <v>0</v>
      </c>
      <c r="AE67" s="1">
        <f t="shared" si="48"/>
        <v>5.1590954561733238E-3</v>
      </c>
      <c r="AF67" s="1">
        <f t="shared" si="49"/>
        <v>0</v>
      </c>
      <c r="AG67" s="1">
        <f t="shared" si="50"/>
        <v>1.1206408241010446E-3</v>
      </c>
      <c r="AH67" s="1">
        <f t="shared" si="51"/>
        <v>0</v>
      </c>
      <c r="AI67" s="1">
        <f t="shared" si="52"/>
        <v>3.8760720263922191E-4</v>
      </c>
      <c r="AJ67"/>
      <c r="AK67"/>
      <c r="AL67"/>
      <c r="AM67"/>
      <c r="AN67"/>
      <c r="BB67" s="59" t="str">
        <f>IFERROR($BC$2&amp;VLOOKUP(B69,'Pay Table'!$M$3:$N$18,2,FALSE)&amp;$BB$2&amp;C69&amp;$BD$2,"")</f>
        <v/>
      </c>
      <c r="BC67" s="49" t="str">
        <f>IFERROR($BC$2&amp;VLOOKUP(D69,'Pay Table'!$M$3:$N$18,2,FALSE)&amp;$BB$2&amp;E69&amp;$BD$2,"")</f>
        <v/>
      </c>
      <c r="BD67" s="49" t="str">
        <f>IFERROR($BC$2&amp;VLOOKUP(F69,'Pay Table'!$M$3:$N$18,2,FALSE)&amp;$BB$2&amp;G69&amp;$BD$2,"")</f>
        <v/>
      </c>
      <c r="BE67" s="49" t="str">
        <f>IFERROR($BC$2&amp;VLOOKUP(H69,'Pay Table'!$M$3:$N$18,2,FALSE)&amp;$BB$2&amp;I69&amp;$BD$2,"")</f>
        <v>[4,100]</v>
      </c>
      <c r="BF67" s="60" t="str">
        <f>IFERROR($BC$2&amp;VLOOKUP(J69,'Pay Table'!$M$3:$N$18,2,FALSE)&amp;$BB$2&amp;K69&amp;$BD$2,"")</f>
        <v>[2,100]</v>
      </c>
    </row>
    <row r="68" spans="1:58" ht="17.100000000000001" customHeight="1" x14ac:dyDescent="0.15">
      <c r="A68" s="14">
        <v>64</v>
      </c>
      <c r="H68" s="10" t="s">
        <v>120</v>
      </c>
      <c r="I68" s="10">
        <v>100</v>
      </c>
      <c r="J68" s="10" t="s">
        <v>122</v>
      </c>
      <c r="K68" s="10">
        <v>100</v>
      </c>
      <c r="N68" s="4" t="str">
        <f t="shared" si="43"/>
        <v>M3</v>
      </c>
      <c r="Q68" s="1">
        <f>O30+AE49</f>
        <v>1.5118578365624998E+17</v>
      </c>
      <c r="S68" s="1">
        <f>P30+AF49</f>
        <v>3.218077603125E+16</v>
      </c>
      <c r="U68" s="1">
        <f>Q30+AG49</f>
        <v>8880763125000000</v>
      </c>
      <c r="W68" s="5">
        <f>R30+AH49</f>
        <v>1628404687500000</v>
      </c>
      <c r="X68" s="1">
        <f t="shared" si="53"/>
        <v>1.9387572749999997E+17</v>
      </c>
      <c r="Y68" s="23">
        <f t="shared" si="54"/>
        <v>0.17075430302895966</v>
      </c>
      <c r="AA68" s="1">
        <f t="shared" si="44"/>
        <v>0</v>
      </c>
      <c r="AB68" s="1">
        <f t="shared" si="45"/>
        <v>0</v>
      </c>
      <c r="AC68" s="1">
        <f t="shared" si="46"/>
        <v>1.9597277793933873E-2</v>
      </c>
      <c r="AD68" s="1">
        <f t="shared" si="47"/>
        <v>0</v>
      </c>
      <c r="AE68" s="1">
        <f t="shared" si="48"/>
        <v>4.1713949040519055E-3</v>
      </c>
      <c r="AF68" s="1">
        <f t="shared" si="49"/>
        <v>0</v>
      </c>
      <c r="AG68" s="1">
        <f t="shared" si="50"/>
        <v>1.1511583812566662E-3</v>
      </c>
      <c r="AH68" s="1">
        <f t="shared" si="51"/>
        <v>0</v>
      </c>
      <c r="AI68" s="1">
        <f t="shared" si="52"/>
        <v>2.1108002518570356E-4</v>
      </c>
      <c r="AJ68"/>
      <c r="AK68"/>
      <c r="AL68"/>
      <c r="AM68"/>
      <c r="AN68"/>
      <c r="BB68" s="59" t="str">
        <f>IFERROR($BC$2&amp;VLOOKUP(B70,'Pay Table'!$M$3:$N$18,2,FALSE)&amp;$BB$2&amp;C70&amp;$BD$2,"")</f>
        <v/>
      </c>
      <c r="BC68" s="49" t="str">
        <f>IFERROR($BC$2&amp;VLOOKUP(D70,'Pay Table'!$M$3:$N$18,2,FALSE)&amp;$BB$2&amp;E70&amp;$BD$2,"")</f>
        <v/>
      </c>
      <c r="BD68" s="49" t="str">
        <f>IFERROR($BC$2&amp;VLOOKUP(F70,'Pay Table'!$M$3:$N$18,2,FALSE)&amp;$BB$2&amp;G70&amp;$BD$2,"")</f>
        <v/>
      </c>
      <c r="BE68" s="49" t="str">
        <f>IFERROR($BC$2&amp;VLOOKUP(H70,'Pay Table'!$M$3:$N$18,2,FALSE)&amp;$BB$2&amp;I70&amp;$BD$2,"")</f>
        <v>[4,100]</v>
      </c>
      <c r="BF68" s="60" t="str">
        <f>IFERROR($BC$2&amp;VLOOKUP(J70,'Pay Table'!$M$3:$N$18,2,FALSE)&amp;$BB$2&amp;K70&amp;$BD$2,"")</f>
        <v>[7,100]</v>
      </c>
    </row>
    <row r="69" spans="1:58" ht="17.100000000000001" customHeight="1" x14ac:dyDescent="0.15">
      <c r="A69" s="14">
        <v>65</v>
      </c>
      <c r="H69" s="10" t="s">
        <v>148</v>
      </c>
      <c r="I69" s="10">
        <v>100</v>
      </c>
      <c r="J69" s="10" t="s">
        <v>151</v>
      </c>
      <c r="K69" s="10">
        <v>100</v>
      </c>
      <c r="N69" s="4" t="str">
        <f t="shared" si="43"/>
        <v>M4</v>
      </c>
      <c r="Q69" s="1">
        <f>O31+AE50</f>
        <v>1.891779694875E+17</v>
      </c>
      <c r="S69" s="1">
        <f>P31+AF50</f>
        <v>2.74012979625E+16</v>
      </c>
      <c r="U69" s="1">
        <f>Q31+AG50</f>
        <v>4778471750000000</v>
      </c>
      <c r="W69" s="5">
        <f>R31+AH50</f>
        <v>953095000000000</v>
      </c>
      <c r="X69" s="1">
        <f t="shared" si="53"/>
        <v>2.223108342E+17</v>
      </c>
      <c r="Y69" s="23">
        <f t="shared" si="54"/>
        <v>0.19579826747320711</v>
      </c>
      <c r="AA69" s="1">
        <f t="shared" si="44"/>
        <v>0</v>
      </c>
      <c r="AB69" s="1">
        <f t="shared" si="45"/>
        <v>0</v>
      </c>
      <c r="AC69" s="1">
        <f t="shared" si="46"/>
        <v>2.4521969796897775E-2</v>
      </c>
      <c r="AD69" s="1">
        <f t="shared" si="47"/>
        <v>0</v>
      </c>
      <c r="AE69" s="1">
        <f t="shared" si="48"/>
        <v>3.5518607312074982E-3</v>
      </c>
      <c r="AF69" s="1">
        <f t="shared" si="49"/>
        <v>0</v>
      </c>
      <c r="AG69" s="1">
        <f t="shared" si="50"/>
        <v>6.1940372997063909E-4</v>
      </c>
      <c r="AH69" s="1">
        <f t="shared" si="51"/>
        <v>0</v>
      </c>
      <c r="AI69" s="1">
        <f t="shared" si="52"/>
        <v>1.2354380833503228E-4</v>
      </c>
      <c r="AJ69"/>
      <c r="AK69"/>
      <c r="AL69"/>
      <c r="AM69"/>
      <c r="AN69"/>
      <c r="BB69" s="59" t="str">
        <f>IFERROR($BC$2&amp;VLOOKUP(B71,'Pay Table'!$M$3:$N$18,2,FALSE)&amp;$BB$2&amp;C71&amp;$BD$2,"")</f>
        <v/>
      </c>
      <c r="BC69" s="49" t="str">
        <f>IFERROR($BC$2&amp;VLOOKUP(D71,'Pay Table'!$M$3:$N$18,2,FALSE)&amp;$BB$2&amp;E71&amp;$BD$2,"")</f>
        <v/>
      </c>
      <c r="BD69" s="49" t="str">
        <f>IFERROR($BC$2&amp;VLOOKUP(F71,'Pay Table'!$M$3:$N$18,2,FALSE)&amp;$BB$2&amp;G71&amp;$BD$2,"")</f>
        <v/>
      </c>
      <c r="BE69" s="49" t="str">
        <f>IFERROR($BC$2&amp;VLOOKUP(H71,'Pay Table'!$M$3:$N$18,2,FALSE)&amp;$BB$2&amp;I71&amp;$BD$2,"")</f>
        <v>[0,100]</v>
      </c>
      <c r="BF69" s="60" t="str">
        <f>IFERROR($BC$2&amp;VLOOKUP(J71,'Pay Table'!$M$3:$N$18,2,FALSE)&amp;$BB$2&amp;K71&amp;$BD$2,"")</f>
        <v>[5,100]</v>
      </c>
    </row>
    <row r="70" spans="1:58" ht="17.100000000000001" customHeight="1" x14ac:dyDescent="0.15">
      <c r="A70" s="14">
        <v>66</v>
      </c>
      <c r="H70" s="10" t="s">
        <v>148</v>
      </c>
      <c r="I70" s="10">
        <v>100</v>
      </c>
      <c r="J70" s="10" t="s">
        <v>119</v>
      </c>
      <c r="K70" s="10">
        <v>100</v>
      </c>
      <c r="N70" s="4" t="str">
        <f t="shared" si="43"/>
        <v>M5</v>
      </c>
      <c r="Q70" s="1">
        <f>O32+AE51</f>
        <v>1.81696354875E+17</v>
      </c>
      <c r="S70" s="1">
        <f>P32+AF51</f>
        <v>3.3048242325E+16</v>
      </c>
      <c r="U70" s="1">
        <f>Q32+AG51</f>
        <v>6027826000000000</v>
      </c>
      <c r="W70" s="5">
        <f>R32+AH51</f>
        <v>1538411000000000</v>
      </c>
      <c r="X70" s="1">
        <f t="shared" si="53"/>
        <v>2.223108342E+17</v>
      </c>
      <c r="Y70" s="23">
        <f t="shared" si="54"/>
        <v>0.19579826747320711</v>
      </c>
      <c r="AA70" s="1">
        <f t="shared" si="44"/>
        <v>0</v>
      </c>
      <c r="AB70" s="1">
        <f t="shared" si="45"/>
        <v>0</v>
      </c>
      <c r="AC70" s="1">
        <f t="shared" si="46"/>
        <v>2.3552174381201253E-2</v>
      </c>
      <c r="AD70" s="1">
        <f t="shared" si="47"/>
        <v>0</v>
      </c>
      <c r="AE70" s="1">
        <f t="shared" si="48"/>
        <v>4.2838391929550584E-3</v>
      </c>
      <c r="AF70" s="1">
        <f t="shared" si="49"/>
        <v>0</v>
      </c>
      <c r="AG70" s="1">
        <f t="shared" si="50"/>
        <v>7.813497920154069E-4</v>
      </c>
      <c r="AH70" s="1">
        <f t="shared" si="51"/>
        <v>0</v>
      </c>
      <c r="AI70" s="1">
        <f t="shared" si="52"/>
        <v>1.9941470023922625E-4</v>
      </c>
      <c r="AJ70"/>
      <c r="AK70"/>
      <c r="AL70"/>
      <c r="AM70"/>
      <c r="AN70"/>
      <c r="BB70" s="59" t="str">
        <f>IFERROR($BC$2&amp;VLOOKUP(B72,'Pay Table'!$M$3:$N$18,2,FALSE)&amp;$BB$2&amp;C72&amp;$BD$2,"")</f>
        <v/>
      </c>
      <c r="BC70" s="49" t="str">
        <f>IFERROR($BC$2&amp;VLOOKUP(D72,'Pay Table'!$M$3:$N$18,2,FALSE)&amp;$BB$2&amp;E72&amp;$BD$2,"")</f>
        <v/>
      </c>
      <c r="BD70" s="49" t="str">
        <f>IFERROR($BC$2&amp;VLOOKUP(F72,'Pay Table'!$M$3:$N$18,2,FALSE)&amp;$BB$2&amp;G72&amp;$BD$2,"")</f>
        <v/>
      </c>
      <c r="BE70" s="49" t="str">
        <f>IFERROR($BC$2&amp;VLOOKUP(H72,'Pay Table'!$M$3:$N$18,2,FALSE)&amp;$BB$2&amp;I72&amp;$BD$2,"")</f>
        <v>[0,100]</v>
      </c>
      <c r="BF70" s="60" t="str">
        <f>IFERROR($BC$2&amp;VLOOKUP(J72,'Pay Table'!$M$3:$N$18,2,FALSE)&amp;$BB$2&amp;K72&amp;$BD$2,"")</f>
        <v>[4,100]</v>
      </c>
    </row>
    <row r="71" spans="1:58" ht="17.100000000000001" customHeight="1" x14ac:dyDescent="0.15">
      <c r="A71" s="14">
        <v>67</v>
      </c>
      <c r="H71" s="10" t="s">
        <v>153</v>
      </c>
      <c r="I71" s="10">
        <v>100</v>
      </c>
      <c r="J71" s="10" t="s">
        <v>123</v>
      </c>
      <c r="K71" s="10">
        <v>100</v>
      </c>
      <c r="N71" s="4" t="str">
        <f t="shared" si="43"/>
        <v>A</v>
      </c>
      <c r="P71" s="1">
        <f>P33+O52</f>
        <v>1.115169103125E+16</v>
      </c>
      <c r="Q71" s="1">
        <f>Q33+P52</f>
        <v>1909464375000000</v>
      </c>
      <c r="R71" s="1">
        <f>R33+Q52+T52</f>
        <v>423150000000000</v>
      </c>
      <c r="S71" s="1">
        <f>R52+U52</f>
        <v>0</v>
      </c>
      <c r="T71" s="1">
        <f>V52+X52</f>
        <v>0</v>
      </c>
      <c r="U71" s="1">
        <f>Y52</f>
        <v>0</v>
      </c>
      <c r="V71" s="1">
        <f>AA52</f>
        <v>0</v>
      </c>
      <c r="W71" s="5"/>
      <c r="X71" s="1">
        <f t="shared" si="53"/>
        <v>1.348430540625E+16</v>
      </c>
      <c r="Y71" s="23">
        <f t="shared" si="54"/>
        <v>1.187618069143726E-2</v>
      </c>
      <c r="AA71" s="1">
        <f t="shared" si="44"/>
        <v>0</v>
      </c>
      <c r="AB71" s="1">
        <f t="shared" si="45"/>
        <v>1.4455247161890982E-3</v>
      </c>
      <c r="AC71" s="1">
        <f t="shared" si="46"/>
        <v>2.4751205364373141E-4</v>
      </c>
      <c r="AD71" s="1">
        <f t="shared" si="47"/>
        <v>5.485031659694879E-5</v>
      </c>
      <c r="AE71" s="1">
        <f t="shared" si="48"/>
        <v>0</v>
      </c>
      <c r="AF71" s="1">
        <f t="shared" si="49"/>
        <v>0</v>
      </c>
      <c r="AG71" s="1">
        <f t="shared" si="50"/>
        <v>0</v>
      </c>
      <c r="AH71" s="1">
        <f t="shared" si="51"/>
        <v>0</v>
      </c>
      <c r="AI71" s="1">
        <f t="shared" si="52"/>
        <v>0</v>
      </c>
      <c r="AJ71"/>
      <c r="AK71"/>
      <c r="AL71"/>
      <c r="AM71"/>
      <c r="AN71"/>
      <c r="BB71" s="59" t="str">
        <f>IFERROR($BC$2&amp;VLOOKUP(B73,'Pay Table'!$M$3:$N$18,2,FALSE)&amp;$BB$2&amp;C73&amp;$BD$2,"")</f>
        <v/>
      </c>
      <c r="BC71" s="49" t="str">
        <f>IFERROR($BC$2&amp;VLOOKUP(D73,'Pay Table'!$M$3:$N$18,2,FALSE)&amp;$BB$2&amp;E73&amp;$BD$2,"")</f>
        <v/>
      </c>
      <c r="BD71" s="49" t="str">
        <f>IFERROR($BC$2&amp;VLOOKUP(F73,'Pay Table'!$M$3:$N$18,2,FALSE)&amp;$BB$2&amp;G73&amp;$BD$2,"")</f>
        <v/>
      </c>
      <c r="BE71" s="49" t="str">
        <f>IFERROR($BC$2&amp;VLOOKUP(H73,'Pay Table'!$M$3:$N$18,2,FALSE)&amp;$BB$2&amp;I73&amp;$BD$2,"")</f>
        <v>[0,100]</v>
      </c>
      <c r="BF71" s="60" t="str">
        <f>IFERROR($BC$2&amp;VLOOKUP(J73,'Pay Table'!$M$3:$N$18,2,FALSE)&amp;$BB$2&amp;K73&amp;$BD$2,"")</f>
        <v>[3,100]</v>
      </c>
    </row>
    <row r="72" spans="1:58" ht="17.100000000000001" customHeight="1" x14ac:dyDescent="0.15">
      <c r="A72" s="14">
        <v>68</v>
      </c>
      <c r="H72" s="10" t="s">
        <v>153</v>
      </c>
      <c r="I72" s="10">
        <v>100</v>
      </c>
      <c r="J72" s="10" t="s">
        <v>128</v>
      </c>
      <c r="K72" s="10">
        <v>100</v>
      </c>
      <c r="N72" s="4" t="str">
        <f t="shared" si="43"/>
        <v>K</v>
      </c>
      <c r="P72" s="1">
        <f t="shared" ref="P72:Q74" si="55">P34+O53</f>
        <v>2.26566061115625E+16</v>
      </c>
      <c r="Q72" s="1">
        <f t="shared" si="55"/>
        <v>5005496012343750</v>
      </c>
      <c r="R72" s="1">
        <f>R34+Q53+T53</f>
        <v>1343757318750000</v>
      </c>
      <c r="S72" s="1">
        <f>R53+U53</f>
        <v>0</v>
      </c>
      <c r="T72" s="1">
        <f>V53+X53</f>
        <v>0</v>
      </c>
      <c r="U72" s="1">
        <f>Y53</f>
        <v>0</v>
      </c>
      <c r="V72" s="1">
        <f>AA53</f>
        <v>0</v>
      </c>
      <c r="W72" s="5"/>
      <c r="X72" s="1">
        <f t="shared" si="53"/>
        <v>2.9005859442656248E+16</v>
      </c>
      <c r="Y72" s="23">
        <f t="shared" si="54"/>
        <v>2.5546649788260559E-2</v>
      </c>
      <c r="AA72" s="1">
        <f t="shared" si="44"/>
        <v>0</v>
      </c>
      <c r="AB72" s="1">
        <f t="shared" si="45"/>
        <v>2.9368356805661538E-3</v>
      </c>
      <c r="AC72" s="1">
        <f t="shared" si="46"/>
        <v>6.4883148056674796E-4</v>
      </c>
      <c r="AD72" s="1">
        <f t="shared" si="47"/>
        <v>1.741829478031538E-4</v>
      </c>
      <c r="AE72" s="1">
        <f t="shared" si="48"/>
        <v>0</v>
      </c>
      <c r="AF72" s="1">
        <f t="shared" si="49"/>
        <v>0</v>
      </c>
      <c r="AG72" s="1">
        <f t="shared" si="50"/>
        <v>0</v>
      </c>
      <c r="AH72" s="1">
        <f t="shared" si="51"/>
        <v>0</v>
      </c>
      <c r="AI72" s="1">
        <f t="shared" si="52"/>
        <v>0</v>
      </c>
      <c r="AJ72"/>
      <c r="AK72"/>
      <c r="AL72"/>
      <c r="AM72"/>
      <c r="AN72"/>
      <c r="BB72" s="59" t="str">
        <f>IFERROR($BC$2&amp;VLOOKUP(B74,'Pay Table'!$M$3:$N$18,2,FALSE)&amp;$BB$2&amp;C74&amp;$BD$2,"")</f>
        <v/>
      </c>
      <c r="BC72" s="49" t="str">
        <f>IFERROR($BC$2&amp;VLOOKUP(D74,'Pay Table'!$M$3:$N$18,2,FALSE)&amp;$BB$2&amp;E74&amp;$BD$2,"")</f>
        <v/>
      </c>
      <c r="BD72" s="49" t="str">
        <f>IFERROR($BC$2&amp;VLOOKUP(F74,'Pay Table'!$M$3:$N$18,2,FALSE)&amp;$BB$2&amp;G74&amp;$BD$2,"")</f>
        <v/>
      </c>
      <c r="BE72" s="49" t="str">
        <f>IFERROR($BC$2&amp;VLOOKUP(H74,'Pay Table'!$M$3:$N$18,2,FALSE)&amp;$BB$2&amp;I74&amp;$BD$2,"")</f>
        <v>[6,100]</v>
      </c>
      <c r="BF72" s="60" t="str">
        <f>IFERROR($BC$2&amp;VLOOKUP(J74,'Pay Table'!$M$3:$N$18,2,FALSE)&amp;$BB$2&amp;K74&amp;$BD$2,"")</f>
        <v>[1,100]</v>
      </c>
    </row>
    <row r="73" spans="1:58" ht="17.100000000000001" customHeight="1" x14ac:dyDescent="0.15">
      <c r="A73" s="14">
        <v>69</v>
      </c>
      <c r="H73" s="10" t="s">
        <v>153</v>
      </c>
      <c r="I73" s="10">
        <v>100</v>
      </c>
      <c r="J73" s="10" t="s">
        <v>127</v>
      </c>
      <c r="K73" s="10">
        <v>100</v>
      </c>
      <c r="N73" s="4" t="str">
        <f t="shared" si="43"/>
        <v>Q</v>
      </c>
      <c r="P73" s="1">
        <f t="shared" si="55"/>
        <v>1.4800039138828124E+16</v>
      </c>
      <c r="Q73" s="1">
        <f t="shared" si="55"/>
        <v>2365952793750000</v>
      </c>
      <c r="R73" s="1">
        <f>R35+Q54+T54</f>
        <v>446406187500000</v>
      </c>
      <c r="S73" s="1">
        <f>R54+U54</f>
        <v>0</v>
      </c>
      <c r="T73" s="1">
        <f>V54+X54</f>
        <v>0</v>
      </c>
      <c r="U73" s="1">
        <f>Y54</f>
        <v>0</v>
      </c>
      <c r="V73" s="1">
        <f>AA54</f>
        <v>0</v>
      </c>
      <c r="W73" s="5"/>
      <c r="X73" s="1">
        <f t="shared" si="53"/>
        <v>1.7612398120078124E+16</v>
      </c>
      <c r="Y73" s="23">
        <f t="shared" si="54"/>
        <v>1.5511961215787056E-2</v>
      </c>
      <c r="AA73" s="1">
        <f t="shared" si="44"/>
        <v>0</v>
      </c>
      <c r="AB73" s="1">
        <f t="shared" si="45"/>
        <v>1.9184375101310551E-3</v>
      </c>
      <c r="AC73" s="1">
        <f t="shared" si="46"/>
        <v>3.0668382320837287E-4</v>
      </c>
      <c r="AD73" s="1">
        <f t="shared" si="47"/>
        <v>5.7864872303466581E-5</v>
      </c>
      <c r="AE73" s="1">
        <f t="shared" si="48"/>
        <v>0</v>
      </c>
      <c r="AF73" s="1">
        <f t="shared" si="49"/>
        <v>0</v>
      </c>
      <c r="AG73" s="1">
        <f t="shared" si="50"/>
        <v>0</v>
      </c>
      <c r="AH73" s="1">
        <f t="shared" si="51"/>
        <v>0</v>
      </c>
      <c r="AI73" s="1">
        <f t="shared" si="52"/>
        <v>0</v>
      </c>
      <c r="AJ73"/>
      <c r="AK73"/>
      <c r="AL73"/>
      <c r="AM73"/>
      <c r="AN73"/>
      <c r="BB73" s="59" t="str">
        <f>IFERROR($BC$2&amp;VLOOKUP(B75,'Pay Table'!$M$3:$N$18,2,FALSE)&amp;$BB$2&amp;C75&amp;$BD$2,"")</f>
        <v/>
      </c>
      <c r="BC73" s="49" t="str">
        <f>IFERROR($BC$2&amp;VLOOKUP(D75,'Pay Table'!$M$3:$N$18,2,FALSE)&amp;$BB$2&amp;E75&amp;$BD$2,"")</f>
        <v/>
      </c>
      <c r="BD73" s="49" t="str">
        <f>IFERROR($BC$2&amp;VLOOKUP(F75,'Pay Table'!$M$3:$N$18,2,FALSE)&amp;$BB$2&amp;G75&amp;$BD$2,"")</f>
        <v/>
      </c>
      <c r="BE73" s="49" t="str">
        <f>IFERROR($BC$2&amp;VLOOKUP(H75,'Pay Table'!$M$3:$N$18,2,FALSE)&amp;$BB$2&amp;I75&amp;$BD$2,"")</f>
        <v>[2,100]</v>
      </c>
      <c r="BF73" s="60" t="str">
        <f>IFERROR($BC$2&amp;VLOOKUP(J75,'Pay Table'!$M$3:$N$18,2,FALSE)&amp;$BB$2&amp;K75&amp;$BD$2,"")</f>
        <v>[1,100]</v>
      </c>
    </row>
    <row r="74" spans="1:58" ht="17.100000000000001" customHeight="1" x14ac:dyDescent="0.15">
      <c r="A74" s="14">
        <v>70</v>
      </c>
      <c r="H74" s="10" t="s">
        <v>121</v>
      </c>
      <c r="I74" s="10">
        <v>100</v>
      </c>
      <c r="J74" s="10" t="s">
        <v>152</v>
      </c>
      <c r="K74" s="10">
        <v>100</v>
      </c>
      <c r="N74" s="4" t="str">
        <f t="shared" si="43"/>
        <v>J</v>
      </c>
      <c r="P74" s="1">
        <f t="shared" si="55"/>
        <v>1.86513067125E+16</v>
      </c>
      <c r="Q74" s="1">
        <f t="shared" si="55"/>
        <v>3900626898437500</v>
      </c>
      <c r="R74" s="1">
        <f>R36+Q55+T55</f>
        <v>654121015625000</v>
      </c>
      <c r="S74" s="1">
        <f>R55+U55</f>
        <v>0</v>
      </c>
      <c r="T74" s="1">
        <f>V55+X55</f>
        <v>0</v>
      </c>
      <c r="U74" s="1">
        <f>Y55</f>
        <v>0</v>
      </c>
      <c r="V74" s="1">
        <f>AA55</f>
        <v>0</v>
      </c>
      <c r="W74" s="5"/>
      <c r="X74" s="1">
        <f t="shared" si="53"/>
        <v>2.32060546265625E+16</v>
      </c>
      <c r="Y74" s="23">
        <f t="shared" si="54"/>
        <v>2.0438523867360576E-2</v>
      </c>
      <c r="AA74" s="1">
        <f t="shared" si="44"/>
        <v>0</v>
      </c>
      <c r="AB74" s="1">
        <f t="shared" si="45"/>
        <v>2.4176534990604306E-3</v>
      </c>
      <c r="AC74" s="1">
        <f t="shared" si="46"/>
        <v>5.0561413282729836E-4</v>
      </c>
      <c r="AD74" s="1">
        <f t="shared" si="47"/>
        <v>8.47896604035187E-5</v>
      </c>
      <c r="AE74" s="1">
        <f t="shared" si="48"/>
        <v>0</v>
      </c>
      <c r="AF74" s="1">
        <f t="shared" si="49"/>
        <v>0</v>
      </c>
      <c r="AG74" s="1">
        <f t="shared" si="50"/>
        <v>0</v>
      </c>
      <c r="AH74" s="1">
        <f t="shared" si="51"/>
        <v>0</v>
      </c>
      <c r="AI74" s="1">
        <f t="shared" si="52"/>
        <v>0</v>
      </c>
      <c r="AJ74"/>
      <c r="AK74"/>
      <c r="AL74"/>
      <c r="AM74"/>
      <c r="AN74"/>
      <c r="BB74" s="59" t="str">
        <f>IFERROR($BC$2&amp;VLOOKUP(B76,'Pay Table'!$M$3:$N$18,2,FALSE)&amp;$BB$2&amp;C76&amp;$BD$2,"")</f>
        <v/>
      </c>
      <c r="BC74" s="49" t="str">
        <f>IFERROR($BC$2&amp;VLOOKUP(D76,'Pay Table'!$M$3:$N$18,2,FALSE)&amp;$BB$2&amp;E76&amp;$BD$2,"")</f>
        <v/>
      </c>
      <c r="BD74" s="49" t="str">
        <f>IFERROR($BC$2&amp;VLOOKUP(F76,'Pay Table'!$M$3:$N$18,2,FALSE)&amp;$BB$2&amp;G76&amp;$BD$2,"")</f>
        <v/>
      </c>
      <c r="BE74" s="49" t="str">
        <f>IFERROR($BC$2&amp;VLOOKUP(H76,'Pay Table'!$M$3:$N$18,2,FALSE)&amp;$BB$2&amp;I76&amp;$BD$2,"")</f>
        <v>[7,100]</v>
      </c>
      <c r="BF74" s="60" t="str">
        <f>IFERROR($BC$2&amp;VLOOKUP(J76,'Pay Table'!$M$3:$N$18,2,FALSE)&amp;$BB$2&amp;K76&amp;$BD$2,"")</f>
        <v/>
      </c>
    </row>
    <row r="75" spans="1:58" ht="17.100000000000001" customHeight="1" x14ac:dyDescent="0.15">
      <c r="A75" s="14">
        <v>71</v>
      </c>
      <c r="H75" s="10" t="s">
        <v>151</v>
      </c>
      <c r="I75" s="10">
        <v>100</v>
      </c>
      <c r="J75" s="10" t="s">
        <v>152</v>
      </c>
      <c r="K75" s="10">
        <v>100</v>
      </c>
      <c r="N75" s="19" t="str">
        <f t="shared" si="43"/>
        <v>SCATTER</v>
      </c>
      <c r="O75" s="15"/>
      <c r="P75" s="15"/>
      <c r="Q75" s="15"/>
      <c r="R75" s="15"/>
      <c r="S75" s="15"/>
      <c r="T75" s="15"/>
      <c r="U75" s="15"/>
      <c r="V75" s="15"/>
      <c r="W75" s="16"/>
      <c r="X75" s="1">
        <f>SUM(X65:X74)</f>
        <v>1.1354075654955469E+18</v>
      </c>
      <c r="AA75" s="1">
        <f t="shared" si="44"/>
        <v>0</v>
      </c>
      <c r="AB75" s="1">
        <f t="shared" si="45"/>
        <v>0</v>
      </c>
      <c r="AC75" s="1">
        <f t="shared" si="46"/>
        <v>0</v>
      </c>
      <c r="AD75" s="1">
        <f t="shared" si="47"/>
        <v>0</v>
      </c>
      <c r="AE75" s="1">
        <f t="shared" si="48"/>
        <v>0</v>
      </c>
      <c r="AF75" s="1">
        <f t="shared" si="49"/>
        <v>0</v>
      </c>
      <c r="AG75" s="1">
        <f t="shared" si="50"/>
        <v>0</v>
      </c>
      <c r="AH75" s="1">
        <f t="shared" si="51"/>
        <v>0</v>
      </c>
      <c r="AI75" s="1">
        <f t="shared" si="52"/>
        <v>0</v>
      </c>
      <c r="AJ75"/>
      <c r="AK75"/>
      <c r="AL75"/>
      <c r="AM75"/>
      <c r="AN75"/>
      <c r="BB75" s="59" t="str">
        <f>IFERROR($BC$2&amp;VLOOKUP(B77,'Pay Table'!$M$3:$N$18,2,FALSE)&amp;$BB$2&amp;C77&amp;$BD$2,"")</f>
        <v/>
      </c>
      <c r="BC75" s="49" t="str">
        <f>IFERROR($BC$2&amp;VLOOKUP(D77,'Pay Table'!$M$3:$N$18,2,FALSE)&amp;$BB$2&amp;E77&amp;$BD$2,"")</f>
        <v/>
      </c>
      <c r="BD75" s="49" t="str">
        <f>IFERROR($BC$2&amp;VLOOKUP(F77,'Pay Table'!$M$3:$N$18,2,FALSE)&amp;$BB$2&amp;G77&amp;$BD$2,"")</f>
        <v/>
      </c>
      <c r="BE75" s="49" t="str">
        <f>IFERROR($BC$2&amp;VLOOKUP(H77,'Pay Table'!$M$3:$N$18,2,FALSE)&amp;$BB$2&amp;I77&amp;$BD$2,"")</f>
        <v>[6,100]</v>
      </c>
      <c r="BF75" s="60" t="str">
        <f>IFERROR($BC$2&amp;VLOOKUP(J77,'Pay Table'!$M$3:$N$18,2,FALSE)&amp;$BB$2&amp;K77&amp;$BD$2,"")</f>
        <v/>
      </c>
    </row>
    <row r="76" spans="1:58" ht="17.100000000000001" customHeight="1" x14ac:dyDescent="0.15">
      <c r="A76" s="14">
        <v>72</v>
      </c>
      <c r="H76" s="10" t="s">
        <v>119</v>
      </c>
      <c r="I76" s="10">
        <v>100</v>
      </c>
      <c r="AA76"/>
      <c r="AB76"/>
      <c r="AC76"/>
      <c r="AD76"/>
      <c r="BB76" s="59" t="str">
        <f>IFERROR($BC$2&amp;VLOOKUP(B78,'Pay Table'!$M$3:$N$18,2,FALSE)&amp;$BB$2&amp;C78&amp;$BD$2,"")</f>
        <v/>
      </c>
      <c r="BC76" s="49" t="str">
        <f>IFERROR($BC$2&amp;VLOOKUP(D78,'Pay Table'!$M$3:$N$18,2,FALSE)&amp;$BB$2&amp;E78&amp;$BD$2,"")</f>
        <v/>
      </c>
      <c r="BD76" s="49" t="str">
        <f>IFERROR($BC$2&amp;VLOOKUP(F78,'Pay Table'!$M$3:$N$18,2,FALSE)&amp;$BB$2&amp;G78&amp;$BD$2,"")</f>
        <v/>
      </c>
      <c r="BE76" s="49" t="str">
        <f>IFERROR($BC$2&amp;VLOOKUP(H78,'Pay Table'!$M$3:$N$18,2,FALSE)&amp;$BB$2&amp;I78&amp;$BD$2,"")</f>
        <v>[92,100]</v>
      </c>
      <c r="BF76" s="60" t="str">
        <f>IFERROR($BC$2&amp;VLOOKUP(J78,'Pay Table'!$M$3:$N$18,2,FALSE)&amp;$BB$2&amp;K78&amp;$BD$2,"")</f>
        <v/>
      </c>
    </row>
    <row r="77" spans="1:58" ht="17.100000000000001" customHeight="1" x14ac:dyDescent="0.15">
      <c r="A77" s="14">
        <v>73</v>
      </c>
      <c r="H77" s="10" t="s">
        <v>121</v>
      </c>
      <c r="I77" s="10">
        <v>100</v>
      </c>
      <c r="N77" s="1" t="s">
        <v>180</v>
      </c>
      <c r="AA77"/>
      <c r="AB77"/>
      <c r="AC77"/>
      <c r="AD77"/>
      <c r="BB77" s="59" t="str">
        <f>IFERROR($BC$2&amp;VLOOKUP(B79,'Pay Table'!$M$3:$N$18,2,FALSE)&amp;$BB$2&amp;C79&amp;$BD$2,"")</f>
        <v/>
      </c>
      <c r="BC77" s="49" t="str">
        <f>IFERROR($BC$2&amp;VLOOKUP(D79,'Pay Table'!$M$3:$N$18,2,FALSE)&amp;$BB$2&amp;E79&amp;$BD$2,"")</f>
        <v/>
      </c>
      <c r="BD77" s="49" t="str">
        <f>IFERROR($BC$2&amp;VLOOKUP(F79,'Pay Table'!$M$3:$N$18,2,FALSE)&amp;$BB$2&amp;G79&amp;$BD$2,"")</f>
        <v/>
      </c>
      <c r="BE77" s="49" t="str">
        <f>IFERROR($BC$2&amp;VLOOKUP(H79,'Pay Table'!$M$3:$N$18,2,FALSE)&amp;$BB$2&amp;I79&amp;$BD$2,"")</f>
        <v>[6,100]</v>
      </c>
      <c r="BF77" s="60" t="str">
        <f>IFERROR($BC$2&amp;VLOOKUP(J79,'Pay Table'!$M$3:$N$18,2,FALSE)&amp;$BB$2&amp;K79&amp;$BD$2,"")</f>
        <v/>
      </c>
    </row>
    <row r="78" spans="1:58" ht="17.100000000000001" customHeight="1" x14ac:dyDescent="0.15">
      <c r="A78" s="14">
        <v>74</v>
      </c>
      <c r="H78" s="10" t="s">
        <v>122</v>
      </c>
      <c r="I78" s="10">
        <v>100</v>
      </c>
      <c r="N78" s="6" t="s">
        <v>4</v>
      </c>
      <c r="O78" s="17">
        <v>2</v>
      </c>
      <c r="P78" s="18">
        <v>3</v>
      </c>
      <c r="Q78" s="18">
        <v>4</v>
      </c>
      <c r="R78" s="18">
        <v>5</v>
      </c>
      <c r="S78" s="18">
        <v>6</v>
      </c>
      <c r="T78" s="18">
        <v>7</v>
      </c>
      <c r="U78" s="18">
        <v>8</v>
      </c>
      <c r="V78" s="18">
        <v>9</v>
      </c>
      <c r="W78" s="36">
        <v>10</v>
      </c>
      <c r="AA78"/>
      <c r="AB78"/>
      <c r="AC78"/>
      <c r="AD78"/>
      <c r="BB78" s="59" t="str">
        <f>IFERROR($BC$2&amp;VLOOKUP(B80,'Pay Table'!$M$3:$N$18,2,FALSE)&amp;$BB$2&amp;C80&amp;$BD$2,"")</f>
        <v/>
      </c>
      <c r="BC78" s="49" t="str">
        <f>IFERROR($BC$2&amp;VLOOKUP(D80,'Pay Table'!$M$3:$N$18,2,FALSE)&amp;$BB$2&amp;E80&amp;$BD$2,"")</f>
        <v/>
      </c>
      <c r="BD78" s="49" t="str">
        <f>IFERROR($BC$2&amp;VLOOKUP(F80,'Pay Table'!$M$3:$N$18,2,FALSE)&amp;$BB$2&amp;G80&amp;$BD$2,"")</f>
        <v/>
      </c>
      <c r="BE78" s="49" t="str">
        <f>IFERROR($BC$2&amp;VLOOKUP(H80,'Pay Table'!$M$3:$N$18,2,FALSE)&amp;$BB$2&amp;I80&amp;$BD$2,"")</f>
        <v>[7,100]</v>
      </c>
      <c r="BF78" s="60" t="str">
        <f>IFERROR($BC$2&amp;VLOOKUP(J80,'Pay Table'!$M$3:$N$18,2,FALSE)&amp;$BB$2&amp;K80&amp;$BD$2,"")</f>
        <v/>
      </c>
    </row>
    <row r="79" spans="1:58" ht="17.100000000000001" customHeight="1" x14ac:dyDescent="0.15">
      <c r="A79" s="14">
        <v>75</v>
      </c>
      <c r="H79" s="10" t="s">
        <v>132</v>
      </c>
      <c r="I79" s="10">
        <v>100</v>
      </c>
      <c r="N79" s="3" t="str">
        <f>N64</f>
        <v>LINK</v>
      </c>
      <c r="O79" s="7"/>
      <c r="P79" s="21"/>
      <c r="Q79" s="21"/>
      <c r="R79" s="21"/>
      <c r="S79" s="21"/>
      <c r="T79" s="21"/>
      <c r="U79" s="21"/>
      <c r="V79" s="21"/>
      <c r="W79" s="20"/>
      <c r="AA79"/>
      <c r="AB79"/>
      <c r="AC79"/>
      <c r="AD79"/>
      <c r="BB79" s="59" t="str">
        <f>IFERROR($BC$2&amp;VLOOKUP(B81,'Pay Table'!$M$3:$N$18,2,FALSE)&amp;$BB$2&amp;C81&amp;$BD$2,"")</f>
        <v/>
      </c>
      <c r="BC79" s="49" t="str">
        <f>IFERROR($BC$2&amp;VLOOKUP(D81,'Pay Table'!$M$3:$N$18,2,FALSE)&amp;$BB$2&amp;E81&amp;$BD$2,"")</f>
        <v/>
      </c>
      <c r="BD79" s="49" t="str">
        <f>IFERROR($BC$2&amp;VLOOKUP(F81,'Pay Table'!$M$3:$N$18,2,FALSE)&amp;$BB$2&amp;G81&amp;$BD$2,"")</f>
        <v/>
      </c>
      <c r="BE79" s="49" t="str">
        <f>IFERROR($BC$2&amp;VLOOKUP(H81,'Pay Table'!$M$3:$N$18,2,FALSE)&amp;$BB$2&amp;I81&amp;$BD$2,"")</f>
        <v>[8,100]</v>
      </c>
      <c r="BF79" s="60" t="str">
        <f>IFERROR($BC$2&amp;VLOOKUP(J81,'Pay Table'!$M$3:$N$18,2,FALSE)&amp;$BB$2&amp;K81&amp;$BD$2,"")</f>
        <v/>
      </c>
    </row>
    <row r="80" spans="1:58" ht="17.100000000000001" customHeight="1" x14ac:dyDescent="0.15">
      <c r="A80" s="14">
        <v>76</v>
      </c>
      <c r="H80" s="10" t="s">
        <v>119</v>
      </c>
      <c r="I80" s="10">
        <v>100</v>
      </c>
      <c r="N80" s="4" t="str">
        <f t="shared" ref="N80:N90" si="56">N65</f>
        <v>WILD</v>
      </c>
      <c r="O80" s="2">
        <f>O65*'Pay Table'!C6</f>
        <v>0</v>
      </c>
      <c r="P80" s="1">
        <f>P65*'Pay Table'!D6</f>
        <v>0</v>
      </c>
      <c r="Q80" s="1">
        <f>Q65*'Pay Table'!E6</f>
        <v>0</v>
      </c>
      <c r="R80" s="1">
        <f>R65*'Pay Table'!F6</f>
        <v>0</v>
      </c>
      <c r="S80" s="1">
        <f>S65*'Pay Table'!G6</f>
        <v>0</v>
      </c>
      <c r="T80" s="1">
        <f>T65*'Pay Table'!H6</f>
        <v>0</v>
      </c>
      <c r="U80" s="1">
        <f>U65*'Pay Table'!I6</f>
        <v>0</v>
      </c>
      <c r="V80" s="1">
        <f>V65*'Pay Table'!J6</f>
        <v>0</v>
      </c>
      <c r="W80" s="5">
        <f>W65*'Pay Table'!K6</f>
        <v>0</v>
      </c>
      <c r="X80" s="1">
        <f>SUM(O80:W80)</f>
        <v>0</v>
      </c>
      <c r="Y80" s="23">
        <f>X80/$X$90</f>
        <v>0</v>
      </c>
      <c r="AA80" s="17">
        <v>4</v>
      </c>
      <c r="AB80" s="18">
        <v>5</v>
      </c>
      <c r="AC80" s="18">
        <v>6</v>
      </c>
      <c r="AD80" s="18">
        <v>7</v>
      </c>
      <c r="AE80" s="18">
        <v>8</v>
      </c>
      <c r="AF80" s="18">
        <v>9</v>
      </c>
      <c r="AG80" s="36">
        <v>10</v>
      </c>
      <c r="BB80" s="59" t="str">
        <f>IFERROR($BC$2&amp;VLOOKUP(B82,'Pay Table'!$M$3:$N$18,2,FALSE)&amp;$BB$2&amp;C82&amp;$BD$2,"")</f>
        <v/>
      </c>
      <c r="BC80" s="49" t="str">
        <f>IFERROR($BC$2&amp;VLOOKUP(D82,'Pay Table'!$M$3:$N$18,2,FALSE)&amp;$BB$2&amp;E82&amp;$BD$2,"")</f>
        <v/>
      </c>
      <c r="BD80" s="49" t="str">
        <f>IFERROR($BC$2&amp;VLOOKUP(F82,'Pay Table'!$M$3:$N$18,2,FALSE)&amp;$BB$2&amp;G82&amp;$BD$2,"")</f>
        <v/>
      </c>
      <c r="BE80" s="49" t="str">
        <f>IFERROR($BC$2&amp;VLOOKUP(H82,'Pay Table'!$M$3:$N$18,2,FALSE)&amp;$BB$2&amp;I82&amp;$BD$2,"")</f>
        <v>[1,100]</v>
      </c>
      <c r="BF80" s="60" t="str">
        <f>IFERROR($BC$2&amp;VLOOKUP(J82,'Pay Table'!$M$3:$N$18,2,FALSE)&amp;$BB$2&amp;K82&amp;$BD$2,"")</f>
        <v/>
      </c>
    </row>
    <row r="81" spans="1:58" ht="17.100000000000001" customHeight="1" x14ac:dyDescent="0.15">
      <c r="A81" s="14">
        <v>77</v>
      </c>
      <c r="H81" s="10" t="s">
        <v>120</v>
      </c>
      <c r="I81" s="10">
        <v>100</v>
      </c>
      <c r="N81" s="4" t="str">
        <f t="shared" si="56"/>
        <v>M1</v>
      </c>
      <c r="O81" s="2">
        <f>O66*'Pay Table'!C7</f>
        <v>0</v>
      </c>
      <c r="P81" s="1">
        <f>P66*'Pay Table'!D7</f>
        <v>0</v>
      </c>
      <c r="Q81" s="1">
        <f>Q66*'Pay Table'!E7</f>
        <v>1.7707471794140626E+18</v>
      </c>
      <c r="R81" s="1">
        <f>R66*'Pay Table'!F7</f>
        <v>0</v>
      </c>
      <c r="S81" s="1">
        <f>S66*'Pay Table'!G7</f>
        <v>3.49262387578125E+18</v>
      </c>
      <c r="T81" s="1">
        <f>T66*'Pay Table'!H7</f>
        <v>0</v>
      </c>
      <c r="U81" s="1">
        <f>U66*'Pay Table'!I7</f>
        <v>4.5692135156249999E+18</v>
      </c>
      <c r="V81" s="1">
        <f>V66*'Pay Table'!J7</f>
        <v>0</v>
      </c>
      <c r="W81" s="5">
        <f>W66*'Pay Table'!K7</f>
        <v>2.679890625E+18</v>
      </c>
      <c r="X81" s="1">
        <f t="shared" ref="X81:X89" si="57">SUM(O81:W81)</f>
        <v>1.2512475195820313E+19</v>
      </c>
      <c r="Y81" s="23">
        <f t="shared" ref="Y81:Y89" si="58">X81/$X$90</f>
        <v>0.29184795716746198</v>
      </c>
      <c r="AA81" s="303">
        <f>Q81/SUM($O$79:$W$89)</f>
        <v>4.1301895818716072E-2</v>
      </c>
      <c r="AB81" s="304"/>
      <c r="AC81" s="304">
        <f t="shared" ref="AC81:AG85" si="59">S81/SUM($O$79:$W$89)</f>
        <v>8.1463909206513765E-2</v>
      </c>
      <c r="AD81" s="304"/>
      <c r="AE81" s="304">
        <f t="shared" si="59"/>
        <v>0.10657488702495596</v>
      </c>
      <c r="AF81" s="304"/>
      <c r="AG81" s="305">
        <f t="shared" si="59"/>
        <v>6.2507265117276223E-2</v>
      </c>
      <c r="BB81" s="59" t="str">
        <f>IFERROR($BC$2&amp;VLOOKUP(B83,'Pay Table'!$M$3:$N$18,2,FALSE)&amp;$BB$2&amp;C83&amp;$BD$2,"")</f>
        <v/>
      </c>
      <c r="BC81" s="49" t="str">
        <f>IFERROR($BC$2&amp;VLOOKUP(D83,'Pay Table'!$M$3:$N$18,2,FALSE)&amp;$BB$2&amp;E83&amp;$BD$2,"")</f>
        <v/>
      </c>
      <c r="BD81" s="49" t="str">
        <f>IFERROR($BC$2&amp;VLOOKUP(F83,'Pay Table'!$M$3:$N$18,2,FALSE)&amp;$BB$2&amp;G83&amp;$BD$2,"")</f>
        <v/>
      </c>
      <c r="BE81" s="49" t="str">
        <f>IFERROR($BC$2&amp;VLOOKUP(H83,'Pay Table'!$M$3:$N$18,2,FALSE)&amp;$BB$2&amp;I83&amp;$BD$2,"")</f>
        <v>[1,100]</v>
      </c>
      <c r="BF81" s="60" t="str">
        <f>IFERROR($BC$2&amp;VLOOKUP(J83,'Pay Table'!$M$3:$N$18,2,FALSE)&amp;$BB$2&amp;K83&amp;$BD$2,"")</f>
        <v/>
      </c>
    </row>
    <row r="82" spans="1:58" ht="17.100000000000001" customHeight="1" x14ac:dyDescent="0.15">
      <c r="A82" s="14">
        <v>78</v>
      </c>
      <c r="H82" s="10" t="s">
        <v>152</v>
      </c>
      <c r="I82" s="10">
        <v>100</v>
      </c>
      <c r="N82" s="4" t="str">
        <f t="shared" si="56"/>
        <v>M2</v>
      </c>
      <c r="O82" s="2">
        <f>O67*'Pay Table'!C8</f>
        <v>0</v>
      </c>
      <c r="P82" s="1">
        <f>P67*'Pay Table'!D8</f>
        <v>0</v>
      </c>
      <c r="Q82" s="1">
        <f>Q67*'Pay Table'!E8</f>
        <v>2.9605662474609372E+18</v>
      </c>
      <c r="R82" s="1">
        <f>R67*'Pay Table'!F8</f>
        <v>0</v>
      </c>
      <c r="S82" s="1">
        <f>S67*'Pay Table'!G8</f>
        <v>3.9800522179687506E+18</v>
      </c>
      <c r="T82" s="1">
        <f>T67*'Pay Table'!H8</f>
        <v>0</v>
      </c>
      <c r="U82" s="1">
        <f>U67*'Pay Table'!I8</f>
        <v>4.3226657031250002E+18</v>
      </c>
      <c r="V82" s="1">
        <f>V67*'Pay Table'!J8</f>
        <v>0</v>
      </c>
      <c r="W82" s="5">
        <f>W67*'Pay Table'!K8</f>
        <v>2.990246875E+18</v>
      </c>
      <c r="X82" s="1">
        <f t="shared" si="57"/>
        <v>1.4253531043554689E+19</v>
      </c>
      <c r="Y82" s="23">
        <f t="shared" si="58"/>
        <v>0.3324573157894456</v>
      </c>
      <c r="AA82" s="303">
        <f t="shared" ref="AA82:AA85" si="60">Q82/SUM($O$79:$W$89)</f>
        <v>6.9053900036424212E-2</v>
      </c>
      <c r="AB82" s="304"/>
      <c r="AC82" s="304">
        <f t="shared" si="59"/>
        <v>9.283295999036377E-2</v>
      </c>
      <c r="AD82" s="304"/>
      <c r="AE82" s="304">
        <f t="shared" si="59"/>
        <v>0.10082426819885294</v>
      </c>
      <c r="AF82" s="304"/>
      <c r="AG82" s="305">
        <f t="shared" si="59"/>
        <v>6.9746187563804671E-2</v>
      </c>
      <c r="BB82" s="59" t="str">
        <f>IFERROR($BC$2&amp;VLOOKUP(B84,'Pay Table'!$M$3:$N$18,2,FALSE)&amp;$BB$2&amp;C84&amp;$BD$2,"")</f>
        <v/>
      </c>
      <c r="BC82" s="49" t="str">
        <f>IFERROR($BC$2&amp;VLOOKUP(D84,'Pay Table'!$M$3:$N$18,2,FALSE)&amp;$BB$2&amp;E84&amp;$BD$2,"")</f>
        <v/>
      </c>
      <c r="BD82" s="49" t="str">
        <f>IFERROR($BC$2&amp;VLOOKUP(F84,'Pay Table'!$M$3:$N$18,2,FALSE)&amp;$BB$2&amp;G84&amp;$BD$2,"")</f>
        <v/>
      </c>
      <c r="BE82" s="49" t="str">
        <f>IFERROR($BC$2&amp;VLOOKUP(H84,'Pay Table'!$M$3:$N$18,2,FALSE)&amp;$BB$2&amp;I84&amp;$BD$2,"")</f>
        <v>[1,100]</v>
      </c>
      <c r="BF82" s="60" t="str">
        <f>IFERROR($BC$2&amp;VLOOKUP(J84,'Pay Table'!$M$3:$N$18,2,FALSE)&amp;$BB$2&amp;K84&amp;$BD$2,"")</f>
        <v/>
      </c>
    </row>
    <row r="83" spans="1:58" ht="17.100000000000001" customHeight="1" x14ac:dyDescent="0.15">
      <c r="A83" s="14">
        <v>79</v>
      </c>
      <c r="H83" s="10" t="s">
        <v>152</v>
      </c>
      <c r="I83" s="10">
        <v>100</v>
      </c>
      <c r="N83" s="4" t="str">
        <f t="shared" si="56"/>
        <v>M3</v>
      </c>
      <c r="O83" s="2">
        <f>O68*'Pay Table'!C9</f>
        <v>0</v>
      </c>
      <c r="P83" s="1">
        <f>P68*'Pay Table'!D9</f>
        <v>0</v>
      </c>
      <c r="Q83" s="1">
        <f>Q68*'Pay Table'!E9</f>
        <v>1.5118578365624998E+18</v>
      </c>
      <c r="R83" s="1">
        <f>R68*'Pay Table'!F9</f>
        <v>0</v>
      </c>
      <c r="S83" s="1">
        <f>S68*'Pay Table'!G9</f>
        <v>1.6090388015625001E+18</v>
      </c>
      <c r="T83" s="1">
        <f>T68*'Pay Table'!H9</f>
        <v>0</v>
      </c>
      <c r="U83" s="1">
        <f>U68*'Pay Table'!I9</f>
        <v>1.776152625E+18</v>
      </c>
      <c r="V83" s="1">
        <f>V68*'Pay Table'!J9</f>
        <v>0</v>
      </c>
      <c r="W83" s="5">
        <f>W68*'Pay Table'!K9</f>
        <v>8.1420234375E+17</v>
      </c>
      <c r="X83" s="1">
        <f t="shared" si="57"/>
        <v>5.7112516068749998E+18</v>
      </c>
      <c r="Y83" s="23">
        <f t="shared" si="58"/>
        <v>0.13321242106379078</v>
      </c>
      <c r="AA83" s="303">
        <f t="shared" si="60"/>
        <v>3.5263416248431351E-2</v>
      </c>
      <c r="AB83" s="304"/>
      <c r="AC83" s="304">
        <f t="shared" si="59"/>
        <v>3.7530119332109535E-2</v>
      </c>
      <c r="AD83" s="304"/>
      <c r="AE83" s="304">
        <f t="shared" si="59"/>
        <v>4.1427975449416371E-2</v>
      </c>
      <c r="AF83" s="304"/>
      <c r="AG83" s="305">
        <f t="shared" si="59"/>
        <v>1.8990910033833533E-2</v>
      </c>
      <c r="BB83" s="59" t="str">
        <f>IFERROR($BC$2&amp;VLOOKUP(B85,'Pay Table'!$M$3:$N$18,2,FALSE)&amp;$BB$2&amp;C85&amp;$BD$2,"")</f>
        <v/>
      </c>
      <c r="BC83" s="49" t="str">
        <f>IFERROR($BC$2&amp;VLOOKUP(D85,'Pay Table'!$M$3:$N$18,2,FALSE)&amp;$BB$2&amp;E85&amp;$BD$2,"")</f>
        <v/>
      </c>
      <c r="BD83" s="49" t="str">
        <f>IFERROR($BC$2&amp;VLOOKUP(F85,'Pay Table'!$M$3:$N$18,2,FALSE)&amp;$BB$2&amp;G85&amp;$BD$2,"")</f>
        <v/>
      </c>
      <c r="BE83" s="49" t="str">
        <f>IFERROR($BC$2&amp;VLOOKUP(H85,'Pay Table'!$M$3:$N$18,2,FALSE)&amp;$BB$2&amp;I85&amp;$BD$2,"")</f>
        <v/>
      </c>
      <c r="BF83" s="60" t="str">
        <f>IFERROR($BC$2&amp;VLOOKUP(J85,'Pay Table'!$M$3:$N$18,2,FALSE)&amp;$BB$2&amp;K85&amp;$BD$2,"")</f>
        <v/>
      </c>
    </row>
    <row r="84" spans="1:58" ht="17.100000000000001" customHeight="1" x14ac:dyDescent="0.15">
      <c r="A84" s="14">
        <v>80</v>
      </c>
      <c r="H84" s="10" t="s">
        <v>152</v>
      </c>
      <c r="I84" s="10">
        <v>100</v>
      </c>
      <c r="N84" s="4" t="str">
        <f t="shared" si="56"/>
        <v>M4</v>
      </c>
      <c r="O84" s="2">
        <f>O69*'Pay Table'!C10</f>
        <v>0</v>
      </c>
      <c r="P84" s="1">
        <f>P69*'Pay Table'!D10</f>
        <v>0</v>
      </c>
      <c r="Q84" s="1">
        <f>Q69*'Pay Table'!E10</f>
        <v>1.8917796948750001E+18</v>
      </c>
      <c r="R84" s="1">
        <f>R69*'Pay Table'!F10</f>
        <v>0</v>
      </c>
      <c r="S84" s="1">
        <f>S69*'Pay Table'!G10</f>
        <v>1.3700648981249999E+18</v>
      </c>
      <c r="T84" s="1">
        <f>T69*'Pay Table'!H10</f>
        <v>0</v>
      </c>
      <c r="U84" s="1">
        <f>U69*'Pay Table'!I10</f>
        <v>9.5569435E+17</v>
      </c>
      <c r="V84" s="1">
        <f>V69*'Pay Table'!J10</f>
        <v>0</v>
      </c>
      <c r="W84" s="5">
        <f>W69*'Pay Table'!K10</f>
        <v>4.765475E+17</v>
      </c>
      <c r="X84" s="1">
        <f t="shared" si="57"/>
        <v>4.6940864430000005E+18</v>
      </c>
      <c r="Y84" s="23">
        <f t="shared" si="58"/>
        <v>0.10948749289945858</v>
      </c>
      <c r="AA84" s="303">
        <f t="shared" si="60"/>
        <v>4.412492578163766E-2</v>
      </c>
      <c r="AB84" s="304"/>
      <c r="AC84" s="304">
        <f t="shared" si="59"/>
        <v>3.1956158589484751E-2</v>
      </c>
      <c r="AD84" s="304"/>
      <c r="AE84" s="304">
        <f t="shared" si="59"/>
        <v>2.22911485824288E-2</v>
      </c>
      <c r="AF84" s="304"/>
      <c r="AG84" s="305">
        <f t="shared" si="59"/>
        <v>1.1115259945907379E-2</v>
      </c>
      <c r="BB84" s="59" t="str">
        <f>IFERROR($BC$2&amp;VLOOKUP(B86,'Pay Table'!$M$3:$N$18,2,FALSE)&amp;$BB$2&amp;C86&amp;$BD$2,"")</f>
        <v/>
      </c>
      <c r="BC84" s="49" t="str">
        <f>IFERROR($BC$2&amp;VLOOKUP(D86,'Pay Table'!$M$3:$N$18,2,FALSE)&amp;$BB$2&amp;E86&amp;$BD$2,"")</f>
        <v/>
      </c>
      <c r="BD84" s="49" t="str">
        <f>IFERROR($BC$2&amp;VLOOKUP(F86,'Pay Table'!$M$3:$N$18,2,FALSE)&amp;$BB$2&amp;G86&amp;$BD$2,"")</f>
        <v/>
      </c>
      <c r="BE84" s="49" t="str">
        <f>IFERROR($BC$2&amp;VLOOKUP(H86,'Pay Table'!$M$3:$N$18,2,FALSE)&amp;$BB$2&amp;I86&amp;$BD$2,"")</f>
        <v/>
      </c>
      <c r="BF84" s="60" t="str">
        <f>IFERROR($BC$2&amp;VLOOKUP(J86,'Pay Table'!$M$3:$N$18,2,FALSE)&amp;$BB$2&amp;K86&amp;$BD$2,"")</f>
        <v/>
      </c>
    </row>
    <row r="85" spans="1:58" ht="17.100000000000001" customHeight="1" x14ac:dyDescent="0.15">
      <c r="A85" s="14">
        <v>81</v>
      </c>
      <c r="N85" s="4" t="str">
        <f t="shared" si="56"/>
        <v>M5</v>
      </c>
      <c r="O85" s="2">
        <f>O70*'Pay Table'!C11</f>
        <v>0</v>
      </c>
      <c r="P85" s="1">
        <f>P70*'Pay Table'!D11</f>
        <v>0</v>
      </c>
      <c r="Q85" s="1">
        <f>Q70*'Pay Table'!E11</f>
        <v>1.8169635487500001E+18</v>
      </c>
      <c r="R85" s="1">
        <f>R70*'Pay Table'!F11</f>
        <v>0</v>
      </c>
      <c r="S85" s="1">
        <f>S70*'Pay Table'!G11</f>
        <v>1.6524121162499999E+18</v>
      </c>
      <c r="T85" s="1">
        <f>T70*'Pay Table'!H11</f>
        <v>0</v>
      </c>
      <c r="U85" s="1">
        <f>U70*'Pay Table'!I11</f>
        <v>1.2055652E+18</v>
      </c>
      <c r="V85" s="1">
        <f>V70*'Pay Table'!J11</f>
        <v>0</v>
      </c>
      <c r="W85" s="5">
        <f>W70*'Pay Table'!K11</f>
        <v>7.692055E+17</v>
      </c>
      <c r="X85" s="1">
        <f t="shared" si="57"/>
        <v>5.4441463649999995E+18</v>
      </c>
      <c r="Y85" s="23">
        <f t="shared" si="58"/>
        <v>0.12698230927775664</v>
      </c>
      <c r="AA85" s="306">
        <f t="shared" si="60"/>
        <v>4.237987221965199E-2</v>
      </c>
      <c r="AB85" s="307"/>
      <c r="AC85" s="307">
        <f t="shared" si="59"/>
        <v>3.854178273915123E-2</v>
      </c>
      <c r="AD85" s="307"/>
      <c r="AE85" s="307">
        <f t="shared" si="59"/>
        <v>2.8119275790429745E-2</v>
      </c>
      <c r="AF85" s="307"/>
      <c r="AG85" s="308">
        <f t="shared" si="59"/>
        <v>1.7941378528523722E-2</v>
      </c>
      <c r="BB85" s="59" t="str">
        <f>IFERROR($BC$2&amp;VLOOKUP(B87,'Pay Table'!$M$3:$N$18,2,FALSE)&amp;$BB$2&amp;C87&amp;$BD$2,"")</f>
        <v/>
      </c>
      <c r="BC85" s="49" t="str">
        <f>IFERROR($BC$2&amp;VLOOKUP(D87,'Pay Table'!$M$3:$N$18,2,FALSE)&amp;$BB$2&amp;E87&amp;$BD$2,"")</f>
        <v/>
      </c>
      <c r="BD85" s="49" t="str">
        <f>IFERROR($BC$2&amp;VLOOKUP(F87,'Pay Table'!$M$3:$N$18,2,FALSE)&amp;$BB$2&amp;G87&amp;$BD$2,"")</f>
        <v/>
      </c>
      <c r="BE85" s="49" t="str">
        <f>IFERROR($BC$2&amp;VLOOKUP(H87,'Pay Table'!$M$3:$N$18,2,FALSE)&amp;$BB$2&amp;I87&amp;$BD$2,"")</f>
        <v/>
      </c>
      <c r="BF85" s="60" t="str">
        <f>IFERROR($BC$2&amp;VLOOKUP(J87,'Pay Table'!$M$3:$N$18,2,FALSE)&amp;$BB$2&amp;K87&amp;$BD$2,"")</f>
        <v/>
      </c>
    </row>
    <row r="86" spans="1:58" ht="17.100000000000001" customHeight="1" x14ac:dyDescent="0.15">
      <c r="A86" s="14">
        <v>82</v>
      </c>
      <c r="N86" s="4" t="str">
        <f t="shared" si="56"/>
        <v>A</v>
      </c>
      <c r="O86" s="2">
        <f>O71*'Pay Table'!C12</f>
        <v>0</v>
      </c>
      <c r="P86" s="1">
        <f>P71*'Pay Table'!D12</f>
        <v>2.23033820625E+16</v>
      </c>
      <c r="Q86" s="1">
        <f>Q71*'Pay Table'!E12</f>
        <v>9547321875000000</v>
      </c>
      <c r="R86" s="1">
        <f>R71*'Pay Table'!F12</f>
        <v>8463000000000000</v>
      </c>
      <c r="S86" s="1">
        <f>S71*'Pay Table'!G12</f>
        <v>0</v>
      </c>
      <c r="T86" s="1">
        <f>T71*'Pay Table'!H12</f>
        <v>0</v>
      </c>
      <c r="U86" s="1">
        <f>U71*'Pay Table'!I12</f>
        <v>0</v>
      </c>
      <c r="V86" s="1">
        <f>V71*'Pay Table'!J12</f>
        <v>0</v>
      </c>
      <c r="W86" s="5">
        <f>W71*'Pay Table'!K12</f>
        <v>0</v>
      </c>
      <c r="X86" s="1">
        <f t="shared" si="57"/>
        <v>4.03137039375E+16</v>
      </c>
      <c r="Y86" s="23">
        <f t="shared" si="58"/>
        <v>9.4029933773162643E-4</v>
      </c>
      <c r="AA86"/>
      <c r="AB86"/>
      <c r="AC86"/>
      <c r="AD86"/>
      <c r="AE86"/>
      <c r="AF86"/>
      <c r="AG86"/>
      <c r="BB86" s="59" t="str">
        <f>IFERROR($BC$2&amp;VLOOKUP(B88,'Pay Table'!$M$3:$N$18,2,FALSE)&amp;$BB$2&amp;C88&amp;$BD$2,"")</f>
        <v/>
      </c>
      <c r="BC86" s="49" t="str">
        <f>IFERROR($BC$2&amp;VLOOKUP(D88,'Pay Table'!$M$3:$N$18,2,FALSE)&amp;$BB$2&amp;E88&amp;$BD$2,"")</f>
        <v/>
      </c>
      <c r="BD86" s="49" t="str">
        <f>IFERROR($BC$2&amp;VLOOKUP(F88,'Pay Table'!$M$3:$N$18,2,FALSE)&amp;$BB$2&amp;G88&amp;$BD$2,"")</f>
        <v/>
      </c>
      <c r="BE86" s="49" t="str">
        <f>IFERROR($BC$2&amp;VLOOKUP(H88,'Pay Table'!$M$3:$N$18,2,FALSE)&amp;$BB$2&amp;I88&amp;$BD$2,"")</f>
        <v/>
      </c>
      <c r="BF86" s="60" t="str">
        <f>IFERROR($BC$2&amp;VLOOKUP(J88,'Pay Table'!$M$3:$N$18,2,FALSE)&amp;$BB$2&amp;K88&amp;$BD$2,"")</f>
        <v/>
      </c>
    </row>
    <row r="87" spans="1:58" ht="17.100000000000001" customHeight="1" x14ac:dyDescent="0.15">
      <c r="A87" s="14">
        <v>83</v>
      </c>
      <c r="N87" s="4" t="str">
        <f t="shared" si="56"/>
        <v>K</v>
      </c>
      <c r="O87" s="2">
        <f>O72*'Pay Table'!C13</f>
        <v>0</v>
      </c>
      <c r="P87" s="1">
        <f>P72*'Pay Table'!D13</f>
        <v>4.5313212223125E+16</v>
      </c>
      <c r="Q87" s="1">
        <f>Q72*'Pay Table'!E13</f>
        <v>2.5027480061718752E+16</v>
      </c>
      <c r="R87" s="1">
        <f>R72*'Pay Table'!F13</f>
        <v>2.6875146375E+16</v>
      </c>
      <c r="S87" s="1">
        <f>S72*'Pay Table'!G13</f>
        <v>0</v>
      </c>
      <c r="T87" s="1">
        <f>T72*'Pay Table'!H13</f>
        <v>0</v>
      </c>
      <c r="U87" s="1">
        <f>U72*'Pay Table'!I13</f>
        <v>0</v>
      </c>
      <c r="V87" s="1">
        <f>V72*'Pay Table'!J13</f>
        <v>0</v>
      </c>
      <c r="W87" s="5">
        <f>W72*'Pay Table'!K13</f>
        <v>0</v>
      </c>
      <c r="X87" s="1">
        <f t="shared" si="57"/>
        <v>9.7215838659843744E+16</v>
      </c>
      <c r="Y87" s="23">
        <f t="shared" si="58"/>
        <v>2.2675164963902972E-3</v>
      </c>
      <c r="AA87"/>
      <c r="AB87"/>
      <c r="AC87"/>
      <c r="AD87"/>
      <c r="AE87"/>
      <c r="AF87"/>
      <c r="AG87"/>
      <c r="BB87" s="59" t="str">
        <f>IFERROR($BC$2&amp;VLOOKUP(B89,'Pay Table'!$M$3:$N$18,2,FALSE)&amp;$BB$2&amp;C89&amp;$BD$2,"")</f>
        <v/>
      </c>
      <c r="BC87" s="49" t="str">
        <f>IFERROR($BC$2&amp;VLOOKUP(D89,'Pay Table'!$M$3:$N$18,2,FALSE)&amp;$BB$2&amp;E89&amp;$BD$2,"")</f>
        <v/>
      </c>
      <c r="BD87" s="49" t="str">
        <f>IFERROR($BC$2&amp;VLOOKUP(F89,'Pay Table'!$M$3:$N$18,2,FALSE)&amp;$BB$2&amp;G89&amp;$BD$2,"")</f>
        <v/>
      </c>
      <c r="BE87" s="49" t="str">
        <f>IFERROR($BC$2&amp;VLOOKUP(H89,'Pay Table'!$M$3:$N$18,2,FALSE)&amp;$BB$2&amp;I89&amp;$BD$2,"")</f>
        <v/>
      </c>
      <c r="BF87" s="60" t="str">
        <f>IFERROR($BC$2&amp;VLOOKUP(J89,'Pay Table'!$M$3:$N$18,2,FALSE)&amp;$BB$2&amp;K89&amp;$BD$2,"")</f>
        <v/>
      </c>
    </row>
    <row r="88" spans="1:58" ht="17.100000000000001" customHeight="1" x14ac:dyDescent="0.15">
      <c r="A88" s="14">
        <v>84</v>
      </c>
      <c r="N88" s="4" t="str">
        <f t="shared" si="56"/>
        <v>Q</v>
      </c>
      <c r="O88" s="2">
        <f>O73*'Pay Table'!C14</f>
        <v>0</v>
      </c>
      <c r="P88" s="1">
        <f>P73*'Pay Table'!D14</f>
        <v>2.9600078277656248E+16</v>
      </c>
      <c r="Q88" s="1">
        <f>Q73*'Pay Table'!E14</f>
        <v>1.182976396875E+16</v>
      </c>
      <c r="R88" s="1">
        <f>R73*'Pay Table'!F14</f>
        <v>8928123750000000</v>
      </c>
      <c r="S88" s="1">
        <f>S73*'Pay Table'!G14</f>
        <v>0</v>
      </c>
      <c r="T88" s="1">
        <f>T73*'Pay Table'!H14</f>
        <v>0</v>
      </c>
      <c r="U88" s="1">
        <f>U73*'Pay Table'!I14</f>
        <v>0</v>
      </c>
      <c r="V88" s="1">
        <f>V73*'Pay Table'!J14</f>
        <v>0</v>
      </c>
      <c r="W88" s="5">
        <f>W73*'Pay Table'!K14</f>
        <v>0</v>
      </c>
      <c r="X88" s="1">
        <f t="shared" si="57"/>
        <v>5.0357965996406248E+16</v>
      </c>
      <c r="Y88" s="23">
        <f t="shared" si="58"/>
        <v>1.1745773136932207E-3</v>
      </c>
      <c r="AA88"/>
      <c r="AB88"/>
      <c r="AC88"/>
      <c r="AD88"/>
      <c r="AE88"/>
      <c r="AF88"/>
      <c r="AG88"/>
      <c r="BB88" s="59" t="str">
        <f>IFERROR($BC$2&amp;VLOOKUP(B90,'Pay Table'!$M$3:$N$18,2,FALSE)&amp;$BB$2&amp;C90&amp;$BD$2,"")</f>
        <v/>
      </c>
      <c r="BC88" s="49" t="str">
        <f>IFERROR($BC$2&amp;VLOOKUP(D90,'Pay Table'!$M$3:$N$18,2,FALSE)&amp;$BB$2&amp;E90&amp;$BD$2,"")</f>
        <v/>
      </c>
      <c r="BD88" s="49" t="str">
        <f>IFERROR($BC$2&amp;VLOOKUP(F90,'Pay Table'!$M$3:$N$18,2,FALSE)&amp;$BB$2&amp;G90&amp;$BD$2,"")</f>
        <v/>
      </c>
      <c r="BE88" s="49" t="str">
        <f>IFERROR($BC$2&amp;VLOOKUP(H90,'Pay Table'!$M$3:$N$18,2,FALSE)&amp;$BB$2&amp;I90&amp;$BD$2,"")</f>
        <v/>
      </c>
      <c r="BF88" s="60" t="str">
        <f>IFERROR($BC$2&amp;VLOOKUP(J90,'Pay Table'!$M$3:$N$18,2,FALSE)&amp;$BB$2&amp;K90&amp;$BD$2,"")</f>
        <v/>
      </c>
    </row>
    <row r="89" spans="1:58" ht="17.100000000000001" customHeight="1" x14ac:dyDescent="0.15">
      <c r="A89" s="14">
        <v>85</v>
      </c>
      <c r="N89" s="4" t="str">
        <f t="shared" si="56"/>
        <v>J</v>
      </c>
      <c r="O89" s="2">
        <f>O74*'Pay Table'!C15</f>
        <v>0</v>
      </c>
      <c r="P89" s="1">
        <f>P74*'Pay Table'!D15</f>
        <v>3.7302613425E+16</v>
      </c>
      <c r="Q89" s="1">
        <f>Q74*'Pay Table'!E15</f>
        <v>1.95031344921875E+16</v>
      </c>
      <c r="R89" s="1">
        <f>R74*'Pay Table'!F15</f>
        <v>1.30824203125E+16</v>
      </c>
      <c r="S89" s="1">
        <f>S74*'Pay Table'!G15</f>
        <v>0</v>
      </c>
      <c r="T89" s="1">
        <f>T74*'Pay Table'!H15</f>
        <v>0</v>
      </c>
      <c r="U89" s="1">
        <f>U74*'Pay Table'!I15</f>
        <v>0</v>
      </c>
      <c r="V89" s="1">
        <f>V74*'Pay Table'!J15</f>
        <v>0</v>
      </c>
      <c r="W89" s="5">
        <f>W74*'Pay Table'!K15</f>
        <v>0</v>
      </c>
      <c r="X89" s="1">
        <f t="shared" si="57"/>
        <v>6.9888168229687504E+16</v>
      </c>
      <c r="Y89" s="23">
        <f t="shared" si="58"/>
        <v>1.6301106542711524E-3</v>
      </c>
      <c r="AA89"/>
      <c r="AB89"/>
      <c r="AC89"/>
      <c r="AD89"/>
      <c r="AE89"/>
      <c r="AF89"/>
      <c r="AG89"/>
      <c r="BB89" s="59" t="str">
        <f>IFERROR($BC$2&amp;VLOOKUP(B91,'Pay Table'!$M$3:$N$18,2,FALSE)&amp;$BB$2&amp;C91&amp;$BD$2,"")</f>
        <v/>
      </c>
      <c r="BC89" s="49" t="str">
        <f>IFERROR($BC$2&amp;VLOOKUP(D91,'Pay Table'!$M$3:$N$18,2,FALSE)&amp;$BB$2&amp;E91&amp;$BD$2,"")</f>
        <v/>
      </c>
      <c r="BD89" s="49" t="str">
        <f>IFERROR($BC$2&amp;VLOOKUP(F91,'Pay Table'!$M$3:$N$18,2,FALSE)&amp;$BB$2&amp;G91&amp;$BD$2,"")</f>
        <v/>
      </c>
      <c r="BE89" s="49" t="str">
        <f>IFERROR($BC$2&amp;VLOOKUP(H91,'Pay Table'!$M$3:$N$18,2,FALSE)&amp;$BB$2&amp;I91&amp;$BD$2,"")</f>
        <v/>
      </c>
      <c r="BF89" s="60" t="str">
        <f>IFERROR($BC$2&amp;VLOOKUP(J91,'Pay Table'!$M$3:$N$18,2,FALSE)&amp;$BB$2&amp;K91&amp;$BD$2,"")</f>
        <v/>
      </c>
    </row>
    <row r="90" spans="1:58" ht="17.100000000000001" customHeight="1" x14ac:dyDescent="0.15">
      <c r="A90" s="14">
        <v>86</v>
      </c>
      <c r="N90" s="19" t="str">
        <f t="shared" si="56"/>
        <v>SCATTER</v>
      </c>
      <c r="O90" s="8"/>
      <c r="P90" s="15"/>
      <c r="Q90" s="15"/>
      <c r="R90" s="15"/>
      <c r="S90" s="15"/>
      <c r="T90" s="15"/>
      <c r="U90" s="15"/>
      <c r="V90" s="15"/>
      <c r="W90" s="16"/>
      <c r="X90" s="1">
        <f>SUM(X80:X89)</f>
        <v>4.2873266331073446E+19</v>
      </c>
      <c r="AA90"/>
      <c r="AB90"/>
      <c r="AC90"/>
      <c r="AD90"/>
      <c r="AE90"/>
      <c r="AF90"/>
      <c r="AG90"/>
      <c r="BB90" s="59" t="str">
        <f>IFERROR($BC$2&amp;VLOOKUP(B92,'Pay Table'!$M$3:$N$18,2,FALSE)&amp;$BB$2&amp;C92&amp;$BD$2,"")</f>
        <v/>
      </c>
      <c r="BC90" s="49" t="str">
        <f>IFERROR($BC$2&amp;VLOOKUP(D92,'Pay Table'!$M$3:$N$18,2,FALSE)&amp;$BB$2&amp;E92&amp;$BD$2,"")</f>
        <v/>
      </c>
      <c r="BD90" s="49" t="str">
        <f>IFERROR($BC$2&amp;VLOOKUP(F92,'Pay Table'!$M$3:$N$18,2,FALSE)&amp;$BB$2&amp;G92&amp;$BD$2,"")</f>
        <v/>
      </c>
      <c r="BE90" s="49" t="str">
        <f>IFERROR($BC$2&amp;VLOOKUP(H92,'Pay Table'!$M$3:$N$18,2,FALSE)&amp;$BB$2&amp;I92&amp;$BD$2,"")</f>
        <v/>
      </c>
      <c r="BF90" s="60" t="str">
        <f>IFERROR($BC$2&amp;VLOOKUP(J92,'Pay Table'!$M$3:$N$18,2,FALSE)&amp;$BB$2&amp;K92&amp;$BD$2,"")</f>
        <v/>
      </c>
    </row>
    <row r="91" spans="1:58" ht="17.100000000000001" customHeight="1" x14ac:dyDescent="0.15">
      <c r="A91" s="14">
        <v>87</v>
      </c>
      <c r="AA91"/>
      <c r="AB91"/>
      <c r="AC91"/>
      <c r="AD91"/>
      <c r="AE91"/>
      <c r="AF91"/>
      <c r="AG91"/>
      <c r="BB91" s="59" t="str">
        <f>IFERROR($BC$2&amp;VLOOKUP(B93,'Pay Table'!$M$3:$N$18,2,FALSE)&amp;$BB$2&amp;C93&amp;$BD$2,"")</f>
        <v/>
      </c>
      <c r="BC91" s="49" t="str">
        <f>IFERROR($BC$2&amp;VLOOKUP(D93,'Pay Table'!$M$3:$N$18,2,FALSE)&amp;$BB$2&amp;E93&amp;$BD$2,"")</f>
        <v/>
      </c>
      <c r="BD91" s="49" t="str">
        <f>IFERROR($BC$2&amp;VLOOKUP(F93,'Pay Table'!$M$3:$N$18,2,FALSE)&amp;$BB$2&amp;G93&amp;$BD$2,"")</f>
        <v/>
      </c>
      <c r="BE91" s="49" t="str">
        <f>IFERROR($BC$2&amp;VLOOKUP(H93,'Pay Table'!$M$3:$N$18,2,FALSE)&amp;$BB$2&amp;I93&amp;$BD$2,"")</f>
        <v/>
      </c>
      <c r="BF91" s="60" t="str">
        <f>IFERROR($BC$2&amp;VLOOKUP(J93,'Pay Table'!$M$3:$N$18,2,FALSE)&amp;$BB$2&amp;K93&amp;$BD$2,"")</f>
        <v/>
      </c>
    </row>
    <row r="92" spans="1:58" ht="17.100000000000001" customHeight="1" x14ac:dyDescent="0.15">
      <c r="A92" s="14">
        <v>88</v>
      </c>
      <c r="N92" s="17" t="s">
        <v>73</v>
      </c>
      <c r="O92" s="21"/>
      <c r="P92" s="21"/>
      <c r="Q92" s="21"/>
      <c r="R92" s="21"/>
      <c r="S92" s="20"/>
      <c r="BB92" s="59" t="str">
        <f>IFERROR($BC$2&amp;VLOOKUP(B94,'Pay Table'!$M$3:$N$18,2,FALSE)&amp;$BB$2&amp;C94&amp;$BD$2,"")</f>
        <v/>
      </c>
      <c r="BC92" s="49" t="str">
        <f>IFERROR($BC$2&amp;VLOOKUP(D94,'Pay Table'!$M$3:$N$18,2,FALSE)&amp;$BB$2&amp;E94&amp;$BD$2,"")</f>
        <v/>
      </c>
      <c r="BD92" s="49" t="str">
        <f>IFERROR($BC$2&amp;VLOOKUP(F94,'Pay Table'!$M$3:$N$18,2,FALSE)&amp;$BB$2&amp;G94&amp;$BD$2,"")</f>
        <v/>
      </c>
      <c r="BE92" s="49" t="str">
        <f>IFERROR($BC$2&amp;VLOOKUP(H94,'Pay Table'!$M$3:$N$18,2,FALSE)&amp;$BB$2&amp;I94&amp;$BD$2,"")</f>
        <v/>
      </c>
      <c r="BF92" s="60" t="str">
        <f>IFERROR($BC$2&amp;VLOOKUP(J94,'Pay Table'!$M$3:$N$18,2,FALSE)&amp;$BB$2&amp;K94&amp;$BD$2,"")</f>
        <v/>
      </c>
    </row>
    <row r="93" spans="1:58" ht="17.100000000000001" customHeight="1" x14ac:dyDescent="0.15">
      <c r="A93" s="14">
        <v>89</v>
      </c>
      <c r="N93" s="6" t="s">
        <v>34</v>
      </c>
      <c r="O93" s="18">
        <v>1</v>
      </c>
      <c r="P93" s="18">
        <v>2</v>
      </c>
      <c r="Q93" s="18">
        <v>3</v>
      </c>
      <c r="R93" s="18">
        <v>4</v>
      </c>
      <c r="S93" s="36">
        <v>5</v>
      </c>
      <c r="BB93" s="59" t="str">
        <f>IFERROR($BC$2&amp;VLOOKUP(B95,'Pay Table'!$M$3:$N$18,2,FALSE)&amp;$BB$2&amp;C95&amp;$BD$2,"")</f>
        <v/>
      </c>
      <c r="BC93" s="49" t="str">
        <f>IFERROR($BC$2&amp;VLOOKUP(D95,'Pay Table'!$M$3:$N$18,2,FALSE)&amp;$BB$2&amp;E95&amp;$BD$2,"")</f>
        <v/>
      </c>
      <c r="BD93" s="49" t="str">
        <f>IFERROR($BC$2&amp;VLOOKUP(F95,'Pay Table'!$M$3:$N$18,2,FALSE)&amp;$BB$2&amp;G95&amp;$BD$2,"")</f>
        <v/>
      </c>
      <c r="BE93" s="49" t="str">
        <f>IFERROR($BC$2&amp;VLOOKUP(H95,'Pay Table'!$M$3:$N$18,2,FALSE)&amp;$BB$2&amp;I95&amp;$BD$2,"")</f>
        <v/>
      </c>
      <c r="BF93" s="60" t="str">
        <f>IFERROR($BC$2&amp;VLOOKUP(J95,'Pay Table'!$M$3:$N$18,2,FALSE)&amp;$BB$2&amp;K95&amp;$BD$2,"")</f>
        <v/>
      </c>
    </row>
    <row r="94" spans="1:58" ht="17.100000000000001" customHeight="1" x14ac:dyDescent="0.15">
      <c r="A94" s="14">
        <v>90</v>
      </c>
      <c r="N94" s="19" t="s">
        <v>47</v>
      </c>
      <c r="O94" s="15"/>
      <c r="P94" s="15"/>
      <c r="Q94" s="15"/>
      <c r="R94" s="15"/>
      <c r="S94" s="16"/>
      <c r="BB94" s="59" t="str">
        <f>IFERROR($BC$2&amp;VLOOKUP(B96,'Pay Table'!$M$3:$N$18,2,FALSE)&amp;$BB$2&amp;C96&amp;$BD$2,"")</f>
        <v/>
      </c>
      <c r="BC94" s="49" t="str">
        <f>IFERROR($BC$2&amp;VLOOKUP(D96,'Pay Table'!$M$3:$N$18,2,FALSE)&amp;$BB$2&amp;E96&amp;$BD$2,"")</f>
        <v/>
      </c>
      <c r="BD94" s="49" t="str">
        <f>IFERROR($BC$2&amp;VLOOKUP(F96,'Pay Table'!$M$3:$N$18,2,FALSE)&amp;$BB$2&amp;G96&amp;$BD$2,"")</f>
        <v/>
      </c>
      <c r="BE94" s="49" t="str">
        <f>IFERROR($BC$2&amp;VLOOKUP(H96,'Pay Table'!$M$3:$N$18,2,FALSE)&amp;$BB$2&amp;I96&amp;$BD$2,"")</f>
        <v/>
      </c>
      <c r="BF94" s="60" t="str">
        <f>IFERROR($BC$2&amp;VLOOKUP(J96,'Pay Table'!$M$3:$N$18,2,FALSE)&amp;$BB$2&amp;K96&amp;$BD$2,"")</f>
        <v/>
      </c>
    </row>
    <row r="95" spans="1:58" ht="17.100000000000001" customHeight="1" x14ac:dyDescent="0.15">
      <c r="A95" s="14">
        <v>91</v>
      </c>
      <c r="N95" s="3">
        <v>0</v>
      </c>
      <c r="O95" s="7">
        <f t="array" ref="O95">SUM(IF(ISBLANK(B$5:B$289),0,1)*IF(ISBLANK(B$4:B$288),0,1)*IF(ISBLANK(B$3:B$287),0,1)*
IF(B$5:B$289=$N$94,0,1)*IF(B$4:B$288=$N$94,0,1)*IF(B$3:B$287=$N$94,0,1)*C$3:C$287)</f>
        <v>5300</v>
      </c>
      <c r="P95" s="21">
        <f t="array" ref="P95">SUM(IF(ISBLANK(D$5:D$289),0,1)*IF(ISBLANK(D$4:D$288),0,1)*IF(ISBLANK(D$3:D$287),0,1)*
IF(D$5:D$289=$N$94,0,1)*IF(D$4:D$288=$N$94,0,1)*IF(D$3:D$287=$N$94,0,1)*E$3:E$287)</f>
        <v>5000</v>
      </c>
      <c r="Q95" s="21">
        <f t="array" ref="Q95">SUM(IF(ISBLANK(F$5:F$289),0,1)*IF(ISBLANK(F$4:F$288),0,1)*IF(ISBLANK(F$3:F$287),0,1)*
IF(F$5:F$289=$N$94,0,1)*IF(F$4:F$288=$N$94,0,1)*IF(F$3:F$287=$N$94,0,1)*G$3:G$287)</f>
        <v>4900</v>
      </c>
      <c r="R95" s="21">
        <f t="array" ref="R95">SUM(IF(ISBLANK(H$5:H$289),0,1)*IF(ISBLANK(H$4:H$288),0,1)*IF(ISBLANK(H$3:H$287),0,1)*
IF(H$5:H$289=$N$94,0,1)*IF(H$4:H$288=$N$94,0,1)*IF(H$3:H$287=$N$94,0,1)*I$3:I$287)</f>
        <v>7200</v>
      </c>
      <c r="S95" s="20">
        <f t="array" ref="S95">SUM(IF(ISBLANK(J$5:J$289),0,1)*IF(ISBLANK(J$4:J$288),0,1)*IF(ISBLANK(J$3:J$287),0,1)*
IF(J$5:J$289=$N$94,0,1)*IF(J$4:J$288=$N$94,0,1)*IF(J$3:J$287=$N$94,0,1)*K$3:K$287)</f>
        <v>6300</v>
      </c>
      <c r="BB95" s="59" t="str">
        <f>IFERROR($BC$2&amp;VLOOKUP(B97,'Pay Table'!$M$3:$N$18,2,FALSE)&amp;$BB$2&amp;C97&amp;$BD$2,"")</f>
        <v/>
      </c>
      <c r="BC95" s="49" t="str">
        <f>IFERROR($BC$2&amp;VLOOKUP(D97,'Pay Table'!$M$3:$N$18,2,FALSE)&amp;$BB$2&amp;E97&amp;$BD$2,"")</f>
        <v/>
      </c>
      <c r="BD95" s="49" t="str">
        <f>IFERROR($BC$2&amp;VLOOKUP(F97,'Pay Table'!$M$3:$N$18,2,FALSE)&amp;$BB$2&amp;G97&amp;$BD$2,"")</f>
        <v/>
      </c>
      <c r="BE95" s="49" t="str">
        <f>IFERROR($BC$2&amp;VLOOKUP(H97,'Pay Table'!$M$3:$N$18,2,FALSE)&amp;$BB$2&amp;I97&amp;$BD$2,"")</f>
        <v/>
      </c>
      <c r="BF95" s="60" t="str">
        <f>IFERROR($BC$2&amp;VLOOKUP(J97,'Pay Table'!$M$3:$N$18,2,FALSE)&amp;$BB$2&amp;K97&amp;$BD$2,"")</f>
        <v/>
      </c>
    </row>
    <row r="96" spans="1:58" ht="17.100000000000001" customHeight="1" x14ac:dyDescent="0.15">
      <c r="A96" s="14">
        <v>92</v>
      </c>
      <c r="N96" s="4">
        <v>1</v>
      </c>
      <c r="O96" s="2">
        <f t="array" ref="O96">SUM(IF(ISBLANK(B$5:B$289),0,1)*IF(ISBLANK(B$4:B$288),0,1)*IF(ISBLANK(B$3:B$287),0,1)*
(IF(B$5:B$289=$N$94,1,0)*IF(B$4:B$288=$N$94,0,1)*IF(B$3:B$287=$N$94,0,1)+
IF(B$5:B$289=$N$94,0,1)*IF(B$4:B$288=$N$94,1,0)*IF(B$3:B$287=$N$94,0,1)+
IF(B$5:B$289=$N$94,0,1)*IF(B$4:B$288=$N$94,0,1)*IF(B$3:B$287=$N$94,1,0))*C$3:C$287)</f>
        <v>200</v>
      </c>
      <c r="P96" s="1">
        <f t="array" ref="P96">SUM(IF(ISBLANK(D$5:D$289),0,1)*IF(ISBLANK(D$4:D$288),0,1)*IF(ISBLANK(D$3:D$287),0,1)*
(IF(D$5:D$289=$N$94,1,0)*IF(D$4:D$288=$N$94,0,1)*IF(D$3:D$287=$N$94,0,1)+
IF(D$5:D$289=$N$94,0,1)*IF(D$4:D$288=$N$94,1,0)*IF(D$3:D$287=$N$94,0,1)+
IF(D$5:D$289=$N$94,0,1)*IF(D$4:D$288=$N$94,0,1)*IF(D$3:D$287=$N$94,1,0))*E$3:E$287)</f>
        <v>200</v>
      </c>
      <c r="Q96" s="1">
        <f t="array" ref="Q96">SUM(IF(ISBLANK(F$5:F$289),0,1)*IF(ISBLANK(F$4:F$288),0,1)*IF(ISBLANK(F$3:F$287),0,1)*
(IF(F$5:F$289=$N$94,1,0)*IF(F$4:F$288=$N$94,0,1)*IF(F$3:F$287=$N$94,0,1)+
IF(F$5:F$289=$N$94,0,1)*IF(F$4:F$288=$N$94,1,0)*IF(F$3:F$287=$N$94,0,1)+
IF(F$5:F$289=$N$94,0,1)*IF(F$4:F$288=$N$94,0,1)*IF(F$3:F$287=$N$94,1,0))*G$3:G$287)</f>
        <v>185</v>
      </c>
      <c r="R96" s="1">
        <f t="array" ref="R96">SUM(IF(ISBLANK(H$5:H$289),0,1)*IF(ISBLANK(H$4:H$288),0,1)*IF(ISBLANK(H$3:H$287),0,1)*
(IF(H$5:H$289=$N$94,1,0)*IF(H$4:H$288=$N$94,0,1)*IF(H$3:H$287=$N$94,0,1)+
IF(H$5:H$289=$N$94,0,1)*IF(H$4:H$288=$N$94,1,0)*IF(H$3:H$287=$N$94,0,1)+
IF(H$5:H$289=$N$94,0,1)*IF(H$4:H$288=$N$94,0,1)*IF(H$3:H$287=$N$94,1,0))*I$3:I$287)</f>
        <v>200</v>
      </c>
      <c r="S96" s="5">
        <f t="array" ref="S96">SUM(IF(ISBLANK(J$5:J$289),0,1)*IF(ISBLANK(J$4:J$288),0,1)*IF(ISBLANK(J$3:J$287),0,1)*
(IF(J$5:J$289=$N$94,1,0)*IF(J$4:J$288=$N$94,0,1)*IF(J$3:J$287=$N$94,0,1)+
IF(J$5:J$289=$N$94,0,1)*IF(J$4:J$288=$N$94,1,0)*IF(J$3:J$287=$N$94,0,1)+
IF(J$5:J$289=$N$94,0,1)*IF(J$4:J$288=$N$94,0,1)*IF(J$3:J$287=$N$94,1,0))*K$3:K$287)</f>
        <v>200</v>
      </c>
      <c r="BB96" s="59" t="str">
        <f>IFERROR($BC$2&amp;VLOOKUP(B98,'Pay Table'!$M$3:$N$18,2,FALSE)&amp;$BB$2&amp;C98&amp;$BD$2,"")</f>
        <v/>
      </c>
      <c r="BC96" s="49" t="str">
        <f>IFERROR($BC$2&amp;VLOOKUP(D98,'Pay Table'!$M$3:$N$18,2,FALSE)&amp;$BB$2&amp;E98&amp;$BD$2,"")</f>
        <v/>
      </c>
      <c r="BD96" s="49" t="str">
        <f>IFERROR($BC$2&amp;VLOOKUP(F98,'Pay Table'!$M$3:$N$18,2,FALSE)&amp;$BB$2&amp;G98&amp;$BD$2,"")</f>
        <v/>
      </c>
      <c r="BE96" s="49" t="str">
        <f>IFERROR($BC$2&amp;VLOOKUP(H98,'Pay Table'!$M$3:$N$18,2,FALSE)&amp;$BB$2&amp;I98&amp;$BD$2,"")</f>
        <v/>
      </c>
      <c r="BF96" s="60" t="str">
        <f>IFERROR($BC$2&amp;VLOOKUP(J98,'Pay Table'!$M$3:$N$18,2,FALSE)&amp;$BB$2&amp;K98&amp;$BD$2,"")</f>
        <v/>
      </c>
    </row>
    <row r="97" spans="1:58" ht="17.100000000000001" customHeight="1" x14ac:dyDescent="0.15">
      <c r="A97" s="14">
        <v>93</v>
      </c>
      <c r="N97" s="4">
        <v>2</v>
      </c>
      <c r="O97" s="2">
        <f t="array" ref="O97">SUM(IF(ISBLANK(B$5:B$289),0,1)*IF(ISBLANK(B$4:B$288),0,1)*IF(ISBLANK(B$3:B$287),0,1)*
(IF(B$5:B$289=$N$94,1,0)*IF(B$4:B$288=$N$94,1,0)*IF(B$3:B$287=$N$94,0,1)+
IF(B$5:B$289=$N$94,1,0)*IF(B$4:B$288=$N$94,0,1)*IF(B$3:B$287=$N$94,1,0)+
IF(B$5:B$289=$N$94,0,1)*IF(B$4:B$288=$N$94,1,0)*IF(B$3:B$287=$N$94,1,0))*C$3:C$287)</f>
        <v>110</v>
      </c>
      <c r="P97" s="1">
        <f t="array" ref="P97">SUM(IF(ISBLANK(D$5:D$289),0,1)*IF(ISBLANK(D$4:D$288),0,1)*IF(ISBLANK(D$3:D$287),0,1)*
(IF(D$5:D$289=$N$94,1,0)*IF(D$4:D$288=$N$94,1,0)*IF(D$3:D$287=$N$94,0,1)+
IF(D$5:D$289=$N$94,1,0)*IF(D$4:D$288=$N$94,0,1)*IF(D$3:D$287=$N$94,1,0)+
IF(D$5:D$289=$N$94,0,1)*IF(D$4:D$288=$N$94,1,0)*IF(D$3:D$287=$N$94,1,0))*E$3:E$287)</f>
        <v>110</v>
      </c>
      <c r="Q97" s="1">
        <f t="array" ref="Q97">SUM(IF(ISBLANK(F$5:F$289),0,1)*IF(ISBLANK(F$4:F$288),0,1)*IF(ISBLANK(F$3:F$287),0,1)*
(IF(F$5:F$289=$N$94,1,0)*IF(F$4:F$288=$N$94,1,0)*IF(F$3:F$287=$N$94,0,1)+
IF(F$5:F$289=$N$94,1,0)*IF(F$4:F$288=$N$94,0,1)*IF(F$3:F$287=$N$94,1,0)+
IF(F$5:F$289=$N$94,0,1)*IF(F$4:F$288=$N$94,1,0)*IF(F$3:F$287=$N$94,1,0))*G$3:G$287)</f>
        <v>110</v>
      </c>
      <c r="R97" s="1">
        <f t="array" ref="R97">SUM(IF(ISBLANK(H$5:H$289),0,1)*IF(ISBLANK(H$4:H$288),0,1)*IF(ISBLANK(H$3:H$287),0,1)*
(IF(H$5:H$289=$N$94,1,0)*IF(H$4:H$288=$N$94,1,0)*IF(H$3:H$287=$N$94,0,1)+
IF(H$5:H$289=$N$94,1,0)*IF(H$4:H$288=$N$94,0,1)*IF(H$3:H$287=$N$94,1,0)+
IF(H$5:H$289=$N$94,0,1)*IF(H$4:H$288=$N$94,1,0)*IF(H$3:H$287=$N$94,1,0))*I$3:I$287)</f>
        <v>110</v>
      </c>
      <c r="S97" s="5">
        <f t="array" ref="S97">SUM(IF(ISBLANK(J$5:J$289),0,1)*IF(ISBLANK(J$4:J$288),0,1)*IF(ISBLANK(J$3:J$287),0,1)*
(IF(J$5:J$289=$N$94,1,0)*IF(J$4:J$288=$N$94,1,0)*IF(J$3:J$287=$N$94,0,1)+
IF(J$5:J$289=$N$94,1,0)*IF(J$4:J$288=$N$94,0,1)*IF(J$3:J$287=$N$94,1,0)+
IF(J$5:J$289=$N$94,0,1)*IF(J$4:J$288=$N$94,1,0)*IF(J$3:J$287=$N$94,1,0))*K$3:K$287)</f>
        <v>110</v>
      </c>
      <c r="BB97" s="59" t="str">
        <f>IFERROR($BC$2&amp;VLOOKUP(B99,'Pay Table'!$M$3:$N$18,2,FALSE)&amp;$BB$2&amp;C99&amp;$BD$2,"")</f>
        <v/>
      </c>
      <c r="BC97" s="49" t="str">
        <f>IFERROR($BC$2&amp;VLOOKUP(D99,'Pay Table'!$M$3:$N$18,2,FALSE)&amp;$BB$2&amp;E99&amp;$BD$2,"")</f>
        <v/>
      </c>
      <c r="BD97" s="49" t="str">
        <f>IFERROR($BC$2&amp;VLOOKUP(F99,'Pay Table'!$M$3:$N$18,2,FALSE)&amp;$BB$2&amp;G99&amp;$BD$2,"")</f>
        <v/>
      </c>
      <c r="BE97" s="49" t="str">
        <f>IFERROR($BC$2&amp;VLOOKUP(H99,'Pay Table'!$M$3:$N$18,2,FALSE)&amp;$BB$2&amp;I99&amp;$BD$2,"")</f>
        <v/>
      </c>
      <c r="BF97" s="60" t="str">
        <f>IFERROR($BC$2&amp;VLOOKUP(J99,'Pay Table'!$M$3:$N$18,2,FALSE)&amp;$BB$2&amp;K99&amp;$BD$2,"")</f>
        <v/>
      </c>
    </row>
    <row r="98" spans="1:58" ht="17.100000000000001" customHeight="1" x14ac:dyDescent="0.15">
      <c r="A98" s="14">
        <v>94</v>
      </c>
      <c r="N98" s="19">
        <v>3</v>
      </c>
      <c r="O98" s="8">
        <f t="array" ref="O98">SUM(IF(ISBLANK(B$5:B$289),0,1)*IF(ISBLANK(B$4:B$288),0,1)*IF(ISBLANK(B$3:B$287),0,1)*
IF(B$5:B$289=$N$94,1,0)*IF(B$4:B$288=$N$94,1,0)*IF(B$3:B$287=$N$94,1,0)*C$3:C$287)</f>
        <v>5</v>
      </c>
      <c r="P98" s="15">
        <f t="array" ref="P98">SUM(IF(ISBLANK(D$5:D$289),0,1)*IF(ISBLANK(D$4:D$288),0,1)*IF(ISBLANK(D$3:D$287),0,1)*
IF(D$5:D$289=$N$94,1,0)*IF(D$4:D$288=$N$94,1,0)*IF(D$3:D$287=$N$94,1,0)*E$3:E$287)</f>
        <v>5</v>
      </c>
      <c r="Q98" s="15">
        <f t="array" ref="Q98">SUM(IF(ISBLANK(F$5:F$289),0,1)*IF(ISBLANK(F$4:F$288),0,1)*IF(ISBLANK(F$3:F$287),0,1)*
IF(F$5:F$289=$N$94,1,0)*IF(F$4:F$288=$N$94,1,0)*IF(F$3:F$287=$N$94,1,0)*G$3:G$287)</f>
        <v>5</v>
      </c>
      <c r="R98" s="15">
        <f t="array" ref="R98">SUM(IF(ISBLANK(H$5:H$289),0,1)*IF(ISBLANK(H$4:H$288),0,1)*IF(ISBLANK(H$3:H$287),0,1)*
IF(H$5:H$289=$N$94,1,0)*IF(H$4:H$288=$N$94,1,0)*IF(H$3:H$287=$N$94,1,0)*I$3:I$287)</f>
        <v>5</v>
      </c>
      <c r="S98" s="16">
        <f t="array" ref="S98">SUM(IF(ISBLANK(J$5:J$289),0,1)*IF(ISBLANK(J$4:J$288),0,1)*IF(ISBLANK(J$3:J$287),0,1)*
IF(J$5:J$289=$N$94,1,0)*IF(J$4:J$288=$N$94,1,0)*IF(J$3:J$287=$N$94,1,0)*K$3:K$287)</f>
        <v>5</v>
      </c>
      <c r="BB98" s="59" t="str">
        <f>IFERROR($BC$2&amp;VLOOKUP(B100,'Pay Table'!$M$3:$N$18,2,FALSE)&amp;$BB$2&amp;C100&amp;$BD$2,"")</f>
        <v/>
      </c>
      <c r="BC98" s="49" t="str">
        <f>IFERROR($BC$2&amp;VLOOKUP(D100,'Pay Table'!$M$3:$N$18,2,FALSE)&amp;$BB$2&amp;E100&amp;$BD$2,"")</f>
        <v/>
      </c>
      <c r="BD98" s="49" t="str">
        <f>IFERROR($BC$2&amp;VLOOKUP(F100,'Pay Table'!$M$3:$N$18,2,FALSE)&amp;$BB$2&amp;G100&amp;$BD$2,"")</f>
        <v/>
      </c>
      <c r="BE98" s="49" t="str">
        <f>IFERROR($BC$2&amp;VLOOKUP(H100,'Pay Table'!$M$3:$N$18,2,FALSE)&amp;$BB$2&amp;I100&amp;$BD$2,"")</f>
        <v/>
      </c>
      <c r="BF98" s="60" t="str">
        <f>IFERROR($BC$2&amp;VLOOKUP(J100,'Pay Table'!$M$3:$N$18,2,FALSE)&amp;$BB$2&amp;K100&amp;$BD$2,"")</f>
        <v/>
      </c>
    </row>
    <row r="99" spans="1:58" ht="17.100000000000001" customHeight="1" x14ac:dyDescent="0.15">
      <c r="A99" s="14">
        <v>95</v>
      </c>
      <c r="R99" s="1">
        <f>SUM(R95:R98)</f>
        <v>7515</v>
      </c>
      <c r="BB99" s="59" t="str">
        <f>IFERROR($BC$2&amp;VLOOKUP(B101,'Pay Table'!$M$3:$N$18,2,FALSE)&amp;$BB$2&amp;C101&amp;$BD$2,"")</f>
        <v/>
      </c>
      <c r="BC99" s="49" t="str">
        <f>IFERROR($BC$2&amp;VLOOKUP(D101,'Pay Table'!$M$3:$N$18,2,FALSE)&amp;$BB$2&amp;E101&amp;$BD$2,"")</f>
        <v/>
      </c>
      <c r="BD99" s="49" t="str">
        <f>IFERROR($BC$2&amp;VLOOKUP(F101,'Pay Table'!$M$3:$N$18,2,FALSE)&amp;$BB$2&amp;G101&amp;$BD$2,"")</f>
        <v/>
      </c>
      <c r="BE99" s="49" t="str">
        <f>IFERROR($BC$2&amp;VLOOKUP(H101,'Pay Table'!$M$3:$N$18,2,FALSE)&amp;$BB$2&amp;I101&amp;$BD$2,"")</f>
        <v/>
      </c>
      <c r="BF99" s="60" t="str">
        <f>IFERROR($BC$2&amp;VLOOKUP(J101,'Pay Table'!$M$3:$N$18,2,FALSE)&amp;$BB$2&amp;K101&amp;$BD$2,"")</f>
        <v/>
      </c>
    </row>
    <row r="100" spans="1:58" ht="17.100000000000001" customHeight="1" x14ac:dyDescent="0.15">
      <c r="A100" s="14">
        <v>96</v>
      </c>
      <c r="N100" s="6" t="s">
        <v>4</v>
      </c>
      <c r="O100" s="17">
        <v>1</v>
      </c>
      <c r="P100" s="18">
        <v>2</v>
      </c>
      <c r="Q100" s="18">
        <v>3</v>
      </c>
      <c r="R100" s="18">
        <v>4</v>
      </c>
      <c r="S100" s="18">
        <v>5</v>
      </c>
      <c r="T100" s="18">
        <v>6</v>
      </c>
      <c r="U100" s="18">
        <v>7</v>
      </c>
      <c r="V100" s="18">
        <v>8</v>
      </c>
      <c r="W100" s="18">
        <v>9</v>
      </c>
      <c r="X100" s="18">
        <v>10</v>
      </c>
      <c r="Y100" s="18">
        <v>11</v>
      </c>
      <c r="Z100" s="18">
        <v>12</v>
      </c>
      <c r="AA100" s="18">
        <v>13</v>
      </c>
      <c r="AB100" s="18">
        <v>14</v>
      </c>
      <c r="AC100" s="36">
        <v>15</v>
      </c>
      <c r="BB100" s="59" t="str">
        <f>IFERROR($BC$2&amp;VLOOKUP(B102,'Pay Table'!$M$3:$N$18,2,FALSE)&amp;$BB$2&amp;C102&amp;$BD$2,"")</f>
        <v/>
      </c>
      <c r="BC100" s="49" t="str">
        <f>IFERROR($BC$2&amp;VLOOKUP(D102,'Pay Table'!$M$3:$N$18,2,FALSE)&amp;$BB$2&amp;E102&amp;$BD$2,"")</f>
        <v/>
      </c>
      <c r="BD100" s="49" t="str">
        <f>IFERROR($BC$2&amp;VLOOKUP(F102,'Pay Table'!$M$3:$N$18,2,FALSE)&amp;$BB$2&amp;G102&amp;$BD$2,"")</f>
        <v/>
      </c>
      <c r="BE100" s="49" t="str">
        <f>IFERROR($BC$2&amp;VLOOKUP(H102,'Pay Table'!$M$3:$N$18,2,FALSE)&amp;$BB$2&amp;I102&amp;$BD$2,"")</f>
        <v/>
      </c>
      <c r="BF100" s="60" t="str">
        <f>IFERROR($BC$2&amp;VLOOKUP(J102,'Pay Table'!$M$3:$N$18,2,FALSE)&amp;$BB$2&amp;K102&amp;$BD$2,"")</f>
        <v/>
      </c>
    </row>
    <row r="101" spans="1:58" ht="17.100000000000001" customHeight="1" x14ac:dyDescent="0.15">
      <c r="A101" s="14">
        <v>97</v>
      </c>
      <c r="N101" s="3" t="str">
        <f>N94</f>
        <v>LINK</v>
      </c>
      <c r="O101" s="21">
        <f>O95*P95*Q95*R95*S96+O95*P95*Q95*R96*S95+O95*P95*Q96*R95*S95+O95*P96*Q95*R95*S95+O96*P95*Q95*R95*S95</f>
        <v>1.03083624E+18</v>
      </c>
      <c r="P101" s="21">
        <f>O95*P95*Q95*R95*S97+O95*P95*Q95*R96*S96+O95*P95*Q95*R97*S95+O95*P95*Q96*R95*S96+O95*P95*Q96*R96*S95+O95*P95*Q97*R95*S95+O95*P96*Q95*R95*S96+O95*P96*Q95*R96*S95+O95*P96*Q96*R95*S95+O95*P97*Q95*R95*S95+O96*P95*Q95*R95*S96+O96*P95*Q95*R96*S95+O96*P95*Q96*R95*S95+O96*P96*Q95*R95*S95+O97*P95*Q95*R95*S95</f>
        <v>6.48738568E+17</v>
      </c>
      <c r="Q101" s="21">
        <f>O95*P95*Q95*R95*S98+O95*P95*Q95*R96*S97+O95*P95*Q95*R97*S96+O95*P95*Q95*R98*S95+O95*P95*Q96*R95*S97+O95*P95*Q96*R96*S96+O95*P95*Q96*R97*S95+O95*P95*Q97*R95*S96+O95*P95*Q97*R96*S95+O95*P95*Q98*R95*S95+O95*P96*Q95*R95*S97+O95*P96*Q95*R96*S96+O95*P96*Q95*R97*S95+O95*P96*Q96*R95*S96+O95*P96*Q96*R96*S95+O95*P96*Q97*R95*S95+O95*P97*Q95*R95*S96+O95*P97*Q95*R96*S95+O95*P97*Q96*R95*S95+O95*P98*Q95*R95*S95+O96*P95*Q95*R95*S97+O96*P95*Q95*R96*S96+O96*P95*Q95*R97*S95+O96*P95*Q96*R95*S96+O96*P95*Q96*R96*S95+O96*P95*Q97*R95*S95+O96*P96*Q95*R95*S96+O96*P96*Q95*R96*S95+O96*P96*Q96*R95*S95+O96*P97*Q95*R95*S95+O97*P95*Q95*R95*S96+O97*P95*Q95*R96*S95+O97*P95*Q96*R95*S95+O97*P96*Q95*R95*S95+O98*P95*Q95*R95*S95</f>
        <v>1.091245323E+17</v>
      </c>
      <c r="R101" s="21">
        <f>O95*P95*Q95*R96*S98+O95*P95*Q95*R97*S97+O95*P95*Q95*R98*S96+O95*P95*Q96*R95*S98+O95*P95*Q96*R96*S97+O95*P95*Q96*R97*S96+O95*P95*Q96*R98*S95+O95*P95*Q97*R95*S97+O95*P95*Q97*R96*S96+O95*P95*Q97*R97*S95+O95*P95*Q98*R95*S96+O95*P95*Q98*R96*S95+O95*P96*Q95*R95*S98+O95*P96*Q95*R96*S97+O95*P96*Q95*R97*S96+O95*P96*Q95*R98*S95+O95*P96*Q96*R95*S97+O95*P96*Q96*R96*S96+O95*P96*Q96*R97*S95+O95*P96*Q97*R95*S96+O95*P96*Q97*R96*S95+O95*P96*Q98*R95*S95+O95*P97*Q95*R95*S97+O95*P97*Q95*R96*S96+O95*P97*Q95*R97*S95+O95*P97*Q96*R95*S96+O95*P97*Q96*R96*S95+O95*P97*Q97*R95*S95+O95*P98*Q95*R95*S96+O95*P98*Q95*R96*S95+O95*P98*Q96*R95*S95+O96*P95*Q95*R95*S98+O96*P95*Q95*R96*S97+O96*P95*Q95*R97*S96+O96*P95*Q95*R98*S95+O96*P95*Q96*R95*S97+O96*P95*Q96*R96*S96+O96*P95*Q96*R97*S95+O96*P95*Q97*R95*S96+O96*P95*Q97*R96*S95+O96*P95*Q98*R95*S95+O96*P96*Q95*R95*S97+O96*P96*Q95*R96*S96+O96*P96*Q95*R97*S95+O96*P96*Q96*R95*S96+O96*P96*Q96*R96*S95+O96*P96*Q97*R95*S95+O96*P97*Q95*R95*S96+O96*P97*Q95*R96*S95+O96*P97*Q96*R95*S95+O96*P98*Q95*R95*S95+O97*P95*Q95*R95*S97+O97*P95*Q95*R96*S96+O97*P95*Q95*R97*S95+O97*P95*Q96*R95*S96+O97*P95*Q96*R96*S95+O97*P95*Q97*R95*S95+O97*P96*Q95*R95*S96+O97*P96*Q95*R96*S95+O97*P96*Q96*R95*S95+O97*P97*Q95*R95*S95+O98*P95*Q95*R95*S96+O98*P95*Q95*R96*S95+O98*P95*Q96*R95*S95+O98*P96*Q95*R95*S95</f>
        <v>3.036906725E+16</v>
      </c>
      <c r="S101" s="21">
        <f>O95*P95*Q95*R97*S98+O95*P95*Q95*R98*S97+O95*P95*Q96*R96*S98+O95*P95*Q96*R97*S97+O95*P95*Q96*R98*S96+O95*P95*Q97*R95*S98+O95*P95*Q97*R96*S97+O95*P95*Q97*R97*S96+O95*P95*Q97*R98*S95+O95*P95*Q98*R95*S97+O95*P95*Q98*R96*S96+O95*P95*Q98*R97*S95+O95*P96*Q95*R96*S98+O95*P96*Q95*R97*S97+O95*P96*Q95*R98*S96+O95*P96*Q96*R95*S98+O95*P96*Q96*R96*S97+O95*P96*Q96*R97*S96+O95*P96*Q96*R98*S95+O95*P96*Q97*R95*S97+O95*P96*Q97*R96*S96+O95*P96*Q97*R97*S95+O95*P96*Q98*R95*S96+O95*P96*Q98*R96*S95+O95*P97*Q95*R95*S98+O95*P97*Q95*R96*S97+O95*P97*Q95*R97*S96+O95*P97*Q95*R98*S95+O95*P97*Q96*R95*S97+O95*P97*Q96*R96*S96+O95*P97*Q96*R97*S95+O95*P97*Q97*R95*S96+O95*P97*Q97*R96*S95+O95*P97*Q98*R95*S95+O95*P98*Q95*R95*S97+O95*P98*Q95*R96*S96+O95*P98*Q95*R97*S95+O95*P98*Q96*R95*S96+O95*P98*Q96*R96*S95+O95*P98*Q97*R95*S95+O96*P95*Q95*R96*S98+O96*P95*Q95*R97*S97+O96*P95*Q95*R98*S96+O96*P95*Q96*R95*S98+O96*P95*Q96*R96*S97+O96*P95*Q96*R97*S96+O96*P95*Q96*R98*S95+O96*P95*Q97*R95*S97+O96*P95*Q97*R96*S96+O96*P95*Q97*R97*S95+O96*P95*Q98*R95*S96+O96*P95*Q98*R96*S95+O96*P96*Q95*R95*S98+O96*P96*Q95*R96*S97+O96*P96*Q95*R97*S96+O96*P96*Q95*R98*S95+O96*P96*Q96*R95*S97+O96*P96*Q96*R96*S96+O96*P96*Q96*R97*S95+O96*P96*Q97*R95*S96+O96*P96*Q97*R96*S95+O96*P96*Q98*R95*S95+O96*P97*Q95*R95*S97+O96*P97*Q95*R96*S96+O96*P97*Q95*R97*S95+O96*P97*Q96*R95*S96+O96*P97*Q96*R96*S95+O96*P97*Q97*R95*S95+O96*P98*Q95*R95*S96+O96*P98*Q95*R96*S95+O96*P98*Q96*R95*S95+O97*P95*Q95*R95*S98+O97*P95*Q95*R96*S97+O97*P95*Q95*R97*S96+O97*P95*Q95*R98*S95+O97*P95*Q96*R95*S97+O97*P95*Q96*R96*S96+O97*P95*Q96*R97*S95+O97*P95*Q97*R95*S96+O97*P95*Q97*R96*S95+O97*P95*Q98*R95*S95+O97*P96*Q95*R95*S97+O97*P96*Q95*R96*S96+O97*P96*Q95*R97*S95+O97*P96*Q96*R95*S96+O97*P96*Q96*R96*S95+O97*P96*Q97*R95*S95+O97*P97*Q95*R95*S96+O97*P97*Q95*R96*S95+O97*P97*Q96*R95*S95+O97*P98*Q95*R95*S95+O98*P95*Q95*R95*S97+O98*P95*Q95*R96*S96+O98*P95*Q95*R97*S95+O98*P95*Q96*R95*S96+O98*P95*Q96*R96*S95+O98*P95*Q97*R95*S95+O98*P96*Q95*R95*S96+O98*P96*Q95*R96*S95+O98*P96*Q96*R95*S95+O98*P97*Q95*R95*S95</f>
        <v>4670644635000000</v>
      </c>
      <c r="T101" s="21">
        <f>O95*P95*Q95*R98*S98+O95*P95*Q96*R97*S98+O95*P95*Q96*R98*S97+O95*P95*Q97*R96*S98+O95*P95*Q97*R97*S97+O95*P95*Q97*R98*S96+O95*P95*Q98*R95*S98+O95*P95*Q98*R96*S97+O95*P95*Q98*R97*S96+O95*P95*Q98*R98*S95+O95*P96*Q95*R97*S98+O95*P96*Q95*R98*S97+O95*P96*Q96*R96*S98+O95*P96*Q96*R97*S97+O95*P96*Q96*R98*S96+O95*P96*Q97*R95*S98+O95*P96*Q97*R96*S97+O95*P96*Q97*R97*S96+O95*P96*Q97*R98*S95+O95*P96*Q98*R95*S97+O95*P96*Q98*R96*S96+O95*P96*Q98*R97*S95+O95*P97*Q95*R96*S98+O95*P97*Q95*R97*S97+O95*P97*Q95*R98*S96+O95*P97*Q96*R95*S98+O95*P97*Q96*R96*S97+O95*P97*Q96*R97*S96+O95*P97*Q96*R98*S95+O95*P97*Q97*R95*S97+O95*P97*Q97*R96*S96+O95*P97*Q97*R97*S95+O95*P97*Q98*R95*S96+O95*P97*Q98*R96*S95+O95*P98*Q95*R95*S98+O95*P98*Q95*R96*S97+O95*P98*Q95*R97*S96+O95*P98*Q95*R98*S95+O95*P98*Q96*R95*S97+O95*P98*Q96*R96*S96+O95*P98*Q96*R97*S95+O95*P98*Q97*R95*S96+O95*P98*Q97*R96*S95+O95*P98*Q98*R95*S95+O96*P95*Q95*R97*S98+O96*P95*Q95*R98*S97+O96*P95*Q96*R96*S98+O96*P95*Q96*R97*S97+O96*P95*Q96*R98*S96+O96*P95*Q97*R95*S98+O96*P95*Q97*R96*S97+O96*P95*Q97*R97*S96+O96*P95*Q97*R98*S95+O96*P95*Q98*R95*S97+O96*P95*Q98*R96*S96+O96*P95*Q98*R97*S95+O96*P96*Q95*R96*S98+O96*P96*Q95*R97*S97+O96*P96*Q95*R98*S96+O96*P96*Q96*R95*S98+O96*P96*Q96*R96*S97+O96*P96*Q96*R97*S96+O96*P96*Q96*R98*S95+O96*P96*Q97*R95*S97+O96*P96*Q97*R96*S96+O96*P96*Q97*R97*S95+O96*P96*Q98*R95*S96+O96*P96*Q98*R96*S95+O96*P97*Q95*R95*S98+O96*P97*Q95*R96*S97+O96*P97*Q95*R97*S96+O96*P97*Q95*R98*S95+O96*P97*Q96*R95*S97+O96*P97*Q96*R96*S96+O96*P97*Q96*R97*S95+O96*P97*Q97*R95*S96+O96*P97*Q97*R96*S95+O96*P97*Q98*R95*S95+O96*P98*Q95*R95*S97+O96*P98*Q95*R96*S96+O96*P98*Q95*R97*S95+O96*P98*Q96*R95*S96+O96*P98*Q96*R96*S95+O96*P98*Q97*R95*S95+O97*P95*Q95*R96*S98+O97*P95*Q95*R97*S97+O97*P95*Q95*R98*S96+O97*P95*Q96*R95*S98+O97*P95*Q96*R96*S97+O97*P95*Q96*R97*S96+O97*P95*Q96*R98*S95+O97*P95*Q97*R95*S97+O97*P95*Q97*R96*S96+O97*P95*Q97*R97*S95+O97*P95*Q98*R95*S96+O97*P95*Q98*R96*S95+O97*P96*Q95*R95*S98+O97*P96*Q95*R96*S97+O97*P96*Q95*R97*S96+O97*P96*Q95*R98*S95+O97*P96*Q96*R95*S97+O97*P96*Q96*R96*S96+O97*P96*Q96*R97*S95+O97*P96*Q97*R95*S96+O97*P96*Q97*R96*S95+O97*P96*Q98*R95*S95+O97*P97*Q95*R95*S97+O97*P97*Q95*R96*S96+O97*P97*Q95*R97*S95+O97*P97*Q96*R95*S96+O97*P97*Q96*R96*S95+O97*P97*Q97*R95*S95+O97*P98*Q95*R95*S96+O97*P98*Q95*R96*S95+O97*P98*Q96*R95*S95+O98*P95*Q95*R95*S98+O98*P95*Q95*R96*S97+O98*P95*Q95*R97*S96+O98*P95*Q95*R98*S95+O98*P95*Q96*R95*S97+O98*P95*Q96*R96*S96+O98*P95*Q96*R97*S95+O98*P95*Q97*R95*S96+O98*P95*Q97*R96*S95+O98*P95*Q98*R95*S95+O98*P96*Q95*R95*S97+O98*P96*Q95*R96*S96+O98*P96*Q95*R97*S95+O98*P96*Q96*R95*S96+O98*P96*Q96*R96*S95+O98*P96*Q97*R95*S95+O98*P97*Q95*R95*S96+O98*P97*Q95*R96*S95+O98*P97*Q96*R95*S95+O98*P98*Q95*R95*S95</f>
        <v>781050620000000</v>
      </c>
      <c r="U101" s="21">
        <f>O95*P95*Q96*R98*S98+O95*P95*Q97*R97*S98+O95*P95*Q97*R98*S97+O95*P95*Q98*R96*S98+O95*P95*Q98*R97*S97+O95*P95*Q98*R98*S96+O95*P96*Q95*R98*S98+O95*P96*Q96*R97*S98+O95*P96*Q96*R98*S97+O95*P96*Q97*R96*S98+O95*P96*Q97*R97*S97+O95*P96*Q97*R98*S96+O95*P96*Q98*R95*S98+O95*P96*Q98*R96*S97+O95*P96*Q98*R97*S96+O95*P96*Q98*R98*S95+O95*P97*Q95*R97*S98+O95*P97*Q95*R98*S97+O95*P97*Q96*R96*S98+O95*P97*Q96*R97*S97+O95*P97*Q96*R98*S96+O95*P97*Q97*R95*S98+O95*P97*Q97*R96*S97+O95*P97*Q97*R97*S96+O95*P97*Q97*R98*S95+O95*P97*Q98*R95*S97+O95*P97*Q98*R96*S96+O95*P97*Q98*R97*S95+O95*P98*Q95*R96*S98+O95*P98*Q95*R97*S97+O95*P98*Q95*R98*S96+O95*P98*Q96*R95*S98+O95*P98*Q96*R96*S97+O95*P98*Q96*R97*S96+O95*P98*Q96*R98*S95+O95*P98*Q97*R95*S97+O95*P98*Q97*R96*S96+O95*P98*Q97*R97*S95+O95*P98*Q98*R95*S96+O95*P98*Q98*R96*S95+O96*P95*Q95*R98*S98+O96*P95*Q96*R97*S98+O96*P95*Q96*R98*S97+O96*P95*Q97*R96*S98+O96*P95*Q97*R97*S97+O96*P95*Q97*R98*S96+O96*P95*Q98*R95*S98+O96*P95*Q98*R96*S97+O96*P95*Q98*R97*S96+O96*P95*Q98*R98*S95+O96*P96*Q95*R97*S98+O96*P96*Q95*R98*S97+O96*P96*Q96*R96*S98+O96*P96*Q96*R97*S97+O96*P96*Q96*R98*S96+O96*P96*Q97*R95*S98+O96*P96*Q97*R96*S97+O96*P96*Q97*R97*S96+O96*P96*Q97*R98*S95+O96*P96*Q98*R95*S97+O96*P96*Q98*R96*S96+O96*P96*Q98*R97*S95+O96*P97*Q95*R96*S98+O96*P97*Q95*R97*S97+O96*P97*Q95*R98*S96+O96*P97*Q96*R95*S98+O96*P97*Q96*R96*S97+O96*P97*Q96*R97*S96+O96*P97*Q96*R98*S95+O96*P97*Q97*R95*S97+O96*P97*Q97*R96*S96+O96*P97*Q97*R97*S95+O96*P97*Q98*R95*S96+O96*P97*Q98*R96*S95+O96*P98*Q95*R95*S98+O96*P98*Q95*R96*S97+O96*P98*Q95*R97*S96+O96*P98*Q95*R98*S95+O96*P98*Q96*R95*S97+O96*P98*Q96*R96*S96+O96*P98*Q96*R97*S95+O96*P98*Q97*R95*S96+O96*P98*Q97*R96*S95+O96*P98*Q98*R95*S95+O97*P95*Q95*R97*S98+O97*P95*Q95*R98*S97+O97*P95*Q96*R96*S98+O97*P95*Q96*R97*S97+O97*P95*Q96*R98*S96+O97*P95*Q97*R95*S98+O97*P95*Q97*R96*S97+O97*P95*Q97*R97*S96+O97*P95*Q97*R98*S95+O97*P95*Q98*R95*S97+O97*P95*Q98*R96*S96+O97*P95*Q98*R97*S95+O97*P96*Q95*R96*S98+O97*P96*Q95*R97*S97+O97*P96*Q95*R98*S96+O97*P96*Q96*R95*S98+O97*P96*Q96*R96*S97+O97*P96*Q96*R97*S96+O97*P96*Q96*R98*S95+O97*P96*Q97*R95*S97+O97*P96*Q97*R96*S96+O97*P96*Q97*R97*S95+O97*P96*Q98*R95*S96+O97*P96*Q98*R96*S95+O97*P97*Q95*R95*S98+O97*P97*Q95*R96*S97+O97*P97*Q95*R97*S96+O97*P97*Q95*R98*S95+O97*P97*Q96*R95*S97+O97*P97*Q96*R96*S96+O97*P97*Q96*R97*S95+O97*P97*Q97*R95*S96+O97*P97*Q97*R96*S95+O97*P97*Q98*R95*S95+O97*P98*Q95*R95*S97+O97*P98*Q95*R96*S96+O97*P98*Q95*R97*S95+O97*P98*Q96*R95*S96+O97*P98*Q96*R96*S95+O97*P98*Q97*R95*S95+O98*P95*Q95*R96*S98+O98*P95*Q95*R97*S97+O98*P95*Q95*R98*S96+O98*P95*Q96*R95*S98+O98*P95*Q96*R96*S97+O98*P95*Q96*R97*S96+O98*P95*Q96*R98*S95+O98*P95*Q97*R95*S97+O98*P95*Q97*R96*S96+O98*P95*Q97*R97*S95+O98*P95*Q98*R95*S96+O98*P95*Q98*R96*S95+O98*P96*Q95*R95*S98+O98*P96*Q95*R96*S97+O98*P96*Q95*R97*S96+O98*P96*Q95*R98*S95+O98*P96*Q96*R95*S97+O98*P96*Q96*R96*S96+O98*P96*Q96*R97*S95+O98*P96*Q97*R95*S96+O98*P96*Q97*R96*S95+O98*P96*Q98*R95*S95+O98*P97*Q95*R95*S97+O98*P97*Q95*R96*S96+O98*P97*Q95*R97*S95+O98*P97*Q96*R95*S96+O98*P97*Q96*R96*S95+O98*P97*Q97*R95*S95+O98*P98*Q95*R95*S96+O98*P98*Q95*R96*S95+O98*P98*Q96*R95*S95</f>
        <v>102668366750000</v>
      </c>
      <c r="V101" s="21">
        <f>O95*P95*Q97*R98*S98+O95*P95*Q98*R97*S98+O95*P95*Q98*R98*S97+O95*P96*Q96*R98*S98+O95*P96*Q97*R97*S98+O95*P96*Q97*R98*S97+O95*P96*Q98*R96*S98+O95*P96*Q98*R97*S97+O95*P96*Q98*R98*S96+O95*P97*Q95*R98*S98+O95*P97*Q96*R97*S98+O95*P97*Q96*R98*S97+O95*P97*Q97*R96*S98+O95*P97*Q97*R97*S97+O95*P97*Q97*R98*S96+O95*P97*Q98*R95*S98+O95*P97*Q98*R96*S97+O95*P97*Q98*R97*S96+O95*P97*Q98*R98*S95+O95*P98*Q95*R97*S98+O95*P98*Q95*R98*S97+O95*P98*Q96*R96*S98+O95*P98*Q96*R97*S97+O95*P98*Q96*R98*S96+O95*P98*Q97*R95*S98+O95*P98*Q97*R96*S97+O95*P98*Q97*R97*S96+O95*P98*Q97*R98*S95+O95*P98*Q98*R95*S97+O95*P98*Q98*R96*S96+O95*P98*Q98*R97*S95+O96*P95*Q96*R98*S98+O96*P95*Q97*R97*S98+O96*P95*Q97*R98*S97+O96*P95*Q98*R96*S98+O96*P95*Q98*R97*S97+O96*P95*Q98*R98*S96+O96*P96*Q95*R98*S98+O96*P96*Q96*R97*S98+O96*P96*Q96*R98*S97+O96*P96*Q97*R96*S98+O96*P96*Q97*R97*S97+O96*P96*Q97*R98*S96+O96*P96*Q98*R95*S98+O96*P96*Q98*R96*S97+O96*P96*Q98*R97*S96+O96*P96*Q98*R98*S95+O96*P97*Q95*R97*S98+O96*P97*Q95*R98*S97+O96*P97*Q96*R96*S98+O96*P97*Q96*R97*S97+O96*P97*Q96*R98*S96+O96*P97*Q97*R95*S98+O96*P97*Q97*R96*S97+O96*P97*Q97*R97*S96+O96*P97*Q97*R98*S95+O96*P97*Q98*R95*S97+O96*P97*Q98*R96*S96+O96*P97*Q98*R97*S95+O96*P98*Q95*R96*S98+O96*P98*Q95*R97*S97+O96*P98*Q95*R98*S96+O96*P98*Q96*R95*S98+O96*P98*Q96*R96*S97+O96*P98*Q96*R97*S96+O96*P98*Q96*R98*S95+O96*P98*Q97*R95*S97+O96*P98*Q97*R96*S96+O96*P98*Q97*R97*S95+O96*P98*Q98*R95*S96+O96*P98*Q98*R96*S95+O97*P95*Q95*R98*S98+O97*P95*Q96*R97*S98+O97*P95*Q96*R98*S97+O97*P95*Q97*R96*S98+O97*P95*Q97*R97*S97+O97*P95*Q97*R98*S96+O97*P95*Q98*R95*S98+O97*P95*Q98*R96*S97+O97*P95*Q98*R97*S96+O97*P95*Q98*R98*S95+O97*P96*Q95*R97*S98+O97*P96*Q95*R98*S97+O97*P96*Q96*R96*S98+O97*P96*Q96*R97*S97+O97*P96*Q96*R98*S96+O97*P96*Q97*R95*S98+O97*P96*Q97*R96*S97+O97*P96*Q97*R97*S96+O97*P96*Q97*R98*S95+O97*P96*Q98*R95*S97+O97*P96*Q98*R96*S96+O97*P96*Q98*R97*S95+O97*P97*Q95*R96*S98+O97*P97*Q95*R97*S97+O97*P97*Q95*R98*S96+O97*P97*Q96*R95*S98+O97*P97*Q96*R96*S97+O97*P97*Q96*R97*S96+O97*P97*Q96*R98*S95+O97*P97*Q97*R95*S97+O97*P97*Q97*R96*S96+O97*P97*Q97*R97*S95+O97*P97*Q98*R95*S96+O97*P97*Q98*R96*S95+O97*P98*Q95*R95*S98+O97*P98*Q95*R96*S97+O97*P98*Q95*R97*S96+O97*P98*Q95*R98*S95+O97*P98*Q96*R95*S97+O97*P98*Q96*R96*S96+O97*P98*Q96*R97*S95+O97*P98*Q97*R95*S96+O97*P98*Q97*R96*S95+O97*P98*Q98*R95*S95+O98*P95*Q95*R97*S98+O98*P95*Q95*R98*S97+O98*P95*Q96*R96*S98+O98*P95*Q96*R97*S97+O98*P95*Q96*R98*S96+O98*P95*Q97*R95*S98+O98*P95*Q97*R96*S97+O98*P95*Q97*R97*S96+O98*P95*Q97*R98*S95+O98*P95*Q98*R95*S97+O98*P95*Q98*R96*S96+O98*P95*Q98*R97*S95+O98*P96*Q95*R96*S98+O98*P96*Q95*R97*S97+O98*P96*Q95*R98*S96+O98*P96*Q96*R95*S98+O98*P96*Q96*R96*S97+O98*P96*Q96*R97*S96+O98*P96*Q96*R98*S95+O98*P96*Q97*R95*S97+O98*P96*Q97*R96*S96+O98*P96*Q97*R97*S95+O98*P96*Q98*R95*S96+O98*P96*Q98*R96*S95+O98*P97*Q95*R95*S98+O98*P97*Q95*R96*S97+O98*P97*Q95*R97*S96+O98*P97*Q95*R98*S95+O98*P97*Q96*R95*S97+O98*P97*Q96*R96*S96+O98*P97*Q96*R97*S95+O98*P97*Q97*R95*S96+O98*P97*Q97*R96*S95+O98*P97*Q98*R95*S95+O98*P98*Q95*R95*S97+O98*P98*Q95*R96*S96+O98*P98*Q95*R97*S95+O98*P98*Q96*R95*S96+O98*P98*Q96*R96*S95+O98*P98*Q97*R95*S95</f>
        <v>11773847000000</v>
      </c>
      <c r="W101" s="21">
        <f>O95*P95*Q98*R98*S98+O95*P96*Q97*R98*S98+O95*P96*Q98*R97*S98+O95*P96*Q98*R98*S97+O95*P97*Q96*R98*S98+O95*P97*Q97*R97*S98+O95*P97*Q97*R98*S97+O95*P97*Q98*R96*S98+O95*P97*Q98*R97*S97+O95*P97*Q98*R98*S96+O95*P98*Q95*R98*S98+O95*P98*Q96*R97*S98+O95*P98*Q96*R98*S97+O95*P98*Q97*R96*S98+O95*P98*Q97*R97*S97+O95*P98*Q97*R98*S96+O95*P98*Q98*R95*S98+O95*P98*Q98*R96*S97+O95*P98*Q98*R97*S96+O95*P98*Q98*R98*S95+O96*P95*Q97*R98*S98+O96*P95*Q98*R97*S98+O96*P95*Q98*R98*S97+O96*P96*Q96*R98*S98+O96*P96*Q97*R97*S98+O96*P96*Q97*R98*S97+O96*P96*Q98*R96*S98+O96*P96*Q98*R97*S97+O96*P96*Q98*R98*S96+O96*P97*Q95*R98*S98+O96*P97*Q96*R97*S98+O96*P97*Q96*R98*S97+O96*P97*Q97*R96*S98+O96*P97*Q97*R97*S97+O96*P97*Q97*R98*S96+O96*P97*Q98*R95*S98+O96*P97*Q98*R96*S97+O96*P97*Q98*R97*S96+O96*P97*Q98*R98*S95+O96*P98*Q95*R97*S98+O96*P98*Q95*R98*S97+O96*P98*Q96*R96*S98+O96*P98*Q96*R97*S97+O96*P98*Q96*R98*S96+O96*P98*Q97*R95*S98+O96*P98*Q97*R96*S97+O96*P98*Q97*R97*S96+O96*P98*Q97*R98*S95+O96*P98*Q98*R95*S97+O96*P98*Q98*R96*S96+O96*P98*Q98*R97*S95+O97*P95*Q96*R98*S98+O97*P95*Q97*R97*S98+O97*P95*Q97*R98*S97+O97*P95*Q98*R96*S98+O97*P95*Q98*R97*S97+O97*P95*Q98*R98*S96+O97*P96*Q95*R98*S98+O97*P96*Q96*R97*S98+O97*P96*Q96*R98*S97+O97*P96*Q97*R96*S98+O97*P96*Q97*R97*S97+O97*P96*Q97*R98*S96+O97*P96*Q98*R95*S98+O97*P96*Q98*R96*S97+O97*P96*Q98*R97*S96+O97*P96*Q98*R98*S95+O97*P97*Q95*R97*S98+O97*P97*Q95*R98*S97+O97*P97*Q96*R96*S98+O97*P97*Q96*R97*S97+O97*P97*Q96*R98*S96+O97*P97*Q97*R95*S98+O97*P97*Q97*R96*S97+O97*P97*Q97*R97*S96+O97*P97*Q97*R98*S95+O97*P97*Q98*R95*S97+O97*P97*Q98*R96*S96+O97*P97*Q98*R97*S95+O97*P98*Q95*R96*S98+O97*P98*Q95*R97*S97+O97*P98*Q95*R98*S96+O97*P98*Q96*R95*S98+O97*P98*Q96*R96*S97+O97*P98*Q96*R97*S96+O97*P98*Q96*R98*S95+O97*P98*Q97*R95*S97+O97*P98*Q97*R96*S96+O97*P98*Q97*R97*S95+O97*P98*Q98*R95*S96+O97*P98*Q98*R96*S95+O98*P95*Q95*R98*S98+O98*P95*Q96*R97*S98+O98*P95*Q96*R98*S97+O98*P95*Q97*R96*S98+O98*P95*Q97*R97*S97+O98*P95*Q97*R98*S96+O98*P95*Q98*R95*S98+O98*P95*Q98*R96*S97+O98*P95*Q98*R97*S96+O98*P95*Q98*R98*S95+O98*P96*Q95*R97*S98+O98*P96*Q95*R98*S97+O98*P96*Q96*R96*S98+O98*P96*Q96*R97*S97+O98*P96*Q96*R98*S96+O98*P96*Q97*R95*S98+O98*P96*Q97*R96*S97+O98*P96*Q97*R97*S96+O98*P96*Q97*R98*S95+O98*P96*Q98*R95*S97+O98*P96*Q98*R96*S96+O98*P96*Q98*R97*S95+O98*P97*Q95*R96*S98+O98*P97*Q95*R97*S97+O98*P97*Q95*R98*S96+O98*P97*Q96*R95*S98+O98*P97*Q96*R96*S97+O98*P97*Q96*R97*S96+O98*P97*Q96*R98*S95+O98*P97*Q97*R95*S97+O98*P97*Q97*R96*S96+O98*P97*Q97*R97*S95+O98*P97*Q98*R95*S96+O98*P97*Q98*R96*S95+O98*P98*Q95*R95*S98+O98*P98*Q95*R96*S97+O98*P98*Q95*R97*S96+O98*P98*Q95*R98*S95+O98*P98*Q96*R95*S97+O98*P98*Q96*R96*S96+O98*P98*Q96*R97*S95+O98*P98*Q97*R95*S96+O98*P98*Q97*R96*S95+O98*P98*Q98*R95*S95</f>
        <v>1207955850000</v>
      </c>
      <c r="X101" s="21">
        <f>O95*P96*Q98*R98*S98+O95*P97*Q97*R98*S98+O95*P97*Q98*R97*S98+O95*P97*Q98*R98*S97+O95*P98*Q96*R98*S98+O95*P98*Q97*R97*S98+O95*P98*Q97*R98*S97+O95*P98*Q98*R96*S98+O95*P98*Q98*R97*S97+O95*P98*Q98*R98*S96+O96*P95*Q98*R98*S98+O96*P96*Q97*R98*S98+O96*P96*Q98*R97*S98+O96*P96*Q98*R98*S97+O96*P97*Q96*R98*S98+O96*P97*Q97*R97*S98+O96*P97*Q97*R98*S97+O96*P97*Q98*R96*S98+O96*P97*Q98*R97*S97+O96*P97*Q98*R98*S96+O96*P98*Q95*R98*S98+O96*P98*Q96*R97*S98+O96*P98*Q96*R98*S97+O96*P98*Q97*R96*S98+O96*P98*Q97*R97*S97+O96*P98*Q97*R98*S96+O96*P98*Q98*R95*S98+O96*P98*Q98*R96*S97+O96*P98*Q98*R97*S96+O96*P98*Q98*R98*S95+O97*P95*Q97*R98*S98+O97*P95*Q98*R97*S98+O97*P95*Q98*R98*S97+O97*P96*Q96*R98*S98+O97*P96*Q97*R97*S98+O97*P96*Q97*R98*S97+O97*P96*Q98*R96*S98+O97*P96*Q98*R97*S97+O97*P96*Q98*R98*S96+O97*P97*Q95*R98*S98+O97*P97*Q96*R97*S98+O97*P97*Q96*R98*S97+O97*P97*Q97*R96*S98+O97*P97*Q97*R97*S97+O97*P97*Q97*R98*S96+O97*P97*Q98*R95*S98+O97*P97*Q98*R96*S97+O97*P97*Q98*R97*S96+O97*P97*Q98*R98*S95+O97*P98*Q95*R97*S98+O97*P98*Q95*R98*S97+O97*P98*Q96*R96*S98+O97*P98*Q96*R97*S97+O97*P98*Q96*R98*S96+O97*P98*Q97*R95*S98+O97*P98*Q97*R96*S97+O97*P98*Q97*R97*S96+O97*P98*Q97*R98*S95+O97*P98*Q98*R95*S97+O97*P98*Q98*R96*S96+O97*P98*Q98*R97*S95+O98*P95*Q96*R98*S98+O98*P95*Q97*R97*S98+O98*P95*Q97*R98*S97+O98*P95*Q98*R96*S98+O98*P95*Q98*R97*S97+O98*P95*Q98*R98*S96+O98*P96*Q95*R98*S98+O98*P96*Q96*R97*S98+O98*P96*Q96*R98*S97+O98*P96*Q97*R96*S98+O98*P96*Q97*R97*S97+O98*P96*Q97*R98*S96+O98*P96*Q98*R95*S98+O98*P96*Q98*R96*S97+O98*P96*Q98*R97*S96+O98*P96*Q98*R98*S95+O98*P97*Q95*R97*S98+O98*P97*Q95*R98*S97+O98*P97*Q96*R96*S98+O98*P97*Q96*R97*S97+O98*P97*Q96*R98*S96+O98*P97*Q97*R95*S98+O98*P97*Q97*R96*S97+O98*P97*Q97*R97*S96+O98*P97*Q97*R98*S95+O98*P97*Q98*R95*S97+O98*P97*Q98*R96*S96+O98*P97*Q98*R97*S95+O98*P98*Q95*R96*S98+O98*P98*Q95*R97*S97+O98*P98*Q95*R98*S96+O98*P98*Q96*R95*S98+O98*P98*Q96*R96*S97+O98*P98*Q96*R97*S96+O98*P98*Q96*R98*S95+O98*P98*Q97*R95*S97+O98*P98*Q97*R96*S96+O98*P98*Q97*R97*S95+O98*P98*Q98*R95*S96+O98*P98*Q98*R96*S95</f>
        <v>100442675000</v>
      </c>
      <c r="Y101" s="21">
        <f>O95*P97*Q98*R98*S98+O95*P98*Q97*R98*S98+O95*P98*Q98*R97*S98+O95*P98*Q98*R98*S97+O96*P96*Q98*R98*S98+O96*P97*Q97*R98*S98+O96*P97*Q98*R97*S98+O96*P97*Q98*R98*S97+O96*P98*Q96*R98*S98+O96*P98*Q97*R97*S98+O96*P98*Q97*R98*S97+O96*P98*Q98*R96*S98+O96*P98*Q98*R97*S97+O96*P98*Q98*R98*S96+O97*P95*Q98*R98*S98+O97*P96*Q97*R98*S98+O97*P96*Q98*R97*S98+O97*P96*Q98*R98*S97+O97*P97*Q96*R98*S98+O97*P97*Q97*R97*S98+O97*P97*Q97*R98*S97+O97*P97*Q98*R96*S98+O97*P97*Q98*R97*S97+O97*P97*Q98*R98*S96+O97*P98*Q95*R98*S98+O97*P98*Q96*R97*S98+O97*P98*Q96*R98*S97+O97*P98*Q97*R96*S98+O97*P98*Q97*R97*S97+O97*P98*Q97*R98*S96+O97*P98*Q98*R95*S98+O97*P98*Q98*R96*S97+O97*P98*Q98*R97*S96+O97*P98*Q98*R98*S95+O98*P95*Q97*R98*S98+O98*P95*Q98*R97*S98+O98*P95*Q98*R98*S97+O98*P96*Q96*R98*S98+O98*P96*Q97*R97*S98+O98*P96*Q97*R98*S97+O98*P96*Q98*R96*S98+O98*P96*Q98*R97*S97+O98*P96*Q98*R98*S96+O98*P97*Q95*R98*S98+O98*P97*Q96*R97*S98+O98*P97*Q96*R98*S97+O98*P97*Q97*R96*S98+O98*P97*Q97*R97*S97+O98*P97*Q97*R98*S96+O98*P97*Q98*R95*S98+O98*P97*Q98*R96*S97+O98*P97*Q98*R97*S96+O98*P97*Q98*R98*S95+O98*P98*Q95*R97*S98+O98*P98*Q95*R98*S97+O98*P98*Q96*R96*S98+O98*P98*Q96*R97*S97+O98*P98*Q96*R98*S96+O98*P98*Q97*R95*S98+O98*P98*Q97*R96*S97+O98*P98*Q97*R97*S96+O98*P98*Q97*R98*S95+O98*P98*Q98*R95*S97+O98*P98*Q98*R96*S96+O98*P98*Q98*R97*S95</f>
        <v>7075025000</v>
      </c>
      <c r="Z101" s="21">
        <f>O95*P98*Q98*R98*S98+O96*P97*Q98*R98*S98+O96*P98*Q97*R98*S98+O96*P98*Q98*R97*S98+O96*P98*Q98*R98*S97+O97*P96*Q98*R98*S98+O97*P97*Q97*R98*S98+O97*P97*Q98*R97*S98+O97*P97*Q98*R98*S97+O97*P98*Q96*R98*S98+O97*P98*Q97*R97*S98+O97*P98*Q97*R98*S97+O97*P98*Q98*R96*S98+O97*P98*Q98*R97*S97+O97*P98*Q98*R98*S96+O98*P95*Q98*R98*S98+O98*P96*Q97*R98*S98+O98*P96*Q98*R97*S98+O98*P96*Q98*R98*S97+O98*P97*Q96*R98*S98+O98*P97*Q97*R97*S98+O98*P97*Q97*R98*S97+O98*P97*Q98*R96*S98+O98*P97*Q98*R97*S97+O98*P97*Q98*R98*S96+O98*P98*Q95*R98*S98+O98*P98*Q96*R97*S98+O98*P98*Q96*R98*S97+O98*P98*Q97*R96*S98+O98*P98*Q97*R97*S97+O98*P98*Q97*R98*S96+O98*P98*Q98*R95*S98+O98*P98*Q98*R96*S97+O98*P98*Q98*R97*S96+O98*P98*Q98*R98*S95</f>
        <v>404862500</v>
      </c>
      <c r="AA101" s="21">
        <f>O96*P98*Q98*R98*S98+O97*P97*Q98*R98*S98+O97*P98*Q97*R98*S98+O97*P98*Q98*R97*S98+O97*P98*Q98*R98*S97+O98*P96*Q98*R98*S98+O98*P97*Q97*R98*S98+O98*P97*Q98*R97*S98+O98*P97*Q98*R98*S97+O98*P98*Q96*R98*S98+O98*P98*Q97*R97*S98+O98*P98*Q97*R98*S97+O98*P98*Q98*R96*S98+O98*P98*Q98*R97*S97+O98*P98*Q98*R98*S96</f>
        <v>15740625</v>
      </c>
      <c r="AB101" s="21">
        <f>O97*P98*Q98*R98*S98+O98*P97*Q98*R98*S98+O98*P98*Q97*R98*S98+O98*P98*Q98*R97*S98+O98*P98*Q98*R98*S97</f>
        <v>343750</v>
      </c>
      <c r="AC101" s="20">
        <f>O98*P98*Q98*R98*S98</f>
        <v>3125</v>
      </c>
      <c r="BB101" s="59" t="str">
        <f>IFERROR($BC$2&amp;VLOOKUP(B103,'Pay Table'!$M$3:$N$18,2,FALSE)&amp;$BB$2&amp;C103&amp;$BD$2,"")</f>
        <v/>
      </c>
      <c r="BC101" s="49" t="str">
        <f>IFERROR($BC$2&amp;VLOOKUP(D103,'Pay Table'!$M$3:$N$18,2,FALSE)&amp;$BB$2&amp;E103&amp;$BD$2,"")</f>
        <v/>
      </c>
      <c r="BD101" s="49" t="str">
        <f>IFERROR($BC$2&amp;VLOOKUP(F103,'Pay Table'!$M$3:$N$18,2,FALSE)&amp;$BB$2&amp;G103&amp;$BD$2,"")</f>
        <v/>
      </c>
      <c r="BE101" s="49" t="str">
        <f>IFERROR($BC$2&amp;VLOOKUP(H103,'Pay Table'!$M$3:$N$18,2,FALSE)&amp;$BB$2&amp;I103&amp;$BD$2,"")</f>
        <v/>
      </c>
      <c r="BF101" s="60" t="str">
        <f>IFERROR($BC$2&amp;VLOOKUP(J103,'Pay Table'!$M$3:$N$18,2,FALSE)&amp;$BB$2&amp;K103&amp;$BD$2,"")</f>
        <v/>
      </c>
    </row>
    <row r="102" spans="1:58" ht="17.100000000000001" customHeight="1" x14ac:dyDescent="0.15">
      <c r="A102" s="14">
        <v>98</v>
      </c>
      <c r="N102" s="4" t="s">
        <v>36</v>
      </c>
      <c r="O102" s="1">
        <f>O101/$O$22</f>
        <v>0.13362092431432893</v>
      </c>
      <c r="P102" s="1">
        <f t="shared" ref="O102:AC103" si="61">P101/$O$22</f>
        <v>8.4091967017490707E-2</v>
      </c>
      <c r="Q102" s="1">
        <f t="shared" si="61"/>
        <v>1.4145138001061005E-2</v>
      </c>
      <c r="R102" s="1">
        <f t="shared" si="61"/>
        <v>3.936554303241236E-3</v>
      </c>
      <c r="S102" s="1">
        <f t="shared" si="61"/>
        <v>6.0542676814744263E-4</v>
      </c>
      <c r="T102" s="1">
        <f t="shared" si="61"/>
        <v>1.0124275974298274E-4</v>
      </c>
      <c r="U102" s="1">
        <f t="shared" si="61"/>
        <v>1.3308265203188351E-5</v>
      </c>
      <c r="V102" s="1">
        <f t="shared" si="61"/>
        <v>1.5261709453244376E-6</v>
      </c>
      <c r="W102" s="1">
        <f t="shared" si="61"/>
        <v>1.565798435723417E-7</v>
      </c>
      <c r="X102" s="1">
        <f t="shared" si="61"/>
        <v>1.3019762551327977E-8</v>
      </c>
      <c r="Y102" s="1">
        <f t="shared" si="61"/>
        <v>9.1709171967701202E-10</v>
      </c>
      <c r="Z102" s="1">
        <f t="shared" si="61"/>
        <v>5.2479821111265934E-11</v>
      </c>
      <c r="AA102" s="1">
        <f t="shared" si="61"/>
        <v>2.040359836190115E-12</v>
      </c>
      <c r="AB102" s="1">
        <f t="shared" si="61"/>
        <v>4.4558185821106339E-14</v>
      </c>
      <c r="AC102" s="5">
        <f t="shared" si="61"/>
        <v>4.0507441655551216E-16</v>
      </c>
      <c r="BB102" s="59" t="str">
        <f>IFERROR($BC$2&amp;VLOOKUP(B104,'Pay Table'!$M$3:$N$18,2,FALSE)&amp;$BB$2&amp;C104&amp;$BD$2,"")</f>
        <v/>
      </c>
      <c r="BC102" s="49" t="str">
        <f>IFERROR($BC$2&amp;VLOOKUP(D104,'Pay Table'!$M$3:$N$18,2,FALSE)&amp;$BB$2&amp;E104&amp;$BD$2,"")</f>
        <v/>
      </c>
      <c r="BD102" s="49" t="str">
        <f>IFERROR($BC$2&amp;VLOOKUP(F104,'Pay Table'!$M$3:$N$18,2,FALSE)&amp;$BB$2&amp;G104&amp;$BD$2,"")</f>
        <v/>
      </c>
      <c r="BE102" s="49" t="str">
        <f>IFERROR($BC$2&amp;VLOOKUP(H104,'Pay Table'!$M$3:$N$18,2,FALSE)&amp;$BB$2&amp;I104&amp;$BD$2,"")</f>
        <v/>
      </c>
      <c r="BF102" s="60" t="str">
        <f>IFERROR($BC$2&amp;VLOOKUP(J104,'Pay Table'!$M$3:$N$18,2,FALSE)&amp;$BB$2&amp;K104&amp;$BD$2,"")</f>
        <v/>
      </c>
    </row>
    <row r="103" spans="1:58" ht="17.100000000000001" customHeight="1" x14ac:dyDescent="0.15">
      <c r="A103" s="14">
        <v>99</v>
      </c>
      <c r="N103" s="19"/>
      <c r="O103" s="15">
        <f t="shared" si="61"/>
        <v>1.7320453745995214E-20</v>
      </c>
      <c r="P103" s="15">
        <f t="shared" si="61"/>
        <v>1.0900321432516935E-20</v>
      </c>
      <c r="Q103" s="15">
        <f>Q102*Respin!P75*Respin!P75*Respin!P75</f>
        <v>1.4145138001061005E-2</v>
      </c>
      <c r="R103" s="15">
        <f>R102*Respin!P75*Respin!P75*(1-Respin!P75)*(1-Respin!P75)*COMBIN(4,2)+
R102*Respin!P75*Respin!P75*Respin!P75*(1-Respin!P75)*COMBIN(4,3)+
R102*Respin!P75*Respin!P75*Respin!P75*Respin!P75</f>
        <v>3.936554303241236E-3</v>
      </c>
      <c r="S103" s="15">
        <f>S102*Respin!P75*(1-Respin!P75)*(1-Respin!P75)*(1-Respin!P75)*(1-Respin!P75)*COMBIN(5,1)+
S102*Respin!P75*Respin!P75*(1-Respin!P75)*(1-Respin!P75)*(1-Respin!P75)*COMBIN(5,2)+
S102*Respin!P75*Respin!P75*Respin!P75*(1-Respin!P75)*(1-Respin!P75)*COMBIN(5,3)+
S102*Respin!P75*Respin!P75*Respin!P75*Respin!P75*(1-Respin!P75)*COMBIN(5,4)+
S102*Respin!P75*Respin!P75*Respin!P75*Respin!P75*Respin!P75</f>
        <v>6.0542676814744263E-4</v>
      </c>
      <c r="T103" s="15"/>
      <c r="U103" s="15"/>
      <c r="V103" s="15"/>
      <c r="W103" s="15"/>
      <c r="X103" s="15"/>
      <c r="Y103" s="15"/>
      <c r="Z103" s="15"/>
      <c r="AA103" s="15"/>
      <c r="AB103" s="15"/>
      <c r="AC103" s="16"/>
      <c r="BB103" s="59" t="str">
        <f>IFERROR($BC$2&amp;VLOOKUP(B105,'Pay Table'!$M$3:$N$18,2,FALSE)&amp;$BB$2&amp;C105&amp;$BD$2,"")</f>
        <v/>
      </c>
      <c r="BC103" s="49" t="str">
        <f>IFERROR($BC$2&amp;VLOOKUP(D105,'Pay Table'!$M$3:$N$18,2,FALSE)&amp;$BB$2&amp;E105&amp;$BD$2,"")</f>
        <v/>
      </c>
      <c r="BD103" s="49" t="str">
        <f>IFERROR($BC$2&amp;VLOOKUP(F105,'Pay Table'!$M$3:$N$18,2,FALSE)&amp;$BB$2&amp;G105&amp;$BD$2,"")</f>
        <v/>
      </c>
      <c r="BE103" s="49" t="str">
        <f>IFERROR($BC$2&amp;VLOOKUP(H105,'Pay Table'!$M$3:$N$18,2,FALSE)&amp;$BB$2&amp;I105&amp;$BD$2,"")</f>
        <v/>
      </c>
      <c r="BF103" s="60" t="str">
        <f>IFERROR($BC$2&amp;VLOOKUP(J105,'Pay Table'!$M$3:$N$18,2,FALSE)&amp;$BB$2&amp;K105&amp;$BD$2,"")</f>
        <v/>
      </c>
    </row>
    <row r="104" spans="1:58" ht="17.100000000000001" customHeight="1" x14ac:dyDescent="0.15">
      <c r="A104" s="14">
        <v>100</v>
      </c>
      <c r="O104" s="1">
        <f>O102*'Base Game '!Q148</f>
        <v>7.3491508372880909E-4</v>
      </c>
      <c r="P104" s="1">
        <f>P102*'Base Game '!S148</f>
        <v>2.5227590105247211E-3</v>
      </c>
      <c r="BB104" s="59" t="str">
        <f>IFERROR($BC$2&amp;VLOOKUP(B106,'Pay Table'!$M$3:$N$18,2,FALSE)&amp;$BB$2&amp;C106&amp;$BD$2,"")</f>
        <v/>
      </c>
      <c r="BC104" s="49" t="str">
        <f>IFERROR($BC$2&amp;VLOOKUP(D106,'Pay Table'!$M$3:$N$18,2,FALSE)&amp;$BB$2&amp;E106&amp;$BD$2,"")</f>
        <v/>
      </c>
      <c r="BD104" s="49" t="str">
        <f>IFERROR($BC$2&amp;VLOOKUP(F106,'Pay Table'!$M$3:$N$18,2,FALSE)&amp;$BB$2&amp;G106&amp;$BD$2,"")</f>
        <v/>
      </c>
      <c r="BE104" s="49" t="str">
        <f>IFERROR($BC$2&amp;VLOOKUP(H106,'Pay Table'!$M$3:$N$18,2,FALSE)&amp;$BB$2&amp;I106&amp;$BD$2,"")</f>
        <v/>
      </c>
      <c r="BF104" s="60" t="str">
        <f>IFERROR($BC$2&amp;VLOOKUP(J106,'Pay Table'!$M$3:$N$18,2,FALSE)&amp;$BB$2&amp;K106&amp;$BD$2,"")</f>
        <v/>
      </c>
    </row>
    <row r="105" spans="1:58" ht="17.100000000000001" customHeight="1" x14ac:dyDescent="0.15">
      <c r="A105" s="14">
        <v>101</v>
      </c>
      <c r="N105" s="1" t="s">
        <v>149</v>
      </c>
      <c r="O105" s="1">
        <f>P105+0.007</f>
        <v>0.15543157280913253</v>
      </c>
      <c r="P105" s="1">
        <f>O106*'Base Game '!O163*O107</f>
        <v>0.14843157280913252</v>
      </c>
      <c r="BB105" s="59" t="str">
        <f>IFERROR($BC$2&amp;VLOOKUP(B107,'Pay Table'!$M$3:$N$18,2,FALSE)&amp;$BB$2&amp;C107&amp;$BD$2,"")</f>
        <v/>
      </c>
      <c r="BC105" s="49" t="str">
        <f>IFERROR($BC$2&amp;VLOOKUP(D107,'Pay Table'!$M$3:$N$18,2,FALSE)&amp;$BB$2&amp;E107&amp;$BD$2,"")</f>
        <v/>
      </c>
      <c r="BD105" s="49" t="str">
        <f>IFERROR($BC$2&amp;VLOOKUP(F107,'Pay Table'!$M$3:$N$18,2,FALSE)&amp;$BB$2&amp;G107&amp;$BD$2,"")</f>
        <v/>
      </c>
      <c r="BE105" s="49" t="str">
        <f>IFERROR($BC$2&amp;VLOOKUP(H107,'Pay Table'!$M$3:$N$18,2,FALSE)&amp;$BB$2&amp;I107&amp;$BD$2,"")</f>
        <v/>
      </c>
      <c r="BF105" s="60" t="str">
        <f>IFERROR($BC$2&amp;VLOOKUP(J107,'Pay Table'!$M$3:$N$18,2,FALSE)&amp;$BB$2&amp;K107&amp;$BD$2,"")</f>
        <v/>
      </c>
    </row>
    <row r="106" spans="1:58" ht="17.100000000000001" customHeight="1" x14ac:dyDescent="0.15">
      <c r="A106" s="14">
        <v>102</v>
      </c>
      <c r="N106" s="1" t="s">
        <v>118</v>
      </c>
      <c r="O106" s="1">
        <f>SUM(O80:W89)/(O22*'Pay Table'!B2)</f>
        <v>2.7786981351821849</v>
      </c>
      <c r="BB106" s="59" t="str">
        <f>IFERROR($BC$2&amp;VLOOKUP(B108,'Pay Table'!$M$3:$N$18,2,FALSE)&amp;$BB$2&amp;C108&amp;$BD$2,"")</f>
        <v/>
      </c>
      <c r="BC106" s="49" t="str">
        <f>IFERROR($BC$2&amp;VLOOKUP(D108,'Pay Table'!$M$3:$N$18,2,FALSE)&amp;$BB$2&amp;E108&amp;$BD$2,"")</f>
        <v/>
      </c>
      <c r="BD106" s="49" t="str">
        <f>IFERROR($BC$2&amp;VLOOKUP(F108,'Pay Table'!$M$3:$N$18,2,FALSE)&amp;$BB$2&amp;G108&amp;$BD$2,"")</f>
        <v/>
      </c>
      <c r="BE106" s="49" t="str">
        <f>IFERROR($BC$2&amp;VLOOKUP(H108,'Pay Table'!$M$3:$N$18,2,FALSE)&amp;$BB$2&amp;I108&amp;$BD$2,"")</f>
        <v/>
      </c>
      <c r="BF106" s="60" t="str">
        <f>IFERROR($BC$2&amp;VLOOKUP(J108,'Pay Table'!$M$3:$N$18,2,FALSE)&amp;$BB$2&amp;K108&amp;$BD$2,"")</f>
        <v/>
      </c>
    </row>
    <row r="107" spans="1:58" ht="17.100000000000001" customHeight="1" x14ac:dyDescent="0.15">
      <c r="A107" s="14">
        <v>103</v>
      </c>
      <c r="N107" s="1" t="s">
        <v>117</v>
      </c>
      <c r="O107" s="1">
        <f>SUMPRODUCT('Pay Table'!U4:X4,'Base Game '!O132:R132)</f>
        <v>8.4583333333333339</v>
      </c>
      <c r="BB107" s="59" t="str">
        <f>IFERROR($BC$2&amp;VLOOKUP(B109,'Pay Table'!$M$3:$N$18,2,FALSE)&amp;$BB$2&amp;C109&amp;$BD$2,"")</f>
        <v/>
      </c>
      <c r="BC107" s="49" t="str">
        <f>IFERROR($BC$2&amp;VLOOKUP(D109,'Pay Table'!$M$3:$N$18,2,FALSE)&amp;$BB$2&amp;E109&amp;$BD$2,"")</f>
        <v/>
      </c>
      <c r="BD107" s="49" t="str">
        <f>IFERROR($BC$2&amp;VLOOKUP(F109,'Pay Table'!$M$3:$N$18,2,FALSE)&amp;$BB$2&amp;G109&amp;$BD$2,"")</f>
        <v/>
      </c>
      <c r="BE107" s="49" t="str">
        <f>IFERROR($BC$2&amp;VLOOKUP(H109,'Pay Table'!$M$3:$N$18,2,FALSE)&amp;$BB$2&amp;I109&amp;$BD$2,"")</f>
        <v/>
      </c>
      <c r="BF107" s="60" t="str">
        <f>IFERROR($BC$2&amp;VLOOKUP(J109,'Pay Table'!$M$3:$N$18,2,FALSE)&amp;$BB$2&amp;K109&amp;$BD$2,"")</f>
        <v/>
      </c>
    </row>
    <row r="108" spans="1:58" ht="17.100000000000001" customHeight="1" x14ac:dyDescent="0.15">
      <c r="A108" s="14">
        <v>104</v>
      </c>
      <c r="N108" s="1" t="s">
        <v>154</v>
      </c>
      <c r="O108" s="1">
        <f>O106*O107</f>
        <v>23.503155060082648</v>
      </c>
      <c r="R108"/>
      <c r="S108"/>
      <c r="T108"/>
      <c r="BB108" s="59" t="str">
        <f>IFERROR($BC$2&amp;VLOOKUP(B110,'Pay Table'!$M$3:$N$18,2,FALSE)&amp;$BB$2&amp;C110&amp;$BD$2,"")</f>
        <v/>
      </c>
      <c r="BC108" s="49" t="str">
        <f>IFERROR($BC$2&amp;VLOOKUP(D110,'Pay Table'!$M$3:$N$18,2,FALSE)&amp;$BB$2&amp;E110&amp;$BD$2,"")</f>
        <v/>
      </c>
      <c r="BD108" s="49" t="str">
        <f>IFERROR($BC$2&amp;VLOOKUP(F110,'Pay Table'!$M$3:$N$18,2,FALSE)&amp;$BB$2&amp;G110&amp;$BD$2,"")</f>
        <v/>
      </c>
      <c r="BE108" s="49" t="str">
        <f>IFERROR($BC$2&amp;VLOOKUP(H110,'Pay Table'!$M$3:$N$18,2,FALSE)&amp;$BB$2&amp;I110&amp;$BD$2,"")</f>
        <v/>
      </c>
      <c r="BF108" s="60" t="str">
        <f>IFERROR($BC$2&amp;VLOOKUP(J110,'Pay Table'!$M$3:$N$18,2,FALSE)&amp;$BB$2&amp;K110&amp;$BD$2,"")</f>
        <v/>
      </c>
    </row>
    <row r="109" spans="1:58" ht="17.100000000000001" customHeight="1" x14ac:dyDescent="0.15">
      <c r="A109" s="14">
        <v>105</v>
      </c>
      <c r="P109"/>
      <c r="R109"/>
      <c r="S109"/>
      <c r="T109"/>
      <c r="BB109" s="59" t="str">
        <f>IFERROR($BC$2&amp;VLOOKUP(B111,'Pay Table'!$M$3:$N$18,2,FALSE)&amp;$BB$2&amp;C111&amp;$BD$2,"")</f>
        <v/>
      </c>
      <c r="BC109" s="49" t="str">
        <f>IFERROR($BC$2&amp;VLOOKUP(D111,'Pay Table'!$M$3:$N$18,2,FALSE)&amp;$BB$2&amp;E111&amp;$BD$2,"")</f>
        <v/>
      </c>
      <c r="BD109" s="49" t="str">
        <f>IFERROR($BC$2&amp;VLOOKUP(F111,'Pay Table'!$M$3:$N$18,2,FALSE)&amp;$BB$2&amp;G111&amp;$BD$2,"")</f>
        <v/>
      </c>
      <c r="BE109" s="49" t="str">
        <f>IFERROR($BC$2&amp;VLOOKUP(H111,'Pay Table'!$M$3:$N$18,2,FALSE)&amp;$BB$2&amp;I111&amp;$BD$2,"")</f>
        <v/>
      </c>
      <c r="BF109" s="60" t="str">
        <f>IFERROR($BC$2&amp;VLOOKUP(J111,'Pay Table'!$M$3:$N$18,2,FALSE)&amp;$BB$2&amp;K111&amp;$BD$2,"")</f>
        <v/>
      </c>
    </row>
    <row r="110" spans="1:58" ht="17.100000000000001" customHeight="1" x14ac:dyDescent="0.15">
      <c r="A110" s="14">
        <v>106</v>
      </c>
      <c r="N110" s="1" t="s">
        <v>302</v>
      </c>
      <c r="O110" s="1">
        <f>O111*O107*O113*'Base Game '!O163</f>
        <v>5.0012123560342785E-2</v>
      </c>
      <c r="P110"/>
      <c r="R110"/>
      <c r="S110"/>
      <c r="T110"/>
      <c r="BB110" s="59" t="str">
        <f>IFERROR($BC$2&amp;VLOOKUP(B112,'Pay Table'!$M$3:$N$18,2,FALSE)&amp;$BB$2&amp;C112&amp;$BD$2,"")</f>
        <v/>
      </c>
      <c r="BC110" s="49" t="str">
        <f>IFERROR($BC$2&amp;VLOOKUP(D112,'Pay Table'!$M$3:$N$18,2,FALSE)&amp;$BB$2&amp;E112&amp;$BD$2,"")</f>
        <v/>
      </c>
      <c r="BD110" s="49" t="str">
        <f>IFERROR($BC$2&amp;VLOOKUP(F112,'Pay Table'!$M$3:$N$18,2,FALSE)&amp;$BB$2&amp;G112&amp;$BD$2,"")</f>
        <v/>
      </c>
      <c r="BE110" s="49" t="str">
        <f>IFERROR($BC$2&amp;VLOOKUP(H112,'Pay Table'!$M$3:$N$18,2,FALSE)&amp;$BB$2&amp;I112&amp;$BD$2,"")</f>
        <v/>
      </c>
      <c r="BF110" s="60" t="str">
        <f>IFERROR($BC$2&amp;VLOOKUP(J112,'Pay Table'!$M$3:$N$18,2,FALSE)&amp;$BB$2&amp;K112&amp;$BD$2,"")</f>
        <v/>
      </c>
    </row>
    <row r="111" spans="1:58" ht="17.100000000000001" customHeight="1" x14ac:dyDescent="0.15">
      <c r="A111" s="14">
        <v>107</v>
      </c>
      <c r="N111" s="1" t="s">
        <v>210</v>
      </c>
      <c r="O111" s="1">
        <f>SUM(Q102:AC102)+O104+P104</f>
        <v>2.2061040933857703E-2</v>
      </c>
      <c r="P111"/>
      <c r="R111"/>
      <c r="S111"/>
      <c r="T111"/>
      <c r="BB111" s="59" t="str">
        <f>IFERROR($BC$2&amp;VLOOKUP(B113,'Pay Table'!$M$3:$N$18,2,FALSE)&amp;$BB$2&amp;C113&amp;$BD$2,"")</f>
        <v/>
      </c>
      <c r="BC111" s="49" t="str">
        <f>IFERROR($BC$2&amp;VLOOKUP(D113,'Pay Table'!$M$3:$N$18,2,FALSE)&amp;$BB$2&amp;E113&amp;$BD$2,"")</f>
        <v/>
      </c>
      <c r="BD111" s="49" t="str">
        <f>IFERROR($BC$2&amp;VLOOKUP(F113,'Pay Table'!$M$3:$N$18,2,FALSE)&amp;$BB$2&amp;G113&amp;$BD$2,"")</f>
        <v/>
      </c>
      <c r="BE111" s="49" t="str">
        <f>IFERROR($BC$2&amp;VLOOKUP(H113,'Pay Table'!$M$3:$N$18,2,FALSE)&amp;$BB$2&amp;I113&amp;$BD$2,"")</f>
        <v/>
      </c>
      <c r="BF111" s="60" t="str">
        <f>IFERROR($BC$2&amp;VLOOKUP(J113,'Pay Table'!$M$3:$N$18,2,FALSE)&amp;$BB$2&amp;K113&amp;$BD$2,"")</f>
        <v/>
      </c>
    </row>
    <row r="112" spans="1:58" ht="17.100000000000001" customHeight="1" x14ac:dyDescent="0.15">
      <c r="A112" s="14">
        <v>108</v>
      </c>
      <c r="N112" s="1" t="s">
        <v>212</v>
      </c>
      <c r="O112" s="1">
        <f>1/O111</f>
        <v>45.328776778854156</v>
      </c>
      <c r="P112"/>
      <c r="R112"/>
      <c r="S112"/>
      <c r="T112"/>
      <c r="BB112" s="59" t="str">
        <f>IFERROR($BC$2&amp;VLOOKUP(B114,'Pay Table'!$M$3:$N$18,2,FALSE)&amp;$BB$2&amp;C114&amp;$BD$2,"")</f>
        <v/>
      </c>
      <c r="BC112" s="49" t="str">
        <f>IFERROR($BC$2&amp;VLOOKUP(D114,'Pay Table'!$M$3:$N$18,2,FALSE)&amp;$BB$2&amp;E114&amp;$BD$2,"")</f>
        <v/>
      </c>
      <c r="BD112" s="49" t="str">
        <f>IFERROR($BC$2&amp;VLOOKUP(F114,'Pay Table'!$M$3:$N$18,2,FALSE)&amp;$BB$2&amp;G114&amp;$BD$2,"")</f>
        <v/>
      </c>
      <c r="BE112" s="49" t="str">
        <f>IFERROR($BC$2&amp;VLOOKUP(H114,'Pay Table'!$M$3:$N$18,2,FALSE)&amp;$BB$2&amp;I114&amp;$BD$2,"")</f>
        <v/>
      </c>
      <c r="BF112" s="60" t="str">
        <f>IFERROR($BC$2&amp;VLOOKUP(J114,'Pay Table'!$M$3:$N$18,2,FALSE)&amp;$BB$2&amp;K114&amp;$BD$2,"")</f>
        <v/>
      </c>
    </row>
    <row r="113" spans="1:58" ht="17.100000000000001" customHeight="1" x14ac:dyDescent="0.15">
      <c r="A113" s="14">
        <v>109</v>
      </c>
      <c r="N113" s="1" t="s">
        <v>244</v>
      </c>
      <c r="O113" s="1">
        <v>42.438925081433226</v>
      </c>
      <c r="P113"/>
      <c r="BB113" s="59" t="str">
        <f>IFERROR($BC$2&amp;VLOOKUP(B115,'Pay Table'!$M$3:$N$18,2,FALSE)&amp;$BB$2&amp;C115&amp;$BD$2,"")</f>
        <v/>
      </c>
      <c r="BC113" s="49" t="str">
        <f>IFERROR($BC$2&amp;VLOOKUP(D115,'Pay Table'!$M$3:$N$18,2,FALSE)&amp;$BB$2&amp;E115&amp;$BD$2,"")</f>
        <v/>
      </c>
      <c r="BD113" s="49" t="str">
        <f>IFERROR($BC$2&amp;VLOOKUP(F115,'Pay Table'!$M$3:$N$18,2,FALSE)&amp;$BB$2&amp;G115&amp;$BD$2,"")</f>
        <v/>
      </c>
      <c r="BE113" s="49" t="str">
        <f>IFERROR($BC$2&amp;VLOOKUP(H115,'Pay Table'!$M$3:$N$18,2,FALSE)&amp;$BB$2&amp;I115&amp;$BD$2,"")</f>
        <v/>
      </c>
      <c r="BF113" s="60" t="str">
        <f>IFERROR($BC$2&amp;VLOOKUP(J115,'Pay Table'!$M$3:$N$18,2,FALSE)&amp;$BB$2&amp;K115&amp;$BD$2,"")</f>
        <v/>
      </c>
    </row>
    <row r="114" spans="1:58" ht="17.100000000000001" customHeight="1" x14ac:dyDescent="0.15">
      <c r="A114" s="14">
        <v>110</v>
      </c>
      <c r="P114"/>
      <c r="BB114" s="59" t="str">
        <f>IFERROR($BC$2&amp;VLOOKUP(B116,'Pay Table'!$M$3:$N$18,2,FALSE)&amp;$BB$2&amp;C116&amp;$BD$2,"")</f>
        <v/>
      </c>
      <c r="BC114" s="49" t="str">
        <f>IFERROR($BC$2&amp;VLOOKUP(D116,'Pay Table'!$M$3:$N$18,2,FALSE)&amp;$BB$2&amp;E116&amp;$BD$2,"")</f>
        <v/>
      </c>
      <c r="BD114" s="49" t="str">
        <f>IFERROR($BC$2&amp;VLOOKUP(F116,'Pay Table'!$M$3:$N$18,2,FALSE)&amp;$BB$2&amp;G116&amp;$BD$2,"")</f>
        <v/>
      </c>
      <c r="BE114" s="49" t="str">
        <f>IFERROR($BC$2&amp;VLOOKUP(H116,'Pay Table'!$M$3:$N$18,2,FALSE)&amp;$BB$2&amp;I116&amp;$BD$2,"")</f>
        <v/>
      </c>
      <c r="BF114" s="60" t="str">
        <f>IFERROR($BC$2&amp;VLOOKUP(J116,'Pay Table'!$M$3:$N$18,2,FALSE)&amp;$BB$2&amp;K116&amp;$BD$2,"")</f>
        <v/>
      </c>
    </row>
    <row r="115" spans="1:58" ht="17.100000000000001" customHeight="1" x14ac:dyDescent="0.15">
      <c r="A115" s="14">
        <v>111</v>
      </c>
      <c r="P115"/>
      <c r="BB115" s="59" t="str">
        <f>IFERROR($BC$2&amp;VLOOKUP(B117,'Pay Table'!$M$3:$N$18,2,FALSE)&amp;$BB$2&amp;C117&amp;$BD$2,"")</f>
        <v/>
      </c>
      <c r="BC115" s="49" t="str">
        <f>IFERROR($BC$2&amp;VLOOKUP(D117,'Pay Table'!$M$3:$N$18,2,FALSE)&amp;$BB$2&amp;E117&amp;$BD$2,"")</f>
        <v/>
      </c>
      <c r="BD115" s="49" t="str">
        <f>IFERROR($BC$2&amp;VLOOKUP(F117,'Pay Table'!$M$3:$N$18,2,FALSE)&amp;$BB$2&amp;G117&amp;$BD$2,"")</f>
        <v/>
      </c>
      <c r="BE115" s="49" t="str">
        <f>IFERROR($BC$2&amp;VLOOKUP(H117,'Pay Table'!$M$3:$N$18,2,FALSE)&amp;$BB$2&amp;I117&amp;$BD$2,"")</f>
        <v/>
      </c>
      <c r="BF115" s="60" t="str">
        <f>IFERROR($BC$2&amp;VLOOKUP(J117,'Pay Table'!$M$3:$N$18,2,FALSE)&amp;$BB$2&amp;K117&amp;$BD$2,"")</f>
        <v/>
      </c>
    </row>
    <row r="116" spans="1:58" ht="17.100000000000001" customHeight="1" x14ac:dyDescent="0.15">
      <c r="A116" s="14">
        <v>112</v>
      </c>
      <c r="O116"/>
      <c r="P116"/>
      <c r="Q116"/>
      <c r="R116"/>
      <c r="BB116" s="59" t="str">
        <f>IFERROR($BC$2&amp;VLOOKUP(B118,'Pay Table'!$M$3:$N$18,2,FALSE)&amp;$BB$2&amp;C118&amp;$BD$2,"")</f>
        <v/>
      </c>
      <c r="BC116" s="49" t="str">
        <f>IFERROR($BC$2&amp;VLOOKUP(D118,'Pay Table'!$M$3:$N$18,2,FALSE)&amp;$BB$2&amp;E118&amp;$BD$2,"")</f>
        <v/>
      </c>
      <c r="BD116" s="49" t="str">
        <f>IFERROR($BC$2&amp;VLOOKUP(F118,'Pay Table'!$M$3:$N$18,2,FALSE)&amp;$BB$2&amp;G118&amp;$BD$2,"")</f>
        <v/>
      </c>
      <c r="BE116" s="49" t="str">
        <f>IFERROR($BC$2&amp;VLOOKUP(H118,'Pay Table'!$M$3:$N$18,2,FALSE)&amp;$BB$2&amp;I118&amp;$BD$2,"")</f>
        <v/>
      </c>
      <c r="BF116" s="60" t="str">
        <f>IFERROR($BC$2&amp;VLOOKUP(J118,'Pay Table'!$M$3:$N$18,2,FALSE)&amp;$BB$2&amp;K118&amp;$BD$2,"")</f>
        <v/>
      </c>
    </row>
    <row r="117" spans="1:58" ht="17.100000000000001" customHeight="1" x14ac:dyDescent="0.15">
      <c r="A117" s="14">
        <v>113</v>
      </c>
      <c r="O117"/>
      <c r="P117"/>
      <c r="Q117"/>
      <c r="R117"/>
      <c r="BB117" s="59" t="str">
        <f>IFERROR($BC$2&amp;VLOOKUP(B119,'Pay Table'!$M$3:$N$18,2,FALSE)&amp;$BB$2&amp;C119&amp;$BD$2,"")</f>
        <v/>
      </c>
      <c r="BC117" s="49" t="str">
        <f>IFERROR($BC$2&amp;VLOOKUP(D119,'Pay Table'!$M$3:$N$18,2,FALSE)&amp;$BB$2&amp;E119&amp;$BD$2,"")</f>
        <v/>
      </c>
      <c r="BD117" s="49" t="str">
        <f>IFERROR($BC$2&amp;VLOOKUP(F119,'Pay Table'!$M$3:$N$18,2,FALSE)&amp;$BB$2&amp;G119&amp;$BD$2,"")</f>
        <v/>
      </c>
      <c r="BE117" s="49" t="str">
        <f>IFERROR($BC$2&amp;VLOOKUP(H119,'Pay Table'!$M$3:$N$18,2,FALSE)&amp;$BB$2&amp;I119&amp;$BD$2,"")</f>
        <v/>
      </c>
      <c r="BF117" s="60" t="str">
        <f>IFERROR($BC$2&amp;VLOOKUP(J119,'Pay Table'!$M$3:$N$18,2,FALSE)&amp;$BB$2&amp;K119&amp;$BD$2,"")</f>
        <v/>
      </c>
    </row>
    <row r="118" spans="1:58" ht="17.100000000000001" customHeight="1" x14ac:dyDescent="0.15">
      <c r="A118" s="14">
        <v>114</v>
      </c>
      <c r="O118"/>
      <c r="P118"/>
      <c r="Q118"/>
      <c r="R118"/>
      <c r="BB118" s="59" t="str">
        <f>IFERROR($BC$2&amp;VLOOKUP(B120,'Pay Table'!$M$3:$N$18,2,FALSE)&amp;$BB$2&amp;C120&amp;$BD$2,"")</f>
        <v/>
      </c>
      <c r="BC118" s="49" t="str">
        <f>IFERROR($BC$2&amp;VLOOKUP(D120,'Pay Table'!$M$3:$N$18,2,FALSE)&amp;$BB$2&amp;E120&amp;$BD$2,"")</f>
        <v/>
      </c>
      <c r="BD118" s="49" t="str">
        <f>IFERROR($BC$2&amp;VLOOKUP(F120,'Pay Table'!$M$3:$N$18,2,FALSE)&amp;$BB$2&amp;G120&amp;$BD$2,"")</f>
        <v/>
      </c>
      <c r="BE118" s="49" t="str">
        <f>IFERROR($BC$2&amp;VLOOKUP(H120,'Pay Table'!$M$3:$N$18,2,FALSE)&amp;$BB$2&amp;I120&amp;$BD$2,"")</f>
        <v/>
      </c>
      <c r="BF118" s="60" t="str">
        <f>IFERROR($BC$2&amp;VLOOKUP(J120,'Pay Table'!$M$3:$N$18,2,FALSE)&amp;$BB$2&amp;K120&amp;$BD$2,"")</f>
        <v/>
      </c>
    </row>
    <row r="119" spans="1:58" ht="17.100000000000001" customHeight="1" x14ac:dyDescent="0.15">
      <c r="A119" s="14">
        <v>115</v>
      </c>
      <c r="O119"/>
      <c r="P119"/>
      <c r="Q119"/>
      <c r="R119"/>
      <c r="BB119" s="59" t="str">
        <f>IFERROR($BC$2&amp;VLOOKUP(B121,'Pay Table'!$M$3:$N$18,2,FALSE)&amp;$BB$2&amp;C121&amp;$BD$2,"")</f>
        <v/>
      </c>
      <c r="BC119" s="49" t="str">
        <f>IFERROR($BC$2&amp;VLOOKUP(D121,'Pay Table'!$M$3:$N$18,2,FALSE)&amp;$BB$2&amp;E121&amp;$BD$2,"")</f>
        <v/>
      </c>
      <c r="BD119" s="49" t="str">
        <f>IFERROR($BC$2&amp;VLOOKUP(F121,'Pay Table'!$M$3:$N$18,2,FALSE)&amp;$BB$2&amp;G121&amp;$BD$2,"")</f>
        <v/>
      </c>
      <c r="BE119" s="49" t="str">
        <f>IFERROR($BC$2&amp;VLOOKUP(H121,'Pay Table'!$M$3:$N$18,2,FALSE)&amp;$BB$2&amp;I121&amp;$BD$2,"")</f>
        <v/>
      </c>
      <c r="BF119" s="60" t="str">
        <f>IFERROR($BC$2&amp;VLOOKUP(J121,'Pay Table'!$M$3:$N$18,2,FALSE)&amp;$BB$2&amp;K121&amp;$BD$2,"")</f>
        <v/>
      </c>
    </row>
    <row r="120" spans="1:58" ht="17.100000000000001" customHeight="1" x14ac:dyDescent="0.15">
      <c r="A120" s="14">
        <v>116</v>
      </c>
      <c r="O120"/>
      <c r="P120"/>
      <c r="Q120"/>
      <c r="R120"/>
      <c r="BB120" s="59" t="str">
        <f>IFERROR($BC$2&amp;VLOOKUP(B122,'Pay Table'!$M$3:$N$18,2,FALSE)&amp;$BB$2&amp;C122&amp;$BD$2,"")</f>
        <v/>
      </c>
      <c r="BC120" s="49" t="str">
        <f>IFERROR($BC$2&amp;VLOOKUP(D122,'Pay Table'!$M$3:$N$18,2,FALSE)&amp;$BB$2&amp;E122&amp;$BD$2,"")</f>
        <v/>
      </c>
      <c r="BD120" s="49" t="str">
        <f>IFERROR($BC$2&amp;VLOOKUP(F122,'Pay Table'!$M$3:$N$18,2,FALSE)&amp;$BB$2&amp;G122&amp;$BD$2,"")</f>
        <v/>
      </c>
      <c r="BE120" s="49" t="str">
        <f>IFERROR($BC$2&amp;VLOOKUP(H122,'Pay Table'!$M$3:$N$18,2,FALSE)&amp;$BB$2&amp;I122&amp;$BD$2,"")</f>
        <v/>
      </c>
      <c r="BF120" s="60" t="str">
        <f>IFERROR($BC$2&amp;VLOOKUP(J122,'Pay Table'!$M$3:$N$18,2,FALSE)&amp;$BB$2&amp;K122&amp;$BD$2,"")</f>
        <v/>
      </c>
    </row>
    <row r="121" spans="1:58" ht="17.100000000000001" customHeight="1" x14ac:dyDescent="0.15">
      <c r="A121" s="14">
        <v>117</v>
      </c>
      <c r="BB121" s="59" t="str">
        <f>IFERROR($BC$2&amp;VLOOKUP(B123,'Pay Table'!$M$3:$N$18,2,FALSE)&amp;$BB$2&amp;C123&amp;$BD$2,"")</f>
        <v/>
      </c>
      <c r="BC121" s="49" t="str">
        <f>IFERROR($BC$2&amp;VLOOKUP(D123,'Pay Table'!$M$3:$N$18,2,FALSE)&amp;$BB$2&amp;E123&amp;$BD$2,"")</f>
        <v/>
      </c>
      <c r="BD121" s="49" t="str">
        <f>IFERROR($BC$2&amp;VLOOKUP(F123,'Pay Table'!$M$3:$N$18,2,FALSE)&amp;$BB$2&amp;G123&amp;$BD$2,"")</f>
        <v/>
      </c>
      <c r="BE121" s="49" t="str">
        <f>IFERROR($BC$2&amp;VLOOKUP(H123,'Pay Table'!$M$3:$N$18,2,FALSE)&amp;$BB$2&amp;I123&amp;$BD$2,"")</f>
        <v/>
      </c>
      <c r="BF121" s="60" t="str">
        <f>IFERROR($BC$2&amp;VLOOKUP(J123,'Pay Table'!$M$3:$N$18,2,FALSE)&amp;$BB$2&amp;K123&amp;$BD$2,"")</f>
        <v/>
      </c>
    </row>
    <row r="122" spans="1:58" ht="17.100000000000001" customHeight="1" x14ac:dyDescent="0.15">
      <c r="A122" s="14">
        <v>118</v>
      </c>
      <c r="BB122" s="59" t="str">
        <f>IFERROR($BC$2&amp;VLOOKUP(B124,'Pay Table'!$M$3:$N$18,2,FALSE)&amp;$BB$2&amp;C124&amp;$BD$2,"")</f>
        <v/>
      </c>
      <c r="BC122" s="49" t="str">
        <f>IFERROR($BC$2&amp;VLOOKUP(D124,'Pay Table'!$M$3:$N$18,2,FALSE)&amp;$BB$2&amp;E124&amp;$BD$2,"")</f>
        <v/>
      </c>
      <c r="BD122" s="49" t="str">
        <f>IFERROR($BC$2&amp;VLOOKUP(F124,'Pay Table'!$M$3:$N$18,2,FALSE)&amp;$BB$2&amp;G124&amp;$BD$2,"")</f>
        <v/>
      </c>
      <c r="BE122" s="49" t="str">
        <f>IFERROR($BC$2&amp;VLOOKUP(H124,'Pay Table'!$M$3:$N$18,2,FALSE)&amp;$BB$2&amp;I124&amp;$BD$2,"")</f>
        <v/>
      </c>
      <c r="BF122" s="60" t="str">
        <f>IFERROR($BC$2&amp;VLOOKUP(J124,'Pay Table'!$M$3:$N$18,2,FALSE)&amp;$BB$2&amp;K124&amp;$BD$2,"")</f>
        <v/>
      </c>
    </row>
    <row r="123" spans="1:58" ht="17.100000000000001" customHeight="1" x14ac:dyDescent="0.15">
      <c r="A123" s="14">
        <v>119</v>
      </c>
      <c r="BB123" s="59" t="str">
        <f>IFERROR($BC$2&amp;VLOOKUP(B125,'Pay Table'!$M$3:$N$18,2,FALSE)&amp;$BB$2&amp;C125&amp;$BD$2,"")</f>
        <v/>
      </c>
      <c r="BC123" s="49" t="str">
        <f>IFERROR($BC$2&amp;VLOOKUP(D125,'Pay Table'!$M$3:$N$18,2,FALSE)&amp;$BB$2&amp;E125&amp;$BD$2,"")</f>
        <v/>
      </c>
      <c r="BD123" s="49" t="str">
        <f>IFERROR($BC$2&amp;VLOOKUP(F125,'Pay Table'!$M$3:$N$18,2,FALSE)&amp;$BB$2&amp;G125&amp;$BD$2,"")</f>
        <v/>
      </c>
      <c r="BE123" s="49" t="str">
        <f>IFERROR($BC$2&amp;VLOOKUP(H125,'Pay Table'!$M$3:$N$18,2,FALSE)&amp;$BB$2&amp;I125&amp;$BD$2,"")</f>
        <v/>
      </c>
      <c r="BF123" s="60" t="str">
        <f>IFERROR($BC$2&amp;VLOOKUP(J125,'Pay Table'!$M$3:$N$18,2,FALSE)&amp;$BB$2&amp;K125&amp;$BD$2,"")</f>
        <v/>
      </c>
    </row>
    <row r="124" spans="1:58" ht="17.100000000000001" customHeight="1" x14ac:dyDescent="0.15">
      <c r="A124" s="14">
        <v>120</v>
      </c>
      <c r="BB124" s="59" t="str">
        <f>IFERROR($BC$2&amp;VLOOKUP(B126,'Pay Table'!$M$3:$N$18,2,FALSE)&amp;$BB$2&amp;C126&amp;$BD$2,"")</f>
        <v/>
      </c>
      <c r="BC124" s="49" t="str">
        <f>IFERROR($BC$2&amp;VLOOKUP(D126,'Pay Table'!$M$3:$N$18,2,FALSE)&amp;$BB$2&amp;E126&amp;$BD$2,"")</f>
        <v/>
      </c>
      <c r="BD124" s="49" t="str">
        <f>IFERROR($BC$2&amp;VLOOKUP(F126,'Pay Table'!$M$3:$N$18,2,FALSE)&amp;$BB$2&amp;G126&amp;$BD$2,"")</f>
        <v/>
      </c>
      <c r="BE124" s="49" t="str">
        <f>IFERROR($BC$2&amp;VLOOKUP(H126,'Pay Table'!$M$3:$N$18,2,FALSE)&amp;$BB$2&amp;I126&amp;$BD$2,"")</f>
        <v/>
      </c>
      <c r="BF124" s="60" t="str">
        <f>IFERROR($BC$2&amp;VLOOKUP(J126,'Pay Table'!$M$3:$N$18,2,FALSE)&amp;$BB$2&amp;K126&amp;$BD$2,"")</f>
        <v/>
      </c>
    </row>
    <row r="125" spans="1:58" ht="17.100000000000001" customHeight="1" x14ac:dyDescent="0.15">
      <c r="A125" s="14">
        <v>121</v>
      </c>
      <c r="BB125" s="59" t="str">
        <f>IFERROR($BC$2&amp;VLOOKUP(B127,'Pay Table'!$M$3:$N$18,2,FALSE)&amp;$BB$2&amp;C127&amp;$BD$2,"")</f>
        <v/>
      </c>
      <c r="BC125" s="49" t="str">
        <f>IFERROR($BC$2&amp;VLOOKUP(D127,'Pay Table'!$M$3:$N$18,2,FALSE)&amp;$BB$2&amp;E127&amp;$BD$2,"")</f>
        <v/>
      </c>
      <c r="BD125" s="49" t="str">
        <f>IFERROR($BC$2&amp;VLOOKUP(F127,'Pay Table'!$M$3:$N$18,2,FALSE)&amp;$BB$2&amp;G127&amp;$BD$2,"")</f>
        <v/>
      </c>
      <c r="BE125" s="49" t="str">
        <f>IFERROR($BC$2&amp;VLOOKUP(H127,'Pay Table'!$M$3:$N$18,2,FALSE)&amp;$BB$2&amp;I127&amp;$BD$2,"")</f>
        <v/>
      </c>
      <c r="BF125" s="60" t="str">
        <f>IFERROR($BC$2&amp;VLOOKUP(J127,'Pay Table'!$M$3:$N$18,2,FALSE)&amp;$BB$2&amp;K127&amp;$BD$2,"")</f>
        <v/>
      </c>
    </row>
    <row r="126" spans="1:58" ht="17.100000000000001" customHeight="1" x14ac:dyDescent="0.15">
      <c r="A126" s="14">
        <v>122</v>
      </c>
      <c r="BB126" s="59" t="str">
        <f>IFERROR($BC$2&amp;VLOOKUP(B128,'Pay Table'!$M$3:$N$18,2,FALSE)&amp;$BB$2&amp;C128&amp;$BD$2,"")</f>
        <v/>
      </c>
      <c r="BC126" s="49" t="str">
        <f>IFERROR($BC$2&amp;VLOOKUP(D128,'Pay Table'!$M$3:$N$18,2,FALSE)&amp;$BB$2&amp;E128&amp;$BD$2,"")</f>
        <v/>
      </c>
      <c r="BD126" s="49" t="str">
        <f>IFERROR($BC$2&amp;VLOOKUP(F128,'Pay Table'!$M$3:$N$18,2,FALSE)&amp;$BB$2&amp;G128&amp;$BD$2,"")</f>
        <v/>
      </c>
      <c r="BE126" s="49" t="str">
        <f>IFERROR($BC$2&amp;VLOOKUP(H128,'Pay Table'!$M$3:$N$18,2,FALSE)&amp;$BB$2&amp;I128&amp;$BD$2,"")</f>
        <v/>
      </c>
      <c r="BF126" s="60" t="str">
        <f>IFERROR($BC$2&amp;VLOOKUP(J128,'Pay Table'!$M$3:$N$18,2,FALSE)&amp;$BB$2&amp;K128&amp;$BD$2,"")</f>
        <v/>
      </c>
    </row>
    <row r="127" spans="1:58" ht="17.100000000000001" customHeight="1" x14ac:dyDescent="0.15">
      <c r="A127" s="14">
        <v>123</v>
      </c>
      <c r="BB127" s="59" t="str">
        <f>IFERROR($BC$2&amp;VLOOKUP(B129,'Pay Table'!$M$3:$N$18,2,FALSE)&amp;$BB$2&amp;C129&amp;$BD$2,"")</f>
        <v/>
      </c>
      <c r="BC127" s="49" t="str">
        <f>IFERROR($BC$2&amp;VLOOKUP(D129,'Pay Table'!$M$3:$N$18,2,FALSE)&amp;$BB$2&amp;E129&amp;$BD$2,"")</f>
        <v/>
      </c>
      <c r="BD127" s="49" t="str">
        <f>IFERROR($BC$2&amp;VLOOKUP(F129,'Pay Table'!$M$3:$N$18,2,FALSE)&amp;$BB$2&amp;G129&amp;$BD$2,"")</f>
        <v/>
      </c>
      <c r="BE127" s="49" t="str">
        <f>IFERROR($BC$2&amp;VLOOKUP(H129,'Pay Table'!$M$3:$N$18,2,FALSE)&amp;$BB$2&amp;I129&amp;$BD$2,"")</f>
        <v/>
      </c>
      <c r="BF127" s="60" t="str">
        <f>IFERROR($BC$2&amp;VLOOKUP(J129,'Pay Table'!$M$3:$N$18,2,FALSE)&amp;$BB$2&amp;K129&amp;$BD$2,"")</f>
        <v/>
      </c>
    </row>
    <row r="128" spans="1:58" ht="17.100000000000001" customHeight="1" x14ac:dyDescent="0.15">
      <c r="A128" s="14">
        <v>124</v>
      </c>
      <c r="BB128" s="59" t="str">
        <f>IFERROR($BC$2&amp;VLOOKUP(B130,'Pay Table'!$M$3:$N$18,2,FALSE)&amp;$BB$2&amp;C130&amp;$BD$2,"")</f>
        <v/>
      </c>
      <c r="BC128" s="49" t="str">
        <f>IFERROR($BC$2&amp;VLOOKUP(D130,'Pay Table'!$M$3:$N$18,2,FALSE)&amp;$BB$2&amp;E130&amp;$BD$2,"")</f>
        <v/>
      </c>
      <c r="BD128" s="49" t="str">
        <f>IFERROR($BC$2&amp;VLOOKUP(F130,'Pay Table'!$M$3:$N$18,2,FALSE)&amp;$BB$2&amp;G130&amp;$BD$2,"")</f>
        <v/>
      </c>
      <c r="BE128" s="49" t="str">
        <f>IFERROR($BC$2&amp;VLOOKUP(H130,'Pay Table'!$M$3:$N$18,2,FALSE)&amp;$BB$2&amp;I130&amp;$BD$2,"")</f>
        <v/>
      </c>
      <c r="BF128" s="60" t="str">
        <f>IFERROR($BC$2&amp;VLOOKUP(J130,'Pay Table'!$M$3:$N$18,2,FALSE)&amp;$BB$2&amp;K130&amp;$BD$2,"")</f>
        <v/>
      </c>
    </row>
    <row r="129" spans="1:58" ht="17.100000000000001" customHeight="1" x14ac:dyDescent="0.15">
      <c r="A129" s="14">
        <v>125</v>
      </c>
      <c r="BB129" s="59" t="str">
        <f>IFERROR($BC$2&amp;VLOOKUP(B131,'Pay Table'!$M$3:$N$18,2,FALSE)&amp;$BB$2&amp;C131&amp;$BD$2,"")</f>
        <v/>
      </c>
      <c r="BC129" s="49" t="str">
        <f>IFERROR($BC$2&amp;VLOOKUP(D131,'Pay Table'!$M$3:$N$18,2,FALSE)&amp;$BB$2&amp;E131&amp;$BD$2,"")</f>
        <v/>
      </c>
      <c r="BD129" s="49" t="str">
        <f>IFERROR($BC$2&amp;VLOOKUP(F131,'Pay Table'!$M$3:$N$18,2,FALSE)&amp;$BB$2&amp;G131&amp;$BD$2,"")</f>
        <v/>
      </c>
      <c r="BE129" s="49" t="str">
        <f>IFERROR($BC$2&amp;VLOOKUP(H131,'Pay Table'!$M$3:$N$18,2,FALSE)&amp;$BB$2&amp;I131&amp;$BD$2,"")</f>
        <v/>
      </c>
      <c r="BF129" s="60" t="str">
        <f>IFERROR($BC$2&amp;VLOOKUP(J131,'Pay Table'!$M$3:$N$18,2,FALSE)&amp;$BB$2&amp;K131&amp;$BD$2,"")</f>
        <v/>
      </c>
    </row>
    <row r="130" spans="1:58" ht="17.100000000000001" customHeight="1" x14ac:dyDescent="0.15">
      <c r="A130" s="14">
        <v>126</v>
      </c>
      <c r="BB130" s="59" t="str">
        <f>IFERROR($BC$2&amp;VLOOKUP(B132,'Pay Table'!$M$3:$N$18,2,FALSE)&amp;$BB$2&amp;C132&amp;$BD$2,"")</f>
        <v/>
      </c>
      <c r="BC130" s="49" t="str">
        <f>IFERROR($BC$2&amp;VLOOKUP(D132,'Pay Table'!$M$3:$N$18,2,FALSE)&amp;$BB$2&amp;E132&amp;$BD$2,"")</f>
        <v/>
      </c>
      <c r="BD130" s="49" t="str">
        <f>IFERROR($BC$2&amp;VLOOKUP(F132,'Pay Table'!$M$3:$N$18,2,FALSE)&amp;$BB$2&amp;G132&amp;$BD$2,"")</f>
        <v/>
      </c>
      <c r="BE130" s="49" t="str">
        <f>IFERROR($BC$2&amp;VLOOKUP(H132,'Pay Table'!$M$3:$N$18,2,FALSE)&amp;$BB$2&amp;I132&amp;$BD$2,"")</f>
        <v/>
      </c>
      <c r="BF130" s="60" t="str">
        <f>IFERROR($BC$2&amp;VLOOKUP(J132,'Pay Table'!$M$3:$N$18,2,FALSE)&amp;$BB$2&amp;K132&amp;$BD$2,"")</f>
        <v/>
      </c>
    </row>
    <row r="131" spans="1:58" ht="17.100000000000001" customHeight="1" x14ac:dyDescent="0.15">
      <c r="A131" s="14">
        <v>127</v>
      </c>
      <c r="BB131" s="59" t="str">
        <f>IFERROR($BC$2&amp;VLOOKUP(B133,'Pay Table'!$M$3:$N$18,2,FALSE)&amp;$BB$2&amp;C133&amp;$BD$2,"")</f>
        <v/>
      </c>
      <c r="BC131" s="49" t="str">
        <f>IFERROR($BC$2&amp;VLOOKUP(D133,'Pay Table'!$M$3:$N$18,2,FALSE)&amp;$BB$2&amp;E133&amp;$BD$2,"")</f>
        <v/>
      </c>
      <c r="BD131" s="49" t="str">
        <f>IFERROR($BC$2&amp;VLOOKUP(F133,'Pay Table'!$M$3:$N$18,2,FALSE)&amp;$BB$2&amp;G133&amp;$BD$2,"")</f>
        <v/>
      </c>
      <c r="BE131" s="49" t="str">
        <f>IFERROR($BC$2&amp;VLOOKUP(H133,'Pay Table'!$M$3:$N$18,2,FALSE)&amp;$BB$2&amp;I133&amp;$BD$2,"")</f>
        <v/>
      </c>
      <c r="BF131" s="60" t="str">
        <f>IFERROR($BC$2&amp;VLOOKUP(J133,'Pay Table'!$M$3:$N$18,2,FALSE)&amp;$BB$2&amp;K133&amp;$BD$2,"")</f>
        <v/>
      </c>
    </row>
    <row r="132" spans="1:58" ht="17.100000000000001" customHeight="1" x14ac:dyDescent="0.15">
      <c r="A132" s="14">
        <v>128</v>
      </c>
      <c r="BB132" s="59" t="str">
        <f>IFERROR($BC$2&amp;VLOOKUP(B134,'Pay Table'!$M$3:$N$18,2,FALSE)&amp;$BB$2&amp;C134&amp;$BD$2,"")</f>
        <v/>
      </c>
      <c r="BC132" s="49" t="str">
        <f>IFERROR($BC$2&amp;VLOOKUP(D134,'Pay Table'!$M$3:$N$18,2,FALSE)&amp;$BB$2&amp;E134&amp;$BD$2,"")</f>
        <v/>
      </c>
      <c r="BD132" s="49" t="str">
        <f>IFERROR($BC$2&amp;VLOOKUP(F134,'Pay Table'!$M$3:$N$18,2,FALSE)&amp;$BB$2&amp;G134&amp;$BD$2,"")</f>
        <v/>
      </c>
      <c r="BE132" s="49" t="str">
        <f>IFERROR($BC$2&amp;VLOOKUP(H134,'Pay Table'!$M$3:$N$18,2,FALSE)&amp;$BB$2&amp;I134&amp;$BD$2,"")</f>
        <v/>
      </c>
      <c r="BF132" s="60" t="str">
        <f>IFERROR($BC$2&amp;VLOOKUP(J134,'Pay Table'!$M$3:$N$18,2,FALSE)&amp;$BB$2&amp;K134&amp;$BD$2,"")</f>
        <v/>
      </c>
    </row>
    <row r="133" spans="1:58" ht="17.100000000000001" customHeight="1" x14ac:dyDescent="0.15">
      <c r="A133" s="14">
        <v>129</v>
      </c>
      <c r="BB133" s="59" t="str">
        <f>IFERROR($BC$2&amp;VLOOKUP(B135,'Pay Table'!$M$3:$N$18,2,FALSE)&amp;$BB$2&amp;C135&amp;$BD$2,"")</f>
        <v/>
      </c>
      <c r="BC133" s="49" t="str">
        <f>IFERROR($BC$2&amp;VLOOKUP(D135,'Pay Table'!$M$3:$N$18,2,FALSE)&amp;$BB$2&amp;E135&amp;$BD$2,"")</f>
        <v/>
      </c>
      <c r="BD133" s="49" t="str">
        <f>IFERROR($BC$2&amp;VLOOKUP(F135,'Pay Table'!$M$3:$N$18,2,FALSE)&amp;$BB$2&amp;G135&amp;$BD$2,"")</f>
        <v/>
      </c>
      <c r="BE133" s="49" t="str">
        <f>IFERROR($BC$2&amp;VLOOKUP(H135,'Pay Table'!$M$3:$N$18,2,FALSE)&amp;$BB$2&amp;I135&amp;$BD$2,"")</f>
        <v/>
      </c>
      <c r="BF133" s="60" t="str">
        <f>IFERROR($BC$2&amp;VLOOKUP(J135,'Pay Table'!$M$3:$N$18,2,FALSE)&amp;$BB$2&amp;K135&amp;$BD$2,"")</f>
        <v/>
      </c>
    </row>
    <row r="134" spans="1:58" ht="17.100000000000001" customHeight="1" x14ac:dyDescent="0.15">
      <c r="A134" s="14">
        <v>130</v>
      </c>
      <c r="BB134" s="59" t="str">
        <f>IFERROR($BC$2&amp;VLOOKUP(B136,'Pay Table'!$M$3:$N$18,2,FALSE)&amp;$BB$2&amp;C136&amp;$BD$2,"")</f>
        <v/>
      </c>
      <c r="BC134" s="49" t="str">
        <f>IFERROR($BC$2&amp;VLOOKUP(D136,'Pay Table'!$M$3:$N$18,2,FALSE)&amp;$BB$2&amp;E136&amp;$BD$2,"")</f>
        <v/>
      </c>
      <c r="BD134" s="49" t="str">
        <f>IFERROR($BC$2&amp;VLOOKUP(F136,'Pay Table'!$M$3:$N$18,2,FALSE)&amp;$BB$2&amp;G136&amp;$BD$2,"")</f>
        <v/>
      </c>
      <c r="BE134" s="49" t="str">
        <f>IFERROR($BC$2&amp;VLOOKUP(H136,'Pay Table'!$M$3:$N$18,2,FALSE)&amp;$BB$2&amp;I136&amp;$BD$2,"")</f>
        <v/>
      </c>
      <c r="BF134" s="60" t="str">
        <f>IFERROR($BC$2&amp;VLOOKUP(J136,'Pay Table'!$M$3:$N$18,2,FALSE)&amp;$BB$2&amp;K136&amp;$BD$2,"")</f>
        <v/>
      </c>
    </row>
    <row r="135" spans="1:58" ht="17.100000000000001" customHeight="1" x14ac:dyDescent="0.15">
      <c r="A135" s="14">
        <v>131</v>
      </c>
      <c r="BB135" s="59" t="str">
        <f>IFERROR($BC$2&amp;VLOOKUP(B137,'Pay Table'!$M$3:$N$18,2,FALSE)&amp;$BB$2&amp;C137&amp;$BD$2,"")</f>
        <v/>
      </c>
      <c r="BC135" s="49" t="str">
        <f>IFERROR($BC$2&amp;VLOOKUP(D137,'Pay Table'!$M$3:$N$18,2,FALSE)&amp;$BB$2&amp;E137&amp;$BD$2,"")</f>
        <v/>
      </c>
      <c r="BD135" s="49" t="str">
        <f>IFERROR($BC$2&amp;VLOOKUP(F137,'Pay Table'!$M$3:$N$18,2,FALSE)&amp;$BB$2&amp;G137&amp;$BD$2,"")</f>
        <v/>
      </c>
      <c r="BE135" s="49" t="str">
        <f>IFERROR($BC$2&amp;VLOOKUP(H137,'Pay Table'!$M$3:$N$18,2,FALSE)&amp;$BB$2&amp;I137&amp;$BD$2,"")</f>
        <v/>
      </c>
      <c r="BF135" s="60" t="str">
        <f>IFERROR($BC$2&amp;VLOOKUP(J137,'Pay Table'!$M$3:$N$18,2,FALSE)&amp;$BB$2&amp;K137&amp;$BD$2,"")</f>
        <v/>
      </c>
    </row>
    <row r="136" spans="1:58" ht="17.100000000000001" customHeight="1" x14ac:dyDescent="0.15">
      <c r="A136" s="14">
        <v>132</v>
      </c>
      <c r="BB136" s="59" t="str">
        <f>IFERROR($BC$2&amp;VLOOKUP(B138,'Pay Table'!$M$3:$N$18,2,FALSE)&amp;$BB$2&amp;C138&amp;$BD$2,"")</f>
        <v/>
      </c>
      <c r="BC136" s="49" t="str">
        <f>IFERROR($BC$2&amp;VLOOKUP(D138,'Pay Table'!$M$3:$N$18,2,FALSE)&amp;$BB$2&amp;E138&amp;$BD$2,"")</f>
        <v/>
      </c>
      <c r="BD136" s="49" t="str">
        <f>IFERROR($BC$2&amp;VLOOKUP(F138,'Pay Table'!$M$3:$N$18,2,FALSE)&amp;$BB$2&amp;G138&amp;$BD$2,"")</f>
        <v/>
      </c>
      <c r="BE136" s="49" t="str">
        <f>IFERROR($BC$2&amp;VLOOKUP(H138,'Pay Table'!$M$3:$N$18,2,FALSE)&amp;$BB$2&amp;I138&amp;$BD$2,"")</f>
        <v/>
      </c>
      <c r="BF136" s="60" t="str">
        <f>IFERROR($BC$2&amp;VLOOKUP(J138,'Pay Table'!$M$3:$N$18,2,FALSE)&amp;$BB$2&amp;K138&amp;$BD$2,"")</f>
        <v/>
      </c>
    </row>
    <row r="137" spans="1:58" ht="17.100000000000001" customHeight="1" x14ac:dyDescent="0.15">
      <c r="A137" s="14">
        <v>133</v>
      </c>
      <c r="BB137" s="59" t="str">
        <f>IFERROR($BC$2&amp;VLOOKUP(B139,'Pay Table'!$M$3:$N$18,2,FALSE)&amp;$BB$2&amp;C139&amp;$BD$2,"")</f>
        <v/>
      </c>
      <c r="BC137" s="49" t="str">
        <f>IFERROR($BC$2&amp;VLOOKUP(D139,'Pay Table'!$M$3:$N$18,2,FALSE)&amp;$BB$2&amp;E139&amp;$BD$2,"")</f>
        <v/>
      </c>
      <c r="BD137" s="49" t="str">
        <f>IFERROR($BC$2&amp;VLOOKUP(F139,'Pay Table'!$M$3:$N$18,2,FALSE)&amp;$BB$2&amp;G139&amp;$BD$2,"")</f>
        <v/>
      </c>
      <c r="BE137" s="49" t="str">
        <f>IFERROR($BC$2&amp;VLOOKUP(H139,'Pay Table'!$M$3:$N$18,2,FALSE)&amp;$BB$2&amp;I139&amp;$BD$2,"")</f>
        <v/>
      </c>
      <c r="BF137" s="60" t="str">
        <f>IFERROR($BC$2&amp;VLOOKUP(J139,'Pay Table'!$M$3:$N$18,2,FALSE)&amp;$BB$2&amp;K139&amp;$BD$2,"")</f>
        <v/>
      </c>
    </row>
    <row r="138" spans="1:58" ht="17.100000000000001" customHeight="1" x14ac:dyDescent="0.15">
      <c r="A138" s="14">
        <v>134</v>
      </c>
      <c r="BB138" s="59" t="str">
        <f>IFERROR($BC$2&amp;VLOOKUP(B140,'Pay Table'!$M$3:$N$18,2,FALSE)&amp;$BB$2&amp;C140&amp;$BD$2,"")</f>
        <v/>
      </c>
      <c r="BC138" s="49" t="str">
        <f>IFERROR($BC$2&amp;VLOOKUP(D140,'Pay Table'!$M$3:$N$18,2,FALSE)&amp;$BB$2&amp;E140&amp;$BD$2,"")</f>
        <v/>
      </c>
      <c r="BD138" s="49" t="str">
        <f>IFERROR($BC$2&amp;VLOOKUP(F140,'Pay Table'!$M$3:$N$18,2,FALSE)&amp;$BB$2&amp;G140&amp;$BD$2,"")</f>
        <v/>
      </c>
      <c r="BE138" s="49" t="str">
        <f>IFERROR($BC$2&amp;VLOOKUP(H140,'Pay Table'!$M$3:$N$18,2,FALSE)&amp;$BB$2&amp;I140&amp;$BD$2,"")</f>
        <v/>
      </c>
      <c r="BF138" s="60" t="str">
        <f>IFERROR($BC$2&amp;VLOOKUP(J140,'Pay Table'!$M$3:$N$18,2,FALSE)&amp;$BB$2&amp;K140&amp;$BD$2,"")</f>
        <v/>
      </c>
    </row>
    <row r="139" spans="1:58" ht="17.100000000000001" customHeight="1" x14ac:dyDescent="0.15">
      <c r="A139" s="14">
        <v>135</v>
      </c>
      <c r="BB139" s="59" t="str">
        <f>IFERROR($BC$2&amp;VLOOKUP(B141,'Pay Table'!$M$3:$N$18,2,FALSE)&amp;$BB$2&amp;C141&amp;$BD$2,"")</f>
        <v/>
      </c>
      <c r="BC139" s="49" t="str">
        <f>IFERROR($BC$2&amp;VLOOKUP(D141,'Pay Table'!$M$3:$N$18,2,FALSE)&amp;$BB$2&amp;E141&amp;$BD$2,"")</f>
        <v/>
      </c>
      <c r="BD139" s="49" t="str">
        <f>IFERROR($BC$2&amp;VLOOKUP(F141,'Pay Table'!$M$3:$N$18,2,FALSE)&amp;$BB$2&amp;G141&amp;$BD$2,"")</f>
        <v/>
      </c>
      <c r="BE139" s="49" t="str">
        <f>IFERROR($BC$2&amp;VLOOKUP(H141,'Pay Table'!$M$3:$N$18,2,FALSE)&amp;$BB$2&amp;I141&amp;$BD$2,"")</f>
        <v/>
      </c>
      <c r="BF139" s="60" t="str">
        <f>IFERROR($BC$2&amp;VLOOKUP(J141,'Pay Table'!$M$3:$N$18,2,FALSE)&amp;$BB$2&amp;K141&amp;$BD$2,"")</f>
        <v/>
      </c>
    </row>
    <row r="140" spans="1:58" ht="17.100000000000001" customHeight="1" x14ac:dyDescent="0.15">
      <c r="A140" s="14">
        <v>136</v>
      </c>
      <c r="BB140" s="59" t="str">
        <f>IFERROR($BC$2&amp;VLOOKUP(B142,'Pay Table'!$M$3:$N$18,2,FALSE)&amp;$BB$2&amp;C142&amp;$BD$2,"")</f>
        <v/>
      </c>
      <c r="BC140" s="49" t="str">
        <f>IFERROR($BC$2&amp;VLOOKUP(D142,'Pay Table'!$M$3:$N$18,2,FALSE)&amp;$BB$2&amp;E142&amp;$BD$2,"")</f>
        <v/>
      </c>
      <c r="BD140" s="49" t="str">
        <f>IFERROR($BC$2&amp;VLOOKUP(F142,'Pay Table'!$M$3:$N$18,2,FALSE)&amp;$BB$2&amp;G142&amp;$BD$2,"")</f>
        <v/>
      </c>
      <c r="BE140" s="49" t="str">
        <f>IFERROR($BC$2&amp;VLOOKUP(H142,'Pay Table'!$M$3:$N$18,2,FALSE)&amp;$BB$2&amp;I142&amp;$BD$2,"")</f>
        <v/>
      </c>
      <c r="BF140" s="60" t="str">
        <f>IFERROR($BC$2&amp;VLOOKUP(J142,'Pay Table'!$M$3:$N$18,2,FALSE)&amp;$BB$2&amp;K142&amp;$BD$2,"")</f>
        <v/>
      </c>
    </row>
    <row r="141" spans="1:58" ht="17.100000000000001" customHeight="1" x14ac:dyDescent="0.15">
      <c r="A141" s="14">
        <v>137</v>
      </c>
      <c r="BB141" s="59" t="str">
        <f>IFERROR($BC$2&amp;VLOOKUP(B143,'Pay Table'!$M$3:$N$18,2,FALSE)&amp;$BB$2&amp;C143&amp;$BD$2,"")</f>
        <v/>
      </c>
      <c r="BC141" s="49" t="str">
        <f>IFERROR($BC$2&amp;VLOOKUP(D143,'Pay Table'!$M$3:$N$18,2,FALSE)&amp;$BB$2&amp;E143&amp;$BD$2,"")</f>
        <v/>
      </c>
      <c r="BD141" s="49" t="str">
        <f>IFERROR($BC$2&amp;VLOOKUP(F143,'Pay Table'!$M$3:$N$18,2,FALSE)&amp;$BB$2&amp;G143&amp;$BD$2,"")</f>
        <v/>
      </c>
      <c r="BE141" s="49" t="str">
        <f>IFERROR($BC$2&amp;VLOOKUP(H143,'Pay Table'!$M$3:$N$18,2,FALSE)&amp;$BB$2&amp;I143&amp;$BD$2,"")</f>
        <v/>
      </c>
      <c r="BF141" s="60" t="str">
        <f>IFERROR($BC$2&amp;VLOOKUP(J143,'Pay Table'!$M$3:$N$18,2,FALSE)&amp;$BB$2&amp;K143&amp;$BD$2,"")</f>
        <v/>
      </c>
    </row>
    <row r="142" spans="1:58" ht="17.100000000000001" customHeight="1" x14ac:dyDescent="0.15">
      <c r="A142" s="14">
        <v>138</v>
      </c>
      <c r="BB142" s="59" t="str">
        <f>IFERROR($BC$2&amp;VLOOKUP(B144,'Pay Table'!$M$3:$N$18,2,FALSE)&amp;$BB$2&amp;C144&amp;$BD$2,"")</f>
        <v/>
      </c>
      <c r="BC142" s="49" t="str">
        <f>IFERROR($BC$2&amp;VLOOKUP(D144,'Pay Table'!$M$3:$N$18,2,FALSE)&amp;$BB$2&amp;E144&amp;$BD$2,"")</f>
        <v/>
      </c>
      <c r="BD142" s="49" t="str">
        <f>IFERROR($BC$2&amp;VLOOKUP(F144,'Pay Table'!$M$3:$N$18,2,FALSE)&amp;$BB$2&amp;G144&amp;$BD$2,"")</f>
        <v/>
      </c>
      <c r="BE142" s="49" t="str">
        <f>IFERROR($BC$2&amp;VLOOKUP(H144,'Pay Table'!$M$3:$N$18,2,FALSE)&amp;$BB$2&amp;I144&amp;$BD$2,"")</f>
        <v/>
      </c>
      <c r="BF142" s="60" t="str">
        <f>IFERROR($BC$2&amp;VLOOKUP(J144,'Pay Table'!$M$3:$N$18,2,FALSE)&amp;$BB$2&amp;K144&amp;$BD$2,"")</f>
        <v/>
      </c>
    </row>
    <row r="143" spans="1:58" ht="17.100000000000001" customHeight="1" x14ac:dyDescent="0.15">
      <c r="A143" s="14">
        <v>139</v>
      </c>
      <c r="BB143" s="59" t="str">
        <f>IFERROR($BC$2&amp;VLOOKUP(B145,'Pay Table'!$M$3:$N$18,2,FALSE)&amp;$BB$2&amp;C145&amp;$BD$2,"")</f>
        <v/>
      </c>
      <c r="BC143" s="49" t="str">
        <f>IFERROR($BC$2&amp;VLOOKUP(D145,'Pay Table'!$M$3:$N$18,2,FALSE)&amp;$BB$2&amp;E145&amp;$BD$2,"")</f>
        <v/>
      </c>
      <c r="BD143" s="49" t="str">
        <f>IFERROR($BC$2&amp;VLOOKUP(F145,'Pay Table'!$M$3:$N$18,2,FALSE)&amp;$BB$2&amp;G145&amp;$BD$2,"")</f>
        <v/>
      </c>
      <c r="BE143" s="49" t="str">
        <f>IFERROR($BC$2&amp;VLOOKUP(H145,'Pay Table'!$M$3:$N$18,2,FALSE)&amp;$BB$2&amp;I145&amp;$BD$2,"")</f>
        <v/>
      </c>
      <c r="BF143" s="60" t="str">
        <f>IFERROR($BC$2&amp;VLOOKUP(J145,'Pay Table'!$M$3:$N$18,2,FALSE)&amp;$BB$2&amp;K145&amp;$BD$2,"")</f>
        <v/>
      </c>
    </row>
    <row r="144" spans="1:58" ht="17.100000000000001" customHeight="1" x14ac:dyDescent="0.15">
      <c r="A144" s="14">
        <v>140</v>
      </c>
      <c r="BB144" s="59" t="str">
        <f>IFERROR($BC$2&amp;VLOOKUP(B146,'Pay Table'!$M$3:$N$18,2,FALSE)&amp;$BB$2&amp;C146&amp;$BD$2,"")</f>
        <v/>
      </c>
      <c r="BC144" s="49" t="str">
        <f>IFERROR($BC$2&amp;VLOOKUP(D146,'Pay Table'!$M$3:$N$18,2,FALSE)&amp;$BB$2&amp;E146&amp;$BD$2,"")</f>
        <v/>
      </c>
      <c r="BD144" s="49" t="str">
        <f>IFERROR($BC$2&amp;VLOOKUP(F146,'Pay Table'!$M$3:$N$18,2,FALSE)&amp;$BB$2&amp;G146&amp;$BD$2,"")</f>
        <v/>
      </c>
      <c r="BE144" s="49" t="str">
        <f>IFERROR($BC$2&amp;VLOOKUP(H146,'Pay Table'!$M$3:$N$18,2,FALSE)&amp;$BB$2&amp;I146&amp;$BD$2,"")</f>
        <v/>
      </c>
      <c r="BF144" s="60" t="str">
        <f>IFERROR($BC$2&amp;VLOOKUP(J146,'Pay Table'!$M$3:$N$18,2,FALSE)&amp;$BB$2&amp;K146&amp;$BD$2,"")</f>
        <v/>
      </c>
    </row>
    <row r="145" spans="1:58" ht="17.100000000000001" customHeight="1" x14ac:dyDescent="0.15">
      <c r="A145" s="14">
        <v>141</v>
      </c>
      <c r="BB145" s="59" t="str">
        <f>IFERROR($BC$2&amp;VLOOKUP(B147,'Pay Table'!$M$3:$N$18,2,FALSE)&amp;$BB$2&amp;C147&amp;$BD$2,"")</f>
        <v/>
      </c>
      <c r="BC145" s="49" t="str">
        <f>IFERROR($BC$2&amp;VLOOKUP(D147,'Pay Table'!$M$3:$N$18,2,FALSE)&amp;$BB$2&amp;E147&amp;$BD$2,"")</f>
        <v/>
      </c>
      <c r="BD145" s="49" t="str">
        <f>IFERROR($BC$2&amp;VLOOKUP(F147,'Pay Table'!$M$3:$N$18,2,FALSE)&amp;$BB$2&amp;G147&amp;$BD$2,"")</f>
        <v/>
      </c>
      <c r="BE145" s="49" t="str">
        <f>IFERROR($BC$2&amp;VLOOKUP(H147,'Pay Table'!$M$3:$N$18,2,FALSE)&amp;$BB$2&amp;I147&amp;$BD$2,"")</f>
        <v/>
      </c>
      <c r="BF145" s="60" t="str">
        <f>IFERROR($BC$2&amp;VLOOKUP(J147,'Pay Table'!$M$3:$N$18,2,FALSE)&amp;$BB$2&amp;K147&amp;$BD$2,"")</f>
        <v/>
      </c>
    </row>
    <row r="146" spans="1:58" ht="17.100000000000001" customHeight="1" x14ac:dyDescent="0.15">
      <c r="A146" s="14">
        <v>142</v>
      </c>
      <c r="BB146" s="59" t="str">
        <f>IFERROR($BC$2&amp;VLOOKUP(B148,'Pay Table'!$M$3:$N$18,2,FALSE)&amp;$BB$2&amp;C148&amp;$BD$2,"")</f>
        <v/>
      </c>
      <c r="BC146" s="49" t="str">
        <f>IFERROR($BC$2&amp;VLOOKUP(D148,'Pay Table'!$M$3:$N$18,2,FALSE)&amp;$BB$2&amp;E148&amp;$BD$2,"")</f>
        <v/>
      </c>
      <c r="BD146" s="49" t="str">
        <f>IFERROR($BC$2&amp;VLOOKUP(F148,'Pay Table'!$M$3:$N$18,2,FALSE)&amp;$BB$2&amp;G148&amp;$BD$2,"")</f>
        <v/>
      </c>
      <c r="BE146" s="49" t="str">
        <f>IFERROR($BC$2&amp;VLOOKUP(H148,'Pay Table'!$M$3:$N$18,2,FALSE)&amp;$BB$2&amp;I148&amp;$BD$2,"")</f>
        <v/>
      </c>
      <c r="BF146" s="60" t="str">
        <f>IFERROR($BC$2&amp;VLOOKUP(J148,'Pay Table'!$M$3:$N$18,2,FALSE)&amp;$BB$2&amp;K148&amp;$BD$2,"")</f>
        <v/>
      </c>
    </row>
    <row r="147" spans="1:58" ht="17.100000000000001" customHeight="1" x14ac:dyDescent="0.15">
      <c r="A147" s="14">
        <v>143</v>
      </c>
      <c r="BB147" s="59" t="str">
        <f>IFERROR($BC$2&amp;VLOOKUP(B149,'Pay Table'!$M$3:$N$18,2,FALSE)&amp;$BB$2&amp;C149&amp;$BD$2,"")</f>
        <v/>
      </c>
      <c r="BC147" s="49" t="str">
        <f>IFERROR($BC$2&amp;VLOOKUP(D149,'Pay Table'!$M$3:$N$18,2,FALSE)&amp;$BB$2&amp;E149&amp;$BD$2,"")</f>
        <v/>
      </c>
      <c r="BD147" s="49" t="str">
        <f>IFERROR($BC$2&amp;VLOOKUP(F149,'Pay Table'!$M$3:$N$18,2,FALSE)&amp;$BB$2&amp;G149&amp;$BD$2,"")</f>
        <v/>
      </c>
      <c r="BE147" s="49" t="str">
        <f>IFERROR($BC$2&amp;VLOOKUP(H149,'Pay Table'!$M$3:$N$18,2,FALSE)&amp;$BB$2&amp;I149&amp;$BD$2,"")</f>
        <v/>
      </c>
      <c r="BF147" s="60" t="str">
        <f>IFERROR($BC$2&amp;VLOOKUP(J149,'Pay Table'!$M$3:$N$18,2,FALSE)&amp;$BB$2&amp;K149&amp;$BD$2,"")</f>
        <v/>
      </c>
    </row>
    <row r="148" spans="1:58" ht="17.100000000000001" customHeight="1" x14ac:dyDescent="0.15">
      <c r="A148" s="14">
        <v>144</v>
      </c>
      <c r="BB148" s="59" t="str">
        <f>IFERROR($BC$2&amp;VLOOKUP(B150,'Pay Table'!$M$3:$N$18,2,FALSE)&amp;$BB$2&amp;C150&amp;$BD$2,"")</f>
        <v/>
      </c>
      <c r="BC148" s="49" t="str">
        <f>IFERROR($BC$2&amp;VLOOKUP(D150,'Pay Table'!$M$3:$N$18,2,FALSE)&amp;$BB$2&amp;E150&amp;$BD$2,"")</f>
        <v/>
      </c>
      <c r="BD148" s="49" t="str">
        <f>IFERROR($BC$2&amp;VLOOKUP(F150,'Pay Table'!$M$3:$N$18,2,FALSE)&amp;$BB$2&amp;G150&amp;$BD$2,"")</f>
        <v/>
      </c>
      <c r="BE148" s="49" t="str">
        <f>IFERROR($BC$2&amp;VLOOKUP(H150,'Pay Table'!$M$3:$N$18,2,FALSE)&amp;$BB$2&amp;I150&amp;$BD$2,"")</f>
        <v/>
      </c>
      <c r="BF148" s="60" t="str">
        <f>IFERROR($BC$2&amp;VLOOKUP(J150,'Pay Table'!$M$3:$N$18,2,FALSE)&amp;$BB$2&amp;K150&amp;$BD$2,"")</f>
        <v/>
      </c>
    </row>
    <row r="149" spans="1:58" ht="17.100000000000001" customHeight="1" x14ac:dyDescent="0.15">
      <c r="A149" s="14">
        <v>145</v>
      </c>
      <c r="BB149" s="59" t="str">
        <f>IFERROR($BC$2&amp;VLOOKUP(B151,'Pay Table'!$M$3:$N$18,2,FALSE)&amp;$BB$2&amp;C151&amp;$BD$2,"")</f>
        <v/>
      </c>
      <c r="BC149" s="49" t="str">
        <f>IFERROR($BC$2&amp;VLOOKUP(D151,'Pay Table'!$M$3:$N$18,2,FALSE)&amp;$BB$2&amp;E151&amp;$BD$2,"")</f>
        <v/>
      </c>
      <c r="BD149" s="49" t="str">
        <f>IFERROR($BC$2&amp;VLOOKUP(F151,'Pay Table'!$M$3:$N$18,2,FALSE)&amp;$BB$2&amp;G151&amp;$BD$2,"")</f>
        <v/>
      </c>
      <c r="BE149" s="49" t="str">
        <f>IFERROR($BC$2&amp;VLOOKUP(H151,'Pay Table'!$M$3:$N$18,2,FALSE)&amp;$BB$2&amp;I151&amp;$BD$2,"")</f>
        <v/>
      </c>
      <c r="BF149" s="60" t="str">
        <f>IFERROR($BC$2&amp;VLOOKUP(J151,'Pay Table'!$M$3:$N$18,2,FALSE)&amp;$BB$2&amp;K151&amp;$BD$2,"")</f>
        <v/>
      </c>
    </row>
    <row r="150" spans="1:58" ht="17.100000000000001" customHeight="1" x14ac:dyDescent="0.15">
      <c r="A150" s="14">
        <v>146</v>
      </c>
      <c r="BB150" s="59" t="str">
        <f>IFERROR($BC$2&amp;VLOOKUP(B152,'Pay Table'!$M$3:$N$18,2,FALSE)&amp;$BB$2&amp;C152&amp;$BD$2,"")</f>
        <v/>
      </c>
      <c r="BC150" s="49" t="str">
        <f>IFERROR($BC$2&amp;VLOOKUP(D152,'Pay Table'!$M$3:$N$18,2,FALSE)&amp;$BB$2&amp;E152&amp;$BD$2,"")</f>
        <v/>
      </c>
      <c r="BD150" s="49" t="str">
        <f>IFERROR($BC$2&amp;VLOOKUP(F152,'Pay Table'!$M$3:$N$18,2,FALSE)&amp;$BB$2&amp;G152&amp;$BD$2,"")</f>
        <v/>
      </c>
      <c r="BE150" s="49" t="str">
        <f>IFERROR($BC$2&amp;VLOOKUP(H152,'Pay Table'!$M$3:$N$18,2,FALSE)&amp;$BB$2&amp;I152&amp;$BD$2,"")</f>
        <v/>
      </c>
      <c r="BF150" s="60" t="str">
        <f>IFERROR($BC$2&amp;VLOOKUP(J152,'Pay Table'!$M$3:$N$18,2,FALSE)&amp;$BB$2&amp;K152&amp;$BD$2,"")</f>
        <v/>
      </c>
    </row>
    <row r="151" spans="1:58" ht="17.100000000000001" customHeight="1" x14ac:dyDescent="0.15">
      <c r="A151" s="14">
        <v>147</v>
      </c>
      <c r="BB151" s="59" t="str">
        <f>IFERROR($BC$2&amp;VLOOKUP(B153,'Pay Table'!$M$3:$N$18,2,FALSE)&amp;$BB$2&amp;C153&amp;$BD$2,"")</f>
        <v/>
      </c>
      <c r="BC151" s="49" t="str">
        <f>IFERROR($BC$2&amp;VLOOKUP(D153,'Pay Table'!$M$3:$N$18,2,FALSE)&amp;$BB$2&amp;E153&amp;$BD$2,"")</f>
        <v/>
      </c>
      <c r="BD151" s="49" t="str">
        <f>IFERROR($BC$2&amp;VLOOKUP(F153,'Pay Table'!$M$3:$N$18,2,FALSE)&amp;$BB$2&amp;G153&amp;$BD$2,"")</f>
        <v/>
      </c>
      <c r="BE151" s="49" t="str">
        <f>IFERROR($BC$2&amp;VLOOKUP(H153,'Pay Table'!$M$3:$N$18,2,FALSE)&amp;$BB$2&amp;I153&amp;$BD$2,"")</f>
        <v/>
      </c>
      <c r="BF151" s="60" t="str">
        <f>IFERROR($BC$2&amp;VLOOKUP(J153,'Pay Table'!$M$3:$N$18,2,FALSE)&amp;$BB$2&amp;K153&amp;$BD$2,"")</f>
        <v/>
      </c>
    </row>
    <row r="152" spans="1:58" ht="17.100000000000001" customHeight="1" x14ac:dyDescent="0.15">
      <c r="A152" s="14">
        <v>148</v>
      </c>
      <c r="BB152" s="59" t="str">
        <f>IFERROR($BC$2&amp;VLOOKUP(B154,'Pay Table'!$M$3:$N$18,2,FALSE)&amp;$BB$2&amp;C154&amp;$BD$2,"")</f>
        <v/>
      </c>
      <c r="BC152" s="49" t="str">
        <f>IFERROR($BC$2&amp;VLOOKUP(D154,'Pay Table'!$M$3:$N$18,2,FALSE)&amp;$BB$2&amp;E154&amp;$BD$2,"")</f>
        <v/>
      </c>
      <c r="BD152" s="49" t="str">
        <f>IFERROR($BC$2&amp;VLOOKUP(F154,'Pay Table'!$M$3:$N$18,2,FALSE)&amp;$BB$2&amp;G154&amp;$BD$2,"")</f>
        <v/>
      </c>
      <c r="BE152" s="49" t="str">
        <f>IFERROR($BC$2&amp;VLOOKUP(H154,'Pay Table'!$M$3:$N$18,2,FALSE)&amp;$BB$2&amp;I154&amp;$BD$2,"")</f>
        <v/>
      </c>
      <c r="BF152" s="60" t="str">
        <f>IFERROR($BC$2&amp;VLOOKUP(J154,'Pay Table'!$M$3:$N$18,2,FALSE)&amp;$BB$2&amp;K154&amp;$BD$2,"")</f>
        <v/>
      </c>
    </row>
    <row r="153" spans="1:58" ht="17.100000000000001" customHeight="1" x14ac:dyDescent="0.15">
      <c r="A153" s="14">
        <v>149</v>
      </c>
      <c r="BB153" s="59" t="str">
        <f>IFERROR($BC$2&amp;VLOOKUP(B155,'Pay Table'!$M$3:$N$18,2,FALSE)&amp;$BB$2&amp;C155&amp;$BD$2,"")</f>
        <v/>
      </c>
      <c r="BC153" s="49" t="str">
        <f>IFERROR($BC$2&amp;VLOOKUP(D155,'Pay Table'!$M$3:$N$18,2,FALSE)&amp;$BB$2&amp;E155&amp;$BD$2,"")</f>
        <v/>
      </c>
      <c r="BD153" s="49" t="str">
        <f>IFERROR($BC$2&amp;VLOOKUP(F155,'Pay Table'!$M$3:$N$18,2,FALSE)&amp;$BB$2&amp;G155&amp;$BD$2,"")</f>
        <v/>
      </c>
      <c r="BE153" s="49" t="str">
        <f>IFERROR($BC$2&amp;VLOOKUP(H155,'Pay Table'!$M$3:$N$18,2,FALSE)&amp;$BB$2&amp;I155&amp;$BD$2,"")</f>
        <v/>
      </c>
      <c r="BF153" s="60" t="str">
        <f>IFERROR($BC$2&amp;VLOOKUP(J155,'Pay Table'!$M$3:$N$18,2,FALSE)&amp;$BB$2&amp;K155&amp;$BD$2,"")</f>
        <v/>
      </c>
    </row>
    <row r="154" spans="1:58" ht="17.100000000000001" customHeight="1" x14ac:dyDescent="0.15">
      <c r="A154" s="14">
        <v>150</v>
      </c>
      <c r="BB154" s="59" t="str">
        <f>IFERROR($BC$2&amp;VLOOKUP(B156,'Pay Table'!$M$3:$N$18,2,FALSE)&amp;$BB$2&amp;C156&amp;$BD$2,"")</f>
        <v/>
      </c>
      <c r="BC154" s="49" t="str">
        <f>IFERROR($BC$2&amp;VLOOKUP(D156,'Pay Table'!$M$3:$N$18,2,FALSE)&amp;$BB$2&amp;E156&amp;$BD$2,"")</f>
        <v/>
      </c>
      <c r="BD154" s="49" t="str">
        <f>IFERROR($BC$2&amp;VLOOKUP(F156,'Pay Table'!$M$3:$N$18,2,FALSE)&amp;$BB$2&amp;G156&amp;$BD$2,"")</f>
        <v/>
      </c>
      <c r="BE154" s="49" t="str">
        <f>IFERROR($BC$2&amp;VLOOKUP(H156,'Pay Table'!$M$3:$N$18,2,FALSE)&amp;$BB$2&amp;I156&amp;$BD$2,"")</f>
        <v/>
      </c>
      <c r="BF154" s="60" t="str">
        <f>IFERROR($BC$2&amp;VLOOKUP(J156,'Pay Table'!$M$3:$N$18,2,FALSE)&amp;$BB$2&amp;K156&amp;$BD$2,"")</f>
        <v/>
      </c>
    </row>
    <row r="155" spans="1:58" ht="17.100000000000001" customHeight="1" x14ac:dyDescent="0.15">
      <c r="A155" s="14">
        <v>151</v>
      </c>
      <c r="BB155" s="59" t="str">
        <f>IFERROR($BC$2&amp;VLOOKUP(B157,'Pay Table'!$M$3:$N$18,2,FALSE)&amp;$BB$2&amp;C157&amp;$BD$2,"")</f>
        <v/>
      </c>
      <c r="BC155" s="49" t="str">
        <f>IFERROR($BC$2&amp;VLOOKUP(D157,'Pay Table'!$M$3:$N$18,2,FALSE)&amp;$BB$2&amp;E157&amp;$BD$2,"")</f>
        <v/>
      </c>
      <c r="BD155" s="49" t="str">
        <f>IFERROR($BC$2&amp;VLOOKUP(F157,'Pay Table'!$M$3:$N$18,2,FALSE)&amp;$BB$2&amp;G157&amp;$BD$2,"")</f>
        <v/>
      </c>
      <c r="BE155" s="49" t="str">
        <f>IFERROR($BC$2&amp;VLOOKUP(H157,'Pay Table'!$M$3:$N$18,2,FALSE)&amp;$BB$2&amp;I157&amp;$BD$2,"")</f>
        <v/>
      </c>
      <c r="BF155" s="60" t="str">
        <f>IFERROR($BC$2&amp;VLOOKUP(J157,'Pay Table'!$M$3:$N$18,2,FALSE)&amp;$BB$2&amp;K157&amp;$BD$2,"")</f>
        <v/>
      </c>
    </row>
    <row r="156" spans="1:58" ht="17.100000000000001" customHeight="1" x14ac:dyDescent="0.15">
      <c r="A156" s="14">
        <v>152</v>
      </c>
      <c r="BB156" s="59" t="str">
        <f>IFERROR($BC$2&amp;VLOOKUP(B158,'Pay Table'!$M$3:$N$18,2,FALSE)&amp;$BB$2&amp;C158&amp;$BD$2,"")</f>
        <v/>
      </c>
      <c r="BC156" s="49" t="str">
        <f>IFERROR($BC$2&amp;VLOOKUP(D158,'Pay Table'!$M$3:$N$18,2,FALSE)&amp;$BB$2&amp;E158&amp;$BD$2,"")</f>
        <v/>
      </c>
      <c r="BD156" s="49" t="str">
        <f>IFERROR($BC$2&amp;VLOOKUP(F158,'Pay Table'!$M$3:$N$18,2,FALSE)&amp;$BB$2&amp;G158&amp;$BD$2,"")</f>
        <v/>
      </c>
      <c r="BE156" s="49" t="str">
        <f>IFERROR($BC$2&amp;VLOOKUP(H158,'Pay Table'!$M$3:$N$18,2,FALSE)&amp;$BB$2&amp;I158&amp;$BD$2,"")</f>
        <v/>
      </c>
      <c r="BF156" s="60" t="str">
        <f>IFERROR($BC$2&amp;VLOOKUP(J158,'Pay Table'!$M$3:$N$18,2,FALSE)&amp;$BB$2&amp;K158&amp;$BD$2,"")</f>
        <v/>
      </c>
    </row>
    <row r="157" spans="1:58" ht="17.100000000000001" customHeight="1" x14ac:dyDescent="0.15">
      <c r="A157" s="14">
        <v>153</v>
      </c>
      <c r="BB157" s="59" t="str">
        <f>IFERROR($BC$2&amp;VLOOKUP(B159,'Pay Table'!$M$3:$N$18,2,FALSE)&amp;$BB$2&amp;C159&amp;$BD$2,"")</f>
        <v/>
      </c>
      <c r="BC157" s="49" t="str">
        <f>IFERROR($BC$2&amp;VLOOKUP(D159,'Pay Table'!$M$3:$N$18,2,FALSE)&amp;$BB$2&amp;E159&amp;$BD$2,"")</f>
        <v/>
      </c>
      <c r="BD157" s="49" t="str">
        <f>IFERROR($BC$2&amp;VLOOKUP(F159,'Pay Table'!$M$3:$N$18,2,FALSE)&amp;$BB$2&amp;G159&amp;$BD$2,"")</f>
        <v/>
      </c>
      <c r="BE157" s="49" t="str">
        <f>IFERROR($BC$2&amp;VLOOKUP(H159,'Pay Table'!$M$3:$N$18,2,FALSE)&amp;$BB$2&amp;I159&amp;$BD$2,"")</f>
        <v/>
      </c>
      <c r="BF157" s="60" t="str">
        <f>IFERROR($BC$2&amp;VLOOKUP(J159,'Pay Table'!$M$3:$N$18,2,FALSE)&amp;$BB$2&amp;K159&amp;$BD$2,"")</f>
        <v/>
      </c>
    </row>
    <row r="158" spans="1:58" ht="17.100000000000001" customHeight="1" x14ac:dyDescent="0.15">
      <c r="A158" s="14">
        <v>154</v>
      </c>
      <c r="BB158" s="59" t="str">
        <f>IFERROR($BC$2&amp;VLOOKUP(B160,'Pay Table'!$M$3:$N$18,2,FALSE)&amp;$BB$2&amp;C160&amp;$BD$2,"")</f>
        <v/>
      </c>
      <c r="BC158" s="49" t="str">
        <f>IFERROR($BC$2&amp;VLOOKUP(D160,'Pay Table'!$M$3:$N$18,2,FALSE)&amp;$BB$2&amp;E160&amp;$BD$2,"")</f>
        <v/>
      </c>
      <c r="BD158" s="49" t="str">
        <f>IFERROR($BC$2&amp;VLOOKUP(F160,'Pay Table'!$M$3:$N$18,2,FALSE)&amp;$BB$2&amp;G160&amp;$BD$2,"")</f>
        <v/>
      </c>
      <c r="BE158" s="49" t="str">
        <f>IFERROR($BC$2&amp;VLOOKUP(H160,'Pay Table'!$M$3:$N$18,2,FALSE)&amp;$BB$2&amp;I160&amp;$BD$2,"")</f>
        <v/>
      </c>
      <c r="BF158" s="60" t="str">
        <f>IFERROR($BC$2&amp;VLOOKUP(J160,'Pay Table'!$M$3:$N$18,2,FALSE)&amp;$BB$2&amp;K160&amp;$BD$2,"")</f>
        <v/>
      </c>
    </row>
    <row r="159" spans="1:58" ht="17.100000000000001" customHeight="1" x14ac:dyDescent="0.15">
      <c r="A159" s="14">
        <v>155</v>
      </c>
      <c r="BB159" s="59" t="str">
        <f>IFERROR($BC$2&amp;VLOOKUP(B161,'Pay Table'!$M$3:$N$18,2,FALSE)&amp;$BB$2&amp;C161&amp;$BD$2,"")</f>
        <v/>
      </c>
      <c r="BC159" s="49" t="str">
        <f>IFERROR($BC$2&amp;VLOOKUP(D161,'Pay Table'!$M$3:$N$18,2,FALSE)&amp;$BB$2&amp;E161&amp;$BD$2,"")</f>
        <v/>
      </c>
      <c r="BD159" s="49" t="str">
        <f>IFERROR($BC$2&amp;VLOOKUP(F161,'Pay Table'!$M$3:$N$18,2,FALSE)&amp;$BB$2&amp;G161&amp;$BD$2,"")</f>
        <v/>
      </c>
      <c r="BE159" s="49" t="str">
        <f>IFERROR($BC$2&amp;VLOOKUP(H161,'Pay Table'!$M$3:$N$18,2,FALSE)&amp;$BB$2&amp;I161&amp;$BD$2,"")</f>
        <v/>
      </c>
      <c r="BF159" s="60" t="str">
        <f>IFERROR($BC$2&amp;VLOOKUP(J161,'Pay Table'!$M$3:$N$18,2,FALSE)&amp;$BB$2&amp;K161&amp;$BD$2,"")</f>
        <v/>
      </c>
    </row>
    <row r="160" spans="1:58" ht="17.100000000000001" customHeight="1" x14ac:dyDescent="0.15">
      <c r="A160" s="14">
        <v>156</v>
      </c>
      <c r="BB160" s="59" t="str">
        <f>IFERROR($BC$2&amp;VLOOKUP(B162,'Pay Table'!$M$3:$N$18,2,FALSE)&amp;$BB$2&amp;C162&amp;$BD$2,"")</f>
        <v/>
      </c>
      <c r="BC160" s="49" t="str">
        <f>IFERROR($BC$2&amp;VLOOKUP(D162,'Pay Table'!$M$3:$N$18,2,FALSE)&amp;$BB$2&amp;E162&amp;$BD$2,"")</f>
        <v/>
      </c>
      <c r="BD160" s="49" t="str">
        <f>IFERROR($BC$2&amp;VLOOKUP(F162,'Pay Table'!$M$3:$N$18,2,FALSE)&amp;$BB$2&amp;G162&amp;$BD$2,"")</f>
        <v/>
      </c>
      <c r="BE160" s="49" t="str">
        <f>IFERROR($BC$2&amp;VLOOKUP(H162,'Pay Table'!$M$3:$N$18,2,FALSE)&amp;$BB$2&amp;I162&amp;$BD$2,"")</f>
        <v/>
      </c>
      <c r="BF160" s="60" t="str">
        <f>IFERROR($BC$2&amp;VLOOKUP(J162,'Pay Table'!$M$3:$N$18,2,FALSE)&amp;$BB$2&amp;K162&amp;$BD$2,"")</f>
        <v/>
      </c>
    </row>
    <row r="161" spans="1:58" ht="17.100000000000001" customHeight="1" x14ac:dyDescent="0.15">
      <c r="A161" s="14">
        <v>157</v>
      </c>
      <c r="BB161" s="59" t="str">
        <f>IFERROR($BC$2&amp;VLOOKUP(B163,'Pay Table'!$M$3:$N$18,2,FALSE)&amp;$BB$2&amp;C163&amp;$BD$2,"")</f>
        <v/>
      </c>
      <c r="BC161" s="49" t="str">
        <f>IFERROR($BC$2&amp;VLOOKUP(D163,'Pay Table'!$M$3:$N$18,2,FALSE)&amp;$BB$2&amp;E163&amp;$BD$2,"")</f>
        <v/>
      </c>
      <c r="BD161" s="49" t="str">
        <f>IFERROR($BC$2&amp;VLOOKUP(F163,'Pay Table'!$M$3:$N$18,2,FALSE)&amp;$BB$2&amp;G163&amp;$BD$2,"")</f>
        <v/>
      </c>
      <c r="BE161" s="49" t="str">
        <f>IFERROR($BC$2&amp;VLOOKUP(H163,'Pay Table'!$M$3:$N$18,2,FALSE)&amp;$BB$2&amp;I163&amp;$BD$2,"")</f>
        <v/>
      </c>
      <c r="BF161" s="60" t="str">
        <f>IFERROR($BC$2&amp;VLOOKUP(J163,'Pay Table'!$M$3:$N$18,2,FALSE)&amp;$BB$2&amp;K163&amp;$BD$2,"")</f>
        <v/>
      </c>
    </row>
    <row r="162" spans="1:58" ht="17.100000000000001" customHeight="1" x14ac:dyDescent="0.15">
      <c r="A162" s="14">
        <v>158</v>
      </c>
      <c r="BB162" s="59" t="str">
        <f>IFERROR($BC$2&amp;VLOOKUP(B164,'Pay Table'!$M$3:$N$18,2,FALSE)&amp;$BB$2&amp;C164&amp;$BD$2,"")</f>
        <v/>
      </c>
      <c r="BC162" s="49" t="str">
        <f>IFERROR($BC$2&amp;VLOOKUP(D164,'Pay Table'!$M$3:$N$18,2,FALSE)&amp;$BB$2&amp;E164&amp;$BD$2,"")</f>
        <v/>
      </c>
      <c r="BD162" s="49" t="str">
        <f>IFERROR($BC$2&amp;VLOOKUP(F164,'Pay Table'!$M$3:$N$18,2,FALSE)&amp;$BB$2&amp;G164&amp;$BD$2,"")</f>
        <v/>
      </c>
      <c r="BE162" s="49" t="str">
        <f>IFERROR($BC$2&amp;VLOOKUP(H164,'Pay Table'!$M$3:$N$18,2,FALSE)&amp;$BB$2&amp;I164&amp;$BD$2,"")</f>
        <v/>
      </c>
      <c r="BF162" s="60" t="str">
        <f>IFERROR($BC$2&amp;VLOOKUP(J164,'Pay Table'!$M$3:$N$18,2,FALSE)&amp;$BB$2&amp;K164&amp;$BD$2,"")</f>
        <v/>
      </c>
    </row>
    <row r="163" spans="1:58" ht="17.100000000000001" customHeight="1" x14ac:dyDescent="0.15">
      <c r="A163" s="14">
        <v>159</v>
      </c>
      <c r="BB163" s="59" t="str">
        <f>IFERROR($BC$2&amp;VLOOKUP(B165,'Pay Table'!$M$3:$N$18,2,FALSE)&amp;$BB$2&amp;C165&amp;$BD$2,"")</f>
        <v/>
      </c>
      <c r="BC163" s="49" t="str">
        <f>IFERROR($BC$2&amp;VLOOKUP(D165,'Pay Table'!$M$3:$N$18,2,FALSE)&amp;$BB$2&amp;E165&amp;$BD$2,"")</f>
        <v/>
      </c>
      <c r="BD163" s="49" t="str">
        <f>IFERROR($BC$2&amp;VLOOKUP(F165,'Pay Table'!$M$3:$N$18,2,FALSE)&amp;$BB$2&amp;G165&amp;$BD$2,"")</f>
        <v/>
      </c>
      <c r="BE163" s="49" t="str">
        <f>IFERROR($BC$2&amp;VLOOKUP(H165,'Pay Table'!$M$3:$N$18,2,FALSE)&amp;$BB$2&amp;I165&amp;$BD$2,"")</f>
        <v/>
      </c>
      <c r="BF163" s="60" t="str">
        <f>IFERROR($BC$2&amp;VLOOKUP(J165,'Pay Table'!$M$3:$N$18,2,FALSE)&amp;$BB$2&amp;K165&amp;$BD$2,"")</f>
        <v/>
      </c>
    </row>
    <row r="164" spans="1:58" ht="17.100000000000001" customHeight="1" x14ac:dyDescent="0.15">
      <c r="A164" s="14">
        <v>160</v>
      </c>
      <c r="BB164" s="59" t="str">
        <f>IFERROR($BC$2&amp;VLOOKUP(B166,'Pay Table'!$M$3:$N$18,2,FALSE)&amp;$BB$2&amp;C166&amp;$BD$2,"")</f>
        <v/>
      </c>
      <c r="BC164" s="49" t="str">
        <f>IFERROR($BC$2&amp;VLOOKUP(D166,'Pay Table'!$M$3:$N$18,2,FALSE)&amp;$BB$2&amp;E166&amp;$BD$2,"")</f>
        <v/>
      </c>
      <c r="BD164" s="49" t="str">
        <f>IFERROR($BC$2&amp;VLOOKUP(F166,'Pay Table'!$M$3:$N$18,2,FALSE)&amp;$BB$2&amp;G166&amp;$BD$2,"")</f>
        <v/>
      </c>
      <c r="BE164" s="49" t="str">
        <f>IFERROR($BC$2&amp;VLOOKUP(H166,'Pay Table'!$M$3:$N$18,2,FALSE)&amp;$BB$2&amp;I166&amp;$BD$2,"")</f>
        <v/>
      </c>
      <c r="BF164" s="60" t="str">
        <f>IFERROR($BC$2&amp;VLOOKUP(J166,'Pay Table'!$M$3:$N$18,2,FALSE)&amp;$BB$2&amp;K166&amp;$BD$2,"")</f>
        <v/>
      </c>
    </row>
    <row r="165" spans="1:58" ht="17.100000000000001" customHeight="1" x14ac:dyDescent="0.15">
      <c r="A165" s="14">
        <v>161</v>
      </c>
      <c r="BB165" s="59" t="str">
        <f>IFERROR($BC$2&amp;VLOOKUP(B167,'Pay Table'!$M$3:$N$18,2,FALSE)&amp;$BB$2&amp;C167&amp;$BD$2,"")</f>
        <v/>
      </c>
      <c r="BC165" s="49" t="str">
        <f>IFERROR($BC$2&amp;VLOOKUP(D167,'Pay Table'!$M$3:$N$18,2,FALSE)&amp;$BB$2&amp;E167&amp;$BD$2,"")</f>
        <v/>
      </c>
      <c r="BD165" s="49" t="str">
        <f>IFERROR($BC$2&amp;VLOOKUP(F167,'Pay Table'!$M$3:$N$18,2,FALSE)&amp;$BB$2&amp;G167&amp;$BD$2,"")</f>
        <v/>
      </c>
      <c r="BE165" s="49" t="str">
        <f>IFERROR($BC$2&amp;VLOOKUP(H167,'Pay Table'!$M$3:$N$18,2,FALSE)&amp;$BB$2&amp;I167&amp;$BD$2,"")</f>
        <v/>
      </c>
      <c r="BF165" s="60" t="str">
        <f>IFERROR($BC$2&amp;VLOOKUP(J167,'Pay Table'!$M$3:$N$18,2,FALSE)&amp;$BB$2&amp;K167&amp;$BD$2,"")</f>
        <v/>
      </c>
    </row>
    <row r="166" spans="1:58" ht="17.100000000000001" customHeight="1" x14ac:dyDescent="0.25">
      <c r="A166" s="14">
        <v>162</v>
      </c>
      <c r="K166" s="39"/>
      <c r="BB166" s="59" t="str">
        <f>IFERROR($BC$2&amp;VLOOKUP(B168,'Pay Table'!$M$3:$N$18,2,FALSE)&amp;$BB$2&amp;C168&amp;$BD$2,"")</f>
        <v/>
      </c>
      <c r="BC166" s="49" t="str">
        <f>IFERROR($BC$2&amp;VLOOKUP(D168,'Pay Table'!$M$3:$N$18,2,FALSE)&amp;$BB$2&amp;E168&amp;$BD$2,"")</f>
        <v/>
      </c>
      <c r="BD166" s="49" t="str">
        <f>IFERROR($BC$2&amp;VLOOKUP(F168,'Pay Table'!$M$3:$N$18,2,FALSE)&amp;$BB$2&amp;G168&amp;$BD$2,"")</f>
        <v/>
      </c>
      <c r="BE166" s="49" t="str">
        <f>IFERROR($BC$2&amp;VLOOKUP(H168,'Pay Table'!$M$3:$N$18,2,FALSE)&amp;$BB$2&amp;I168&amp;$BD$2,"")</f>
        <v/>
      </c>
      <c r="BF166" s="60" t="str">
        <f>IFERROR($BC$2&amp;VLOOKUP(J168,'Pay Table'!$M$3:$N$18,2,FALSE)&amp;$BB$2&amp;K168&amp;$BD$2,"")</f>
        <v/>
      </c>
    </row>
    <row r="167" spans="1:58" ht="17.100000000000001" customHeight="1" x14ac:dyDescent="0.25">
      <c r="A167" s="14">
        <v>163</v>
      </c>
      <c r="K167" s="39"/>
      <c r="BB167" s="59" t="str">
        <f>IFERROR($BC$2&amp;VLOOKUP(B169,'Pay Table'!$M$3:$N$18,2,FALSE)&amp;$BB$2&amp;C169&amp;$BD$2,"")</f>
        <v/>
      </c>
      <c r="BC167" s="49" t="str">
        <f>IFERROR($BC$2&amp;VLOOKUP(D169,'Pay Table'!$M$3:$N$18,2,FALSE)&amp;$BB$2&amp;E169&amp;$BD$2,"")</f>
        <v/>
      </c>
      <c r="BD167" s="49" t="str">
        <f>IFERROR($BC$2&amp;VLOOKUP(F169,'Pay Table'!$M$3:$N$18,2,FALSE)&amp;$BB$2&amp;G169&amp;$BD$2,"")</f>
        <v/>
      </c>
      <c r="BE167" s="49" t="str">
        <f>IFERROR($BC$2&amp;VLOOKUP(H169,'Pay Table'!$M$3:$N$18,2,FALSE)&amp;$BB$2&amp;I169&amp;$BD$2,"")</f>
        <v/>
      </c>
      <c r="BF167" s="60" t="str">
        <f>IFERROR($BC$2&amp;VLOOKUP(J169,'Pay Table'!$M$3:$N$18,2,FALSE)&amp;$BB$2&amp;K169&amp;$BD$2,"")</f>
        <v/>
      </c>
    </row>
    <row r="168" spans="1:58" ht="17.100000000000001" customHeight="1" x14ac:dyDescent="0.25">
      <c r="A168" s="14">
        <v>164</v>
      </c>
      <c r="K168" s="39"/>
      <c r="BB168" s="59" t="str">
        <f>IFERROR($BC$2&amp;VLOOKUP(B170,'Pay Table'!$M$3:$N$18,2,FALSE)&amp;$BB$2&amp;C170&amp;$BD$2,"")</f>
        <v/>
      </c>
      <c r="BC168" s="49" t="str">
        <f>IFERROR($BC$2&amp;VLOOKUP(D170,'Pay Table'!$M$3:$N$18,2,FALSE)&amp;$BB$2&amp;E170&amp;$BD$2,"")</f>
        <v/>
      </c>
      <c r="BD168" s="49" t="str">
        <f>IFERROR($BC$2&amp;VLOOKUP(F170,'Pay Table'!$M$3:$N$18,2,FALSE)&amp;$BB$2&amp;G170&amp;$BD$2,"")</f>
        <v/>
      </c>
      <c r="BE168" s="49" t="str">
        <f>IFERROR($BC$2&amp;VLOOKUP(H170,'Pay Table'!$M$3:$N$18,2,FALSE)&amp;$BB$2&amp;I170&amp;$BD$2,"")</f>
        <v/>
      </c>
      <c r="BF168" s="60" t="str">
        <f>IFERROR($BC$2&amp;VLOOKUP(J170,'Pay Table'!$M$3:$N$18,2,FALSE)&amp;$BB$2&amp;K170&amp;$BD$2,"")</f>
        <v/>
      </c>
    </row>
    <row r="169" spans="1:58" ht="17.100000000000001" customHeight="1" x14ac:dyDescent="0.25">
      <c r="A169" s="14">
        <v>165</v>
      </c>
      <c r="K169" s="39"/>
      <c r="BB169" s="59" t="str">
        <f>IFERROR($BC$2&amp;VLOOKUP(B171,'Pay Table'!$M$3:$N$18,2,FALSE)&amp;$BB$2&amp;C171&amp;$BD$2,"")</f>
        <v/>
      </c>
      <c r="BC169" s="49" t="str">
        <f>IFERROR($BC$2&amp;VLOOKUP(D171,'Pay Table'!$M$3:$N$18,2,FALSE)&amp;$BB$2&amp;E171&amp;$BD$2,"")</f>
        <v/>
      </c>
      <c r="BD169" s="49" t="str">
        <f>IFERROR($BC$2&amp;VLOOKUP(F171,'Pay Table'!$M$3:$N$18,2,FALSE)&amp;$BB$2&amp;G171&amp;$BD$2,"")</f>
        <v/>
      </c>
      <c r="BE169" s="49" t="str">
        <f>IFERROR($BC$2&amp;VLOOKUP(H171,'Pay Table'!$M$3:$N$18,2,FALSE)&amp;$BB$2&amp;I171&amp;$BD$2,"")</f>
        <v/>
      </c>
      <c r="BF169" s="60" t="str">
        <f>IFERROR($BC$2&amp;VLOOKUP(J171,'Pay Table'!$M$3:$N$18,2,FALSE)&amp;$BB$2&amp;K171&amp;$BD$2,"")</f>
        <v/>
      </c>
    </row>
    <row r="170" spans="1:58" ht="17.100000000000001" customHeight="1" x14ac:dyDescent="0.25">
      <c r="A170" s="14">
        <v>166</v>
      </c>
      <c r="K170" s="39"/>
      <c r="BB170" s="59" t="str">
        <f>IFERROR($BC$2&amp;VLOOKUP(B172,'Pay Table'!$M$3:$N$18,2,FALSE)&amp;$BB$2&amp;C172&amp;$BD$2,"")</f>
        <v/>
      </c>
      <c r="BC170" s="49" t="str">
        <f>IFERROR($BC$2&amp;VLOOKUP(D172,'Pay Table'!$M$3:$N$18,2,FALSE)&amp;$BB$2&amp;E172&amp;$BD$2,"")</f>
        <v/>
      </c>
      <c r="BD170" s="49" t="str">
        <f>IFERROR($BC$2&amp;VLOOKUP(F172,'Pay Table'!$M$3:$N$18,2,FALSE)&amp;$BB$2&amp;G172&amp;$BD$2,"")</f>
        <v/>
      </c>
      <c r="BE170" s="49" t="str">
        <f>IFERROR($BC$2&amp;VLOOKUP(H172,'Pay Table'!$M$3:$N$18,2,FALSE)&amp;$BB$2&amp;I172&amp;$BD$2,"")</f>
        <v/>
      </c>
      <c r="BF170" s="60" t="str">
        <f>IFERROR($BC$2&amp;VLOOKUP(J172,'Pay Table'!$M$3:$N$18,2,FALSE)&amp;$BB$2&amp;K172&amp;$BD$2,"")</f>
        <v/>
      </c>
    </row>
    <row r="171" spans="1:58" ht="17.100000000000001" customHeight="1" x14ac:dyDescent="0.15">
      <c r="A171" s="14">
        <v>167</v>
      </c>
      <c r="BB171" s="59" t="str">
        <f>IFERROR($BC$2&amp;VLOOKUP(B173,'Pay Table'!$M$3:$N$18,2,FALSE)&amp;$BB$2&amp;C173&amp;$BD$2,"")</f>
        <v/>
      </c>
      <c r="BC171" s="49" t="str">
        <f>IFERROR($BC$2&amp;VLOOKUP(D173,'Pay Table'!$M$3:$N$18,2,FALSE)&amp;$BB$2&amp;E173&amp;$BD$2,"")</f>
        <v/>
      </c>
      <c r="BD171" s="49" t="str">
        <f>IFERROR($BC$2&amp;VLOOKUP(F173,'Pay Table'!$M$3:$N$18,2,FALSE)&amp;$BB$2&amp;G173&amp;$BD$2,"")</f>
        <v/>
      </c>
      <c r="BE171" s="49" t="str">
        <f>IFERROR($BC$2&amp;VLOOKUP(H173,'Pay Table'!$M$3:$N$18,2,FALSE)&amp;$BB$2&amp;I173&amp;$BD$2,"")</f>
        <v/>
      </c>
      <c r="BF171" s="60" t="str">
        <f>IFERROR($BC$2&amp;VLOOKUP(J173,'Pay Table'!$M$3:$N$18,2,FALSE)&amp;$BB$2&amp;K173&amp;$BD$2,"")</f>
        <v/>
      </c>
    </row>
    <row r="172" spans="1:58" ht="17.100000000000001" customHeight="1" x14ac:dyDescent="0.15">
      <c r="A172" s="14">
        <v>168</v>
      </c>
      <c r="BB172" s="59" t="str">
        <f>IFERROR($BC$2&amp;VLOOKUP(B174,'Pay Table'!$M$3:$N$18,2,FALSE)&amp;$BB$2&amp;C174&amp;$BD$2,"")</f>
        <v/>
      </c>
      <c r="BC172" s="49" t="str">
        <f>IFERROR($BC$2&amp;VLOOKUP(D174,'Pay Table'!$M$3:$N$18,2,FALSE)&amp;$BB$2&amp;E174&amp;$BD$2,"")</f>
        <v/>
      </c>
      <c r="BD172" s="49" t="str">
        <f>IFERROR($BC$2&amp;VLOOKUP(F174,'Pay Table'!$M$3:$N$18,2,FALSE)&amp;$BB$2&amp;G174&amp;$BD$2,"")</f>
        <v/>
      </c>
      <c r="BE172" s="49" t="str">
        <f>IFERROR($BC$2&amp;VLOOKUP(H174,'Pay Table'!$M$3:$N$18,2,FALSE)&amp;$BB$2&amp;I174&amp;$BD$2,"")</f>
        <v/>
      </c>
      <c r="BF172" s="60" t="str">
        <f>IFERROR($BC$2&amp;VLOOKUP(J174,'Pay Table'!$M$3:$N$18,2,FALSE)&amp;$BB$2&amp;K174&amp;$BD$2,"")</f>
        <v/>
      </c>
    </row>
    <row r="173" spans="1:58" ht="17.100000000000001" customHeight="1" x14ac:dyDescent="0.15">
      <c r="A173" s="14">
        <v>169</v>
      </c>
      <c r="BB173" s="59" t="str">
        <f>IFERROR($BC$2&amp;VLOOKUP(B175,'Pay Table'!$M$3:$N$18,2,FALSE)&amp;$BB$2&amp;C175&amp;$BD$2,"")</f>
        <v/>
      </c>
      <c r="BC173" s="49" t="str">
        <f>IFERROR($BC$2&amp;VLOOKUP(D175,'Pay Table'!$M$3:$N$18,2,FALSE)&amp;$BB$2&amp;E175&amp;$BD$2,"")</f>
        <v/>
      </c>
      <c r="BD173" s="49" t="str">
        <f>IFERROR($BC$2&amp;VLOOKUP(F175,'Pay Table'!$M$3:$N$18,2,FALSE)&amp;$BB$2&amp;G175&amp;$BD$2,"")</f>
        <v/>
      </c>
      <c r="BE173" s="49" t="str">
        <f>IFERROR($BC$2&amp;VLOOKUP(H175,'Pay Table'!$M$3:$N$18,2,FALSE)&amp;$BB$2&amp;I175&amp;$BD$2,"")</f>
        <v/>
      </c>
      <c r="BF173" s="60" t="str">
        <f>IFERROR($BC$2&amp;VLOOKUP(J175,'Pay Table'!$M$3:$N$18,2,FALSE)&amp;$BB$2&amp;K175&amp;$BD$2,"")</f>
        <v/>
      </c>
    </row>
    <row r="174" spans="1:58" ht="17.100000000000001" customHeight="1" x14ac:dyDescent="0.15">
      <c r="A174" s="14">
        <v>170</v>
      </c>
      <c r="BB174" s="59" t="str">
        <f>IFERROR($BC$2&amp;VLOOKUP(B176,'Pay Table'!$M$3:$N$18,2,FALSE)&amp;$BB$2&amp;C176&amp;$BD$2,"")</f>
        <v/>
      </c>
      <c r="BC174" s="49" t="str">
        <f>IFERROR($BC$2&amp;VLOOKUP(D176,'Pay Table'!$M$3:$N$18,2,FALSE)&amp;$BB$2&amp;E176&amp;$BD$2,"")</f>
        <v/>
      </c>
      <c r="BD174" s="49" t="str">
        <f>IFERROR($BC$2&amp;VLOOKUP(F176,'Pay Table'!$M$3:$N$18,2,FALSE)&amp;$BB$2&amp;G176&amp;$BD$2,"")</f>
        <v/>
      </c>
      <c r="BE174" s="49" t="str">
        <f>IFERROR($BC$2&amp;VLOOKUP(H176,'Pay Table'!$M$3:$N$18,2,FALSE)&amp;$BB$2&amp;I176&amp;$BD$2,"")</f>
        <v/>
      </c>
      <c r="BF174" s="60" t="str">
        <f>IFERROR($BC$2&amp;VLOOKUP(J176,'Pay Table'!$M$3:$N$18,2,FALSE)&amp;$BB$2&amp;K176&amp;$BD$2,"")</f>
        <v/>
      </c>
    </row>
    <row r="175" spans="1:58" ht="17.100000000000001" customHeight="1" x14ac:dyDescent="0.15">
      <c r="A175" s="14">
        <v>171</v>
      </c>
      <c r="BB175" s="59" t="str">
        <f>IFERROR($BC$2&amp;VLOOKUP(B177,'Pay Table'!$M$3:$N$18,2,FALSE)&amp;$BB$2&amp;C177&amp;$BD$2,"")</f>
        <v/>
      </c>
      <c r="BC175" s="49" t="str">
        <f>IFERROR($BC$2&amp;VLOOKUP(D177,'Pay Table'!$M$3:$N$18,2,FALSE)&amp;$BB$2&amp;E177&amp;$BD$2,"")</f>
        <v/>
      </c>
      <c r="BD175" s="49" t="str">
        <f>IFERROR($BC$2&amp;VLOOKUP(F177,'Pay Table'!$M$3:$N$18,2,FALSE)&amp;$BB$2&amp;G177&amp;$BD$2,"")</f>
        <v/>
      </c>
      <c r="BE175" s="49" t="str">
        <f>IFERROR($BC$2&amp;VLOOKUP(H177,'Pay Table'!$M$3:$N$18,2,FALSE)&amp;$BB$2&amp;I177&amp;$BD$2,"")</f>
        <v/>
      </c>
      <c r="BF175" s="60" t="str">
        <f>IFERROR($BC$2&amp;VLOOKUP(J177,'Pay Table'!$M$3:$N$18,2,FALSE)&amp;$BB$2&amp;K177&amp;$BD$2,"")</f>
        <v/>
      </c>
    </row>
    <row r="176" spans="1:58" ht="17.100000000000001" customHeight="1" x14ac:dyDescent="0.15">
      <c r="A176" s="14">
        <v>172</v>
      </c>
      <c r="BB176" s="59" t="str">
        <f>IFERROR($BC$2&amp;VLOOKUP(B178,'Pay Table'!$M$3:$N$18,2,FALSE)&amp;$BB$2&amp;C178&amp;$BD$2,"")</f>
        <v/>
      </c>
      <c r="BC176" s="49" t="str">
        <f>IFERROR($BC$2&amp;VLOOKUP(D178,'Pay Table'!$M$3:$N$18,2,FALSE)&amp;$BB$2&amp;E178&amp;$BD$2,"")</f>
        <v/>
      </c>
      <c r="BD176" s="49" t="str">
        <f>IFERROR($BC$2&amp;VLOOKUP(F178,'Pay Table'!$M$3:$N$18,2,FALSE)&amp;$BB$2&amp;G178&amp;$BD$2,"")</f>
        <v/>
      </c>
      <c r="BE176" s="49" t="str">
        <f>IFERROR($BC$2&amp;VLOOKUP(H178,'Pay Table'!$M$3:$N$18,2,FALSE)&amp;$BB$2&amp;I178&amp;$BD$2,"")</f>
        <v/>
      </c>
      <c r="BF176" s="60" t="str">
        <f>IFERROR($BC$2&amp;VLOOKUP(J178,'Pay Table'!$M$3:$N$18,2,FALSE)&amp;$BB$2&amp;K178&amp;$BD$2,"")</f>
        <v/>
      </c>
    </row>
    <row r="177" spans="1:58" ht="17.100000000000001" customHeight="1" x14ac:dyDescent="0.15">
      <c r="A177" s="14">
        <v>173</v>
      </c>
      <c r="BB177" s="59" t="str">
        <f>IFERROR($BC$2&amp;VLOOKUP(B179,'Pay Table'!$M$3:$N$18,2,FALSE)&amp;$BB$2&amp;C179&amp;$BD$2,"")</f>
        <v/>
      </c>
      <c r="BC177" s="49" t="str">
        <f>IFERROR($BC$2&amp;VLOOKUP(D179,'Pay Table'!$M$3:$N$18,2,FALSE)&amp;$BB$2&amp;E179&amp;$BD$2,"")</f>
        <v/>
      </c>
      <c r="BD177" s="49" t="str">
        <f>IFERROR($BC$2&amp;VLOOKUP(F179,'Pay Table'!$M$3:$N$18,2,FALSE)&amp;$BB$2&amp;G179&amp;$BD$2,"")</f>
        <v/>
      </c>
      <c r="BE177" s="49" t="str">
        <f>IFERROR($BC$2&amp;VLOOKUP(H179,'Pay Table'!$M$3:$N$18,2,FALSE)&amp;$BB$2&amp;I179&amp;$BD$2,"")</f>
        <v/>
      </c>
      <c r="BF177" s="60" t="str">
        <f>IFERROR($BC$2&amp;VLOOKUP(J179,'Pay Table'!$M$3:$N$18,2,FALSE)&amp;$BB$2&amp;K179&amp;$BD$2,"")</f>
        <v/>
      </c>
    </row>
    <row r="178" spans="1:58" ht="17.100000000000001" customHeight="1" x14ac:dyDescent="0.15">
      <c r="A178" s="14">
        <v>174</v>
      </c>
      <c r="BB178" s="59" t="str">
        <f>IFERROR($BC$2&amp;VLOOKUP(B180,'Pay Table'!$M$3:$N$18,2,FALSE)&amp;$BB$2&amp;C180&amp;$BD$2,"")</f>
        <v/>
      </c>
      <c r="BC178" s="49" t="str">
        <f>IFERROR($BC$2&amp;VLOOKUP(D180,'Pay Table'!$M$3:$N$18,2,FALSE)&amp;$BB$2&amp;E180&amp;$BD$2,"")</f>
        <v/>
      </c>
      <c r="BD178" s="49" t="str">
        <f>IFERROR($BC$2&amp;VLOOKUP(F180,'Pay Table'!$M$3:$N$18,2,FALSE)&amp;$BB$2&amp;G180&amp;$BD$2,"")</f>
        <v/>
      </c>
      <c r="BE178" s="49" t="str">
        <f>IFERROR($BC$2&amp;VLOOKUP(H180,'Pay Table'!$M$3:$N$18,2,FALSE)&amp;$BB$2&amp;I180&amp;$BD$2,"")</f>
        <v/>
      </c>
      <c r="BF178" s="60" t="str">
        <f>IFERROR($BC$2&amp;VLOOKUP(J180,'Pay Table'!$M$3:$N$18,2,FALSE)&amp;$BB$2&amp;K180&amp;$BD$2,"")</f>
        <v/>
      </c>
    </row>
    <row r="179" spans="1:58" ht="17.100000000000001" customHeight="1" x14ac:dyDescent="0.15">
      <c r="A179" s="14">
        <v>175</v>
      </c>
      <c r="BB179" s="59" t="str">
        <f>IFERROR($BC$2&amp;VLOOKUP(B181,'Pay Table'!$M$3:$N$18,2,FALSE)&amp;$BB$2&amp;C181&amp;$BD$2,"")</f>
        <v/>
      </c>
      <c r="BC179" s="49" t="str">
        <f>IFERROR($BC$2&amp;VLOOKUP(D181,'Pay Table'!$M$3:$N$18,2,FALSE)&amp;$BB$2&amp;E181&amp;$BD$2,"")</f>
        <v/>
      </c>
      <c r="BD179" s="49" t="str">
        <f>IFERROR($BC$2&amp;VLOOKUP(F181,'Pay Table'!$M$3:$N$18,2,FALSE)&amp;$BB$2&amp;G181&amp;$BD$2,"")</f>
        <v/>
      </c>
      <c r="BE179" s="49" t="str">
        <f>IFERROR($BC$2&amp;VLOOKUP(H181,'Pay Table'!$M$3:$N$18,2,FALSE)&amp;$BB$2&amp;I181&amp;$BD$2,"")</f>
        <v/>
      </c>
      <c r="BF179" s="60" t="str">
        <f>IFERROR($BC$2&amp;VLOOKUP(J181,'Pay Table'!$M$3:$N$18,2,FALSE)&amp;$BB$2&amp;K181&amp;$BD$2,"")</f>
        <v/>
      </c>
    </row>
    <row r="180" spans="1:58" ht="17.100000000000001" customHeight="1" x14ac:dyDescent="0.15">
      <c r="A180" s="14">
        <v>176</v>
      </c>
      <c r="BB180" s="59" t="str">
        <f>IFERROR($BC$2&amp;VLOOKUP(B182,'Pay Table'!$M$3:$N$18,2,FALSE)&amp;$BB$2&amp;C182&amp;$BD$2,"")</f>
        <v/>
      </c>
      <c r="BC180" s="49" t="str">
        <f>IFERROR($BC$2&amp;VLOOKUP(D182,'Pay Table'!$M$3:$N$18,2,FALSE)&amp;$BB$2&amp;E182&amp;$BD$2,"")</f>
        <v/>
      </c>
      <c r="BD180" s="49" t="str">
        <f>IFERROR($BC$2&amp;VLOOKUP(F182,'Pay Table'!$M$3:$N$18,2,FALSE)&amp;$BB$2&amp;G182&amp;$BD$2,"")</f>
        <v/>
      </c>
      <c r="BE180" s="49" t="str">
        <f>IFERROR($BC$2&amp;VLOOKUP(H182,'Pay Table'!$M$3:$N$18,2,FALSE)&amp;$BB$2&amp;I182&amp;$BD$2,"")</f>
        <v/>
      </c>
      <c r="BF180" s="60" t="str">
        <f>IFERROR($BC$2&amp;VLOOKUP(J182,'Pay Table'!$M$3:$N$18,2,FALSE)&amp;$BB$2&amp;K182&amp;$BD$2,"")</f>
        <v/>
      </c>
    </row>
    <row r="181" spans="1:58" ht="17.100000000000001" customHeight="1" x14ac:dyDescent="0.15">
      <c r="A181" s="14">
        <v>177</v>
      </c>
      <c r="BB181" s="59" t="str">
        <f>IFERROR($BC$2&amp;VLOOKUP(B183,'Pay Table'!$M$3:$N$18,2,FALSE)&amp;$BB$2&amp;C183&amp;$BD$2,"")</f>
        <v/>
      </c>
      <c r="BC181" s="49" t="str">
        <f>IFERROR($BC$2&amp;VLOOKUP(D183,'Pay Table'!$M$3:$N$18,2,FALSE)&amp;$BB$2&amp;E183&amp;$BD$2,"")</f>
        <v/>
      </c>
      <c r="BD181" s="49" t="str">
        <f>IFERROR($BC$2&amp;VLOOKUP(F183,'Pay Table'!$M$3:$N$18,2,FALSE)&amp;$BB$2&amp;G183&amp;$BD$2,"")</f>
        <v/>
      </c>
      <c r="BE181" s="49" t="str">
        <f>IFERROR($BC$2&amp;VLOOKUP(H183,'Pay Table'!$M$3:$N$18,2,FALSE)&amp;$BB$2&amp;I183&amp;$BD$2,"")</f>
        <v/>
      </c>
      <c r="BF181" s="60" t="str">
        <f>IFERROR($BC$2&amp;VLOOKUP(J183,'Pay Table'!$M$3:$N$18,2,FALSE)&amp;$BB$2&amp;K183&amp;$BD$2,"")</f>
        <v/>
      </c>
    </row>
    <row r="182" spans="1:58" ht="17.100000000000001" customHeight="1" x14ac:dyDescent="0.15">
      <c r="A182" s="14">
        <v>178</v>
      </c>
      <c r="BB182" s="59" t="str">
        <f>IFERROR($BC$2&amp;VLOOKUP(B184,'Pay Table'!$M$3:$N$18,2,FALSE)&amp;$BB$2&amp;C184&amp;$BD$2,"")</f>
        <v/>
      </c>
      <c r="BC182" s="49" t="str">
        <f>IFERROR($BC$2&amp;VLOOKUP(D184,'Pay Table'!$M$3:$N$18,2,FALSE)&amp;$BB$2&amp;E184&amp;$BD$2,"")</f>
        <v/>
      </c>
      <c r="BD182" s="49" t="str">
        <f>IFERROR($BC$2&amp;VLOOKUP(F184,'Pay Table'!$M$3:$N$18,2,FALSE)&amp;$BB$2&amp;G184&amp;$BD$2,"")</f>
        <v/>
      </c>
      <c r="BE182" s="49" t="str">
        <f>IFERROR($BC$2&amp;VLOOKUP(H184,'Pay Table'!$M$3:$N$18,2,FALSE)&amp;$BB$2&amp;I184&amp;$BD$2,"")</f>
        <v/>
      </c>
      <c r="BF182" s="60" t="str">
        <f>IFERROR($BC$2&amp;VLOOKUP(J184,'Pay Table'!$M$3:$N$18,2,FALSE)&amp;$BB$2&amp;K184&amp;$BD$2,"")</f>
        <v/>
      </c>
    </row>
    <row r="183" spans="1:58" ht="17.100000000000001" customHeight="1" x14ac:dyDescent="0.15">
      <c r="A183" s="14">
        <v>179</v>
      </c>
      <c r="BB183" s="59" t="str">
        <f>IFERROR($BC$2&amp;VLOOKUP(B185,'Pay Table'!$M$3:$N$18,2,FALSE)&amp;$BB$2&amp;C185&amp;$BD$2,"")</f>
        <v/>
      </c>
      <c r="BC183" s="49" t="str">
        <f>IFERROR($BC$2&amp;VLOOKUP(D185,'Pay Table'!$M$3:$N$18,2,FALSE)&amp;$BB$2&amp;E185&amp;$BD$2,"")</f>
        <v/>
      </c>
      <c r="BD183" s="49" t="str">
        <f>IFERROR($BC$2&amp;VLOOKUP(F185,'Pay Table'!$M$3:$N$18,2,FALSE)&amp;$BB$2&amp;G185&amp;$BD$2,"")</f>
        <v/>
      </c>
      <c r="BE183" s="49" t="str">
        <f>IFERROR($BC$2&amp;VLOOKUP(H185,'Pay Table'!$M$3:$N$18,2,FALSE)&amp;$BB$2&amp;I185&amp;$BD$2,"")</f>
        <v/>
      </c>
      <c r="BF183" s="60" t="str">
        <f>IFERROR($BC$2&amp;VLOOKUP(J185,'Pay Table'!$M$3:$N$18,2,FALSE)&amp;$BB$2&amp;K185&amp;$BD$2,"")</f>
        <v/>
      </c>
    </row>
    <row r="184" spans="1:58" ht="17.100000000000001" customHeight="1" x14ac:dyDescent="0.15">
      <c r="A184" s="14">
        <v>180</v>
      </c>
      <c r="BB184" s="59" t="str">
        <f>IFERROR($BC$2&amp;VLOOKUP(B186,'Pay Table'!$M$3:$N$18,2,FALSE)&amp;$BB$2&amp;C186&amp;$BD$2,"")</f>
        <v/>
      </c>
      <c r="BC184" s="49" t="str">
        <f>IFERROR($BC$2&amp;VLOOKUP(D186,'Pay Table'!$M$3:$N$18,2,FALSE)&amp;$BB$2&amp;E186&amp;$BD$2,"")</f>
        <v/>
      </c>
      <c r="BD184" s="49" t="str">
        <f>IFERROR($BC$2&amp;VLOOKUP(F186,'Pay Table'!$M$3:$N$18,2,FALSE)&amp;$BB$2&amp;G186&amp;$BD$2,"")</f>
        <v/>
      </c>
      <c r="BE184" s="49" t="str">
        <f>IFERROR($BC$2&amp;VLOOKUP(H186,'Pay Table'!$M$3:$N$18,2,FALSE)&amp;$BB$2&amp;I186&amp;$BD$2,"")</f>
        <v/>
      </c>
      <c r="BF184" s="60" t="str">
        <f>IFERROR($BC$2&amp;VLOOKUP(J186,'Pay Table'!$M$3:$N$18,2,FALSE)&amp;$BB$2&amp;K186&amp;$BD$2,"")</f>
        <v/>
      </c>
    </row>
    <row r="185" spans="1:58" ht="17.100000000000001" customHeight="1" x14ac:dyDescent="0.15">
      <c r="A185" s="14">
        <v>181</v>
      </c>
      <c r="BB185" s="59" t="str">
        <f>IFERROR($BC$2&amp;VLOOKUP(B187,'Pay Table'!$M$3:$N$18,2,FALSE)&amp;$BB$2&amp;C187&amp;$BD$2,"")</f>
        <v/>
      </c>
      <c r="BC185" s="49" t="str">
        <f>IFERROR($BC$2&amp;VLOOKUP(D187,'Pay Table'!$M$3:$N$18,2,FALSE)&amp;$BB$2&amp;E187&amp;$BD$2,"")</f>
        <v/>
      </c>
      <c r="BD185" s="49" t="str">
        <f>IFERROR($BC$2&amp;VLOOKUP(F187,'Pay Table'!$M$3:$N$18,2,FALSE)&amp;$BB$2&amp;G187&amp;$BD$2,"")</f>
        <v/>
      </c>
      <c r="BE185" s="49" t="str">
        <f>IFERROR($BC$2&amp;VLOOKUP(H187,'Pay Table'!$M$3:$N$18,2,FALSE)&amp;$BB$2&amp;I187&amp;$BD$2,"")</f>
        <v/>
      </c>
      <c r="BF185" s="60" t="str">
        <f>IFERROR($BC$2&amp;VLOOKUP(J187,'Pay Table'!$M$3:$N$18,2,FALSE)&amp;$BB$2&amp;K187&amp;$BD$2,"")</f>
        <v/>
      </c>
    </row>
    <row r="186" spans="1:58" ht="17.100000000000001" customHeight="1" x14ac:dyDescent="0.15">
      <c r="A186" s="14">
        <v>182</v>
      </c>
      <c r="BB186" s="59" t="str">
        <f>IFERROR($BC$2&amp;VLOOKUP(B188,'Pay Table'!$M$3:$N$18,2,FALSE)&amp;$BB$2&amp;C188&amp;$BD$2,"")</f>
        <v/>
      </c>
      <c r="BC186" s="49" t="str">
        <f>IFERROR($BC$2&amp;VLOOKUP(D188,'Pay Table'!$M$3:$N$18,2,FALSE)&amp;$BB$2&amp;E188&amp;$BD$2,"")</f>
        <v/>
      </c>
      <c r="BD186" s="49" t="str">
        <f>IFERROR($BC$2&amp;VLOOKUP(F188,'Pay Table'!$M$3:$N$18,2,FALSE)&amp;$BB$2&amp;G188&amp;$BD$2,"")</f>
        <v/>
      </c>
      <c r="BE186" s="49" t="str">
        <f>IFERROR($BC$2&amp;VLOOKUP(H188,'Pay Table'!$M$3:$N$18,2,FALSE)&amp;$BB$2&amp;I188&amp;$BD$2,"")</f>
        <v/>
      </c>
      <c r="BF186" s="60" t="str">
        <f>IFERROR($BC$2&amp;VLOOKUP(J188,'Pay Table'!$M$3:$N$18,2,FALSE)&amp;$BB$2&amp;K188&amp;$BD$2,"")</f>
        <v/>
      </c>
    </row>
    <row r="187" spans="1:58" ht="17.100000000000001" customHeight="1" x14ac:dyDescent="0.15">
      <c r="A187" s="14">
        <v>183</v>
      </c>
      <c r="BB187" s="59" t="str">
        <f>IFERROR($BC$2&amp;VLOOKUP(B189,'Pay Table'!$M$3:$N$18,2,FALSE)&amp;$BB$2&amp;C189&amp;$BD$2,"")</f>
        <v/>
      </c>
      <c r="BC187" s="49" t="str">
        <f>IFERROR($BC$2&amp;VLOOKUP(D189,'Pay Table'!$M$3:$N$18,2,FALSE)&amp;$BB$2&amp;E189&amp;$BD$2,"")</f>
        <v/>
      </c>
      <c r="BD187" s="49" t="str">
        <f>IFERROR($BC$2&amp;VLOOKUP(F189,'Pay Table'!$M$3:$N$18,2,FALSE)&amp;$BB$2&amp;G189&amp;$BD$2,"")</f>
        <v/>
      </c>
      <c r="BE187" s="49" t="str">
        <f>IFERROR($BC$2&amp;VLOOKUP(H189,'Pay Table'!$M$3:$N$18,2,FALSE)&amp;$BB$2&amp;I189&amp;$BD$2,"")</f>
        <v/>
      </c>
      <c r="BF187" s="60" t="str">
        <f>IFERROR($BC$2&amp;VLOOKUP(J189,'Pay Table'!$M$3:$N$18,2,FALSE)&amp;$BB$2&amp;K189&amp;$BD$2,"")</f>
        <v/>
      </c>
    </row>
    <row r="188" spans="1:58" ht="17.100000000000001" customHeight="1" x14ac:dyDescent="0.15">
      <c r="A188" s="14">
        <v>184</v>
      </c>
      <c r="BB188" s="59" t="str">
        <f>IFERROR($BC$2&amp;VLOOKUP(B190,'Pay Table'!$M$3:$N$18,2,FALSE)&amp;$BB$2&amp;C190&amp;$BD$2,"")</f>
        <v/>
      </c>
      <c r="BC188" s="49" t="str">
        <f>IFERROR($BC$2&amp;VLOOKUP(D190,'Pay Table'!$M$3:$N$18,2,FALSE)&amp;$BB$2&amp;E190&amp;$BD$2,"")</f>
        <v/>
      </c>
      <c r="BD188" s="49" t="str">
        <f>IFERROR($BC$2&amp;VLOOKUP(F190,'Pay Table'!$M$3:$N$18,2,FALSE)&amp;$BB$2&amp;G190&amp;$BD$2,"")</f>
        <v/>
      </c>
      <c r="BE188" s="49" t="str">
        <f>IFERROR($BC$2&amp;VLOOKUP(H190,'Pay Table'!$M$3:$N$18,2,FALSE)&amp;$BB$2&amp;I190&amp;$BD$2,"")</f>
        <v/>
      </c>
      <c r="BF188" s="60" t="str">
        <f>IFERROR($BC$2&amp;VLOOKUP(J190,'Pay Table'!$M$3:$N$18,2,FALSE)&amp;$BB$2&amp;K190&amp;$BD$2,"")</f>
        <v/>
      </c>
    </row>
    <row r="189" spans="1:58" ht="17.100000000000001" customHeight="1" x14ac:dyDescent="0.15">
      <c r="A189" s="14">
        <v>185</v>
      </c>
      <c r="BB189" s="59" t="str">
        <f>IFERROR($BC$2&amp;VLOOKUP(B191,'Pay Table'!$M$3:$N$18,2,FALSE)&amp;$BB$2&amp;C191&amp;$BD$2,"")</f>
        <v/>
      </c>
      <c r="BC189" s="49" t="str">
        <f>IFERROR($BC$2&amp;VLOOKUP(D191,'Pay Table'!$M$3:$N$18,2,FALSE)&amp;$BB$2&amp;E191&amp;$BD$2,"")</f>
        <v/>
      </c>
      <c r="BD189" s="49" t="str">
        <f>IFERROR($BC$2&amp;VLOOKUP(F191,'Pay Table'!$M$3:$N$18,2,FALSE)&amp;$BB$2&amp;G191&amp;$BD$2,"")</f>
        <v/>
      </c>
      <c r="BE189" s="49" t="str">
        <f>IFERROR($BC$2&amp;VLOOKUP(H191,'Pay Table'!$M$3:$N$18,2,FALSE)&amp;$BB$2&amp;I191&amp;$BD$2,"")</f>
        <v/>
      </c>
      <c r="BF189" s="60" t="str">
        <f>IFERROR($BC$2&amp;VLOOKUP(J191,'Pay Table'!$M$3:$N$18,2,FALSE)&amp;$BB$2&amp;K191&amp;$BD$2,"")</f>
        <v/>
      </c>
    </row>
    <row r="190" spans="1:58" ht="17.100000000000001" customHeight="1" x14ac:dyDescent="0.15">
      <c r="A190" s="14">
        <v>186</v>
      </c>
      <c r="BB190" s="59" t="str">
        <f>IFERROR($BC$2&amp;VLOOKUP(B192,'Pay Table'!$M$3:$N$18,2,FALSE)&amp;$BB$2&amp;C192&amp;$BD$2,"")</f>
        <v/>
      </c>
      <c r="BC190" s="49" t="str">
        <f>IFERROR($BC$2&amp;VLOOKUP(D192,'Pay Table'!$M$3:$N$18,2,FALSE)&amp;$BB$2&amp;E192&amp;$BD$2,"")</f>
        <v/>
      </c>
      <c r="BD190" s="49" t="str">
        <f>IFERROR($BC$2&amp;VLOOKUP(F192,'Pay Table'!$M$3:$N$18,2,FALSE)&amp;$BB$2&amp;G192&amp;$BD$2,"")</f>
        <v/>
      </c>
      <c r="BE190" s="49" t="str">
        <f>IFERROR($BC$2&amp;VLOOKUP(H192,'Pay Table'!$M$3:$N$18,2,FALSE)&amp;$BB$2&amp;I192&amp;$BD$2,"")</f>
        <v/>
      </c>
      <c r="BF190" s="60" t="str">
        <f>IFERROR($BC$2&amp;VLOOKUP(J192,'Pay Table'!$M$3:$N$18,2,FALSE)&amp;$BB$2&amp;K192&amp;$BD$2,"")</f>
        <v/>
      </c>
    </row>
    <row r="191" spans="1:58" ht="17.100000000000001" customHeight="1" x14ac:dyDescent="0.15">
      <c r="A191" s="14">
        <v>187</v>
      </c>
      <c r="BB191" s="59" t="str">
        <f>IFERROR($BC$2&amp;VLOOKUP(B193,'Pay Table'!$M$3:$N$18,2,FALSE)&amp;$BB$2&amp;C193&amp;$BD$2,"")</f>
        <v/>
      </c>
      <c r="BC191" s="49" t="str">
        <f>IFERROR($BC$2&amp;VLOOKUP(D193,'Pay Table'!$M$3:$N$18,2,FALSE)&amp;$BB$2&amp;E193&amp;$BD$2,"")</f>
        <v/>
      </c>
      <c r="BD191" s="49" t="str">
        <f>IFERROR($BC$2&amp;VLOOKUP(F193,'Pay Table'!$M$3:$N$18,2,FALSE)&amp;$BB$2&amp;G193&amp;$BD$2,"")</f>
        <v/>
      </c>
      <c r="BE191" s="49" t="str">
        <f>IFERROR($BC$2&amp;VLOOKUP(H193,'Pay Table'!$M$3:$N$18,2,FALSE)&amp;$BB$2&amp;I193&amp;$BD$2,"")</f>
        <v/>
      </c>
      <c r="BF191" s="60" t="str">
        <f>IFERROR($BC$2&amp;VLOOKUP(J193,'Pay Table'!$M$3:$N$18,2,FALSE)&amp;$BB$2&amp;K193&amp;$BD$2,"")</f>
        <v/>
      </c>
    </row>
    <row r="192" spans="1:58" ht="17.100000000000001" customHeight="1" x14ac:dyDescent="0.15">
      <c r="A192" s="14">
        <v>188</v>
      </c>
      <c r="BB192" s="59" t="str">
        <f>IFERROR($BC$2&amp;VLOOKUP(B194,'Pay Table'!$M$3:$N$18,2,FALSE)&amp;$BB$2&amp;C194&amp;$BD$2,"")</f>
        <v/>
      </c>
      <c r="BC192" s="49" t="str">
        <f>IFERROR($BC$2&amp;VLOOKUP(D194,'Pay Table'!$M$3:$N$18,2,FALSE)&amp;$BB$2&amp;E194&amp;$BD$2,"")</f>
        <v/>
      </c>
      <c r="BD192" s="49" t="str">
        <f>IFERROR($BC$2&amp;VLOOKUP(F194,'Pay Table'!$M$3:$N$18,2,FALSE)&amp;$BB$2&amp;G194&amp;$BD$2,"")</f>
        <v/>
      </c>
      <c r="BE192" s="49" t="str">
        <f>IFERROR($BC$2&amp;VLOOKUP(H194,'Pay Table'!$M$3:$N$18,2,FALSE)&amp;$BB$2&amp;I194&amp;$BD$2,"")</f>
        <v/>
      </c>
      <c r="BF192" s="60" t="str">
        <f>IFERROR($BC$2&amp;VLOOKUP(J194,'Pay Table'!$M$3:$N$18,2,FALSE)&amp;$BB$2&amp;K194&amp;$BD$2,"")</f>
        <v/>
      </c>
    </row>
    <row r="193" spans="1:58" ht="17.100000000000001" customHeight="1" x14ac:dyDescent="0.15">
      <c r="A193" s="14">
        <v>189</v>
      </c>
      <c r="BB193" s="59" t="str">
        <f>IFERROR($BC$2&amp;VLOOKUP(B195,'Pay Table'!$M$3:$N$18,2,FALSE)&amp;$BB$2&amp;C195&amp;$BD$2,"")</f>
        <v/>
      </c>
      <c r="BC193" s="49" t="str">
        <f>IFERROR($BC$2&amp;VLOOKUP(D195,'Pay Table'!$M$3:$N$18,2,FALSE)&amp;$BB$2&amp;E195&amp;$BD$2,"")</f>
        <v/>
      </c>
      <c r="BD193" s="49" t="str">
        <f>IFERROR($BC$2&amp;VLOOKUP(F195,'Pay Table'!$M$3:$N$18,2,FALSE)&amp;$BB$2&amp;G195&amp;$BD$2,"")</f>
        <v/>
      </c>
      <c r="BE193" s="49" t="str">
        <f>IFERROR($BC$2&amp;VLOOKUP(H195,'Pay Table'!$M$3:$N$18,2,FALSE)&amp;$BB$2&amp;I195&amp;$BD$2,"")</f>
        <v/>
      </c>
      <c r="BF193" s="60" t="str">
        <f>IFERROR($BC$2&amp;VLOOKUP(J195,'Pay Table'!$M$3:$N$18,2,FALSE)&amp;$BB$2&amp;K195&amp;$BD$2,"")</f>
        <v/>
      </c>
    </row>
    <row r="194" spans="1:58" ht="17.100000000000001" customHeight="1" x14ac:dyDescent="0.15">
      <c r="A194" s="14">
        <v>190</v>
      </c>
      <c r="BB194" s="59" t="str">
        <f>IFERROR($BC$2&amp;VLOOKUP(B196,'Pay Table'!$M$3:$N$18,2,FALSE)&amp;$BB$2&amp;C196&amp;$BD$2,"")</f>
        <v/>
      </c>
      <c r="BC194" s="49" t="str">
        <f>IFERROR($BC$2&amp;VLOOKUP(D196,'Pay Table'!$M$3:$N$18,2,FALSE)&amp;$BB$2&amp;E196&amp;$BD$2,"")</f>
        <v/>
      </c>
      <c r="BD194" s="49" t="str">
        <f>IFERROR($BC$2&amp;VLOOKUP(F196,'Pay Table'!$M$3:$N$18,2,FALSE)&amp;$BB$2&amp;G196&amp;$BD$2,"")</f>
        <v/>
      </c>
      <c r="BE194" s="49" t="str">
        <f>IFERROR($BC$2&amp;VLOOKUP(H196,'Pay Table'!$M$3:$N$18,2,FALSE)&amp;$BB$2&amp;I196&amp;$BD$2,"")</f>
        <v/>
      </c>
      <c r="BF194" s="60" t="str">
        <f>IFERROR($BC$2&amp;VLOOKUP(J196,'Pay Table'!$M$3:$N$18,2,FALSE)&amp;$BB$2&amp;K196&amp;$BD$2,"")</f>
        <v/>
      </c>
    </row>
    <row r="195" spans="1:58" ht="17.100000000000001" customHeight="1" x14ac:dyDescent="0.15">
      <c r="A195" s="14">
        <v>191</v>
      </c>
      <c r="BB195" s="59" t="str">
        <f>IFERROR($BC$2&amp;VLOOKUP(B197,'Pay Table'!$M$3:$N$18,2,FALSE)&amp;$BB$2&amp;C197&amp;$BD$2,"")</f>
        <v/>
      </c>
      <c r="BC195" s="49" t="str">
        <f>IFERROR($BC$2&amp;VLOOKUP(D197,'Pay Table'!$M$3:$N$18,2,FALSE)&amp;$BB$2&amp;E197&amp;$BD$2,"")</f>
        <v/>
      </c>
      <c r="BD195" s="49" t="str">
        <f>IFERROR($BC$2&amp;VLOOKUP(F197,'Pay Table'!$M$3:$N$18,2,FALSE)&amp;$BB$2&amp;G197&amp;$BD$2,"")</f>
        <v/>
      </c>
      <c r="BE195" s="49" t="str">
        <f>IFERROR($BC$2&amp;VLOOKUP(H197,'Pay Table'!$M$3:$N$18,2,FALSE)&amp;$BB$2&amp;I197&amp;$BD$2,"")</f>
        <v/>
      </c>
      <c r="BF195" s="60" t="str">
        <f>IFERROR($BC$2&amp;VLOOKUP(J197,'Pay Table'!$M$3:$N$18,2,FALSE)&amp;$BB$2&amp;K197&amp;$BD$2,"")</f>
        <v/>
      </c>
    </row>
    <row r="196" spans="1:58" ht="17.100000000000001" customHeight="1" x14ac:dyDescent="0.15">
      <c r="A196" s="14">
        <v>192</v>
      </c>
      <c r="BB196" s="59" t="str">
        <f>IFERROR($BC$2&amp;VLOOKUP(B198,'Pay Table'!$M$3:$N$18,2,FALSE)&amp;$BB$2&amp;C198&amp;$BD$2,"")</f>
        <v/>
      </c>
      <c r="BC196" s="49" t="str">
        <f>IFERROR($BC$2&amp;VLOOKUP(D198,'Pay Table'!$M$3:$N$18,2,FALSE)&amp;$BB$2&amp;E198&amp;$BD$2,"")</f>
        <v/>
      </c>
      <c r="BD196" s="49" t="str">
        <f>IFERROR($BC$2&amp;VLOOKUP(F198,'Pay Table'!$M$3:$N$18,2,FALSE)&amp;$BB$2&amp;G198&amp;$BD$2,"")</f>
        <v/>
      </c>
      <c r="BE196" s="49" t="str">
        <f>IFERROR($BC$2&amp;VLOOKUP(H198,'Pay Table'!$M$3:$N$18,2,FALSE)&amp;$BB$2&amp;I198&amp;$BD$2,"")</f>
        <v/>
      </c>
      <c r="BF196" s="60" t="str">
        <f>IFERROR($BC$2&amp;VLOOKUP(J198,'Pay Table'!$M$3:$N$18,2,FALSE)&amp;$BB$2&amp;K198&amp;$BD$2,"")</f>
        <v/>
      </c>
    </row>
    <row r="197" spans="1:58" ht="17.100000000000001" customHeight="1" x14ac:dyDescent="0.15">
      <c r="A197" s="14">
        <v>193</v>
      </c>
      <c r="BB197" s="59" t="str">
        <f>IFERROR($BC$2&amp;VLOOKUP(B199,'Pay Table'!$M$3:$N$18,2,FALSE)&amp;$BB$2&amp;C199&amp;$BD$2,"")</f>
        <v/>
      </c>
      <c r="BC197" s="49" t="str">
        <f>IFERROR($BC$2&amp;VLOOKUP(D199,'Pay Table'!$M$3:$N$18,2,FALSE)&amp;$BB$2&amp;E199&amp;$BD$2,"")</f>
        <v/>
      </c>
      <c r="BD197" s="49" t="str">
        <f>IFERROR($BC$2&amp;VLOOKUP(F199,'Pay Table'!$M$3:$N$18,2,FALSE)&amp;$BB$2&amp;G199&amp;$BD$2,"")</f>
        <v/>
      </c>
      <c r="BE197" s="49" t="str">
        <f>IFERROR($BC$2&amp;VLOOKUP(H199,'Pay Table'!$M$3:$N$18,2,FALSE)&amp;$BB$2&amp;I199&amp;$BD$2,"")</f>
        <v/>
      </c>
      <c r="BF197" s="60" t="str">
        <f>IFERROR($BC$2&amp;VLOOKUP(J199,'Pay Table'!$M$3:$N$18,2,FALSE)&amp;$BB$2&amp;K199&amp;$BD$2,"")</f>
        <v/>
      </c>
    </row>
    <row r="198" spans="1:58" ht="17.100000000000001" customHeight="1" x14ac:dyDescent="0.15">
      <c r="A198" s="14">
        <v>194</v>
      </c>
      <c r="BB198" s="59" t="str">
        <f>IFERROR($BC$2&amp;VLOOKUP(B200,'Pay Table'!$M$3:$N$18,2,FALSE)&amp;$BB$2&amp;C200&amp;$BD$2,"")</f>
        <v/>
      </c>
      <c r="BC198" s="49" t="str">
        <f>IFERROR($BC$2&amp;VLOOKUP(D200,'Pay Table'!$M$3:$N$18,2,FALSE)&amp;$BB$2&amp;E200&amp;$BD$2,"")</f>
        <v/>
      </c>
      <c r="BD198" s="49" t="str">
        <f>IFERROR($BC$2&amp;VLOOKUP(F200,'Pay Table'!$M$3:$N$18,2,FALSE)&amp;$BB$2&amp;G200&amp;$BD$2,"")</f>
        <v/>
      </c>
      <c r="BE198" s="49" t="str">
        <f>IFERROR($BC$2&amp;VLOOKUP(H200,'Pay Table'!$M$3:$N$18,2,FALSE)&amp;$BB$2&amp;I200&amp;$BD$2,"")</f>
        <v/>
      </c>
      <c r="BF198" s="60" t="str">
        <f>IFERROR($BC$2&amp;VLOOKUP(J200,'Pay Table'!$M$3:$N$18,2,FALSE)&amp;$BB$2&amp;K200&amp;$BD$2,"")</f>
        <v/>
      </c>
    </row>
    <row r="199" spans="1:58" ht="17.100000000000001" customHeight="1" x14ac:dyDescent="0.15">
      <c r="A199" s="14">
        <v>195</v>
      </c>
      <c r="BB199" s="59" t="str">
        <f>IFERROR($BC$2&amp;VLOOKUP(B201,'Pay Table'!$M$3:$N$18,2,FALSE)&amp;$BB$2&amp;C201&amp;$BD$2,"")</f>
        <v/>
      </c>
      <c r="BC199" s="49" t="str">
        <f>IFERROR($BC$2&amp;VLOOKUP(D201,'Pay Table'!$M$3:$N$18,2,FALSE)&amp;$BB$2&amp;E201&amp;$BD$2,"")</f>
        <v/>
      </c>
      <c r="BD199" s="49" t="str">
        <f>IFERROR($BC$2&amp;VLOOKUP(F201,'Pay Table'!$M$3:$N$18,2,FALSE)&amp;$BB$2&amp;G201&amp;$BD$2,"")</f>
        <v/>
      </c>
      <c r="BE199" s="49" t="str">
        <f>IFERROR($BC$2&amp;VLOOKUP(H201,'Pay Table'!$M$3:$N$18,2,FALSE)&amp;$BB$2&amp;I201&amp;$BD$2,"")</f>
        <v/>
      </c>
      <c r="BF199" s="60" t="str">
        <f>IFERROR($BC$2&amp;VLOOKUP(J201,'Pay Table'!$M$3:$N$18,2,FALSE)&amp;$BB$2&amp;K201&amp;$BD$2,"")</f>
        <v/>
      </c>
    </row>
    <row r="200" spans="1:58" ht="17.100000000000001" customHeight="1" x14ac:dyDescent="0.15">
      <c r="A200" s="14">
        <v>196</v>
      </c>
      <c r="BB200" s="26" t="str">
        <f>IFERROR($BC$2&amp;VLOOKUP(B202,'Pay Table'!$M$3:$N$18,2,FALSE)&amp;$BB$2&amp;C202&amp;$BD$2,"")</f>
        <v/>
      </c>
      <c r="BC200" s="1" t="str">
        <f>IFERROR($BC$2&amp;VLOOKUP(D202,'Pay Table'!$M$3:$N$18,2,FALSE)&amp;$BB$2&amp;E202&amp;$BD$2,"")</f>
        <v/>
      </c>
      <c r="BD200" s="1" t="str">
        <f>IFERROR($BC$2&amp;VLOOKUP(F202,'Pay Table'!$M$3:$N$18,2,FALSE)&amp;$BB$2&amp;G202&amp;$BD$2,"")</f>
        <v/>
      </c>
      <c r="BE200" s="1" t="str">
        <f>IFERROR($BC$2&amp;VLOOKUP(H202,'Pay Table'!$M$3:$N$18,2,FALSE)&amp;$BB$2&amp;I202&amp;$BD$2,"")</f>
        <v/>
      </c>
      <c r="BF200" s="27" t="str">
        <f>IFERROR($BC$2&amp;VLOOKUP(J202,'Pay Table'!$M$3:$N$18,2,FALSE)&amp;$BB$2&amp;K202&amp;$BD$2,"")</f>
        <v/>
      </c>
    </row>
    <row r="201" spans="1:58" ht="17.100000000000001" customHeight="1" x14ac:dyDescent="0.15">
      <c r="A201" s="14">
        <v>197</v>
      </c>
      <c r="BB201" s="26" t="str">
        <f>IFERROR($BC$2&amp;VLOOKUP(B203,'Pay Table'!$M$3:$N$18,2,FALSE)&amp;$BB$2&amp;C203&amp;$BD$2,"")</f>
        <v/>
      </c>
      <c r="BC201" s="1" t="str">
        <f>IFERROR($BC$2&amp;VLOOKUP(D203,'Pay Table'!$M$3:$N$18,2,FALSE)&amp;$BB$2&amp;E203&amp;$BD$2,"")</f>
        <v/>
      </c>
      <c r="BD201" s="1" t="str">
        <f>IFERROR($BC$2&amp;VLOOKUP(F203,'Pay Table'!$M$3:$N$18,2,FALSE)&amp;$BB$2&amp;G203&amp;$BD$2,"")</f>
        <v/>
      </c>
      <c r="BE201" s="1" t="str">
        <f>IFERROR($BC$2&amp;VLOOKUP(H203,'Pay Table'!$M$3:$N$18,2,FALSE)&amp;$BB$2&amp;I203&amp;$BD$2,"")</f>
        <v/>
      </c>
      <c r="BF201" s="27" t="str">
        <f>IFERROR($BC$2&amp;VLOOKUP(J203,'Pay Table'!$M$3:$N$18,2,FALSE)&amp;$BB$2&amp;K203&amp;$BD$2,"")</f>
        <v/>
      </c>
    </row>
    <row r="202" spans="1:58" ht="17.100000000000001" customHeight="1" x14ac:dyDescent="0.15">
      <c r="A202" s="14">
        <v>198</v>
      </c>
      <c r="BB202" s="26" t="str">
        <f>IFERROR($BC$2&amp;VLOOKUP(B204,'Pay Table'!$M$3:$N$18,2,FALSE)&amp;$BB$2&amp;C204&amp;$BD$2,"")</f>
        <v/>
      </c>
      <c r="BC202" s="1" t="str">
        <f>IFERROR($BC$2&amp;VLOOKUP(D204,'Pay Table'!$M$3:$N$18,2,FALSE)&amp;$BB$2&amp;E204&amp;$BD$2,"")</f>
        <v/>
      </c>
      <c r="BD202" s="1" t="str">
        <f>IFERROR($BC$2&amp;VLOOKUP(F204,'Pay Table'!$M$3:$N$18,2,FALSE)&amp;$BB$2&amp;G204&amp;$BD$2,"")</f>
        <v/>
      </c>
      <c r="BE202" s="1" t="str">
        <f>IFERROR($BC$2&amp;VLOOKUP(H204,'Pay Table'!$M$3:$N$18,2,FALSE)&amp;$BB$2&amp;I204&amp;$BD$2,"")</f>
        <v/>
      </c>
      <c r="BF202" s="27" t="str">
        <f>IFERROR($BC$2&amp;VLOOKUP(J204,'Pay Table'!$M$3:$N$18,2,FALSE)&amp;$BB$2&amp;K204&amp;$BD$2,"")</f>
        <v/>
      </c>
    </row>
    <row r="203" spans="1:58" ht="17.100000000000001" customHeight="1" x14ac:dyDescent="0.15">
      <c r="A203" s="14">
        <v>199</v>
      </c>
      <c r="BB203" s="26" t="str">
        <f>IFERROR($BC$2&amp;VLOOKUP(B205,'Pay Table'!$M$3:$N$18,2,FALSE)&amp;$BB$2&amp;C205&amp;$BD$2,"")</f>
        <v/>
      </c>
      <c r="BC203" s="1" t="str">
        <f>IFERROR($BC$2&amp;VLOOKUP(D205,'Pay Table'!$M$3:$N$18,2,FALSE)&amp;$BB$2&amp;E205&amp;$BD$2,"")</f>
        <v/>
      </c>
      <c r="BD203" s="1" t="str">
        <f>IFERROR($BC$2&amp;VLOOKUP(F205,'Pay Table'!$M$3:$N$18,2,FALSE)&amp;$BB$2&amp;G205&amp;$BD$2,"")</f>
        <v/>
      </c>
      <c r="BE203" s="1" t="str">
        <f>IFERROR($BC$2&amp;VLOOKUP(H205,'Pay Table'!$M$3:$N$18,2,FALSE)&amp;$BB$2&amp;I205&amp;$BD$2,"")</f>
        <v/>
      </c>
      <c r="BF203" s="27" t="str">
        <f>IFERROR($BC$2&amp;VLOOKUP(J205,'Pay Table'!$M$3:$N$18,2,FALSE)&amp;$BB$2&amp;K205&amp;$BD$2,"")</f>
        <v/>
      </c>
    </row>
    <row r="204" spans="1:58" ht="17.100000000000001" customHeight="1" x14ac:dyDescent="0.15">
      <c r="A204" s="14">
        <v>200</v>
      </c>
      <c r="BB204" s="26" t="str">
        <f>IFERROR($BC$2&amp;VLOOKUP(B206,'Pay Table'!$M$3:$N$18,2,FALSE)&amp;$BB$2&amp;C206&amp;$BD$2,"")</f>
        <v/>
      </c>
      <c r="BC204" s="1" t="str">
        <f>IFERROR($BC$2&amp;VLOOKUP(D206,'Pay Table'!$M$3:$N$18,2,FALSE)&amp;$BB$2&amp;E206&amp;$BD$2,"")</f>
        <v/>
      </c>
      <c r="BD204" s="1" t="str">
        <f>IFERROR($BC$2&amp;VLOOKUP(F206,'Pay Table'!$M$3:$N$18,2,FALSE)&amp;$BB$2&amp;G206&amp;$BD$2,"")</f>
        <v/>
      </c>
      <c r="BE204" s="1" t="str">
        <f>IFERROR($BC$2&amp;VLOOKUP(H206,'Pay Table'!$M$3:$N$18,2,FALSE)&amp;$BB$2&amp;I206&amp;$BD$2,"")</f>
        <v/>
      </c>
      <c r="BF204" s="27" t="str">
        <f>IFERROR($BC$2&amp;VLOOKUP(J206,'Pay Table'!$M$3:$N$18,2,FALSE)&amp;$BB$2&amp;K206&amp;$BD$2,"")</f>
        <v/>
      </c>
    </row>
    <row r="205" spans="1:58" ht="17.100000000000001" customHeight="1" x14ac:dyDescent="0.15">
      <c r="A205" s="14">
        <v>201</v>
      </c>
      <c r="BB205" s="26" t="str">
        <f>IFERROR($BC$2&amp;VLOOKUP(B207,'Pay Table'!$M$3:$N$18,2,FALSE)&amp;$BB$2&amp;C207&amp;$BD$2,"")</f>
        <v/>
      </c>
      <c r="BC205" s="1" t="str">
        <f>IFERROR($BC$2&amp;VLOOKUP(D207,'Pay Table'!$M$3:$N$18,2,FALSE)&amp;$BB$2&amp;E207&amp;$BD$2,"")</f>
        <v/>
      </c>
      <c r="BD205" s="1" t="str">
        <f>IFERROR($BC$2&amp;VLOOKUP(F207,'Pay Table'!$M$3:$N$18,2,FALSE)&amp;$BB$2&amp;G207&amp;$BD$2,"")</f>
        <v/>
      </c>
      <c r="BE205" s="1" t="str">
        <f>IFERROR($BC$2&amp;VLOOKUP(H207,'Pay Table'!$M$3:$N$18,2,FALSE)&amp;$BB$2&amp;I207&amp;$BD$2,"")</f>
        <v/>
      </c>
      <c r="BF205" s="27" t="str">
        <f>IFERROR($BC$2&amp;VLOOKUP(J207,'Pay Table'!$M$3:$N$18,2,FALSE)&amp;$BB$2&amp;K207&amp;$BD$2,"")</f>
        <v/>
      </c>
    </row>
    <row r="206" spans="1:58" ht="17.100000000000001" customHeight="1" x14ac:dyDescent="0.15">
      <c r="A206" s="14">
        <v>202</v>
      </c>
      <c r="BB206" s="26" t="str">
        <f>IFERROR($BC$2&amp;VLOOKUP(B208,'Pay Table'!$M$3:$N$18,2,FALSE)&amp;$BB$2&amp;C208&amp;$BD$2,"")</f>
        <v/>
      </c>
      <c r="BC206" s="1" t="str">
        <f>IFERROR($BC$2&amp;VLOOKUP(D208,'Pay Table'!$M$3:$N$18,2,FALSE)&amp;$BB$2&amp;E208&amp;$BD$2,"")</f>
        <v/>
      </c>
      <c r="BD206" s="1" t="str">
        <f>IFERROR($BC$2&amp;VLOOKUP(F208,'Pay Table'!$M$3:$N$18,2,FALSE)&amp;$BB$2&amp;G208&amp;$BD$2,"")</f>
        <v/>
      </c>
      <c r="BE206" s="1" t="str">
        <f>IFERROR($BC$2&amp;VLOOKUP(H208,'Pay Table'!$M$3:$N$18,2,FALSE)&amp;$BB$2&amp;I208&amp;$BD$2,"")</f>
        <v/>
      </c>
      <c r="BF206" s="27" t="str">
        <f>IFERROR($BC$2&amp;VLOOKUP(J208,'Pay Table'!$M$3:$N$18,2,FALSE)&amp;$BB$2&amp;K208&amp;$BD$2,"")</f>
        <v/>
      </c>
    </row>
    <row r="207" spans="1:58" ht="17.100000000000001" customHeight="1" x14ac:dyDescent="0.15">
      <c r="A207" s="14">
        <v>203</v>
      </c>
      <c r="BB207" s="26" t="str">
        <f>IFERROR($BC$2&amp;VLOOKUP(B209,'Pay Table'!$M$3:$N$18,2,FALSE)&amp;$BB$2&amp;C209&amp;$BD$2,"")</f>
        <v/>
      </c>
      <c r="BC207" s="1" t="str">
        <f>IFERROR($BC$2&amp;VLOOKUP(D209,'Pay Table'!$M$3:$N$18,2,FALSE)&amp;$BB$2&amp;E209&amp;$BD$2,"")</f>
        <v/>
      </c>
      <c r="BD207" s="1" t="str">
        <f>IFERROR($BC$2&amp;VLOOKUP(F209,'Pay Table'!$M$3:$N$18,2,FALSE)&amp;$BB$2&amp;G209&amp;$BD$2,"")</f>
        <v/>
      </c>
      <c r="BE207" s="1" t="str">
        <f>IFERROR($BC$2&amp;VLOOKUP(H209,'Pay Table'!$M$3:$N$18,2,FALSE)&amp;$BB$2&amp;I209&amp;$BD$2,"")</f>
        <v/>
      </c>
      <c r="BF207" s="27" t="str">
        <f>IFERROR($BC$2&amp;VLOOKUP(J209,'Pay Table'!$M$3:$N$18,2,FALSE)&amp;$BB$2&amp;K209&amp;$BD$2,"")</f>
        <v/>
      </c>
    </row>
    <row r="208" spans="1:58" ht="17.100000000000001" customHeight="1" x14ac:dyDescent="0.15">
      <c r="A208" s="14">
        <v>204</v>
      </c>
      <c r="BB208" s="26" t="str">
        <f>IFERROR($BC$2&amp;VLOOKUP(B210,'Pay Table'!$M$3:$N$18,2,FALSE)&amp;$BB$2&amp;C210&amp;$BD$2,"")</f>
        <v/>
      </c>
      <c r="BC208" s="1" t="str">
        <f>IFERROR($BC$2&amp;VLOOKUP(D210,'Pay Table'!$M$3:$N$18,2,FALSE)&amp;$BB$2&amp;E210&amp;$BD$2,"")</f>
        <v/>
      </c>
      <c r="BD208" s="1" t="str">
        <f>IFERROR($BC$2&amp;VLOOKUP(F210,'Pay Table'!$M$3:$N$18,2,FALSE)&amp;$BB$2&amp;G210&amp;$BD$2,"")</f>
        <v/>
      </c>
      <c r="BE208" s="1" t="str">
        <f>IFERROR($BC$2&amp;VLOOKUP(H210,'Pay Table'!$M$3:$N$18,2,FALSE)&amp;$BB$2&amp;I210&amp;$BD$2,"")</f>
        <v/>
      </c>
      <c r="BF208" s="27" t="str">
        <f>IFERROR($BC$2&amp;VLOOKUP(J210,'Pay Table'!$M$3:$N$18,2,FALSE)&amp;$BB$2&amp;K210&amp;$BD$2,"")</f>
        <v/>
      </c>
    </row>
    <row r="209" spans="1:58" ht="17.100000000000001" customHeight="1" x14ac:dyDescent="0.15">
      <c r="A209" s="14">
        <v>205</v>
      </c>
      <c r="BB209" s="26" t="str">
        <f>IFERROR($BC$2&amp;VLOOKUP(B211,'Pay Table'!$M$3:$N$18,2,FALSE)&amp;$BB$2&amp;C211&amp;$BD$2,"")</f>
        <v/>
      </c>
      <c r="BC209" s="1" t="str">
        <f>IFERROR($BC$2&amp;VLOOKUP(D211,'Pay Table'!$M$3:$N$18,2,FALSE)&amp;$BB$2&amp;E211&amp;$BD$2,"")</f>
        <v/>
      </c>
      <c r="BD209" s="1" t="str">
        <f>IFERROR($BC$2&amp;VLOOKUP(F211,'Pay Table'!$M$3:$N$18,2,FALSE)&amp;$BB$2&amp;G211&amp;$BD$2,"")</f>
        <v/>
      </c>
      <c r="BE209" s="1" t="str">
        <f>IFERROR($BC$2&amp;VLOOKUP(H211,'Pay Table'!$M$3:$N$18,2,FALSE)&amp;$BB$2&amp;I211&amp;$BD$2,"")</f>
        <v/>
      </c>
      <c r="BF209" s="27" t="str">
        <f>IFERROR($BC$2&amp;VLOOKUP(J211,'Pay Table'!$M$3:$N$18,2,FALSE)&amp;$BB$2&amp;K211&amp;$BD$2,"")</f>
        <v/>
      </c>
    </row>
    <row r="210" spans="1:58" ht="17.100000000000001" customHeight="1" x14ac:dyDescent="0.15">
      <c r="A210" s="14">
        <v>206</v>
      </c>
      <c r="BB210" s="26" t="str">
        <f>IFERROR($BC$2&amp;VLOOKUP(B212,'Pay Table'!$M$3:$N$18,2,FALSE)&amp;$BB$2&amp;C212&amp;$BD$2,"")</f>
        <v/>
      </c>
      <c r="BC210" s="1" t="str">
        <f>IFERROR($BC$2&amp;VLOOKUP(D212,'Pay Table'!$M$3:$N$18,2,FALSE)&amp;$BB$2&amp;E212&amp;$BD$2,"")</f>
        <v/>
      </c>
      <c r="BD210" s="1" t="str">
        <f>IFERROR($BC$2&amp;VLOOKUP(F212,'Pay Table'!$M$3:$N$18,2,FALSE)&amp;$BB$2&amp;G212&amp;$BD$2,"")</f>
        <v/>
      </c>
      <c r="BE210" s="1" t="str">
        <f>IFERROR($BC$2&amp;VLOOKUP(H212,'Pay Table'!$M$3:$N$18,2,FALSE)&amp;$BB$2&amp;I212&amp;$BD$2,"")</f>
        <v/>
      </c>
      <c r="BF210" s="27" t="str">
        <f>IFERROR($BC$2&amp;VLOOKUP(J212,'Pay Table'!$M$3:$N$18,2,FALSE)&amp;$BB$2&amp;K212&amp;$BD$2,"")</f>
        <v/>
      </c>
    </row>
    <row r="211" spans="1:58" ht="17.100000000000001" customHeight="1" x14ac:dyDescent="0.15">
      <c r="A211" s="14">
        <v>207</v>
      </c>
      <c r="BB211" s="26" t="str">
        <f>IFERROR($BC$2&amp;VLOOKUP(B213,'Pay Table'!$M$3:$N$18,2,FALSE)&amp;$BB$2&amp;C213&amp;$BD$2,"")</f>
        <v/>
      </c>
      <c r="BC211" s="1" t="str">
        <f>IFERROR($BC$2&amp;VLOOKUP(D213,'Pay Table'!$M$3:$N$18,2,FALSE)&amp;$BB$2&amp;E213&amp;$BD$2,"")</f>
        <v/>
      </c>
      <c r="BD211" s="1" t="str">
        <f>IFERROR($BC$2&amp;VLOOKUP(F213,'Pay Table'!$M$3:$N$18,2,FALSE)&amp;$BB$2&amp;G213&amp;$BD$2,"")</f>
        <v/>
      </c>
      <c r="BE211" s="1" t="str">
        <f>IFERROR($BC$2&amp;VLOOKUP(H213,'Pay Table'!$M$3:$N$18,2,FALSE)&amp;$BB$2&amp;I213&amp;$BD$2,"")</f>
        <v/>
      </c>
      <c r="BF211" s="27" t="str">
        <f>IFERROR($BC$2&amp;VLOOKUP(J213,'Pay Table'!$M$3:$N$18,2,FALSE)&amp;$BB$2&amp;K213&amp;$BD$2,"")</f>
        <v/>
      </c>
    </row>
    <row r="212" spans="1:58" ht="17.100000000000001" customHeight="1" x14ac:dyDescent="0.15">
      <c r="A212" s="14">
        <v>208</v>
      </c>
      <c r="BB212" s="26" t="str">
        <f>IFERROR($BC$2&amp;VLOOKUP(B214,'Pay Table'!$M$3:$N$18,2,FALSE)&amp;$BB$2&amp;C214&amp;$BD$2,"")</f>
        <v/>
      </c>
      <c r="BC212" s="1" t="str">
        <f>IFERROR($BC$2&amp;VLOOKUP(D214,'Pay Table'!$M$3:$N$18,2,FALSE)&amp;$BB$2&amp;E214&amp;$BD$2,"")</f>
        <v/>
      </c>
      <c r="BD212" s="1" t="str">
        <f>IFERROR($BC$2&amp;VLOOKUP(F214,'Pay Table'!$M$3:$N$18,2,FALSE)&amp;$BB$2&amp;G214&amp;$BD$2,"")</f>
        <v/>
      </c>
      <c r="BE212" s="1" t="str">
        <f>IFERROR($BC$2&amp;VLOOKUP(H214,'Pay Table'!$M$3:$N$18,2,FALSE)&amp;$BB$2&amp;I214&amp;$BD$2,"")</f>
        <v/>
      </c>
      <c r="BF212" s="27" t="str">
        <f>IFERROR($BC$2&amp;VLOOKUP(J214,'Pay Table'!$M$3:$N$18,2,FALSE)&amp;$BB$2&amp;K214&amp;$BD$2,"")</f>
        <v/>
      </c>
    </row>
    <row r="213" spans="1:58" ht="17.100000000000001" customHeight="1" x14ac:dyDescent="0.15">
      <c r="A213" s="14">
        <v>209</v>
      </c>
      <c r="BB213" s="26" t="str">
        <f>IFERROR($BC$2&amp;VLOOKUP(B215,'Pay Table'!$M$3:$N$18,2,FALSE)&amp;$BB$2&amp;C215&amp;$BD$2,"")</f>
        <v/>
      </c>
      <c r="BC213" s="1" t="str">
        <f>IFERROR($BC$2&amp;VLOOKUP(D215,'Pay Table'!$M$3:$N$18,2,FALSE)&amp;$BB$2&amp;E215&amp;$BD$2,"")</f>
        <v/>
      </c>
      <c r="BD213" s="1" t="str">
        <f>IFERROR($BC$2&amp;VLOOKUP(F215,'Pay Table'!$M$3:$N$18,2,FALSE)&amp;$BB$2&amp;G215&amp;$BD$2,"")</f>
        <v/>
      </c>
      <c r="BE213" s="1" t="str">
        <f>IFERROR($BC$2&amp;VLOOKUP(H215,'Pay Table'!$M$3:$N$18,2,FALSE)&amp;$BB$2&amp;I215&amp;$BD$2,"")</f>
        <v/>
      </c>
      <c r="BF213" s="27" t="str">
        <f>IFERROR($BC$2&amp;VLOOKUP(J215,'Pay Table'!$M$3:$N$18,2,FALSE)&amp;$BB$2&amp;K215&amp;$BD$2,"")</f>
        <v/>
      </c>
    </row>
    <row r="214" spans="1:58" ht="17.100000000000001" customHeight="1" x14ac:dyDescent="0.15">
      <c r="A214" s="14">
        <v>210</v>
      </c>
      <c r="BB214" s="26" t="str">
        <f>IFERROR($BC$2&amp;VLOOKUP(B216,'Pay Table'!$M$3:$N$18,2,FALSE)&amp;$BB$2&amp;C216&amp;$BD$2,"")</f>
        <v/>
      </c>
      <c r="BC214" s="1" t="str">
        <f>IFERROR($BC$2&amp;VLOOKUP(D216,'Pay Table'!$M$3:$N$18,2,FALSE)&amp;$BB$2&amp;E216&amp;$BD$2,"")</f>
        <v/>
      </c>
      <c r="BD214" s="1" t="str">
        <f>IFERROR($BC$2&amp;VLOOKUP(F216,'Pay Table'!$M$3:$N$18,2,FALSE)&amp;$BB$2&amp;G216&amp;$BD$2,"")</f>
        <v/>
      </c>
      <c r="BE214" s="1" t="str">
        <f>IFERROR($BC$2&amp;VLOOKUP(H216,'Pay Table'!$M$3:$N$18,2,FALSE)&amp;$BB$2&amp;I216&amp;$BD$2,"")</f>
        <v/>
      </c>
      <c r="BF214" s="27" t="str">
        <f>IFERROR($BC$2&amp;VLOOKUP(J216,'Pay Table'!$M$3:$N$18,2,FALSE)&amp;$BB$2&amp;K216&amp;$BD$2,"")</f>
        <v/>
      </c>
    </row>
    <row r="215" spans="1:58" ht="17.100000000000001" customHeight="1" x14ac:dyDescent="0.15">
      <c r="A215" s="14">
        <v>211</v>
      </c>
      <c r="BB215" s="26" t="str">
        <f>IFERROR($BC$2&amp;VLOOKUP(B217,'Pay Table'!$M$3:$N$18,2,FALSE)&amp;$BB$2&amp;C217&amp;$BD$2,"")</f>
        <v/>
      </c>
      <c r="BC215" s="1" t="str">
        <f>IFERROR($BC$2&amp;VLOOKUP(D217,'Pay Table'!$M$3:$N$18,2,FALSE)&amp;$BB$2&amp;E217&amp;$BD$2,"")</f>
        <v/>
      </c>
      <c r="BD215" s="1" t="str">
        <f>IFERROR($BC$2&amp;VLOOKUP(F217,'Pay Table'!$M$3:$N$18,2,FALSE)&amp;$BB$2&amp;G217&amp;$BD$2,"")</f>
        <v/>
      </c>
      <c r="BE215" s="1" t="str">
        <f>IFERROR($BC$2&amp;VLOOKUP(H217,'Pay Table'!$M$3:$N$18,2,FALSE)&amp;$BB$2&amp;I217&amp;$BD$2,"")</f>
        <v/>
      </c>
      <c r="BF215" s="27" t="str">
        <f>IFERROR($BC$2&amp;VLOOKUP(J217,'Pay Table'!$M$3:$N$18,2,FALSE)&amp;$BB$2&amp;K217&amp;$BD$2,"")</f>
        <v/>
      </c>
    </row>
    <row r="216" spans="1:58" ht="17.100000000000001" customHeight="1" x14ac:dyDescent="0.15">
      <c r="A216" s="14">
        <v>212</v>
      </c>
      <c r="BB216" s="26" t="str">
        <f>IFERROR($BC$2&amp;VLOOKUP(B218,'Pay Table'!$M$3:$N$18,2,FALSE)&amp;$BB$2&amp;C218&amp;$BD$2,"")</f>
        <v/>
      </c>
      <c r="BC216" s="1" t="str">
        <f>IFERROR($BC$2&amp;VLOOKUP(D218,'Pay Table'!$M$3:$N$18,2,FALSE)&amp;$BB$2&amp;E218&amp;$BD$2,"")</f>
        <v/>
      </c>
      <c r="BD216" s="1" t="str">
        <f>IFERROR($BC$2&amp;VLOOKUP(F218,'Pay Table'!$M$3:$N$18,2,FALSE)&amp;$BB$2&amp;G218&amp;$BD$2,"")</f>
        <v/>
      </c>
      <c r="BE216" s="1" t="str">
        <f>IFERROR($BC$2&amp;VLOOKUP(H218,'Pay Table'!$M$3:$N$18,2,FALSE)&amp;$BB$2&amp;I218&amp;$BD$2,"")</f>
        <v/>
      </c>
      <c r="BF216" s="27" t="str">
        <f>IFERROR($BC$2&amp;VLOOKUP(J218,'Pay Table'!$M$3:$N$18,2,FALSE)&amp;$BB$2&amp;K218&amp;$BD$2,"")</f>
        <v/>
      </c>
    </row>
    <row r="217" spans="1:58" ht="17.100000000000001" customHeight="1" x14ac:dyDescent="0.15">
      <c r="A217" s="14">
        <v>213</v>
      </c>
      <c r="BB217" s="26" t="str">
        <f>IFERROR($BC$2&amp;VLOOKUP(B219,'Pay Table'!$M$3:$N$18,2,FALSE)&amp;$BB$2&amp;C219&amp;$BD$2,"")</f>
        <v/>
      </c>
      <c r="BC217" s="1" t="str">
        <f>IFERROR($BC$2&amp;VLOOKUP(D219,'Pay Table'!$M$3:$N$18,2,FALSE)&amp;$BB$2&amp;E219&amp;$BD$2,"")</f>
        <v/>
      </c>
      <c r="BD217" s="1" t="str">
        <f>IFERROR($BC$2&amp;VLOOKUP(F219,'Pay Table'!$M$3:$N$18,2,FALSE)&amp;$BB$2&amp;G219&amp;$BD$2,"")</f>
        <v/>
      </c>
      <c r="BE217" s="1" t="str">
        <f>IFERROR($BC$2&amp;VLOOKUP(H219,'Pay Table'!$M$3:$N$18,2,FALSE)&amp;$BB$2&amp;I219&amp;$BD$2,"")</f>
        <v/>
      </c>
      <c r="BF217" s="27" t="str">
        <f>IFERROR($BC$2&amp;VLOOKUP(J219,'Pay Table'!$M$3:$N$18,2,FALSE)&amp;$BB$2&amp;K219&amp;$BD$2,"")</f>
        <v/>
      </c>
    </row>
    <row r="218" spans="1:58" ht="17.100000000000001" customHeight="1" x14ac:dyDescent="0.15">
      <c r="A218" s="14">
        <v>214</v>
      </c>
      <c r="BB218" s="26" t="str">
        <f>IFERROR($BC$2&amp;VLOOKUP(B220,'Pay Table'!$M$3:$N$18,2,FALSE)&amp;$BB$2&amp;C220&amp;$BD$2,"")</f>
        <v/>
      </c>
      <c r="BC218" s="1" t="str">
        <f>IFERROR($BC$2&amp;VLOOKUP(D220,'Pay Table'!$M$3:$N$18,2,FALSE)&amp;$BB$2&amp;E220&amp;$BD$2,"")</f>
        <v/>
      </c>
      <c r="BD218" s="1" t="str">
        <f>IFERROR($BC$2&amp;VLOOKUP(F220,'Pay Table'!$M$3:$N$18,2,FALSE)&amp;$BB$2&amp;G220&amp;$BD$2,"")</f>
        <v/>
      </c>
      <c r="BE218" s="1" t="str">
        <f>IFERROR($BC$2&amp;VLOOKUP(H220,'Pay Table'!$M$3:$N$18,2,FALSE)&amp;$BB$2&amp;I220&amp;$BD$2,"")</f>
        <v/>
      </c>
      <c r="BF218" s="27" t="str">
        <f>IFERROR($BC$2&amp;VLOOKUP(J220,'Pay Table'!$M$3:$N$18,2,FALSE)&amp;$BB$2&amp;K220&amp;$BD$2,"")</f>
        <v/>
      </c>
    </row>
    <row r="219" spans="1:58" ht="17.100000000000001" customHeight="1" x14ac:dyDescent="0.15">
      <c r="A219" s="14">
        <v>215</v>
      </c>
      <c r="BB219" s="26" t="str">
        <f>IFERROR($BC$2&amp;VLOOKUP(B221,'Pay Table'!$M$3:$N$18,2,FALSE)&amp;$BB$2&amp;C221&amp;$BD$2,"")</f>
        <v/>
      </c>
      <c r="BC219" s="1" t="str">
        <f>IFERROR($BC$2&amp;VLOOKUP(D221,'Pay Table'!$M$3:$N$18,2,FALSE)&amp;$BB$2&amp;E221&amp;$BD$2,"")</f>
        <v/>
      </c>
      <c r="BD219" s="1" t="str">
        <f>IFERROR($BC$2&amp;VLOOKUP(F221,'Pay Table'!$M$3:$N$18,2,FALSE)&amp;$BB$2&amp;G221&amp;$BD$2,"")</f>
        <v/>
      </c>
      <c r="BE219" s="1" t="str">
        <f>IFERROR($BC$2&amp;VLOOKUP(H221,'Pay Table'!$M$3:$N$18,2,FALSE)&amp;$BB$2&amp;I221&amp;$BD$2,"")</f>
        <v/>
      </c>
      <c r="BF219" s="27" t="str">
        <f>IFERROR($BC$2&amp;VLOOKUP(J221,'Pay Table'!$M$3:$N$18,2,FALSE)&amp;$BB$2&amp;K221&amp;$BD$2,"")</f>
        <v/>
      </c>
    </row>
    <row r="220" spans="1:58" ht="17.100000000000001" customHeight="1" x14ac:dyDescent="0.15">
      <c r="A220" s="14">
        <v>216</v>
      </c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BB220" s="26" t="str">
        <f>IFERROR($BC$2&amp;VLOOKUP(B222,'Pay Table'!$M$3:$N$18,2,FALSE)&amp;$BB$2&amp;C222&amp;$BD$2,"")</f>
        <v/>
      </c>
      <c r="BC220" s="1" t="str">
        <f>IFERROR($BC$2&amp;VLOOKUP(D222,'Pay Table'!$M$3:$N$18,2,FALSE)&amp;$BB$2&amp;E222&amp;$BD$2,"")</f>
        <v/>
      </c>
      <c r="BD220" s="1" t="str">
        <f>IFERROR($BC$2&amp;VLOOKUP(F222,'Pay Table'!$M$3:$N$18,2,FALSE)&amp;$BB$2&amp;G222&amp;$BD$2,"")</f>
        <v/>
      </c>
      <c r="BE220" s="1" t="str">
        <f>IFERROR($BC$2&amp;VLOOKUP(H222,'Pay Table'!$M$3:$N$18,2,FALSE)&amp;$BB$2&amp;I222&amp;$BD$2,"")</f>
        <v/>
      </c>
      <c r="BF220" s="27" t="str">
        <f>IFERROR($BC$2&amp;VLOOKUP(J222,'Pay Table'!$M$3:$N$18,2,FALSE)&amp;$BB$2&amp;K222&amp;$BD$2,"")</f>
        <v/>
      </c>
    </row>
    <row r="221" spans="1:58" ht="17.100000000000001" customHeight="1" x14ac:dyDescent="0.15">
      <c r="A221" s="14">
        <v>217</v>
      </c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BB221" s="26" t="str">
        <f>IFERROR($BC$2&amp;VLOOKUP(B223,'Pay Table'!$M$3:$N$18,2,FALSE)&amp;$BB$2&amp;C223&amp;$BD$2,"")</f>
        <v/>
      </c>
      <c r="BC221" s="1" t="str">
        <f>IFERROR($BC$2&amp;VLOOKUP(D223,'Pay Table'!$M$3:$N$18,2,FALSE)&amp;$BB$2&amp;E223&amp;$BD$2,"")</f>
        <v/>
      </c>
      <c r="BD221" s="1" t="str">
        <f>IFERROR($BC$2&amp;VLOOKUP(F223,'Pay Table'!$M$3:$N$18,2,FALSE)&amp;$BB$2&amp;G223&amp;$BD$2,"")</f>
        <v/>
      </c>
      <c r="BE221" s="1" t="str">
        <f>IFERROR($BC$2&amp;VLOOKUP(H223,'Pay Table'!$M$3:$N$18,2,FALSE)&amp;$BB$2&amp;I223&amp;$BD$2,"")</f>
        <v/>
      </c>
      <c r="BF221" s="27" t="str">
        <f>IFERROR($BC$2&amp;VLOOKUP(J223,'Pay Table'!$M$3:$N$18,2,FALSE)&amp;$BB$2&amp;K223&amp;$BD$2,"")</f>
        <v/>
      </c>
    </row>
    <row r="222" spans="1:58" ht="17.100000000000001" customHeight="1" x14ac:dyDescent="0.15">
      <c r="A222" s="14">
        <v>218</v>
      </c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BB222" s="26" t="str">
        <f>IFERROR($BC$2&amp;VLOOKUP(B224,'Pay Table'!$M$3:$N$18,2,FALSE)&amp;$BB$2&amp;C224&amp;$BD$2,"")</f>
        <v/>
      </c>
      <c r="BC222" s="1" t="str">
        <f>IFERROR($BC$2&amp;VLOOKUP(D224,'Pay Table'!$M$3:$N$18,2,FALSE)&amp;$BB$2&amp;E224&amp;$BD$2,"")</f>
        <v/>
      </c>
      <c r="BD222" s="1" t="str">
        <f>IFERROR($BC$2&amp;VLOOKUP(F224,'Pay Table'!$M$3:$N$18,2,FALSE)&amp;$BB$2&amp;G224&amp;$BD$2,"")</f>
        <v/>
      </c>
      <c r="BE222" s="1" t="str">
        <f>IFERROR($BC$2&amp;VLOOKUP(H224,'Pay Table'!$M$3:$N$18,2,FALSE)&amp;$BB$2&amp;I224&amp;$BD$2,"")</f>
        <v/>
      </c>
      <c r="BF222" s="27" t="str">
        <f>IFERROR($BC$2&amp;VLOOKUP(J224,'Pay Table'!$M$3:$N$18,2,FALSE)&amp;$BB$2&amp;K224&amp;$BD$2,"")</f>
        <v/>
      </c>
    </row>
    <row r="223" spans="1:58" ht="17.100000000000001" customHeight="1" x14ac:dyDescent="0.15"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BB223" s="26" t="str">
        <f>IFERROR($BC$2&amp;VLOOKUP(B225,'Pay Table'!$M$3:$N$18,2,FALSE)&amp;$BB$2&amp;C225&amp;$BD$2,"")</f>
        <v/>
      </c>
      <c r="BC223" s="1" t="str">
        <f>IFERROR($BC$2&amp;VLOOKUP(D225,'Pay Table'!$M$3:$N$18,2,FALSE)&amp;$BB$2&amp;E225&amp;$BD$2,"")</f>
        <v/>
      </c>
      <c r="BD223" s="1" t="str">
        <f>IFERROR($BC$2&amp;VLOOKUP(F225,'Pay Table'!$M$3:$N$18,2,FALSE)&amp;$BB$2&amp;G225&amp;$BD$2,"")</f>
        <v/>
      </c>
      <c r="BE223" s="1" t="str">
        <f>IFERROR($BC$2&amp;VLOOKUP(H225,'Pay Table'!$M$3:$N$18,2,FALSE)&amp;$BB$2&amp;I225&amp;$BD$2,"")</f>
        <v/>
      </c>
      <c r="BF223" s="27" t="str">
        <f>IFERROR($BC$2&amp;VLOOKUP(J225,'Pay Table'!$M$3:$N$18,2,FALSE)&amp;$BB$2&amp;K225&amp;$BD$2,"")</f>
        <v/>
      </c>
    </row>
    <row r="224" spans="1:58" ht="17.100000000000001" customHeight="1" x14ac:dyDescent="0.15">
      <c r="BB224" s="26" t="str">
        <f>IFERROR($BC$2&amp;VLOOKUP(B226,'Pay Table'!$M$3:$N$18,2,FALSE)&amp;$BB$2&amp;C226&amp;$BD$2,"")</f>
        <v/>
      </c>
      <c r="BC224" s="1" t="str">
        <f>IFERROR($BC$2&amp;VLOOKUP(D226,'Pay Table'!$M$3:$N$18,2,FALSE)&amp;$BB$2&amp;E226&amp;$BD$2,"")</f>
        <v/>
      </c>
      <c r="BD224" s="1" t="str">
        <f>IFERROR($BC$2&amp;VLOOKUP(F226,'Pay Table'!$M$3:$N$18,2,FALSE)&amp;$BB$2&amp;G226&amp;$BD$2,"")</f>
        <v/>
      </c>
      <c r="BE224" s="1" t="str">
        <f>IFERROR($BC$2&amp;VLOOKUP(H226,'Pay Table'!$M$3:$N$18,2,FALSE)&amp;$BB$2&amp;I226&amp;$BD$2,"")</f>
        <v/>
      </c>
      <c r="BF224" s="27" t="str">
        <f>IFERROR($BC$2&amp;VLOOKUP(J226,'Pay Table'!$M$3:$N$18,2,FALSE)&amp;$BB$2&amp;K226&amp;$BD$2,"")</f>
        <v/>
      </c>
    </row>
    <row r="225" spans="54:58" ht="17.100000000000001" customHeight="1" x14ac:dyDescent="0.15">
      <c r="BB225" s="26" t="str">
        <f>IFERROR($BC$2&amp;VLOOKUP(B227,'Pay Table'!$M$3:$N$18,2,FALSE)&amp;$BB$2&amp;C227&amp;$BD$2,"")</f>
        <v/>
      </c>
      <c r="BC225" s="1" t="str">
        <f>IFERROR($BC$2&amp;VLOOKUP(D227,'Pay Table'!$M$3:$N$18,2,FALSE)&amp;$BB$2&amp;E227&amp;$BD$2,"")</f>
        <v/>
      </c>
      <c r="BD225" s="1" t="str">
        <f>IFERROR($BC$2&amp;VLOOKUP(F227,'Pay Table'!$M$3:$N$18,2,FALSE)&amp;$BB$2&amp;G227&amp;$BD$2,"")</f>
        <v/>
      </c>
      <c r="BE225" s="1" t="str">
        <f>IFERROR($BC$2&amp;VLOOKUP(H227,'Pay Table'!$M$3:$N$18,2,FALSE)&amp;$BB$2&amp;I227&amp;$BD$2,"")</f>
        <v/>
      </c>
      <c r="BF225" s="27" t="str">
        <f>IFERROR($BC$2&amp;VLOOKUP(J227,'Pay Table'!$M$3:$N$18,2,FALSE)&amp;$BB$2&amp;K227&amp;$BD$2,"")</f>
        <v/>
      </c>
    </row>
    <row r="226" spans="54:58" ht="17.100000000000001" customHeight="1" x14ac:dyDescent="0.15">
      <c r="BB226" s="26" t="str">
        <f>IFERROR($BC$2&amp;VLOOKUP(B228,'Pay Table'!$M$3:$N$18,2,FALSE)&amp;$BB$2&amp;C228&amp;$BD$2,"")</f>
        <v/>
      </c>
      <c r="BC226" s="1" t="str">
        <f>IFERROR($BC$2&amp;VLOOKUP(D228,'Pay Table'!$M$3:$N$18,2,FALSE)&amp;$BB$2&amp;E228&amp;$BD$2,"")</f>
        <v/>
      </c>
      <c r="BD226" s="1" t="str">
        <f>IFERROR($BC$2&amp;VLOOKUP(F228,'Pay Table'!$M$3:$N$18,2,FALSE)&amp;$BB$2&amp;G228&amp;$BD$2,"")</f>
        <v/>
      </c>
      <c r="BE226" s="1" t="str">
        <f>IFERROR($BC$2&amp;VLOOKUP(H228,'Pay Table'!$M$3:$N$18,2,FALSE)&amp;$BB$2&amp;I228&amp;$BD$2,"")</f>
        <v/>
      </c>
      <c r="BF226" s="27" t="str">
        <f>IFERROR($BC$2&amp;VLOOKUP(J228,'Pay Table'!$M$3:$N$18,2,FALSE)&amp;$BB$2&amp;K228&amp;$BD$2,"")</f>
        <v/>
      </c>
    </row>
    <row r="227" spans="54:58" ht="17.100000000000001" customHeight="1" x14ac:dyDescent="0.15">
      <c r="BB227" s="26" t="str">
        <f>IFERROR($BC$2&amp;VLOOKUP(B229,'Pay Table'!$M$3:$N$18,2,FALSE)&amp;$BB$2&amp;C229&amp;$BD$2,"")</f>
        <v/>
      </c>
      <c r="BC227" s="1" t="str">
        <f>IFERROR($BC$2&amp;VLOOKUP(D229,'Pay Table'!$M$3:$N$18,2,FALSE)&amp;$BB$2&amp;E229&amp;$BD$2,"")</f>
        <v/>
      </c>
      <c r="BD227" s="1" t="str">
        <f>IFERROR($BC$2&amp;VLOOKUP(F229,'Pay Table'!$M$3:$N$18,2,FALSE)&amp;$BB$2&amp;G229&amp;$BD$2,"")</f>
        <v/>
      </c>
      <c r="BE227" s="1" t="str">
        <f>IFERROR($BC$2&amp;VLOOKUP(H229,'Pay Table'!$M$3:$N$18,2,FALSE)&amp;$BB$2&amp;I229&amp;$BD$2,"")</f>
        <v/>
      </c>
      <c r="BF227" s="27" t="str">
        <f>IFERROR($BC$2&amp;VLOOKUP(J229,'Pay Table'!$M$3:$N$18,2,FALSE)&amp;$BB$2&amp;K229&amp;$BD$2,"")</f>
        <v/>
      </c>
    </row>
    <row r="228" spans="54:58" ht="17.100000000000001" customHeight="1" x14ac:dyDescent="0.15">
      <c r="BB228" s="26" t="str">
        <f>IFERROR($BC$2&amp;VLOOKUP(B230,'Pay Table'!$M$3:$N$18,2,FALSE)&amp;$BB$2&amp;C230&amp;$BD$2,"")</f>
        <v/>
      </c>
      <c r="BC228" s="1" t="str">
        <f>IFERROR($BC$2&amp;VLOOKUP(D230,'Pay Table'!$M$3:$N$18,2,FALSE)&amp;$BB$2&amp;E230&amp;$BD$2,"")</f>
        <v/>
      </c>
      <c r="BD228" s="1" t="str">
        <f>IFERROR($BC$2&amp;VLOOKUP(F230,'Pay Table'!$M$3:$N$18,2,FALSE)&amp;$BB$2&amp;G230&amp;$BD$2,"")</f>
        <v/>
      </c>
      <c r="BE228" s="1" t="str">
        <f>IFERROR($BC$2&amp;VLOOKUP(H230,'Pay Table'!$M$3:$N$18,2,FALSE)&amp;$BB$2&amp;I230&amp;$BD$2,"")</f>
        <v/>
      </c>
      <c r="BF228" s="27" t="str">
        <f>IFERROR($BC$2&amp;VLOOKUP(J230,'Pay Table'!$M$3:$N$18,2,FALSE)&amp;$BB$2&amp;K230&amp;$BD$2,"")</f>
        <v/>
      </c>
    </row>
    <row r="229" spans="54:58" ht="17.100000000000001" customHeight="1" x14ac:dyDescent="0.15">
      <c r="BB229" s="26" t="str">
        <f>IFERROR($BC$2&amp;VLOOKUP(B231,'Pay Table'!$M$3:$N$18,2,FALSE)&amp;$BB$2&amp;C231&amp;$BD$2,"")</f>
        <v/>
      </c>
      <c r="BC229" s="1" t="str">
        <f>IFERROR($BC$2&amp;VLOOKUP(D231,'Pay Table'!$M$3:$N$18,2,FALSE)&amp;$BB$2&amp;E231&amp;$BD$2,"")</f>
        <v/>
      </c>
      <c r="BD229" s="1" t="str">
        <f>IFERROR($BC$2&amp;VLOOKUP(F231,'Pay Table'!$M$3:$N$18,2,FALSE)&amp;$BB$2&amp;G231&amp;$BD$2,"")</f>
        <v/>
      </c>
      <c r="BE229" s="1" t="str">
        <f>IFERROR($BC$2&amp;VLOOKUP(H231,'Pay Table'!$M$3:$N$18,2,FALSE)&amp;$BB$2&amp;I231&amp;$BD$2,"")</f>
        <v/>
      </c>
      <c r="BF229" s="27" t="str">
        <f>IFERROR($BC$2&amp;VLOOKUP(J231,'Pay Table'!$M$3:$N$18,2,FALSE)&amp;$BB$2&amp;K231&amp;$BD$2,"")</f>
        <v/>
      </c>
    </row>
    <row r="230" spans="54:58" ht="17.100000000000001" customHeight="1" x14ac:dyDescent="0.15">
      <c r="BB230" s="26" t="str">
        <f>IFERROR($BC$2&amp;VLOOKUP(B232,'Pay Table'!$M$3:$N$18,2,FALSE)&amp;$BB$2&amp;C232&amp;$BD$2,"")</f>
        <v/>
      </c>
      <c r="BC230" s="1" t="str">
        <f>IFERROR($BC$2&amp;VLOOKUP(D232,'Pay Table'!$M$3:$N$18,2,FALSE)&amp;$BB$2&amp;E232&amp;$BD$2,"")</f>
        <v/>
      </c>
      <c r="BD230" s="1" t="str">
        <f>IFERROR($BC$2&amp;VLOOKUP(F232,'Pay Table'!$M$3:$N$18,2,FALSE)&amp;$BB$2&amp;G232&amp;$BD$2,"")</f>
        <v/>
      </c>
      <c r="BE230" s="1" t="str">
        <f>IFERROR($BC$2&amp;VLOOKUP(H232,'Pay Table'!$M$3:$N$18,2,FALSE)&amp;$BB$2&amp;I232&amp;$BD$2,"")</f>
        <v/>
      </c>
      <c r="BF230" s="27" t="str">
        <f>IFERROR($BC$2&amp;VLOOKUP(J232,'Pay Table'!$M$3:$N$18,2,FALSE)&amp;$BB$2&amp;K232&amp;$BD$2,"")</f>
        <v/>
      </c>
    </row>
    <row r="231" spans="54:58" ht="17.100000000000001" customHeight="1" x14ac:dyDescent="0.15">
      <c r="BB231" s="26" t="str">
        <f>IFERROR($BC$2&amp;VLOOKUP(B233,'Pay Table'!$M$3:$N$18,2,FALSE)&amp;$BB$2&amp;C233&amp;$BD$2,"")</f>
        <v/>
      </c>
      <c r="BC231" s="1" t="str">
        <f>IFERROR($BC$2&amp;VLOOKUP(D233,'Pay Table'!$M$3:$N$18,2,FALSE)&amp;$BB$2&amp;E233&amp;$BD$2,"")</f>
        <v/>
      </c>
      <c r="BD231" s="1" t="str">
        <f>IFERROR($BC$2&amp;VLOOKUP(F233,'Pay Table'!$M$3:$N$18,2,FALSE)&amp;$BB$2&amp;G233&amp;$BD$2,"")</f>
        <v/>
      </c>
      <c r="BE231" s="1" t="str">
        <f>IFERROR($BC$2&amp;VLOOKUP(H233,'Pay Table'!$M$3:$N$18,2,FALSE)&amp;$BB$2&amp;I233&amp;$BD$2,"")</f>
        <v/>
      </c>
      <c r="BF231" s="27" t="str">
        <f>IFERROR($BC$2&amp;VLOOKUP(J233,'Pay Table'!$M$3:$N$18,2,FALSE)&amp;$BB$2&amp;K233&amp;$BD$2,"")</f>
        <v/>
      </c>
    </row>
    <row r="232" spans="54:58" ht="17.100000000000001" customHeight="1" x14ac:dyDescent="0.15">
      <c r="BB232" s="26" t="str">
        <f>IFERROR($BC$2&amp;VLOOKUP(B234,'Pay Table'!$M$3:$N$18,2,FALSE)&amp;$BB$2&amp;C234&amp;$BD$2,"")</f>
        <v/>
      </c>
      <c r="BC232" s="1" t="str">
        <f>IFERROR($BC$2&amp;VLOOKUP(D234,'Pay Table'!$M$3:$N$18,2,FALSE)&amp;$BB$2&amp;E234&amp;$BD$2,"")</f>
        <v/>
      </c>
      <c r="BD232" s="1" t="str">
        <f>IFERROR($BC$2&amp;VLOOKUP(F234,'Pay Table'!$M$3:$N$18,2,FALSE)&amp;$BB$2&amp;G234&amp;$BD$2,"")</f>
        <v/>
      </c>
      <c r="BE232" s="1" t="str">
        <f>IFERROR($BC$2&amp;VLOOKUP(H234,'Pay Table'!$M$3:$N$18,2,FALSE)&amp;$BB$2&amp;I234&amp;$BD$2,"")</f>
        <v/>
      </c>
      <c r="BF232" s="27" t="str">
        <f>IFERROR($BC$2&amp;VLOOKUP(J234,'Pay Table'!$M$3:$N$18,2,FALSE)&amp;$BB$2&amp;K234&amp;$BD$2,"")</f>
        <v/>
      </c>
    </row>
    <row r="233" spans="54:58" ht="17.100000000000001" customHeight="1" x14ac:dyDescent="0.15">
      <c r="BB233" s="26" t="str">
        <f>IFERROR($BC$2&amp;VLOOKUP(B235,'Pay Table'!$M$3:$N$18,2,FALSE)&amp;$BB$2&amp;C235&amp;$BD$2,"")</f>
        <v/>
      </c>
      <c r="BC233" s="1" t="str">
        <f>IFERROR($BC$2&amp;VLOOKUP(D235,'Pay Table'!$M$3:$N$18,2,FALSE)&amp;$BB$2&amp;E235&amp;$BD$2,"")</f>
        <v/>
      </c>
      <c r="BD233" s="1" t="str">
        <f>IFERROR($BC$2&amp;VLOOKUP(F235,'Pay Table'!$M$3:$N$18,2,FALSE)&amp;$BB$2&amp;G235&amp;$BD$2,"")</f>
        <v/>
      </c>
      <c r="BE233" s="1" t="str">
        <f>IFERROR($BC$2&amp;VLOOKUP(H235,'Pay Table'!$M$3:$N$18,2,FALSE)&amp;$BB$2&amp;I235&amp;$BD$2,"")</f>
        <v/>
      </c>
      <c r="BF233" s="27" t="str">
        <f>IFERROR($BC$2&amp;VLOOKUP(J235,'Pay Table'!$M$3:$N$18,2,FALSE)&amp;$BB$2&amp;K235&amp;$BD$2,"")</f>
        <v/>
      </c>
    </row>
    <row r="234" spans="54:58" ht="17.100000000000001" customHeight="1" x14ac:dyDescent="0.15">
      <c r="BB234" s="26" t="str">
        <f>IFERROR($BC$2&amp;VLOOKUP(B236,'Pay Table'!$M$3:$N$18,2,FALSE)&amp;$BB$2&amp;C236&amp;$BD$2,"")</f>
        <v/>
      </c>
      <c r="BC234" s="1" t="str">
        <f>IFERROR($BC$2&amp;VLOOKUP(D236,'Pay Table'!$M$3:$N$18,2,FALSE)&amp;$BB$2&amp;E236&amp;$BD$2,"")</f>
        <v/>
      </c>
      <c r="BD234" s="1" t="str">
        <f>IFERROR($BC$2&amp;VLOOKUP(F236,'Pay Table'!$M$3:$N$18,2,FALSE)&amp;$BB$2&amp;G236&amp;$BD$2,"")</f>
        <v/>
      </c>
      <c r="BE234" s="1" t="str">
        <f>IFERROR($BC$2&amp;VLOOKUP(H236,'Pay Table'!$M$3:$N$18,2,FALSE)&amp;$BB$2&amp;I236&amp;$BD$2,"")</f>
        <v/>
      </c>
      <c r="BF234" s="27" t="str">
        <f>IFERROR($BC$2&amp;VLOOKUP(J236,'Pay Table'!$M$3:$N$18,2,FALSE)&amp;$BB$2&amp;K236&amp;$BD$2,"")</f>
        <v/>
      </c>
    </row>
    <row r="235" spans="54:58" ht="17.100000000000001" customHeight="1" x14ac:dyDescent="0.15">
      <c r="BB235" s="26" t="str">
        <f>IFERROR($BC$2&amp;VLOOKUP(B237,'Pay Table'!$M$3:$N$18,2,FALSE)&amp;$BB$2&amp;C237&amp;$BD$2,"")</f>
        <v/>
      </c>
      <c r="BC235" s="1" t="str">
        <f>IFERROR($BC$2&amp;VLOOKUP(D237,'Pay Table'!$M$3:$N$18,2,FALSE)&amp;$BB$2&amp;E237&amp;$BD$2,"")</f>
        <v/>
      </c>
      <c r="BD235" s="1" t="str">
        <f>IFERROR($BC$2&amp;VLOOKUP(F237,'Pay Table'!$M$3:$N$18,2,FALSE)&amp;$BB$2&amp;G237&amp;$BD$2,"")</f>
        <v/>
      </c>
      <c r="BE235" s="1" t="str">
        <f>IFERROR($BC$2&amp;VLOOKUP(H237,'Pay Table'!$M$3:$N$18,2,FALSE)&amp;$BB$2&amp;I237&amp;$BD$2,"")</f>
        <v/>
      </c>
      <c r="BF235" s="27" t="str">
        <f>IFERROR($BC$2&amp;VLOOKUP(J237,'Pay Table'!$M$3:$N$18,2,FALSE)&amp;$BB$2&amp;K237&amp;$BD$2,"")</f>
        <v/>
      </c>
    </row>
    <row r="236" spans="54:58" ht="17.100000000000001" customHeight="1" x14ac:dyDescent="0.15">
      <c r="BB236" s="26" t="str">
        <f>IFERROR($BC$2&amp;VLOOKUP(B238,'Pay Table'!$M$3:$N$18,2,FALSE)&amp;$BB$2&amp;C238&amp;$BD$2,"")</f>
        <v/>
      </c>
      <c r="BC236" s="1" t="str">
        <f>IFERROR($BC$2&amp;VLOOKUP(D238,'Pay Table'!$M$3:$N$18,2,FALSE)&amp;$BB$2&amp;E238&amp;$BD$2,"")</f>
        <v/>
      </c>
      <c r="BD236" s="1" t="str">
        <f>IFERROR($BC$2&amp;VLOOKUP(F238,'Pay Table'!$M$3:$N$18,2,FALSE)&amp;$BB$2&amp;G238&amp;$BD$2,"")</f>
        <v/>
      </c>
      <c r="BE236" s="1" t="str">
        <f>IFERROR($BC$2&amp;VLOOKUP(H238,'Pay Table'!$M$3:$N$18,2,FALSE)&amp;$BB$2&amp;I238&amp;$BD$2,"")</f>
        <v/>
      </c>
      <c r="BF236" s="27" t="str">
        <f>IFERROR($BC$2&amp;VLOOKUP(J238,'Pay Table'!$M$3:$N$18,2,FALSE)&amp;$BB$2&amp;K238&amp;$BD$2,"")</f>
        <v/>
      </c>
    </row>
    <row r="237" spans="54:58" ht="17.100000000000001" customHeight="1" x14ac:dyDescent="0.15">
      <c r="BB237" s="26" t="str">
        <f>IFERROR($BC$2&amp;VLOOKUP(B239,'Pay Table'!$M$3:$N$18,2,FALSE)&amp;$BB$2&amp;C239&amp;$BD$2,"")</f>
        <v/>
      </c>
      <c r="BC237" s="1" t="str">
        <f>IFERROR($BC$2&amp;VLOOKUP(D239,'Pay Table'!$M$3:$N$18,2,FALSE)&amp;$BB$2&amp;E239&amp;$BD$2,"")</f>
        <v/>
      </c>
      <c r="BD237" s="1" t="str">
        <f>IFERROR($BC$2&amp;VLOOKUP(F239,'Pay Table'!$M$3:$N$18,2,FALSE)&amp;$BB$2&amp;G239&amp;$BD$2,"")</f>
        <v/>
      </c>
      <c r="BE237" s="1" t="str">
        <f>IFERROR($BC$2&amp;VLOOKUP(H239,'Pay Table'!$M$3:$N$18,2,FALSE)&amp;$BB$2&amp;I239&amp;$BD$2,"")</f>
        <v/>
      </c>
      <c r="BF237" s="27" t="str">
        <f>IFERROR($BC$2&amp;VLOOKUP(J239,'Pay Table'!$M$3:$N$18,2,FALSE)&amp;$BB$2&amp;K239&amp;$BD$2,"")</f>
        <v/>
      </c>
    </row>
    <row r="238" spans="54:58" ht="17.100000000000001" customHeight="1" x14ac:dyDescent="0.15">
      <c r="BB238" s="26" t="str">
        <f>IFERROR($BC$2&amp;VLOOKUP(B240,'Pay Table'!$M$3:$N$18,2,FALSE)&amp;$BB$2&amp;C240&amp;$BD$2,"")</f>
        <v/>
      </c>
      <c r="BC238" s="1" t="str">
        <f>IFERROR($BC$2&amp;VLOOKUP(D240,'Pay Table'!$M$3:$N$18,2,FALSE)&amp;$BB$2&amp;E240&amp;$BD$2,"")</f>
        <v/>
      </c>
      <c r="BD238" s="1" t="str">
        <f>IFERROR($BC$2&amp;VLOOKUP(F240,'Pay Table'!$M$3:$N$18,2,FALSE)&amp;$BB$2&amp;G240&amp;$BD$2,"")</f>
        <v/>
      </c>
      <c r="BE238" s="1" t="str">
        <f>IFERROR($BC$2&amp;VLOOKUP(H240,'Pay Table'!$M$3:$N$18,2,FALSE)&amp;$BB$2&amp;I240&amp;$BD$2,"")</f>
        <v/>
      </c>
      <c r="BF238" s="27" t="str">
        <f>IFERROR($BC$2&amp;VLOOKUP(J240,'Pay Table'!$M$3:$N$18,2,FALSE)&amp;$BB$2&amp;K240&amp;$BD$2,"")</f>
        <v/>
      </c>
    </row>
    <row r="239" spans="54:58" ht="17.100000000000001" customHeight="1" x14ac:dyDescent="0.15">
      <c r="BB239" s="26" t="str">
        <f>IFERROR($BC$2&amp;VLOOKUP(B241,'Pay Table'!$M$3:$N$18,2,FALSE)&amp;$BB$2&amp;C241&amp;$BD$2,"")</f>
        <v/>
      </c>
      <c r="BC239" s="1" t="str">
        <f>IFERROR($BC$2&amp;VLOOKUP(D241,'Pay Table'!$M$3:$N$18,2,FALSE)&amp;$BB$2&amp;E241&amp;$BD$2,"")</f>
        <v/>
      </c>
      <c r="BD239" s="1" t="str">
        <f>IFERROR($BC$2&amp;VLOOKUP(F241,'Pay Table'!$M$3:$N$18,2,FALSE)&amp;$BB$2&amp;G241&amp;$BD$2,"")</f>
        <v/>
      </c>
      <c r="BE239" s="1" t="str">
        <f>IFERROR($BC$2&amp;VLOOKUP(H241,'Pay Table'!$M$3:$N$18,2,FALSE)&amp;$BB$2&amp;I241&amp;$BD$2,"")</f>
        <v/>
      </c>
      <c r="BF239" s="27" t="str">
        <f>IFERROR($BC$2&amp;VLOOKUP(J241,'Pay Table'!$M$3:$N$18,2,FALSE)&amp;$BB$2&amp;K241&amp;$BD$2,"")</f>
        <v/>
      </c>
    </row>
    <row r="240" spans="54:58" ht="17.100000000000001" customHeight="1" x14ac:dyDescent="0.15">
      <c r="BB240" s="26" t="str">
        <f>IFERROR($BC$2&amp;VLOOKUP(B242,'Pay Table'!$M$3:$N$18,2,FALSE)&amp;$BB$2&amp;C242&amp;$BD$2,"")</f>
        <v/>
      </c>
      <c r="BC240" s="1" t="str">
        <f>IFERROR($BC$2&amp;VLOOKUP(D242,'Pay Table'!$M$3:$N$18,2,FALSE)&amp;$BB$2&amp;E242&amp;$BD$2,"")</f>
        <v/>
      </c>
      <c r="BD240" s="1" t="str">
        <f>IFERROR($BC$2&amp;VLOOKUP(F242,'Pay Table'!$M$3:$N$18,2,FALSE)&amp;$BB$2&amp;G242&amp;$BD$2,"")</f>
        <v/>
      </c>
      <c r="BE240" s="1" t="str">
        <f>IFERROR($BC$2&amp;VLOOKUP(H242,'Pay Table'!$M$3:$N$18,2,FALSE)&amp;$BB$2&amp;I242&amp;$BD$2,"")</f>
        <v/>
      </c>
      <c r="BF240" s="27" t="str">
        <f>IFERROR($BC$2&amp;VLOOKUP(J242,'Pay Table'!$M$3:$N$18,2,FALSE)&amp;$BB$2&amp;K242&amp;$BD$2,"")</f>
        <v/>
      </c>
    </row>
    <row r="241" spans="54:58" ht="17.100000000000001" customHeight="1" x14ac:dyDescent="0.15">
      <c r="BB241" s="26" t="str">
        <f>IFERROR($BC$2&amp;VLOOKUP(B243,'Pay Table'!$M$3:$N$18,2,FALSE)&amp;$BB$2&amp;C243&amp;$BD$2,"")</f>
        <v/>
      </c>
      <c r="BC241" s="1" t="str">
        <f>IFERROR($BC$2&amp;VLOOKUP(D243,'Pay Table'!$M$3:$N$18,2,FALSE)&amp;$BB$2&amp;E243&amp;$BD$2,"")</f>
        <v/>
      </c>
      <c r="BD241" s="1" t="str">
        <f>IFERROR($BC$2&amp;VLOOKUP(F243,'Pay Table'!$M$3:$N$18,2,FALSE)&amp;$BB$2&amp;G243&amp;$BD$2,"")</f>
        <v/>
      </c>
      <c r="BE241" s="1" t="str">
        <f>IFERROR($BC$2&amp;VLOOKUP(H243,'Pay Table'!$M$3:$N$18,2,FALSE)&amp;$BB$2&amp;I243&amp;$BD$2,"")</f>
        <v/>
      </c>
      <c r="BF241" s="27" t="str">
        <f>IFERROR($BC$2&amp;VLOOKUP(J243,'Pay Table'!$M$3:$N$18,2,FALSE)&amp;$BB$2&amp;K243&amp;$BD$2,"")</f>
        <v/>
      </c>
    </row>
    <row r="242" spans="54:58" ht="17.100000000000001" customHeight="1" x14ac:dyDescent="0.15">
      <c r="BB242" s="26" t="str">
        <f>IFERROR($BC$2&amp;VLOOKUP(B244,'Pay Table'!$M$3:$N$18,2,FALSE)&amp;$BB$2&amp;C244&amp;$BD$2,"")</f>
        <v/>
      </c>
      <c r="BC242" s="1" t="str">
        <f>IFERROR($BC$2&amp;VLOOKUP(D244,'Pay Table'!$M$3:$N$18,2,FALSE)&amp;$BB$2&amp;E244&amp;$BD$2,"")</f>
        <v/>
      </c>
      <c r="BD242" s="1" t="str">
        <f>IFERROR($BC$2&amp;VLOOKUP(F244,'Pay Table'!$M$3:$N$18,2,FALSE)&amp;$BB$2&amp;G244&amp;$BD$2,"")</f>
        <v/>
      </c>
      <c r="BE242" s="1" t="str">
        <f>IFERROR($BC$2&amp;VLOOKUP(H244,'Pay Table'!$M$3:$N$18,2,FALSE)&amp;$BB$2&amp;I244&amp;$BD$2,"")</f>
        <v/>
      </c>
      <c r="BF242" s="27" t="str">
        <f>IFERROR($BC$2&amp;VLOOKUP(J244,'Pay Table'!$M$3:$N$18,2,FALSE)&amp;$BB$2&amp;K244&amp;$BD$2,"")</f>
        <v/>
      </c>
    </row>
    <row r="243" spans="54:58" ht="17.100000000000001" customHeight="1" x14ac:dyDescent="0.15">
      <c r="BB243" s="26" t="str">
        <f>IFERROR($BC$2&amp;VLOOKUP(B245,'Pay Table'!$M$3:$N$18,2,FALSE)&amp;$BB$2&amp;C245&amp;$BD$2,"")</f>
        <v/>
      </c>
      <c r="BC243" s="1" t="str">
        <f>IFERROR($BC$2&amp;VLOOKUP(D245,'Pay Table'!$M$3:$N$18,2,FALSE)&amp;$BB$2&amp;E245&amp;$BD$2,"")</f>
        <v/>
      </c>
      <c r="BD243" s="1" t="str">
        <f>IFERROR($BC$2&amp;VLOOKUP(F245,'Pay Table'!$M$3:$N$18,2,FALSE)&amp;$BB$2&amp;G245&amp;$BD$2,"")</f>
        <v/>
      </c>
      <c r="BE243" s="1" t="str">
        <f>IFERROR($BC$2&amp;VLOOKUP(H245,'Pay Table'!$M$3:$N$18,2,FALSE)&amp;$BB$2&amp;I245&amp;$BD$2,"")</f>
        <v/>
      </c>
      <c r="BF243" s="27" t="str">
        <f>IFERROR($BC$2&amp;VLOOKUP(J245,'Pay Table'!$M$3:$N$18,2,FALSE)&amp;$BB$2&amp;K245&amp;$BD$2,"")</f>
        <v/>
      </c>
    </row>
    <row r="244" spans="54:58" ht="17.100000000000001" customHeight="1" x14ac:dyDescent="0.15">
      <c r="BB244" s="26" t="str">
        <f>IFERROR($BC$2&amp;VLOOKUP(B246,'Pay Table'!$M$3:$N$18,2,FALSE)&amp;$BB$2&amp;C246&amp;$BD$2,"")</f>
        <v/>
      </c>
      <c r="BC244" s="1" t="str">
        <f>IFERROR($BC$2&amp;VLOOKUP(D246,'Pay Table'!$M$3:$N$18,2,FALSE)&amp;$BB$2&amp;E246&amp;$BD$2,"")</f>
        <v/>
      </c>
      <c r="BD244" s="1" t="str">
        <f>IFERROR($BC$2&amp;VLOOKUP(F246,'Pay Table'!$M$3:$N$18,2,FALSE)&amp;$BB$2&amp;G246&amp;$BD$2,"")</f>
        <v/>
      </c>
      <c r="BE244" s="1" t="str">
        <f>IFERROR($BC$2&amp;VLOOKUP(H246,'Pay Table'!$M$3:$N$18,2,FALSE)&amp;$BB$2&amp;I246&amp;$BD$2,"")</f>
        <v/>
      </c>
      <c r="BF244" s="27" t="str">
        <f>IFERROR($BC$2&amp;VLOOKUP(J246,'Pay Table'!$M$3:$N$18,2,FALSE)&amp;$BB$2&amp;K246&amp;$BD$2,"")</f>
        <v/>
      </c>
    </row>
    <row r="245" spans="54:58" ht="17.100000000000001" customHeight="1" x14ac:dyDescent="0.15">
      <c r="BB245" s="26" t="str">
        <f>IFERROR($BC$2&amp;VLOOKUP(B247,'Pay Table'!$M$3:$N$18,2,FALSE)&amp;$BB$2&amp;C247&amp;$BD$2,"")</f>
        <v/>
      </c>
      <c r="BC245" s="1" t="str">
        <f>IFERROR($BC$2&amp;VLOOKUP(D247,'Pay Table'!$M$3:$N$18,2,FALSE)&amp;$BB$2&amp;E247&amp;$BD$2,"")</f>
        <v/>
      </c>
      <c r="BD245" s="1" t="str">
        <f>IFERROR($BC$2&amp;VLOOKUP(F247,'Pay Table'!$M$3:$N$18,2,FALSE)&amp;$BB$2&amp;G247&amp;$BD$2,"")</f>
        <v/>
      </c>
      <c r="BE245" s="1" t="str">
        <f>IFERROR($BC$2&amp;VLOOKUP(H247,'Pay Table'!$M$3:$N$18,2,FALSE)&amp;$BB$2&amp;I247&amp;$BD$2,"")</f>
        <v/>
      </c>
      <c r="BF245" s="27" t="str">
        <f>IFERROR($BC$2&amp;VLOOKUP(J247,'Pay Table'!$M$3:$N$18,2,FALSE)&amp;$BB$2&amp;K247&amp;$BD$2,"")</f>
        <v/>
      </c>
    </row>
    <row r="246" spans="54:58" ht="17.100000000000001" customHeight="1" x14ac:dyDescent="0.15">
      <c r="BB246" s="26" t="str">
        <f>IFERROR($BC$2&amp;VLOOKUP(B248,'Pay Table'!$M$3:$N$18,2,FALSE)&amp;$BB$2&amp;C248&amp;$BD$2,"")</f>
        <v/>
      </c>
      <c r="BC246" s="1" t="str">
        <f>IFERROR($BC$2&amp;VLOOKUP(D248,'Pay Table'!$M$3:$N$18,2,FALSE)&amp;$BB$2&amp;E248&amp;$BD$2,"")</f>
        <v/>
      </c>
      <c r="BD246" s="1" t="str">
        <f>IFERROR($BC$2&amp;VLOOKUP(F248,'Pay Table'!$M$3:$N$18,2,FALSE)&amp;$BB$2&amp;G248&amp;$BD$2,"")</f>
        <v/>
      </c>
      <c r="BE246" s="1" t="str">
        <f>IFERROR($BC$2&amp;VLOOKUP(H248,'Pay Table'!$M$3:$N$18,2,FALSE)&amp;$BB$2&amp;I248&amp;$BD$2,"")</f>
        <v/>
      </c>
      <c r="BF246" s="27" t="str">
        <f>IFERROR($BC$2&amp;VLOOKUP(J248,'Pay Table'!$M$3:$N$18,2,FALSE)&amp;$BB$2&amp;K248&amp;$BD$2,"")</f>
        <v/>
      </c>
    </row>
    <row r="247" spans="54:58" ht="17.100000000000001" customHeight="1" x14ac:dyDescent="0.15">
      <c r="BB247" s="26" t="str">
        <f>IFERROR($BC$2&amp;VLOOKUP(B249,'Pay Table'!$M$3:$N$18,2,FALSE)&amp;$BB$2&amp;C249&amp;$BD$2,"")</f>
        <v/>
      </c>
      <c r="BC247" s="1" t="str">
        <f>IFERROR($BC$2&amp;VLOOKUP(D249,'Pay Table'!$M$3:$N$18,2,FALSE)&amp;$BB$2&amp;E249&amp;$BD$2,"")</f>
        <v/>
      </c>
      <c r="BD247" s="1" t="str">
        <f>IFERROR($BC$2&amp;VLOOKUP(F249,'Pay Table'!$M$3:$N$18,2,FALSE)&amp;$BB$2&amp;G249&amp;$BD$2,"")</f>
        <v/>
      </c>
      <c r="BE247" s="1" t="str">
        <f>IFERROR($BC$2&amp;VLOOKUP(H249,'Pay Table'!$M$3:$N$18,2,FALSE)&amp;$BB$2&amp;I249&amp;$BD$2,"")</f>
        <v/>
      </c>
      <c r="BF247" s="27" t="str">
        <f>IFERROR($BC$2&amp;VLOOKUP(J249,'Pay Table'!$M$3:$N$18,2,FALSE)&amp;$BB$2&amp;K249&amp;$BD$2,"")</f>
        <v/>
      </c>
    </row>
    <row r="248" spans="54:58" ht="17.100000000000001" customHeight="1" x14ac:dyDescent="0.15">
      <c r="BB248" s="26" t="str">
        <f>IFERROR($BC$2&amp;VLOOKUP(B250,'Pay Table'!$M$3:$N$18,2,FALSE)&amp;$BB$2&amp;C250&amp;$BD$2,"")</f>
        <v/>
      </c>
      <c r="BC248" s="1" t="str">
        <f>IFERROR($BC$2&amp;VLOOKUP(D250,'Pay Table'!$M$3:$N$18,2,FALSE)&amp;$BB$2&amp;E250&amp;$BD$2,"")</f>
        <v/>
      </c>
      <c r="BD248" s="1" t="str">
        <f>IFERROR($BC$2&amp;VLOOKUP(F250,'Pay Table'!$M$3:$N$18,2,FALSE)&amp;$BB$2&amp;G250&amp;$BD$2,"")</f>
        <v/>
      </c>
      <c r="BE248" s="1" t="str">
        <f>IFERROR($BC$2&amp;VLOOKUP(H250,'Pay Table'!$M$3:$N$18,2,FALSE)&amp;$BB$2&amp;I250&amp;$BD$2,"")</f>
        <v/>
      </c>
      <c r="BF248" s="27" t="str">
        <f>IFERROR($BC$2&amp;VLOOKUP(J250,'Pay Table'!$M$3:$N$18,2,FALSE)&amp;$BB$2&amp;K250&amp;$BD$2,"")</f>
        <v/>
      </c>
    </row>
    <row r="249" spans="54:58" ht="17.100000000000001" customHeight="1" x14ac:dyDescent="0.15">
      <c r="BB249" s="26" t="str">
        <f>IFERROR($BC$2&amp;VLOOKUP(B251,'Pay Table'!$M$3:$N$18,2,FALSE)&amp;$BB$2&amp;C251&amp;$BD$2,"")</f>
        <v/>
      </c>
      <c r="BC249" s="1" t="str">
        <f>IFERROR($BC$2&amp;VLOOKUP(D251,'Pay Table'!$M$3:$N$18,2,FALSE)&amp;$BB$2&amp;E251&amp;$BD$2,"")</f>
        <v/>
      </c>
      <c r="BD249" s="1" t="str">
        <f>IFERROR($BC$2&amp;VLOOKUP(F251,'Pay Table'!$M$3:$N$18,2,FALSE)&amp;$BB$2&amp;G251&amp;$BD$2,"")</f>
        <v/>
      </c>
      <c r="BE249" s="1" t="str">
        <f>IFERROR($BC$2&amp;VLOOKUP(H251,'Pay Table'!$M$3:$N$18,2,FALSE)&amp;$BB$2&amp;I251&amp;$BD$2,"")</f>
        <v/>
      </c>
      <c r="BF249" s="27" t="str">
        <f>IFERROR($BC$2&amp;VLOOKUP(J251,'Pay Table'!$M$3:$N$18,2,FALSE)&amp;$BB$2&amp;K251&amp;$BD$2,"")</f>
        <v/>
      </c>
    </row>
    <row r="250" spans="54:58" ht="17.100000000000001" customHeight="1" x14ac:dyDescent="0.15">
      <c r="BB250" s="26" t="str">
        <f>IFERROR($BC$2&amp;VLOOKUP(B252,'Pay Table'!$M$3:$N$18,2,FALSE)&amp;$BB$2&amp;C252&amp;$BD$2,"")</f>
        <v/>
      </c>
      <c r="BC250" s="1" t="str">
        <f>IFERROR($BC$2&amp;VLOOKUP(D252,'Pay Table'!$M$3:$N$18,2,FALSE)&amp;$BB$2&amp;E252&amp;$BD$2,"")</f>
        <v/>
      </c>
      <c r="BD250" s="1" t="str">
        <f>IFERROR($BC$2&amp;VLOOKUP(F252,'Pay Table'!$M$3:$N$18,2,FALSE)&amp;$BB$2&amp;G252&amp;$BD$2,"")</f>
        <v/>
      </c>
      <c r="BE250" s="1" t="str">
        <f>IFERROR($BC$2&amp;VLOOKUP(H252,'Pay Table'!$M$3:$N$18,2,FALSE)&amp;$BB$2&amp;I252&amp;$BD$2,"")</f>
        <v/>
      </c>
      <c r="BF250" s="27" t="str">
        <f>IFERROR($BC$2&amp;VLOOKUP(J252,'Pay Table'!$M$3:$N$18,2,FALSE)&amp;$BB$2&amp;K252&amp;$BD$2,"")</f>
        <v/>
      </c>
    </row>
    <row r="251" spans="54:58" ht="17.100000000000001" customHeight="1" x14ac:dyDescent="0.15">
      <c r="BB251" s="26" t="str">
        <f>IFERROR($BC$2&amp;VLOOKUP(B253,'Pay Table'!$M$3:$N$18,2,FALSE)&amp;$BB$2&amp;C253&amp;$BD$2,"")</f>
        <v/>
      </c>
      <c r="BC251" s="1" t="str">
        <f>IFERROR($BC$2&amp;VLOOKUP(D253,'Pay Table'!$M$3:$N$18,2,FALSE)&amp;$BB$2&amp;E253&amp;$BD$2,"")</f>
        <v/>
      </c>
      <c r="BD251" s="1" t="str">
        <f>IFERROR($BC$2&amp;VLOOKUP(F253,'Pay Table'!$M$3:$N$18,2,FALSE)&amp;$BB$2&amp;G253&amp;$BD$2,"")</f>
        <v/>
      </c>
      <c r="BE251" s="1" t="str">
        <f>IFERROR($BC$2&amp;VLOOKUP(H253,'Pay Table'!$M$3:$N$18,2,FALSE)&amp;$BB$2&amp;I253&amp;$BD$2,"")</f>
        <v/>
      </c>
      <c r="BF251" s="27" t="str">
        <f>IFERROR($BC$2&amp;VLOOKUP(J253,'Pay Table'!$M$3:$N$18,2,FALSE)&amp;$BB$2&amp;K253&amp;$BD$2,"")</f>
        <v/>
      </c>
    </row>
    <row r="252" spans="54:58" ht="17.100000000000001" customHeight="1" x14ac:dyDescent="0.15">
      <c r="BB252" s="26" t="str">
        <f>IFERROR($BC$2&amp;VLOOKUP(B254,'Pay Table'!$M$3:$N$18,2,FALSE)&amp;$BB$2&amp;C254&amp;$BD$2,"")</f>
        <v/>
      </c>
      <c r="BC252" s="1" t="str">
        <f>IFERROR($BC$2&amp;VLOOKUP(D254,'Pay Table'!$M$3:$N$18,2,FALSE)&amp;$BB$2&amp;E254&amp;$BD$2,"")</f>
        <v/>
      </c>
      <c r="BD252" s="1" t="str">
        <f>IFERROR($BC$2&amp;VLOOKUP(F254,'Pay Table'!$M$3:$N$18,2,FALSE)&amp;$BB$2&amp;G254&amp;$BD$2,"")</f>
        <v/>
      </c>
      <c r="BE252" s="1" t="str">
        <f>IFERROR($BC$2&amp;VLOOKUP(H254,'Pay Table'!$M$3:$N$18,2,FALSE)&amp;$BB$2&amp;I254&amp;$BD$2,"")</f>
        <v/>
      </c>
      <c r="BF252" s="27" t="str">
        <f>IFERROR($BC$2&amp;VLOOKUP(J254,'Pay Table'!$M$3:$N$18,2,FALSE)&amp;$BB$2&amp;K254&amp;$BD$2,"")</f>
        <v/>
      </c>
    </row>
    <row r="253" spans="54:58" ht="17.100000000000001" customHeight="1" x14ac:dyDescent="0.15">
      <c r="BB253" s="26" t="str">
        <f>IFERROR($BC$2&amp;VLOOKUP(B255,'Pay Table'!$M$3:$N$18,2,FALSE)&amp;$BB$2&amp;C255&amp;$BD$2,"")</f>
        <v/>
      </c>
      <c r="BC253" s="1" t="str">
        <f>IFERROR($BC$2&amp;VLOOKUP(D255,'Pay Table'!$M$3:$N$18,2,FALSE)&amp;$BB$2&amp;E255&amp;$BD$2,"")</f>
        <v/>
      </c>
      <c r="BD253" s="1" t="str">
        <f>IFERROR($BC$2&amp;VLOOKUP(F255,'Pay Table'!$M$3:$N$18,2,FALSE)&amp;$BB$2&amp;G255&amp;$BD$2,"")</f>
        <v/>
      </c>
      <c r="BE253" s="1" t="str">
        <f>IFERROR($BC$2&amp;VLOOKUP(H255,'Pay Table'!$M$3:$N$18,2,FALSE)&amp;$BB$2&amp;I255&amp;$BD$2,"")</f>
        <v/>
      </c>
      <c r="BF253" s="27" t="str">
        <f>IFERROR($BC$2&amp;VLOOKUP(J255,'Pay Table'!$M$3:$N$18,2,FALSE)&amp;$BB$2&amp;K255&amp;$BD$2,"")</f>
        <v/>
      </c>
    </row>
    <row r="254" spans="54:58" ht="17.100000000000001" customHeight="1" x14ac:dyDescent="0.15">
      <c r="BB254" s="26" t="str">
        <f>IFERROR($BC$2&amp;VLOOKUP(B256,'Pay Table'!$M$3:$N$18,2,FALSE)&amp;$BB$2&amp;C256&amp;$BD$2,"")</f>
        <v/>
      </c>
      <c r="BC254" s="1" t="str">
        <f>IFERROR($BC$2&amp;VLOOKUP(D256,'Pay Table'!$M$3:$N$18,2,FALSE)&amp;$BB$2&amp;E256&amp;$BD$2,"")</f>
        <v/>
      </c>
      <c r="BD254" s="1" t="str">
        <f>IFERROR($BC$2&amp;VLOOKUP(F256,'Pay Table'!$M$3:$N$18,2,FALSE)&amp;$BB$2&amp;G256&amp;$BD$2,"")</f>
        <v/>
      </c>
      <c r="BE254" s="1" t="str">
        <f>IFERROR($BC$2&amp;VLOOKUP(H256,'Pay Table'!$M$3:$N$18,2,FALSE)&amp;$BB$2&amp;I256&amp;$BD$2,"")</f>
        <v/>
      </c>
      <c r="BF254" s="27" t="str">
        <f>IFERROR($BC$2&amp;VLOOKUP(J256,'Pay Table'!$M$3:$N$18,2,FALSE)&amp;$BB$2&amp;K256&amp;$BD$2,"")</f>
        <v/>
      </c>
    </row>
    <row r="255" spans="54:58" ht="17.100000000000001" customHeight="1" x14ac:dyDescent="0.15">
      <c r="BB255" s="26" t="str">
        <f>IFERROR($BC$2&amp;VLOOKUP(B257,'Pay Table'!$M$3:$N$18,2,FALSE)&amp;$BB$2&amp;C257&amp;$BD$2,"")</f>
        <v/>
      </c>
      <c r="BC255" s="1" t="str">
        <f>IFERROR($BC$2&amp;VLOOKUP(D257,'Pay Table'!$M$3:$N$18,2,FALSE)&amp;$BB$2&amp;E257&amp;$BD$2,"")</f>
        <v/>
      </c>
      <c r="BD255" s="1" t="str">
        <f>IFERROR($BC$2&amp;VLOOKUP(F257,'Pay Table'!$M$3:$N$18,2,FALSE)&amp;$BB$2&amp;G257&amp;$BD$2,"")</f>
        <v/>
      </c>
      <c r="BE255" s="1" t="str">
        <f>IFERROR($BC$2&amp;VLOOKUP(H257,'Pay Table'!$M$3:$N$18,2,FALSE)&amp;$BB$2&amp;I257&amp;$BD$2,"")</f>
        <v/>
      </c>
      <c r="BF255" s="27" t="str">
        <f>IFERROR($BC$2&amp;VLOOKUP(J257,'Pay Table'!$M$3:$N$18,2,FALSE)&amp;$BB$2&amp;K257&amp;$BD$2,"")</f>
        <v/>
      </c>
    </row>
    <row r="256" spans="54:58" ht="17.100000000000001" customHeight="1" x14ac:dyDescent="0.15">
      <c r="BB256" s="26" t="str">
        <f>IFERROR($BC$2&amp;VLOOKUP(B258,'Pay Table'!$M$3:$N$18,2,FALSE)&amp;$BB$2&amp;C258&amp;$BD$2,"")</f>
        <v/>
      </c>
      <c r="BC256" s="1" t="str">
        <f>IFERROR($BC$2&amp;VLOOKUP(D258,'Pay Table'!$M$3:$N$18,2,FALSE)&amp;$BB$2&amp;E258&amp;$BD$2,"")</f>
        <v/>
      </c>
      <c r="BD256" s="1" t="str">
        <f>IFERROR($BC$2&amp;VLOOKUP(F258,'Pay Table'!$M$3:$N$18,2,FALSE)&amp;$BB$2&amp;G258&amp;$BD$2,"")</f>
        <v/>
      </c>
      <c r="BE256" s="1" t="str">
        <f>IFERROR($BC$2&amp;VLOOKUP(H258,'Pay Table'!$M$3:$N$18,2,FALSE)&amp;$BB$2&amp;I258&amp;$BD$2,"")</f>
        <v/>
      </c>
      <c r="BF256" s="27" t="str">
        <f>IFERROR($BC$2&amp;VLOOKUP(J258,'Pay Table'!$M$3:$N$18,2,FALSE)&amp;$BB$2&amp;K258&amp;$BD$2,"")</f>
        <v/>
      </c>
    </row>
    <row r="257" spans="54:58" ht="17.100000000000001" customHeight="1" x14ac:dyDescent="0.15">
      <c r="BB257" s="26" t="str">
        <f>IFERROR($BC$2&amp;VLOOKUP(B259,'Pay Table'!$M$3:$N$18,2,FALSE)&amp;$BB$2&amp;C259&amp;$BD$2,"")</f>
        <v/>
      </c>
      <c r="BC257" s="1" t="str">
        <f>IFERROR($BC$2&amp;VLOOKUP(D259,'Pay Table'!$M$3:$N$18,2,FALSE)&amp;$BB$2&amp;E259&amp;$BD$2,"")</f>
        <v/>
      </c>
      <c r="BD257" s="1" t="str">
        <f>IFERROR($BC$2&amp;VLOOKUP(F259,'Pay Table'!$M$3:$N$18,2,FALSE)&amp;$BB$2&amp;G259&amp;$BD$2,"")</f>
        <v/>
      </c>
      <c r="BE257" s="1" t="str">
        <f>IFERROR($BC$2&amp;VLOOKUP(H259,'Pay Table'!$M$3:$N$18,2,FALSE)&amp;$BB$2&amp;I259&amp;$BD$2,"")</f>
        <v/>
      </c>
      <c r="BF257" s="27" t="str">
        <f>IFERROR($BC$2&amp;VLOOKUP(J259,'Pay Table'!$M$3:$N$18,2,FALSE)&amp;$BB$2&amp;K259&amp;$BD$2,"")</f>
        <v/>
      </c>
    </row>
    <row r="258" spans="54:58" ht="17.100000000000001" customHeight="1" x14ac:dyDescent="0.15">
      <c r="BB258" s="26" t="str">
        <f>IFERROR($BC$2&amp;VLOOKUP(B260,'Pay Table'!$M$3:$N$18,2,FALSE)&amp;$BB$2&amp;C260&amp;$BD$2,"")</f>
        <v/>
      </c>
      <c r="BC258" s="1" t="str">
        <f>IFERROR($BC$2&amp;VLOOKUP(D260,'Pay Table'!$M$3:$N$18,2,FALSE)&amp;$BB$2&amp;E260&amp;$BD$2,"")</f>
        <v/>
      </c>
      <c r="BD258" s="1" t="str">
        <f>IFERROR($BC$2&amp;VLOOKUP(F260,'Pay Table'!$M$3:$N$18,2,FALSE)&amp;$BB$2&amp;G260&amp;$BD$2,"")</f>
        <v/>
      </c>
      <c r="BE258" s="1" t="str">
        <f>IFERROR($BC$2&amp;VLOOKUP(H260,'Pay Table'!$M$3:$N$18,2,FALSE)&amp;$BB$2&amp;I260&amp;$BD$2,"")</f>
        <v/>
      </c>
      <c r="BF258" s="27" t="str">
        <f>IFERROR($BC$2&amp;VLOOKUP(J260,'Pay Table'!$M$3:$N$18,2,FALSE)&amp;$BB$2&amp;K260&amp;$BD$2,"")</f>
        <v/>
      </c>
    </row>
    <row r="259" spans="54:58" ht="17.100000000000001" customHeight="1" x14ac:dyDescent="0.15">
      <c r="BB259" s="26" t="str">
        <f>IFERROR($BC$2&amp;VLOOKUP(B261,'Pay Table'!$M$3:$N$18,2,FALSE)&amp;$BB$2&amp;C261&amp;$BD$2,"")</f>
        <v/>
      </c>
      <c r="BC259" s="1" t="str">
        <f>IFERROR($BC$2&amp;VLOOKUP(D261,'Pay Table'!$M$3:$N$18,2,FALSE)&amp;$BB$2&amp;E261&amp;$BD$2,"")</f>
        <v/>
      </c>
      <c r="BD259" s="1" t="str">
        <f>IFERROR($BC$2&amp;VLOOKUP(F261,'Pay Table'!$M$3:$N$18,2,FALSE)&amp;$BB$2&amp;G261&amp;$BD$2,"")</f>
        <v/>
      </c>
      <c r="BE259" s="1" t="str">
        <f>IFERROR($BC$2&amp;VLOOKUP(H261,'Pay Table'!$M$3:$N$18,2,FALSE)&amp;$BB$2&amp;I261&amp;$BD$2,"")</f>
        <v/>
      </c>
      <c r="BF259" s="27" t="str">
        <f>IFERROR($BC$2&amp;VLOOKUP(J261,'Pay Table'!$M$3:$N$18,2,FALSE)&amp;$BB$2&amp;K261&amp;$BD$2,"")</f>
        <v/>
      </c>
    </row>
    <row r="260" spans="54:58" ht="17.100000000000001" customHeight="1" x14ac:dyDescent="0.15">
      <c r="BB260" s="26" t="str">
        <f>IFERROR($BC$2&amp;VLOOKUP(B262,'Pay Table'!$M$3:$N$18,2,FALSE)&amp;$BB$2&amp;C262&amp;$BD$2,"")</f>
        <v/>
      </c>
      <c r="BC260" s="1" t="str">
        <f>IFERROR($BC$2&amp;VLOOKUP(D262,'Pay Table'!$M$3:$N$18,2,FALSE)&amp;$BB$2&amp;E262&amp;$BD$2,"")</f>
        <v/>
      </c>
      <c r="BD260" s="1" t="str">
        <f>IFERROR($BC$2&amp;VLOOKUP(F262,'Pay Table'!$M$3:$N$18,2,FALSE)&amp;$BB$2&amp;G262&amp;$BD$2,"")</f>
        <v/>
      </c>
      <c r="BE260" s="1" t="str">
        <f>IFERROR($BC$2&amp;VLOOKUP(H262,'Pay Table'!$M$3:$N$18,2,FALSE)&amp;$BB$2&amp;I262&amp;$BD$2,"")</f>
        <v/>
      </c>
      <c r="BF260" s="27" t="str">
        <f>IFERROR($BC$2&amp;VLOOKUP(J262,'Pay Table'!$M$3:$N$18,2,FALSE)&amp;$BB$2&amp;K262&amp;$BD$2,"")</f>
        <v/>
      </c>
    </row>
    <row r="261" spans="54:58" ht="17.100000000000001" customHeight="1" x14ac:dyDescent="0.15">
      <c r="BB261" s="26" t="str">
        <f>IFERROR($BC$2&amp;VLOOKUP(B263,'Pay Table'!$M$3:$N$18,2,FALSE)&amp;$BB$2&amp;C263&amp;$BD$2,"")</f>
        <v/>
      </c>
      <c r="BC261" s="1" t="str">
        <f>IFERROR($BC$2&amp;VLOOKUP(D263,'Pay Table'!$M$3:$N$18,2,FALSE)&amp;$BB$2&amp;E263&amp;$BD$2,"")</f>
        <v/>
      </c>
      <c r="BD261" s="1" t="str">
        <f>IFERROR($BC$2&amp;VLOOKUP(F263,'Pay Table'!$M$3:$N$18,2,FALSE)&amp;$BB$2&amp;G263&amp;$BD$2,"")</f>
        <v/>
      </c>
      <c r="BE261" s="1" t="str">
        <f>IFERROR($BC$2&amp;VLOOKUP(H263,'Pay Table'!$M$3:$N$18,2,FALSE)&amp;$BB$2&amp;I263&amp;$BD$2,"")</f>
        <v/>
      </c>
      <c r="BF261" s="27" t="str">
        <f>IFERROR($BC$2&amp;VLOOKUP(J263,'Pay Table'!$M$3:$N$18,2,FALSE)&amp;$BB$2&amp;K263&amp;$BD$2,"")</f>
        <v/>
      </c>
    </row>
    <row r="262" spans="54:58" ht="17.100000000000001" customHeight="1" x14ac:dyDescent="0.15">
      <c r="BB262" s="26" t="str">
        <f>IFERROR($BC$2&amp;VLOOKUP(B264,'Pay Table'!$M$3:$N$18,2,FALSE)&amp;$BB$2&amp;C264&amp;$BD$2,"")</f>
        <v/>
      </c>
      <c r="BC262" s="1" t="str">
        <f>IFERROR($BC$2&amp;VLOOKUP(D264,'Pay Table'!$M$3:$N$18,2,FALSE)&amp;$BB$2&amp;E264&amp;$BD$2,"")</f>
        <v/>
      </c>
      <c r="BD262" s="1" t="str">
        <f>IFERROR($BC$2&amp;VLOOKUP(F264,'Pay Table'!$M$3:$N$18,2,FALSE)&amp;$BB$2&amp;G264&amp;$BD$2,"")</f>
        <v/>
      </c>
      <c r="BE262" s="1" t="str">
        <f>IFERROR($BC$2&amp;VLOOKUP(H264,'Pay Table'!$M$3:$N$18,2,FALSE)&amp;$BB$2&amp;I264&amp;$BD$2,"")</f>
        <v/>
      </c>
      <c r="BF262" s="27" t="str">
        <f>IFERROR($BC$2&amp;VLOOKUP(J264,'Pay Table'!$M$3:$N$18,2,FALSE)&amp;$BB$2&amp;K264&amp;$BD$2,"")</f>
        <v/>
      </c>
    </row>
    <row r="263" spans="54:58" ht="17.100000000000001" customHeight="1" x14ac:dyDescent="0.15">
      <c r="BB263" s="26" t="str">
        <f>IFERROR($BC$2&amp;VLOOKUP(B265,'Pay Table'!$M$3:$N$18,2,FALSE)&amp;$BB$2&amp;C265&amp;$BD$2,"")</f>
        <v/>
      </c>
      <c r="BC263" s="1" t="str">
        <f>IFERROR($BC$2&amp;VLOOKUP(D265,'Pay Table'!$M$3:$N$18,2,FALSE)&amp;$BB$2&amp;E265&amp;$BD$2,"")</f>
        <v/>
      </c>
      <c r="BD263" s="1" t="str">
        <f>IFERROR($BC$2&amp;VLOOKUP(F265,'Pay Table'!$M$3:$N$18,2,FALSE)&amp;$BB$2&amp;G265&amp;$BD$2,"")</f>
        <v/>
      </c>
      <c r="BE263" s="1" t="str">
        <f>IFERROR($BC$2&amp;VLOOKUP(H265,'Pay Table'!$M$3:$N$18,2,FALSE)&amp;$BB$2&amp;I265&amp;$BD$2,"")</f>
        <v/>
      </c>
      <c r="BF263" s="27" t="str">
        <f>IFERROR($BC$2&amp;VLOOKUP(J265,'Pay Table'!$M$3:$N$18,2,FALSE)&amp;$BB$2&amp;K265&amp;$BD$2,"")</f>
        <v/>
      </c>
    </row>
    <row r="264" spans="54:58" ht="17.100000000000001" customHeight="1" x14ac:dyDescent="0.15">
      <c r="BB264" s="26" t="str">
        <f>IFERROR($BC$2&amp;VLOOKUP(B266,'Pay Table'!$M$3:$N$18,2,FALSE)&amp;$BB$2&amp;C266&amp;$BD$2,"")</f>
        <v/>
      </c>
      <c r="BC264" s="1" t="str">
        <f>IFERROR($BC$2&amp;VLOOKUP(D266,'Pay Table'!$M$3:$N$18,2,FALSE)&amp;$BB$2&amp;E266&amp;$BD$2,"")</f>
        <v/>
      </c>
      <c r="BD264" s="1" t="str">
        <f>IFERROR($BC$2&amp;VLOOKUP(F266,'Pay Table'!$M$3:$N$18,2,FALSE)&amp;$BB$2&amp;G266&amp;$BD$2,"")</f>
        <v/>
      </c>
      <c r="BE264" s="1" t="str">
        <f>IFERROR($BC$2&amp;VLOOKUP(H266,'Pay Table'!$M$3:$N$18,2,FALSE)&amp;$BB$2&amp;I266&amp;$BD$2,"")</f>
        <v/>
      </c>
      <c r="BF264" s="27" t="str">
        <f>IFERROR($BC$2&amp;VLOOKUP(J266,'Pay Table'!$M$3:$N$18,2,FALSE)&amp;$BB$2&amp;K266&amp;$BD$2,"")</f>
        <v/>
      </c>
    </row>
    <row r="265" spans="54:58" ht="17.100000000000001" customHeight="1" x14ac:dyDescent="0.15">
      <c r="BB265" s="26" t="str">
        <f>IFERROR($BC$2&amp;VLOOKUP(B267,'Pay Table'!$M$3:$N$18,2,FALSE)&amp;$BB$2&amp;C267&amp;$BD$2,"")</f>
        <v/>
      </c>
      <c r="BC265" s="1" t="str">
        <f>IFERROR($BC$2&amp;VLOOKUP(D267,'Pay Table'!$M$3:$N$18,2,FALSE)&amp;$BB$2&amp;E267&amp;$BD$2,"")</f>
        <v/>
      </c>
      <c r="BD265" s="1" t="str">
        <f>IFERROR($BC$2&amp;VLOOKUP(F267,'Pay Table'!$M$3:$N$18,2,FALSE)&amp;$BB$2&amp;G267&amp;$BD$2,"")</f>
        <v/>
      </c>
      <c r="BE265" s="1" t="str">
        <f>IFERROR($BC$2&amp;VLOOKUP(H267,'Pay Table'!$M$3:$N$18,2,FALSE)&amp;$BB$2&amp;I267&amp;$BD$2,"")</f>
        <v/>
      </c>
      <c r="BF265" s="27" t="str">
        <f>IFERROR($BC$2&amp;VLOOKUP(J267,'Pay Table'!$M$3:$N$18,2,FALSE)&amp;$BB$2&amp;K267&amp;$BD$2,"")</f>
        <v/>
      </c>
    </row>
    <row r="266" spans="54:58" ht="17.100000000000001" customHeight="1" x14ac:dyDescent="0.15">
      <c r="BB266" s="26" t="str">
        <f>IFERROR($BC$2&amp;VLOOKUP(B268,'Pay Table'!$M$3:$N$18,2,FALSE)&amp;$BB$2&amp;C268&amp;$BD$2,"")</f>
        <v/>
      </c>
      <c r="BC266" s="1" t="str">
        <f>IFERROR($BC$2&amp;VLOOKUP(D268,'Pay Table'!$M$3:$N$18,2,FALSE)&amp;$BB$2&amp;E268&amp;$BD$2,"")</f>
        <v/>
      </c>
      <c r="BD266" s="1" t="str">
        <f>IFERROR($BC$2&amp;VLOOKUP(F268,'Pay Table'!$M$3:$N$18,2,FALSE)&amp;$BB$2&amp;G268&amp;$BD$2,"")</f>
        <v/>
      </c>
      <c r="BE266" s="1" t="str">
        <f>IFERROR($BC$2&amp;VLOOKUP(H268,'Pay Table'!$M$3:$N$18,2,FALSE)&amp;$BB$2&amp;I268&amp;$BD$2,"")</f>
        <v/>
      </c>
      <c r="BF266" s="27" t="str">
        <f>IFERROR($BC$2&amp;VLOOKUP(J268,'Pay Table'!$M$3:$N$18,2,FALSE)&amp;$BB$2&amp;K268&amp;$BD$2,"")</f>
        <v/>
      </c>
    </row>
    <row r="267" spans="54:58" ht="17.100000000000001" customHeight="1" x14ac:dyDescent="0.15">
      <c r="BB267" s="26" t="str">
        <f>IFERROR($BC$2&amp;VLOOKUP(B269,'Pay Table'!$M$3:$N$18,2,FALSE)&amp;$BB$2&amp;C269&amp;$BD$2,"")</f>
        <v/>
      </c>
      <c r="BC267" s="1" t="str">
        <f>IFERROR($BC$2&amp;VLOOKUP(D269,'Pay Table'!$M$3:$N$18,2,FALSE)&amp;$BB$2&amp;E269&amp;$BD$2,"")</f>
        <v/>
      </c>
      <c r="BD267" s="1" t="str">
        <f>IFERROR($BC$2&amp;VLOOKUP(F269,'Pay Table'!$M$3:$N$18,2,FALSE)&amp;$BB$2&amp;G269&amp;$BD$2,"")</f>
        <v/>
      </c>
      <c r="BE267" s="1" t="str">
        <f>IFERROR($BC$2&amp;VLOOKUP(H269,'Pay Table'!$M$3:$N$18,2,FALSE)&amp;$BB$2&amp;I269&amp;$BD$2,"")</f>
        <v/>
      </c>
      <c r="BF267" s="27" t="str">
        <f>IFERROR($BC$2&amp;VLOOKUP(J269,'Pay Table'!$M$3:$N$18,2,FALSE)&amp;$BB$2&amp;K269&amp;$BD$2,"")</f>
        <v/>
      </c>
    </row>
    <row r="268" spans="54:58" ht="17.100000000000001" customHeight="1" x14ac:dyDescent="0.15">
      <c r="BB268" s="26" t="str">
        <f>IFERROR($BC$2&amp;VLOOKUP(B270,'Pay Table'!$M$3:$N$18,2,FALSE)&amp;$BB$2&amp;C270&amp;$BD$2,"")</f>
        <v/>
      </c>
      <c r="BC268" s="1" t="str">
        <f>IFERROR($BC$2&amp;VLOOKUP(D270,'Pay Table'!$M$3:$N$18,2,FALSE)&amp;$BB$2&amp;E270&amp;$BD$2,"")</f>
        <v/>
      </c>
      <c r="BD268" s="1" t="str">
        <f>IFERROR($BC$2&amp;VLOOKUP(F270,'Pay Table'!$M$3:$N$18,2,FALSE)&amp;$BB$2&amp;G270&amp;$BD$2,"")</f>
        <v/>
      </c>
      <c r="BE268" s="1" t="str">
        <f>IFERROR($BC$2&amp;VLOOKUP(H270,'Pay Table'!$M$3:$N$18,2,FALSE)&amp;$BB$2&amp;I270&amp;$BD$2,"")</f>
        <v/>
      </c>
      <c r="BF268" s="27" t="str">
        <f>IFERROR($BC$2&amp;VLOOKUP(J270,'Pay Table'!$M$3:$N$18,2,FALSE)&amp;$BB$2&amp;K270&amp;$BD$2,"")</f>
        <v/>
      </c>
    </row>
    <row r="269" spans="54:58" ht="17.100000000000001" customHeight="1" x14ac:dyDescent="0.15">
      <c r="BB269" s="26" t="str">
        <f>IFERROR($BC$2&amp;VLOOKUP(B271,'Pay Table'!$M$3:$N$18,2,FALSE)&amp;$BB$2&amp;C271&amp;$BD$2,"")</f>
        <v/>
      </c>
      <c r="BC269" s="1" t="str">
        <f>IFERROR($BC$2&amp;VLOOKUP(D271,'Pay Table'!$M$3:$N$18,2,FALSE)&amp;$BB$2&amp;E271&amp;$BD$2,"")</f>
        <v/>
      </c>
      <c r="BD269" s="1" t="str">
        <f>IFERROR($BC$2&amp;VLOOKUP(F271,'Pay Table'!$M$3:$N$18,2,FALSE)&amp;$BB$2&amp;G271&amp;$BD$2,"")</f>
        <v/>
      </c>
      <c r="BE269" s="1" t="str">
        <f>IFERROR($BC$2&amp;VLOOKUP(H271,'Pay Table'!$M$3:$N$18,2,FALSE)&amp;$BB$2&amp;I271&amp;$BD$2,"")</f>
        <v/>
      </c>
      <c r="BF269" s="27" t="str">
        <f>IFERROR($BC$2&amp;VLOOKUP(J271,'Pay Table'!$M$3:$N$18,2,FALSE)&amp;$BB$2&amp;K271&amp;$BD$2,"")</f>
        <v/>
      </c>
    </row>
    <row r="270" spans="54:58" ht="17.100000000000001" customHeight="1" x14ac:dyDescent="0.15">
      <c r="BB270" s="26" t="str">
        <f>IFERROR($BC$2&amp;VLOOKUP(B272,'Pay Table'!$M$3:$N$18,2,FALSE)&amp;$BB$2&amp;C272&amp;$BD$2,"")</f>
        <v/>
      </c>
      <c r="BC270" s="1" t="str">
        <f>IFERROR($BC$2&amp;VLOOKUP(D272,'Pay Table'!$M$3:$N$18,2,FALSE)&amp;$BB$2&amp;E272&amp;$BD$2,"")</f>
        <v/>
      </c>
      <c r="BD270" s="1" t="str">
        <f>IFERROR($BC$2&amp;VLOOKUP(F272,'Pay Table'!$M$3:$N$18,2,FALSE)&amp;$BB$2&amp;G272&amp;$BD$2,"")</f>
        <v/>
      </c>
      <c r="BE270" s="1" t="str">
        <f>IFERROR($BC$2&amp;VLOOKUP(H272,'Pay Table'!$M$3:$N$18,2,FALSE)&amp;$BB$2&amp;I272&amp;$BD$2,"")</f>
        <v/>
      </c>
      <c r="BF270" s="27" t="str">
        <f>IFERROR($BC$2&amp;VLOOKUP(J272,'Pay Table'!$M$3:$N$18,2,FALSE)&amp;$BB$2&amp;K272&amp;$BD$2,"")</f>
        <v/>
      </c>
    </row>
    <row r="271" spans="54:58" ht="17.100000000000001" customHeight="1" x14ac:dyDescent="0.15">
      <c r="BB271" s="26" t="str">
        <f>IFERROR($BC$2&amp;VLOOKUP(B273,'Pay Table'!$M$3:$N$18,2,FALSE)&amp;$BB$2&amp;C273&amp;$BD$2,"")</f>
        <v/>
      </c>
      <c r="BC271" s="1" t="str">
        <f>IFERROR($BC$2&amp;VLOOKUP(D273,'Pay Table'!$M$3:$N$18,2,FALSE)&amp;$BB$2&amp;E273&amp;$BD$2,"")</f>
        <v/>
      </c>
      <c r="BD271" s="1" t="str">
        <f>IFERROR($BC$2&amp;VLOOKUP(F273,'Pay Table'!$M$3:$N$18,2,FALSE)&amp;$BB$2&amp;G273&amp;$BD$2,"")</f>
        <v/>
      </c>
      <c r="BE271" s="1" t="str">
        <f>IFERROR($BC$2&amp;VLOOKUP(H273,'Pay Table'!$M$3:$N$18,2,FALSE)&amp;$BB$2&amp;I273&amp;$BD$2,"")</f>
        <v/>
      </c>
      <c r="BF271" s="27" t="str">
        <f>IFERROR($BC$2&amp;VLOOKUP(J273,'Pay Table'!$M$3:$N$18,2,FALSE)&amp;$BB$2&amp;K273&amp;$BD$2,"")</f>
        <v/>
      </c>
    </row>
    <row r="272" spans="54:58" ht="17.100000000000001" customHeight="1" x14ac:dyDescent="0.15">
      <c r="BB272" s="26" t="str">
        <f>IFERROR($BC$2&amp;VLOOKUP(B274,'Pay Table'!$M$3:$N$18,2,FALSE)&amp;$BB$2&amp;C274&amp;$BD$2,"")</f>
        <v/>
      </c>
      <c r="BC272" s="1" t="str">
        <f>IFERROR($BC$2&amp;VLOOKUP(D274,'Pay Table'!$M$3:$N$18,2,FALSE)&amp;$BB$2&amp;E274&amp;$BD$2,"")</f>
        <v/>
      </c>
      <c r="BD272" s="1" t="str">
        <f>IFERROR($BC$2&amp;VLOOKUP(F274,'Pay Table'!$M$3:$N$18,2,FALSE)&amp;$BB$2&amp;G274&amp;$BD$2,"")</f>
        <v/>
      </c>
      <c r="BE272" s="1" t="str">
        <f>IFERROR($BC$2&amp;VLOOKUP(H274,'Pay Table'!$M$3:$N$18,2,FALSE)&amp;$BB$2&amp;I274&amp;$BD$2,"")</f>
        <v/>
      </c>
      <c r="BF272" s="27" t="str">
        <f>IFERROR($BC$2&amp;VLOOKUP(J274,'Pay Table'!$M$3:$N$18,2,FALSE)&amp;$BB$2&amp;K274&amp;$BD$2,"")</f>
        <v/>
      </c>
    </row>
    <row r="273" spans="54:58" ht="17.100000000000001" customHeight="1" x14ac:dyDescent="0.15">
      <c r="BB273" s="26" t="str">
        <f>IFERROR($BC$2&amp;VLOOKUP(B275,'Pay Table'!$M$3:$N$18,2,FALSE)&amp;$BB$2&amp;C275&amp;$BD$2,"")</f>
        <v/>
      </c>
      <c r="BC273" s="1" t="str">
        <f>IFERROR($BC$2&amp;VLOOKUP(D275,'Pay Table'!$M$3:$N$18,2,FALSE)&amp;$BB$2&amp;E275&amp;$BD$2,"")</f>
        <v/>
      </c>
      <c r="BD273" s="1" t="str">
        <f>IFERROR($BC$2&amp;VLOOKUP(F275,'Pay Table'!$M$3:$N$18,2,FALSE)&amp;$BB$2&amp;G275&amp;$BD$2,"")</f>
        <v/>
      </c>
      <c r="BE273" s="1" t="str">
        <f>IFERROR($BC$2&amp;VLOOKUP(H275,'Pay Table'!$M$3:$N$18,2,FALSE)&amp;$BB$2&amp;I275&amp;$BD$2,"")</f>
        <v/>
      </c>
      <c r="BF273" s="27" t="str">
        <f>IFERROR($BC$2&amp;VLOOKUP(J275,'Pay Table'!$M$3:$N$18,2,FALSE)&amp;$BB$2&amp;K275&amp;$BD$2,"")</f>
        <v/>
      </c>
    </row>
    <row r="274" spans="54:58" ht="17.100000000000001" customHeight="1" x14ac:dyDescent="0.15">
      <c r="BB274" s="26" t="str">
        <f>IFERROR($BC$2&amp;VLOOKUP(B276,'Pay Table'!$M$3:$N$18,2,FALSE)&amp;$BB$2&amp;C276&amp;$BD$2,"")</f>
        <v/>
      </c>
      <c r="BC274" s="1" t="str">
        <f>IFERROR($BC$2&amp;VLOOKUP(D276,'Pay Table'!$M$3:$N$18,2,FALSE)&amp;$BB$2&amp;E276&amp;$BD$2,"")</f>
        <v/>
      </c>
      <c r="BD274" s="1" t="str">
        <f>IFERROR($BC$2&amp;VLOOKUP(F276,'Pay Table'!$M$3:$N$18,2,FALSE)&amp;$BB$2&amp;G276&amp;$BD$2,"")</f>
        <v/>
      </c>
      <c r="BE274" s="1" t="str">
        <f>IFERROR($BC$2&amp;VLOOKUP(H276,'Pay Table'!$M$3:$N$18,2,FALSE)&amp;$BB$2&amp;I276&amp;$BD$2,"")</f>
        <v/>
      </c>
      <c r="BF274" s="27" t="str">
        <f>IFERROR($BC$2&amp;VLOOKUP(J276,'Pay Table'!$M$3:$N$18,2,FALSE)&amp;$BB$2&amp;K276&amp;$BD$2,"")</f>
        <v/>
      </c>
    </row>
    <row r="275" spans="54:58" ht="17.100000000000001" customHeight="1" x14ac:dyDescent="0.15">
      <c r="BB275" s="26" t="str">
        <f>IFERROR($BC$2&amp;VLOOKUP(B277,'Pay Table'!$M$3:$N$18,2,FALSE)&amp;$BB$2&amp;C277&amp;$BD$2,"")</f>
        <v/>
      </c>
      <c r="BC275" s="1" t="str">
        <f>IFERROR($BC$2&amp;VLOOKUP(D277,'Pay Table'!$M$3:$N$18,2,FALSE)&amp;$BB$2&amp;E277&amp;$BD$2,"")</f>
        <v/>
      </c>
      <c r="BD275" s="1" t="str">
        <f>IFERROR($BC$2&amp;VLOOKUP(F277,'Pay Table'!$M$3:$N$18,2,FALSE)&amp;$BB$2&amp;G277&amp;$BD$2,"")</f>
        <v/>
      </c>
      <c r="BE275" s="1" t="str">
        <f>IFERROR($BC$2&amp;VLOOKUP(H277,'Pay Table'!$M$3:$N$18,2,FALSE)&amp;$BB$2&amp;I277&amp;$BD$2,"")</f>
        <v/>
      </c>
      <c r="BF275" s="27" t="str">
        <f>IFERROR($BC$2&amp;VLOOKUP(J277,'Pay Table'!$M$3:$N$18,2,FALSE)&amp;$BB$2&amp;K277&amp;$BD$2,"")</f>
        <v/>
      </c>
    </row>
    <row r="276" spans="54:58" ht="17.100000000000001" customHeight="1" x14ac:dyDescent="0.15">
      <c r="BB276" s="26" t="str">
        <f>IFERROR($BC$2&amp;VLOOKUP(B278,'Pay Table'!$M$3:$N$18,2,FALSE)&amp;$BB$2&amp;C278&amp;$BD$2,"")</f>
        <v/>
      </c>
      <c r="BC276" s="1" t="str">
        <f>IFERROR($BC$2&amp;VLOOKUP(D278,'Pay Table'!$M$3:$N$18,2,FALSE)&amp;$BB$2&amp;E278&amp;$BD$2,"")</f>
        <v/>
      </c>
      <c r="BD276" s="1" t="str">
        <f>IFERROR($BC$2&amp;VLOOKUP(F278,'Pay Table'!$M$3:$N$18,2,FALSE)&amp;$BB$2&amp;G278&amp;$BD$2,"")</f>
        <v/>
      </c>
      <c r="BE276" s="1" t="str">
        <f>IFERROR($BC$2&amp;VLOOKUP(H278,'Pay Table'!$M$3:$N$18,2,FALSE)&amp;$BB$2&amp;I278&amp;$BD$2,"")</f>
        <v/>
      </c>
      <c r="BF276" s="27" t="str">
        <f>IFERROR($BC$2&amp;VLOOKUP(J278,'Pay Table'!$M$3:$N$18,2,FALSE)&amp;$BB$2&amp;K278&amp;$BD$2,"")</f>
        <v/>
      </c>
    </row>
    <row r="277" spans="54:58" ht="17.100000000000001" customHeight="1" x14ac:dyDescent="0.15">
      <c r="BB277" s="26" t="str">
        <f>IFERROR($BC$2&amp;VLOOKUP(B279,'Pay Table'!$M$3:$N$18,2,FALSE)&amp;$BB$2&amp;C279&amp;$BD$2,"")</f>
        <v/>
      </c>
      <c r="BC277" s="1" t="str">
        <f>IFERROR($BC$2&amp;VLOOKUP(D279,'Pay Table'!$M$3:$N$18,2,FALSE)&amp;$BB$2&amp;E279&amp;$BD$2,"")</f>
        <v/>
      </c>
      <c r="BD277" s="1" t="str">
        <f>IFERROR($BC$2&amp;VLOOKUP(F279,'Pay Table'!$M$3:$N$18,2,FALSE)&amp;$BB$2&amp;G279&amp;$BD$2,"")</f>
        <v/>
      </c>
      <c r="BE277" s="1" t="str">
        <f>IFERROR($BC$2&amp;VLOOKUP(H279,'Pay Table'!$M$3:$N$18,2,FALSE)&amp;$BB$2&amp;I279&amp;$BD$2,"")</f>
        <v/>
      </c>
      <c r="BF277" s="27" t="str">
        <f>IFERROR($BC$2&amp;VLOOKUP(J279,'Pay Table'!$M$3:$N$18,2,FALSE)&amp;$BB$2&amp;K279&amp;$BD$2,"")</f>
        <v/>
      </c>
    </row>
    <row r="278" spans="54:58" ht="17.100000000000001" customHeight="1" x14ac:dyDescent="0.15">
      <c r="BB278" s="26" t="str">
        <f>IFERROR($BC$2&amp;VLOOKUP(B280,'Pay Table'!$M$3:$N$18,2,FALSE)&amp;$BB$2&amp;C280&amp;$BD$2,"")</f>
        <v/>
      </c>
      <c r="BC278" s="1" t="str">
        <f>IFERROR($BC$2&amp;VLOOKUP(D280,'Pay Table'!$M$3:$N$18,2,FALSE)&amp;$BB$2&amp;E280&amp;$BD$2,"")</f>
        <v/>
      </c>
      <c r="BD278" s="1" t="str">
        <f>IFERROR($BC$2&amp;VLOOKUP(F280,'Pay Table'!$M$3:$N$18,2,FALSE)&amp;$BB$2&amp;G280&amp;$BD$2,"")</f>
        <v/>
      </c>
      <c r="BE278" s="1" t="str">
        <f>IFERROR($BC$2&amp;VLOOKUP(H280,'Pay Table'!$M$3:$N$18,2,FALSE)&amp;$BB$2&amp;I280&amp;$BD$2,"")</f>
        <v/>
      </c>
      <c r="BF278" s="27" t="str">
        <f>IFERROR($BC$2&amp;VLOOKUP(J280,'Pay Table'!$M$3:$N$18,2,FALSE)&amp;$BB$2&amp;K280&amp;$BD$2,"")</f>
        <v/>
      </c>
    </row>
    <row r="279" spans="54:58" ht="17.100000000000001" customHeight="1" x14ac:dyDescent="0.15">
      <c r="BB279" s="26" t="str">
        <f>IFERROR($BC$2&amp;VLOOKUP(B281,'Pay Table'!$M$3:$N$18,2,FALSE)&amp;$BB$2&amp;C281&amp;$BD$2,"")</f>
        <v/>
      </c>
      <c r="BC279" s="1" t="str">
        <f>IFERROR($BC$2&amp;VLOOKUP(D281,'Pay Table'!$M$3:$N$18,2,FALSE)&amp;$BB$2&amp;E281&amp;$BD$2,"")</f>
        <v/>
      </c>
      <c r="BD279" s="1" t="str">
        <f>IFERROR($BC$2&amp;VLOOKUP(F281,'Pay Table'!$M$3:$N$18,2,FALSE)&amp;$BB$2&amp;G281&amp;$BD$2,"")</f>
        <v/>
      </c>
      <c r="BE279" s="1" t="str">
        <f>IFERROR($BC$2&amp;VLOOKUP(H281,'Pay Table'!$M$3:$N$18,2,FALSE)&amp;$BB$2&amp;I281&amp;$BD$2,"")</f>
        <v/>
      </c>
      <c r="BF279" s="27" t="str">
        <f>IFERROR($BC$2&amp;VLOOKUP(J281,'Pay Table'!$M$3:$N$18,2,FALSE)&amp;$BB$2&amp;K281&amp;$BD$2,"")</f>
        <v/>
      </c>
    </row>
    <row r="280" spans="54:58" ht="17.100000000000001" customHeight="1" x14ac:dyDescent="0.15">
      <c r="BB280" s="26" t="str">
        <f>IFERROR($BC$2&amp;VLOOKUP(B282,'Pay Table'!$M$3:$N$18,2,FALSE)&amp;$BB$2&amp;C282&amp;$BD$2,"")</f>
        <v/>
      </c>
      <c r="BC280" s="1" t="str">
        <f>IFERROR($BC$2&amp;VLOOKUP(D282,'Pay Table'!$M$3:$N$18,2,FALSE)&amp;$BB$2&amp;E282&amp;$BD$2,"")</f>
        <v/>
      </c>
      <c r="BD280" s="1" t="str">
        <f>IFERROR($BC$2&amp;VLOOKUP(F282,'Pay Table'!$M$3:$N$18,2,FALSE)&amp;$BB$2&amp;G282&amp;$BD$2,"")</f>
        <v/>
      </c>
      <c r="BE280" s="1" t="str">
        <f>IFERROR($BC$2&amp;VLOOKUP(H282,'Pay Table'!$M$3:$N$18,2,FALSE)&amp;$BB$2&amp;I282&amp;$BD$2,"")</f>
        <v/>
      </c>
      <c r="BF280" s="27" t="str">
        <f>IFERROR($BC$2&amp;VLOOKUP(J282,'Pay Table'!$M$3:$N$18,2,FALSE)&amp;$BB$2&amp;K282&amp;$BD$2,"")</f>
        <v/>
      </c>
    </row>
    <row r="281" spans="54:58" ht="17.100000000000001" customHeight="1" x14ac:dyDescent="0.15">
      <c r="BB281" s="26" t="str">
        <f>IFERROR($BC$2&amp;VLOOKUP(B283,'Pay Table'!$M$3:$N$18,2,FALSE)&amp;$BB$2&amp;C283&amp;$BD$2,"")</f>
        <v/>
      </c>
      <c r="BC281" s="1" t="str">
        <f>IFERROR($BC$2&amp;VLOOKUP(D283,'Pay Table'!$M$3:$N$18,2,FALSE)&amp;$BB$2&amp;E283&amp;$BD$2,"")</f>
        <v/>
      </c>
      <c r="BD281" s="1" t="str">
        <f>IFERROR($BC$2&amp;VLOOKUP(F283,'Pay Table'!$M$3:$N$18,2,FALSE)&amp;$BB$2&amp;G283&amp;$BD$2,"")</f>
        <v/>
      </c>
      <c r="BE281" s="1" t="str">
        <f>IFERROR($BC$2&amp;VLOOKUP(H283,'Pay Table'!$M$3:$N$18,2,FALSE)&amp;$BB$2&amp;I283&amp;$BD$2,"")</f>
        <v/>
      </c>
      <c r="BF281" s="27" t="str">
        <f>IFERROR($BC$2&amp;VLOOKUP(J283,'Pay Table'!$M$3:$N$18,2,FALSE)&amp;$BB$2&amp;K283&amp;$BD$2,"")</f>
        <v/>
      </c>
    </row>
    <row r="282" spans="54:58" ht="17.100000000000001" customHeight="1" x14ac:dyDescent="0.15">
      <c r="BB282" s="26" t="str">
        <f>IFERROR($BC$2&amp;VLOOKUP(B284,'Pay Table'!$M$3:$N$18,2,FALSE)&amp;$BB$2&amp;C284&amp;$BD$2,"")</f>
        <v/>
      </c>
      <c r="BC282" s="1" t="str">
        <f>IFERROR($BC$2&amp;VLOOKUP(D284,'Pay Table'!$M$3:$N$18,2,FALSE)&amp;$BB$2&amp;E284&amp;$BD$2,"")</f>
        <v/>
      </c>
      <c r="BD282" s="1" t="str">
        <f>IFERROR($BC$2&amp;VLOOKUP(F284,'Pay Table'!$M$3:$N$18,2,FALSE)&amp;$BB$2&amp;G284&amp;$BD$2,"")</f>
        <v/>
      </c>
      <c r="BE282" s="1" t="str">
        <f>IFERROR($BC$2&amp;VLOOKUP(H284,'Pay Table'!$M$3:$N$18,2,FALSE)&amp;$BB$2&amp;I284&amp;$BD$2,"")</f>
        <v/>
      </c>
      <c r="BF282" s="27" t="str">
        <f>IFERROR($BC$2&amp;VLOOKUP(J284,'Pay Table'!$M$3:$N$18,2,FALSE)&amp;$BB$2&amp;K284&amp;$BD$2,"")</f>
        <v/>
      </c>
    </row>
    <row r="283" spans="54:58" ht="17.100000000000001" customHeight="1" x14ac:dyDescent="0.15">
      <c r="BB283" s="26" t="str">
        <f>IFERROR($BC$2&amp;VLOOKUP(B285,'Pay Table'!$M$3:$N$18,2,FALSE)&amp;$BB$2&amp;C285&amp;$BD$2,"")</f>
        <v/>
      </c>
      <c r="BC283" s="1" t="str">
        <f>IFERROR($BC$2&amp;VLOOKUP(D285,'Pay Table'!$M$3:$N$18,2,FALSE)&amp;$BB$2&amp;E285&amp;$BD$2,"")</f>
        <v/>
      </c>
      <c r="BD283" s="1" t="str">
        <f>IFERROR($BC$2&amp;VLOOKUP(F285,'Pay Table'!$M$3:$N$18,2,FALSE)&amp;$BB$2&amp;G285&amp;$BD$2,"")</f>
        <v/>
      </c>
      <c r="BE283" s="1" t="str">
        <f>IFERROR($BC$2&amp;VLOOKUP(H285,'Pay Table'!$M$3:$N$18,2,FALSE)&amp;$BB$2&amp;I285&amp;$BD$2,"")</f>
        <v/>
      </c>
      <c r="BF283" s="27" t="str">
        <f>IFERROR($BC$2&amp;VLOOKUP(J285,'Pay Table'!$M$3:$N$18,2,FALSE)&amp;$BB$2&amp;K285&amp;$BD$2,"")</f>
        <v/>
      </c>
    </row>
    <row r="284" spans="54:58" ht="17.100000000000001" customHeight="1" x14ac:dyDescent="0.15">
      <c r="BB284" s="26" t="str">
        <f>IFERROR($BC$2&amp;VLOOKUP(B286,'Pay Table'!$M$3:$N$18,2,FALSE)&amp;$BB$2&amp;C286&amp;$BD$2,"")</f>
        <v/>
      </c>
      <c r="BC284" s="1" t="str">
        <f>IFERROR($BC$2&amp;VLOOKUP(D286,'Pay Table'!$M$3:$N$18,2,FALSE)&amp;$BB$2&amp;E286&amp;$BD$2,"")</f>
        <v/>
      </c>
      <c r="BD284" s="1" t="str">
        <f>IFERROR($BC$2&amp;VLOOKUP(F286,'Pay Table'!$M$3:$N$18,2,FALSE)&amp;$BB$2&amp;G286&amp;$BD$2,"")</f>
        <v/>
      </c>
      <c r="BE284" s="1" t="str">
        <f>IFERROR($BC$2&amp;VLOOKUP(H286,'Pay Table'!$M$3:$N$18,2,FALSE)&amp;$BB$2&amp;I286&amp;$BD$2,"")</f>
        <v/>
      </c>
      <c r="BF284" s="27" t="str">
        <f>IFERROR($BC$2&amp;VLOOKUP(J286,'Pay Table'!$M$3:$N$18,2,FALSE)&amp;$BB$2&amp;K286&amp;$BD$2,"")</f>
        <v/>
      </c>
    </row>
    <row r="285" spans="54:58" ht="17.100000000000001" customHeight="1" x14ac:dyDescent="0.15">
      <c r="BB285" s="26" t="str">
        <f>IFERROR($BC$2&amp;VLOOKUP(B287,'Pay Table'!$M$3:$N$18,2,FALSE)&amp;$BB$2&amp;C287&amp;$BD$2,"")</f>
        <v/>
      </c>
      <c r="BC285" s="1" t="str">
        <f>IFERROR($BC$2&amp;VLOOKUP(D287,'Pay Table'!$M$3:$N$18,2,FALSE)&amp;$BB$2&amp;E287&amp;$BD$2,"")</f>
        <v/>
      </c>
      <c r="BD285" s="1" t="str">
        <f>IFERROR($BC$2&amp;VLOOKUP(F287,'Pay Table'!$M$3:$N$18,2,FALSE)&amp;$BB$2&amp;G287&amp;$BD$2,"")</f>
        <v/>
      </c>
      <c r="BE285" s="1" t="str">
        <f>IFERROR($BC$2&amp;VLOOKUP(H287,'Pay Table'!$M$3:$N$18,2,FALSE)&amp;$BB$2&amp;I287&amp;$BD$2,"")</f>
        <v/>
      </c>
      <c r="BF285" s="27" t="str">
        <f>IFERROR($BC$2&amp;VLOOKUP(J287,'Pay Table'!$M$3:$N$18,2,FALSE)&amp;$BB$2&amp;K287&amp;$BD$2,"")</f>
        <v/>
      </c>
    </row>
    <row r="286" spans="54:58" ht="17.100000000000001" customHeight="1" x14ac:dyDescent="0.15">
      <c r="BB286" s="26" t="str">
        <f>IFERROR($BC$2&amp;VLOOKUP(B288,'Pay Table'!$M$3:$N$18,2,FALSE)&amp;$BB$2&amp;C288&amp;$BD$2,"")</f>
        <v/>
      </c>
      <c r="BC286" s="1" t="str">
        <f>IFERROR($BC$2&amp;VLOOKUP(D288,'Pay Table'!$M$3:$N$18,2,FALSE)&amp;$BB$2&amp;E288&amp;$BD$2,"")</f>
        <v/>
      </c>
      <c r="BD286" s="1" t="str">
        <f>IFERROR($BC$2&amp;VLOOKUP(F288,'Pay Table'!$M$3:$N$18,2,FALSE)&amp;$BB$2&amp;G288&amp;$BD$2,"")</f>
        <v/>
      </c>
      <c r="BE286" s="1" t="str">
        <f>IFERROR($BC$2&amp;VLOOKUP(H288,'Pay Table'!$M$3:$N$18,2,FALSE)&amp;$BB$2&amp;I288&amp;$BD$2,"")</f>
        <v/>
      </c>
      <c r="BF286" s="27" t="str">
        <f>IFERROR($BC$2&amp;VLOOKUP(J288,'Pay Table'!$M$3:$N$18,2,FALSE)&amp;$BB$2&amp;K288&amp;$BD$2,"")</f>
        <v/>
      </c>
    </row>
    <row r="287" spans="54:58" ht="17.100000000000001" customHeight="1" x14ac:dyDescent="0.15">
      <c r="BB287" s="26" t="str">
        <f>IFERROR($BC$2&amp;VLOOKUP(B289,'Pay Table'!$M$3:$N$18,2,FALSE)&amp;$BB$2&amp;C289&amp;$BD$2,"")</f>
        <v/>
      </c>
      <c r="BC287" s="1" t="str">
        <f>IFERROR($BC$2&amp;VLOOKUP(D289,'Pay Table'!$M$3:$N$18,2,FALSE)&amp;$BB$2&amp;E289&amp;$BD$2,"")</f>
        <v/>
      </c>
      <c r="BD287" s="1" t="str">
        <f>IFERROR($BC$2&amp;VLOOKUP(F289,'Pay Table'!$M$3:$N$18,2,FALSE)&amp;$BB$2&amp;G289&amp;$BD$2,"")</f>
        <v/>
      </c>
      <c r="BE287" s="1" t="str">
        <f>IFERROR($BC$2&amp;VLOOKUP(H289,'Pay Table'!$M$3:$N$18,2,FALSE)&amp;$BB$2&amp;I289&amp;$BD$2,"")</f>
        <v/>
      </c>
      <c r="BF287" s="27" t="str">
        <f>IFERROR($BC$2&amp;VLOOKUP(J289,'Pay Table'!$M$3:$N$18,2,FALSE)&amp;$BB$2&amp;K289&amp;$BD$2,"")</f>
        <v/>
      </c>
    </row>
    <row r="288" spans="54:58" ht="17.100000000000001" customHeight="1" x14ac:dyDescent="0.15">
      <c r="BB288" s="26" t="str">
        <f>IFERROR($BC$2&amp;VLOOKUP(B290,'Pay Table'!$M$3:$N$18,2,FALSE)&amp;$BB$2&amp;C290&amp;$BD$2,"")</f>
        <v/>
      </c>
      <c r="BC288" s="1" t="str">
        <f>IFERROR($BC$2&amp;VLOOKUP(D290,'Pay Table'!$M$3:$N$18,2,FALSE)&amp;$BB$2&amp;E290&amp;$BD$2,"")</f>
        <v/>
      </c>
      <c r="BD288" s="1" t="str">
        <f>IFERROR($BC$2&amp;VLOOKUP(F290,'Pay Table'!$M$3:$N$18,2,FALSE)&amp;$BB$2&amp;G290&amp;$BD$2,"")</f>
        <v/>
      </c>
      <c r="BE288" s="1" t="str">
        <f>IFERROR($BC$2&amp;VLOOKUP(H290,'Pay Table'!$M$3:$N$18,2,FALSE)&amp;$BB$2&amp;I290&amp;$BD$2,"")</f>
        <v/>
      </c>
      <c r="BF288" s="27" t="str">
        <f>IFERROR($BC$2&amp;VLOOKUP(J290,'Pay Table'!$M$3:$N$18,2,FALSE)&amp;$BB$2&amp;K290&amp;$BD$2,"")</f>
        <v/>
      </c>
    </row>
    <row r="289" spans="54:58" x14ac:dyDescent="0.15">
      <c r="BB289" s="26" t="str">
        <f>IFERROR($BC$2&amp;VLOOKUP(B291,'Pay Table'!$M$3:$N$18,2,FALSE)&amp;$BB$2&amp;C291&amp;$BD$2,"")</f>
        <v/>
      </c>
      <c r="BC289" s="1" t="str">
        <f>IFERROR($BC$2&amp;VLOOKUP(D291,'Pay Table'!$M$3:$N$18,2,FALSE)&amp;$BB$2&amp;E291&amp;$BD$2,"")</f>
        <v/>
      </c>
      <c r="BD289" s="1" t="str">
        <f>IFERROR($BC$2&amp;VLOOKUP(F291,'Pay Table'!$M$3:$N$18,2,FALSE)&amp;$BB$2&amp;G291&amp;$BD$2,"")</f>
        <v/>
      </c>
      <c r="BE289" s="1" t="str">
        <f>IFERROR($BC$2&amp;VLOOKUP(H291,'Pay Table'!$M$3:$N$18,2,FALSE)&amp;$BB$2&amp;I291&amp;$BD$2,"")</f>
        <v/>
      </c>
      <c r="BF289" s="27" t="str">
        <f>IFERROR($BC$2&amp;VLOOKUP(J291,'Pay Table'!$M$3:$N$18,2,FALSE)&amp;$BB$2&amp;K291&amp;$BD$2,"")</f>
        <v/>
      </c>
    </row>
    <row r="290" spans="54:58" x14ac:dyDescent="0.15">
      <c r="BB290" s="26" t="str">
        <f>IFERROR($BC$2&amp;VLOOKUP(B292,'Pay Table'!$M$3:$N$18,2,FALSE)&amp;$BB$2&amp;C292&amp;$BD$2,"")</f>
        <v/>
      </c>
      <c r="BC290" s="1" t="str">
        <f>IFERROR($BC$2&amp;VLOOKUP(D292,'Pay Table'!$M$3:$N$18,2,FALSE)&amp;$BB$2&amp;E292&amp;$BD$2,"")</f>
        <v/>
      </c>
      <c r="BD290" s="1" t="str">
        <f>IFERROR($BC$2&amp;VLOOKUP(F292,'Pay Table'!$M$3:$N$18,2,FALSE)&amp;$BB$2&amp;G292&amp;$BD$2,"")</f>
        <v/>
      </c>
      <c r="BE290" s="1" t="str">
        <f>IFERROR($BC$2&amp;VLOOKUP(H292,'Pay Table'!$M$3:$N$18,2,FALSE)&amp;$BB$2&amp;I292&amp;$BD$2,"")</f>
        <v/>
      </c>
      <c r="BF290" s="27" t="str">
        <f>IFERROR($BC$2&amp;VLOOKUP(J292,'Pay Table'!$M$3:$N$18,2,FALSE)&amp;$BB$2&amp;K292&amp;$BD$2,"")</f>
        <v/>
      </c>
    </row>
    <row r="291" spans="54:58" x14ac:dyDescent="0.15">
      <c r="BB291" s="26" t="str">
        <f>IFERROR($BC$2&amp;VLOOKUP(B293,'Pay Table'!$M$3:$N$18,2,FALSE)&amp;$BB$2&amp;C293&amp;$BD$2,"")</f>
        <v/>
      </c>
      <c r="BC291" s="1" t="str">
        <f>IFERROR($BC$2&amp;VLOOKUP(D293,'Pay Table'!$M$3:$N$18,2,FALSE)&amp;$BB$2&amp;E293&amp;$BD$2,"")</f>
        <v/>
      </c>
      <c r="BD291" s="1" t="str">
        <f>IFERROR($BC$2&amp;VLOOKUP(F293,'Pay Table'!$M$3:$N$18,2,FALSE)&amp;$BB$2&amp;G293&amp;$BD$2,"")</f>
        <v/>
      </c>
      <c r="BE291" s="1" t="str">
        <f>IFERROR($BC$2&amp;VLOOKUP(H293,'Pay Table'!$M$3:$N$18,2,FALSE)&amp;$BB$2&amp;I293&amp;$BD$2,"")</f>
        <v/>
      </c>
      <c r="BF291" s="27" t="str">
        <f>IFERROR($BC$2&amp;VLOOKUP(J293,'Pay Table'!$M$3:$N$18,2,FALSE)&amp;$BB$2&amp;K293&amp;$BD$2,"")</f>
        <v/>
      </c>
    </row>
    <row r="292" spans="54:58" x14ac:dyDescent="0.15">
      <c r="BB292" s="26" t="str">
        <f>IFERROR($BC$2&amp;VLOOKUP(B294,'Pay Table'!$M$3:$N$18,2,FALSE)&amp;$BB$2&amp;C294&amp;$BD$2,"")</f>
        <v/>
      </c>
      <c r="BC292" s="1" t="str">
        <f>IFERROR($BC$2&amp;VLOOKUP(D294,'Pay Table'!$M$3:$N$18,2,FALSE)&amp;$BB$2&amp;E294&amp;$BD$2,"")</f>
        <v/>
      </c>
      <c r="BD292" s="1" t="str">
        <f>IFERROR($BC$2&amp;VLOOKUP(F294,'Pay Table'!$M$3:$N$18,2,FALSE)&amp;$BB$2&amp;G294&amp;$BD$2,"")</f>
        <v/>
      </c>
      <c r="BE292" s="1" t="str">
        <f>IFERROR($BC$2&amp;VLOOKUP(H294,'Pay Table'!$M$3:$N$18,2,FALSE)&amp;$BB$2&amp;I294&amp;$BD$2,"")</f>
        <v/>
      </c>
      <c r="BF292" s="27" t="str">
        <f>IFERROR($BC$2&amp;VLOOKUP(J294,'Pay Table'!$M$3:$N$18,2,FALSE)&amp;$BB$2&amp;K294&amp;$BD$2,"")</f>
        <v/>
      </c>
    </row>
    <row r="293" spans="54:58" x14ac:dyDescent="0.15">
      <c r="BB293" s="26" t="str">
        <f>IFERROR($BC$2&amp;VLOOKUP(B295,'Pay Table'!$M$3:$N$18,2,FALSE)&amp;$BB$2&amp;C295&amp;$BD$2,"")</f>
        <v/>
      </c>
      <c r="BC293" s="1" t="str">
        <f>IFERROR($BC$2&amp;VLOOKUP(D295,'Pay Table'!$M$3:$N$18,2,FALSE)&amp;$BB$2&amp;E295&amp;$BD$2,"")</f>
        <v/>
      </c>
      <c r="BD293" s="1" t="str">
        <f>IFERROR($BC$2&amp;VLOOKUP(F295,'Pay Table'!$M$3:$N$18,2,FALSE)&amp;$BB$2&amp;G295&amp;$BD$2,"")</f>
        <v/>
      </c>
      <c r="BE293" s="1" t="str">
        <f>IFERROR($BC$2&amp;VLOOKUP(H295,'Pay Table'!$M$3:$N$18,2,FALSE)&amp;$BB$2&amp;I295&amp;$BD$2,"")</f>
        <v/>
      </c>
      <c r="BF293" s="27" t="str">
        <f>IFERROR($BC$2&amp;VLOOKUP(J295,'Pay Table'!$M$3:$N$18,2,FALSE)&amp;$BB$2&amp;K295&amp;$BD$2,"")</f>
        <v/>
      </c>
    </row>
    <row r="294" spans="54:58" x14ac:dyDescent="0.15">
      <c r="BB294" s="26" t="str">
        <f>IFERROR($BC$2&amp;VLOOKUP(B296,'Pay Table'!$M$3:$N$18,2,FALSE)&amp;$BB$2&amp;C296&amp;$BD$2,"")</f>
        <v/>
      </c>
      <c r="BC294" s="1" t="str">
        <f>IFERROR($BC$2&amp;VLOOKUP(D296,'Pay Table'!$M$3:$N$18,2,FALSE)&amp;$BB$2&amp;E296&amp;$BD$2,"")</f>
        <v/>
      </c>
      <c r="BD294" s="1" t="str">
        <f>IFERROR($BC$2&amp;VLOOKUP(F296,'Pay Table'!$M$3:$N$18,2,FALSE)&amp;$BB$2&amp;G296&amp;$BD$2,"")</f>
        <v/>
      </c>
      <c r="BE294" s="1" t="str">
        <f>IFERROR($BC$2&amp;VLOOKUP(H296,'Pay Table'!$M$3:$N$18,2,FALSE)&amp;$BB$2&amp;I296&amp;$BD$2,"")</f>
        <v/>
      </c>
      <c r="BF294" s="27" t="str">
        <f>IFERROR($BC$2&amp;VLOOKUP(J296,'Pay Table'!$M$3:$N$18,2,FALSE)&amp;$BB$2&amp;K296&amp;$BD$2,"")</f>
        <v/>
      </c>
    </row>
    <row r="295" spans="54:58" x14ac:dyDescent="0.15">
      <c r="BB295" s="26" t="str">
        <f>IFERROR($BC$2&amp;VLOOKUP(B297,'Pay Table'!$M$3:$N$18,2,FALSE)&amp;$BB$2&amp;C297&amp;$BD$2,"")</f>
        <v/>
      </c>
      <c r="BC295" s="1" t="str">
        <f>IFERROR($BC$2&amp;VLOOKUP(D297,'Pay Table'!$M$3:$N$18,2,FALSE)&amp;$BB$2&amp;E297&amp;$BD$2,"")</f>
        <v/>
      </c>
      <c r="BD295" s="1" t="str">
        <f>IFERROR($BC$2&amp;VLOOKUP(F297,'Pay Table'!$M$3:$N$18,2,FALSE)&amp;$BB$2&amp;G297&amp;$BD$2,"")</f>
        <v/>
      </c>
      <c r="BE295" s="1" t="str">
        <f>IFERROR($BC$2&amp;VLOOKUP(H297,'Pay Table'!$M$3:$N$18,2,FALSE)&amp;$BB$2&amp;I297&amp;$BD$2,"")</f>
        <v/>
      </c>
      <c r="BF295" s="27" t="str">
        <f>IFERROR($BC$2&amp;VLOOKUP(J297,'Pay Table'!$M$3:$N$18,2,FALSE)&amp;$BB$2&amp;K297&amp;$BD$2,"")</f>
        <v/>
      </c>
    </row>
    <row r="296" spans="54:58" x14ac:dyDescent="0.15">
      <c r="BB296" s="26" t="str">
        <f>IFERROR($BC$2&amp;VLOOKUP(B298,'Pay Table'!$M$3:$N$18,2,FALSE)&amp;$BB$2&amp;C298&amp;$BD$2,"")</f>
        <v/>
      </c>
      <c r="BC296" s="1" t="str">
        <f>IFERROR($BC$2&amp;VLOOKUP(D298,'Pay Table'!$M$3:$N$18,2,FALSE)&amp;$BB$2&amp;E298&amp;$BD$2,"")</f>
        <v/>
      </c>
      <c r="BD296" s="1" t="str">
        <f>IFERROR($BC$2&amp;VLOOKUP(F298,'Pay Table'!$M$3:$N$18,2,FALSE)&amp;$BB$2&amp;G298&amp;$BD$2,"")</f>
        <v/>
      </c>
      <c r="BE296" s="1" t="str">
        <f>IFERROR($BC$2&amp;VLOOKUP(H298,'Pay Table'!$M$3:$N$18,2,FALSE)&amp;$BB$2&amp;I298&amp;$BD$2,"")</f>
        <v/>
      </c>
      <c r="BF296" s="27" t="str">
        <f>IFERROR($BC$2&amp;VLOOKUP(J298,'Pay Table'!$M$3:$N$18,2,FALSE)&amp;$BB$2&amp;K298&amp;$BD$2,"")</f>
        <v/>
      </c>
    </row>
    <row r="297" spans="54:58" x14ac:dyDescent="0.15">
      <c r="BB297" s="26" t="str">
        <f>IFERROR($BC$2&amp;VLOOKUP(B299,'Pay Table'!$M$3:$N$18,2,FALSE)&amp;$BB$2&amp;C299&amp;$BD$2,"")</f>
        <v/>
      </c>
      <c r="BC297" s="1" t="str">
        <f>IFERROR($BC$2&amp;VLOOKUP(D299,'Pay Table'!$M$3:$N$18,2,FALSE)&amp;$BB$2&amp;E299&amp;$BD$2,"")</f>
        <v/>
      </c>
      <c r="BD297" s="1" t="str">
        <f>IFERROR($BC$2&amp;VLOOKUP(F299,'Pay Table'!$M$3:$N$18,2,FALSE)&amp;$BB$2&amp;G299&amp;$BD$2,"")</f>
        <v/>
      </c>
      <c r="BE297" s="1" t="str">
        <f>IFERROR($BC$2&amp;VLOOKUP(H299,'Pay Table'!$M$3:$N$18,2,FALSE)&amp;$BB$2&amp;I299&amp;$BD$2,"")</f>
        <v/>
      </c>
      <c r="BF297" s="27" t="str">
        <f>IFERROR($BC$2&amp;VLOOKUP(J299,'Pay Table'!$M$3:$N$18,2,FALSE)&amp;$BB$2&amp;K299&amp;$BD$2,"")</f>
        <v/>
      </c>
    </row>
    <row r="298" spans="54:58" x14ac:dyDescent="0.15">
      <c r="BB298" s="26" t="str">
        <f>IFERROR($BC$2&amp;VLOOKUP(B300,'Pay Table'!$M$3:$N$18,2,FALSE)&amp;$BB$2&amp;C300&amp;$BD$2,"")</f>
        <v/>
      </c>
      <c r="BC298" s="1" t="str">
        <f>IFERROR($BC$2&amp;VLOOKUP(D300,'Pay Table'!$M$3:$N$18,2,FALSE)&amp;$BB$2&amp;E300&amp;$BD$2,"")</f>
        <v/>
      </c>
      <c r="BD298" s="1" t="str">
        <f>IFERROR($BC$2&amp;VLOOKUP(F300,'Pay Table'!$M$3:$N$18,2,FALSE)&amp;$BB$2&amp;G300&amp;$BD$2,"")</f>
        <v/>
      </c>
      <c r="BE298" s="1" t="str">
        <f>IFERROR($BC$2&amp;VLOOKUP(H300,'Pay Table'!$M$3:$N$18,2,FALSE)&amp;$BB$2&amp;I300&amp;$BD$2,"")</f>
        <v/>
      </c>
      <c r="BF298" s="27" t="str">
        <f>IFERROR($BC$2&amp;VLOOKUP(J300,'Pay Table'!$M$3:$N$18,2,FALSE)&amp;$BB$2&amp;K300&amp;$BD$2,"")</f>
        <v/>
      </c>
    </row>
    <row r="299" spans="54:58" x14ac:dyDescent="0.15">
      <c r="BB299" s="26" t="str">
        <f>IFERROR($BC$2&amp;VLOOKUP(B301,'Pay Table'!$M$3:$N$18,2,FALSE)&amp;$BB$2&amp;C301&amp;$BD$2,"")</f>
        <v/>
      </c>
      <c r="BC299" s="1" t="str">
        <f>IFERROR($BC$2&amp;VLOOKUP(D301,'Pay Table'!$M$3:$N$18,2,FALSE)&amp;$BB$2&amp;E301&amp;$BD$2,"")</f>
        <v/>
      </c>
      <c r="BD299" s="1" t="str">
        <f>IFERROR($BC$2&amp;VLOOKUP(F301,'Pay Table'!$M$3:$N$18,2,FALSE)&amp;$BB$2&amp;G301&amp;$BD$2,"")</f>
        <v/>
      </c>
      <c r="BE299" s="1" t="str">
        <f>IFERROR($BC$2&amp;VLOOKUP(H301,'Pay Table'!$M$3:$N$18,2,FALSE)&amp;$BB$2&amp;I301&amp;$BD$2,"")</f>
        <v/>
      </c>
      <c r="BF299" s="27" t="str">
        <f>IFERROR($BC$2&amp;VLOOKUP(J301,'Pay Table'!$M$3:$N$18,2,FALSE)&amp;$BB$2&amp;K301&amp;$BD$2,"")</f>
        <v/>
      </c>
    </row>
    <row r="300" spans="54:58" x14ac:dyDescent="0.15">
      <c r="BB300" s="26" t="str">
        <f>IFERROR($BC$2&amp;VLOOKUP(B302,'Pay Table'!$M$3:$N$18,2,FALSE)&amp;$BB$2&amp;C302&amp;$BD$2,"")</f>
        <v/>
      </c>
      <c r="BC300" s="1" t="str">
        <f>IFERROR($BC$2&amp;VLOOKUP(D302,'Pay Table'!$M$3:$N$18,2,FALSE)&amp;$BB$2&amp;E302&amp;$BD$2,"")</f>
        <v/>
      </c>
      <c r="BD300" s="1" t="str">
        <f>IFERROR($BC$2&amp;VLOOKUP(F302,'Pay Table'!$M$3:$N$18,2,FALSE)&amp;$BB$2&amp;G302&amp;$BD$2,"")</f>
        <v/>
      </c>
      <c r="BE300" s="1" t="str">
        <f>IFERROR($BC$2&amp;VLOOKUP(H302,'Pay Table'!$M$3:$N$18,2,FALSE)&amp;$BB$2&amp;I302&amp;$BD$2,"")</f>
        <v/>
      </c>
      <c r="BF300" s="27" t="str">
        <f>IFERROR($BC$2&amp;VLOOKUP(J302,'Pay Table'!$M$3:$N$18,2,FALSE)&amp;$BB$2&amp;K302&amp;$BD$2,"")</f>
        <v/>
      </c>
    </row>
    <row r="301" spans="54:58" x14ac:dyDescent="0.15">
      <c r="BB301" s="26" t="str">
        <f>IFERROR($BC$2&amp;VLOOKUP(B303,'Pay Table'!$M$3:$N$18,2,FALSE)&amp;$BB$2&amp;C303&amp;$BD$2,"")</f>
        <v/>
      </c>
      <c r="BC301" s="1" t="str">
        <f>IFERROR($BC$2&amp;VLOOKUP(D303,'Pay Table'!$M$3:$N$18,2,FALSE)&amp;$BB$2&amp;E303&amp;$BD$2,"")</f>
        <v/>
      </c>
      <c r="BD301" s="1" t="str">
        <f>IFERROR($BC$2&amp;VLOOKUP(F303,'Pay Table'!$M$3:$N$18,2,FALSE)&amp;$BB$2&amp;G303&amp;$BD$2,"")</f>
        <v/>
      </c>
      <c r="BE301" s="1" t="str">
        <f>IFERROR($BC$2&amp;VLOOKUP(H303,'Pay Table'!$M$3:$N$18,2,FALSE)&amp;$BB$2&amp;I303&amp;$BD$2,"")</f>
        <v/>
      </c>
      <c r="BF301" s="27" t="str">
        <f>IFERROR($BC$2&amp;VLOOKUP(J303,'Pay Table'!$M$3:$N$18,2,FALSE)&amp;$BB$2&amp;K303&amp;$BD$2,"")</f>
        <v/>
      </c>
    </row>
    <row r="302" spans="54:58" x14ac:dyDescent="0.15">
      <c r="BB302" s="26" t="str">
        <f>IFERROR($BC$2&amp;VLOOKUP(B304,'Pay Table'!$M$3:$N$18,2,FALSE)&amp;$BB$2&amp;C304&amp;$BD$2,"")</f>
        <v/>
      </c>
      <c r="BC302" s="1" t="str">
        <f>IFERROR($BC$2&amp;VLOOKUP(D304,'Pay Table'!$M$3:$N$18,2,FALSE)&amp;$BB$2&amp;E304&amp;$BD$2,"")</f>
        <v/>
      </c>
      <c r="BD302" s="1" t="str">
        <f>IFERROR($BC$2&amp;VLOOKUP(F304,'Pay Table'!$M$3:$N$18,2,FALSE)&amp;$BB$2&amp;G304&amp;$BD$2,"")</f>
        <v/>
      </c>
      <c r="BE302" s="1" t="str">
        <f>IFERROR($BC$2&amp;VLOOKUP(H304,'Pay Table'!$M$3:$N$18,2,FALSE)&amp;$BB$2&amp;I304&amp;$BD$2,"")</f>
        <v/>
      </c>
      <c r="BF302" s="27" t="str">
        <f>IFERROR($BC$2&amp;VLOOKUP(J304,'Pay Table'!$M$3:$N$18,2,FALSE)&amp;$BB$2&amp;K304&amp;$BD$2,"")</f>
        <v/>
      </c>
    </row>
    <row r="303" spans="54:58" x14ac:dyDescent="0.15">
      <c r="BB303" s="26" t="str">
        <f>IFERROR($BC$2&amp;VLOOKUP(B305,'Pay Table'!$M$3:$N$18,2,FALSE)&amp;$BB$2&amp;C305&amp;$BD$2,"")</f>
        <v/>
      </c>
      <c r="BC303" s="1" t="str">
        <f>IFERROR($BC$2&amp;VLOOKUP(D305,'Pay Table'!$M$3:$N$18,2,FALSE)&amp;$BB$2&amp;E305&amp;$BD$2,"")</f>
        <v/>
      </c>
      <c r="BD303" s="1" t="str">
        <f>IFERROR($BC$2&amp;VLOOKUP(F305,'Pay Table'!$M$3:$N$18,2,FALSE)&amp;$BB$2&amp;G305&amp;$BD$2,"")</f>
        <v/>
      </c>
      <c r="BE303" s="1" t="str">
        <f>IFERROR($BC$2&amp;VLOOKUP(H305,'Pay Table'!$M$3:$N$18,2,FALSE)&amp;$BB$2&amp;I305&amp;$BD$2,"")</f>
        <v/>
      </c>
      <c r="BF303" s="27" t="str">
        <f>IFERROR($BC$2&amp;VLOOKUP(J305,'Pay Table'!$M$3:$N$18,2,FALSE)&amp;$BB$2&amp;K305&amp;$BD$2,"")</f>
        <v/>
      </c>
    </row>
    <row r="304" spans="54:58" x14ac:dyDescent="0.15">
      <c r="BB304" s="26" t="str">
        <f>IFERROR($BC$2&amp;VLOOKUP(B306,'Pay Table'!$M$3:$N$18,2,FALSE)&amp;$BB$2&amp;C306&amp;$BD$2,"")</f>
        <v/>
      </c>
      <c r="BC304" s="1" t="str">
        <f>IFERROR($BC$2&amp;VLOOKUP(D306,'Pay Table'!$M$3:$N$18,2,FALSE)&amp;$BB$2&amp;E306&amp;$BD$2,"")</f>
        <v/>
      </c>
      <c r="BD304" s="1" t="str">
        <f>IFERROR($BC$2&amp;VLOOKUP(F306,'Pay Table'!$M$3:$N$18,2,FALSE)&amp;$BB$2&amp;G306&amp;$BD$2,"")</f>
        <v/>
      </c>
      <c r="BE304" s="1" t="str">
        <f>IFERROR($BC$2&amp;VLOOKUP(H306,'Pay Table'!$M$3:$N$18,2,FALSE)&amp;$BB$2&amp;I306&amp;$BD$2,"")</f>
        <v/>
      </c>
      <c r="BF304" s="27" t="str">
        <f>IFERROR($BC$2&amp;VLOOKUP(J306,'Pay Table'!$M$3:$N$18,2,FALSE)&amp;$BB$2&amp;K306&amp;$BD$2,"")</f>
        <v/>
      </c>
    </row>
    <row r="305" spans="54:58" x14ac:dyDescent="0.15">
      <c r="BB305" s="26" t="str">
        <f>IFERROR($BC$2&amp;VLOOKUP(B307,'Pay Table'!$M$3:$N$18,2,FALSE)&amp;$BB$2&amp;C307&amp;$BD$2,"")</f>
        <v/>
      </c>
      <c r="BC305" s="1" t="str">
        <f>IFERROR($BC$2&amp;VLOOKUP(D307,'Pay Table'!$M$3:$N$18,2,FALSE)&amp;$BB$2&amp;E307&amp;$BD$2,"")</f>
        <v/>
      </c>
      <c r="BD305" s="1" t="str">
        <f>IFERROR($BC$2&amp;VLOOKUP(F307,'Pay Table'!$M$3:$N$18,2,FALSE)&amp;$BB$2&amp;G307&amp;$BD$2,"")</f>
        <v/>
      </c>
      <c r="BE305" s="1" t="str">
        <f>IFERROR($BC$2&amp;VLOOKUP(H307,'Pay Table'!$M$3:$N$18,2,FALSE)&amp;$BB$2&amp;I307&amp;$BD$2,"")</f>
        <v/>
      </c>
      <c r="BF305" s="27" t="str">
        <f>IFERROR($BC$2&amp;VLOOKUP(J307,'Pay Table'!$M$3:$N$18,2,FALSE)&amp;$BB$2&amp;K307&amp;$BD$2,"")</f>
        <v/>
      </c>
    </row>
    <row r="306" spans="54:58" x14ac:dyDescent="0.15">
      <c r="BB306" s="26" t="str">
        <f>IFERROR($BC$2&amp;VLOOKUP(B308,'Pay Table'!$M$3:$N$18,2,FALSE)&amp;$BB$2&amp;C308&amp;$BD$2,"")</f>
        <v/>
      </c>
      <c r="BC306" s="1" t="str">
        <f>IFERROR($BC$2&amp;VLOOKUP(D308,'Pay Table'!$M$3:$N$18,2,FALSE)&amp;$BB$2&amp;E308&amp;$BD$2,"")</f>
        <v/>
      </c>
      <c r="BD306" s="1" t="str">
        <f>IFERROR($BC$2&amp;VLOOKUP(F308,'Pay Table'!$M$3:$N$18,2,FALSE)&amp;$BB$2&amp;G308&amp;$BD$2,"")</f>
        <v/>
      </c>
      <c r="BE306" s="1" t="str">
        <f>IFERROR($BC$2&amp;VLOOKUP(H308,'Pay Table'!$M$3:$N$18,2,FALSE)&amp;$BB$2&amp;I308&amp;$BD$2,"")</f>
        <v/>
      </c>
      <c r="BF306" s="27" t="str">
        <f>IFERROR($BC$2&amp;VLOOKUP(J308,'Pay Table'!$M$3:$N$18,2,FALSE)&amp;$BB$2&amp;K308&amp;$BD$2,"")</f>
        <v/>
      </c>
    </row>
    <row r="307" spans="54:58" x14ac:dyDescent="0.15">
      <c r="BB307" s="26" t="str">
        <f>IFERROR($BC$2&amp;VLOOKUP(B309,'Pay Table'!$M$3:$N$18,2,FALSE)&amp;$BB$2&amp;C309&amp;$BD$2,"")</f>
        <v/>
      </c>
      <c r="BC307" s="1" t="str">
        <f>IFERROR($BC$2&amp;VLOOKUP(D309,'Pay Table'!$M$3:$N$18,2,FALSE)&amp;$BB$2&amp;E309&amp;$BD$2,"")</f>
        <v/>
      </c>
      <c r="BD307" s="1" t="str">
        <f>IFERROR($BC$2&amp;VLOOKUP(F309,'Pay Table'!$M$3:$N$18,2,FALSE)&amp;$BB$2&amp;G309&amp;$BD$2,"")</f>
        <v/>
      </c>
      <c r="BE307" s="1" t="str">
        <f>IFERROR($BC$2&amp;VLOOKUP(H309,'Pay Table'!$M$3:$N$18,2,FALSE)&amp;$BB$2&amp;I309&amp;$BD$2,"")</f>
        <v/>
      </c>
      <c r="BF307" s="27" t="str">
        <f>IFERROR($BC$2&amp;VLOOKUP(J309,'Pay Table'!$M$3:$N$18,2,FALSE)&amp;$BB$2&amp;K309&amp;$BD$2,"")</f>
        <v/>
      </c>
    </row>
    <row r="308" spans="54:58" x14ac:dyDescent="0.15">
      <c r="BB308" s="26" t="str">
        <f>IFERROR($BC$2&amp;VLOOKUP(B310,'Pay Table'!$M$3:$N$18,2,FALSE)&amp;$BB$2&amp;C310&amp;$BD$2,"")</f>
        <v/>
      </c>
      <c r="BC308" s="1" t="str">
        <f>IFERROR($BC$2&amp;VLOOKUP(D310,'Pay Table'!$M$3:$N$18,2,FALSE)&amp;$BB$2&amp;E310&amp;$BD$2,"")</f>
        <v/>
      </c>
      <c r="BD308" s="1" t="str">
        <f>IFERROR($BC$2&amp;VLOOKUP(F310,'Pay Table'!$M$3:$N$18,2,FALSE)&amp;$BB$2&amp;G310&amp;$BD$2,"")</f>
        <v/>
      </c>
      <c r="BE308" s="1" t="str">
        <f>IFERROR($BC$2&amp;VLOOKUP(H310,'Pay Table'!$M$3:$N$18,2,FALSE)&amp;$BB$2&amp;I310&amp;$BD$2,"")</f>
        <v/>
      </c>
      <c r="BF308" s="27" t="str">
        <f>IFERROR($BC$2&amp;VLOOKUP(J310,'Pay Table'!$M$3:$N$18,2,FALSE)&amp;$BB$2&amp;K310&amp;$BD$2,"")</f>
        <v/>
      </c>
    </row>
    <row r="309" spans="54:58" x14ac:dyDescent="0.15">
      <c r="BB309" s="26" t="str">
        <f>IFERROR($BC$2&amp;VLOOKUP(B311,'Pay Table'!$M$3:$N$18,2,FALSE)&amp;$BB$2&amp;C311&amp;$BD$2,"")</f>
        <v/>
      </c>
      <c r="BC309" s="1" t="str">
        <f>IFERROR($BC$2&amp;VLOOKUP(D311,'Pay Table'!$M$3:$N$18,2,FALSE)&amp;$BB$2&amp;E311&amp;$BD$2,"")</f>
        <v/>
      </c>
      <c r="BD309" s="1" t="str">
        <f>IFERROR($BC$2&amp;VLOOKUP(F311,'Pay Table'!$M$3:$N$18,2,FALSE)&amp;$BB$2&amp;G311&amp;$BD$2,"")</f>
        <v/>
      </c>
      <c r="BE309" s="1" t="str">
        <f>IFERROR($BC$2&amp;VLOOKUP(H311,'Pay Table'!$M$3:$N$18,2,FALSE)&amp;$BB$2&amp;I311&amp;$BD$2,"")</f>
        <v/>
      </c>
      <c r="BF309" s="27" t="str">
        <f>IFERROR($BC$2&amp;VLOOKUP(J311,'Pay Table'!$M$3:$N$18,2,FALSE)&amp;$BB$2&amp;K311&amp;$BD$2,"")</f>
        <v/>
      </c>
    </row>
    <row r="310" spans="54:58" x14ac:dyDescent="0.15">
      <c r="BB310" s="26" t="str">
        <f>IFERROR($BC$2&amp;VLOOKUP(B312,'Pay Table'!$M$3:$N$18,2,FALSE)&amp;$BB$2&amp;C312&amp;$BD$2,"")</f>
        <v/>
      </c>
      <c r="BC310" s="1" t="str">
        <f>IFERROR($BC$2&amp;VLOOKUP(D312,'Pay Table'!$M$3:$N$18,2,FALSE)&amp;$BB$2&amp;E312&amp;$BD$2,"")</f>
        <v/>
      </c>
      <c r="BD310" s="1" t="str">
        <f>IFERROR($BC$2&amp;VLOOKUP(F312,'Pay Table'!$M$3:$N$18,2,FALSE)&amp;$BB$2&amp;G312&amp;$BD$2,"")</f>
        <v/>
      </c>
      <c r="BE310" s="1" t="str">
        <f>IFERROR($BC$2&amp;VLOOKUP(H312,'Pay Table'!$M$3:$N$18,2,FALSE)&amp;$BB$2&amp;I312&amp;$BD$2,"")</f>
        <v/>
      </c>
      <c r="BF310" s="27" t="str">
        <f>IFERROR($BC$2&amp;VLOOKUP(J312,'Pay Table'!$M$3:$N$18,2,FALSE)&amp;$BB$2&amp;K312&amp;$BD$2,"")</f>
        <v/>
      </c>
    </row>
    <row r="311" spans="54:58" x14ac:dyDescent="0.15">
      <c r="BB311" s="26" t="str">
        <f>IFERROR($BC$2&amp;VLOOKUP(B313,'Pay Table'!$M$3:$N$18,2,FALSE)&amp;$BB$2&amp;C313&amp;$BD$2,"")</f>
        <v/>
      </c>
      <c r="BC311" s="1" t="str">
        <f>IFERROR($BC$2&amp;VLOOKUP(D313,'Pay Table'!$M$3:$N$18,2,FALSE)&amp;$BB$2&amp;E313&amp;$BD$2,"")</f>
        <v/>
      </c>
      <c r="BD311" s="1" t="str">
        <f>IFERROR($BC$2&amp;VLOOKUP(F313,'Pay Table'!$M$3:$N$18,2,FALSE)&amp;$BB$2&amp;G313&amp;$BD$2,"")</f>
        <v/>
      </c>
      <c r="BE311" s="1" t="str">
        <f>IFERROR($BC$2&amp;VLOOKUP(H313,'Pay Table'!$M$3:$N$18,2,FALSE)&amp;$BB$2&amp;I313&amp;$BD$2,"")</f>
        <v/>
      </c>
      <c r="BF311" s="27" t="str">
        <f>IFERROR($BC$2&amp;VLOOKUP(J313,'Pay Table'!$M$3:$N$18,2,FALSE)&amp;$BB$2&amp;K313&amp;$BD$2,"")</f>
        <v/>
      </c>
    </row>
    <row r="312" spans="54:58" x14ac:dyDescent="0.15">
      <c r="BB312" s="26" t="str">
        <f>IFERROR($BC$2&amp;VLOOKUP(B314,'Pay Table'!$M$3:$N$18,2,FALSE)&amp;$BB$2&amp;C314&amp;$BD$2,"")</f>
        <v/>
      </c>
      <c r="BC312" s="1" t="str">
        <f>IFERROR($BC$2&amp;VLOOKUP(D314,'Pay Table'!$M$3:$N$18,2,FALSE)&amp;$BB$2&amp;E314&amp;$BD$2,"")</f>
        <v/>
      </c>
      <c r="BD312" s="1" t="str">
        <f>IFERROR($BC$2&amp;VLOOKUP(F314,'Pay Table'!$M$3:$N$18,2,FALSE)&amp;$BB$2&amp;G314&amp;$BD$2,"")</f>
        <v/>
      </c>
      <c r="BE312" s="1" t="str">
        <f>IFERROR($BC$2&amp;VLOOKUP(H314,'Pay Table'!$M$3:$N$18,2,FALSE)&amp;$BB$2&amp;I314&amp;$BD$2,"")</f>
        <v/>
      </c>
      <c r="BF312" s="27" t="str">
        <f>IFERROR($BC$2&amp;VLOOKUP(J314,'Pay Table'!$M$3:$N$18,2,FALSE)&amp;$BB$2&amp;K314&amp;$BD$2,"")</f>
        <v/>
      </c>
    </row>
    <row r="313" spans="54:58" x14ac:dyDescent="0.15">
      <c r="BB313" s="26" t="str">
        <f>IFERROR($BC$2&amp;VLOOKUP(B315,'Pay Table'!$M$3:$N$18,2,FALSE)&amp;$BB$2&amp;C315&amp;$BD$2,"")</f>
        <v/>
      </c>
      <c r="BC313" s="1" t="str">
        <f>IFERROR($BC$2&amp;VLOOKUP(D315,'Pay Table'!$M$3:$N$18,2,FALSE)&amp;$BB$2&amp;E315&amp;$BD$2,"")</f>
        <v/>
      </c>
      <c r="BD313" s="1" t="str">
        <f>IFERROR($BC$2&amp;VLOOKUP(F315,'Pay Table'!$M$3:$N$18,2,FALSE)&amp;$BB$2&amp;G315&amp;$BD$2,"")</f>
        <v/>
      </c>
      <c r="BE313" s="1" t="str">
        <f>IFERROR($BC$2&amp;VLOOKUP(H315,'Pay Table'!$M$3:$N$18,2,FALSE)&amp;$BB$2&amp;I315&amp;$BD$2,"")</f>
        <v/>
      </c>
      <c r="BF313" s="27" t="str">
        <f>IFERROR($BC$2&amp;VLOOKUP(J315,'Pay Table'!$M$3:$N$18,2,FALSE)&amp;$BB$2&amp;K315&amp;$BD$2,"")</f>
        <v/>
      </c>
    </row>
    <row r="314" spans="54:58" x14ac:dyDescent="0.15">
      <c r="BB314" s="26" t="str">
        <f>IFERROR($BC$2&amp;VLOOKUP(B316,'Pay Table'!$M$3:$N$18,2,FALSE)&amp;$BB$2&amp;C316&amp;$BD$2,"")</f>
        <v/>
      </c>
      <c r="BC314" s="1" t="str">
        <f>IFERROR($BC$2&amp;VLOOKUP(D316,'Pay Table'!$M$3:$N$18,2,FALSE)&amp;$BB$2&amp;E316&amp;$BD$2,"")</f>
        <v/>
      </c>
      <c r="BD314" s="1" t="str">
        <f>IFERROR($BC$2&amp;VLOOKUP(F316,'Pay Table'!$M$3:$N$18,2,FALSE)&amp;$BB$2&amp;G316&amp;$BD$2,"")</f>
        <v/>
      </c>
      <c r="BE314" s="1" t="str">
        <f>IFERROR($BC$2&amp;VLOOKUP(H316,'Pay Table'!$M$3:$N$18,2,FALSE)&amp;$BB$2&amp;I316&amp;$BD$2,"")</f>
        <v/>
      </c>
      <c r="BF314" s="27" t="str">
        <f>IFERROR($BC$2&amp;VLOOKUP(J316,'Pay Table'!$M$3:$N$18,2,FALSE)&amp;$BB$2&amp;K316&amp;$BD$2,"")</f>
        <v/>
      </c>
    </row>
    <row r="315" spans="54:58" x14ac:dyDescent="0.15">
      <c r="BB315" s="26" t="str">
        <f>IFERROR($BC$2&amp;VLOOKUP(B317,'Pay Table'!$M$3:$N$18,2,FALSE)&amp;$BB$2&amp;C317&amp;$BD$2,"")</f>
        <v/>
      </c>
      <c r="BC315" s="1" t="str">
        <f>IFERROR($BC$2&amp;VLOOKUP(D317,'Pay Table'!$M$3:$N$18,2,FALSE)&amp;$BB$2&amp;E317&amp;$BD$2,"")</f>
        <v/>
      </c>
      <c r="BD315" s="1" t="str">
        <f>IFERROR($BC$2&amp;VLOOKUP(F317,'Pay Table'!$M$3:$N$18,2,FALSE)&amp;$BB$2&amp;G317&amp;$BD$2,"")</f>
        <v/>
      </c>
      <c r="BE315" s="1" t="str">
        <f>IFERROR($BC$2&amp;VLOOKUP(H317,'Pay Table'!$M$3:$N$18,2,FALSE)&amp;$BB$2&amp;I317&amp;$BD$2,"")</f>
        <v/>
      </c>
      <c r="BF315" s="27" t="str">
        <f>IFERROR($BC$2&amp;VLOOKUP(J317,'Pay Table'!$M$3:$N$18,2,FALSE)&amp;$BB$2&amp;K317&amp;$BD$2,"")</f>
        <v/>
      </c>
    </row>
    <row r="316" spans="54:58" x14ac:dyDescent="0.15">
      <c r="BB316" s="26" t="str">
        <f>IFERROR($BC$2&amp;VLOOKUP(B318,'Pay Table'!$M$3:$N$18,2,FALSE)&amp;$BB$2&amp;C318&amp;$BD$2,"")</f>
        <v/>
      </c>
      <c r="BC316" s="1" t="str">
        <f>IFERROR($BC$2&amp;VLOOKUP(D318,'Pay Table'!$M$3:$N$18,2,FALSE)&amp;$BB$2&amp;E318&amp;$BD$2,"")</f>
        <v/>
      </c>
      <c r="BD316" s="1" t="str">
        <f>IFERROR($BC$2&amp;VLOOKUP(F318,'Pay Table'!$M$3:$N$18,2,FALSE)&amp;$BB$2&amp;G318&amp;$BD$2,"")</f>
        <v/>
      </c>
      <c r="BE316" s="1" t="str">
        <f>IFERROR($BC$2&amp;VLOOKUP(H318,'Pay Table'!$M$3:$N$18,2,FALSE)&amp;$BB$2&amp;I318&amp;$BD$2,"")</f>
        <v/>
      </c>
      <c r="BF316" s="27" t="str">
        <f>IFERROR($BC$2&amp;VLOOKUP(J318,'Pay Table'!$M$3:$N$18,2,FALSE)&amp;$BB$2&amp;K318&amp;$BD$2,"")</f>
        <v/>
      </c>
    </row>
    <row r="317" spans="54:58" x14ac:dyDescent="0.15">
      <c r="BB317" s="26" t="str">
        <f>IFERROR($BC$2&amp;VLOOKUP(B319,'Pay Table'!$M$3:$N$18,2,FALSE)&amp;$BB$2&amp;C319&amp;$BD$2,"")</f>
        <v/>
      </c>
      <c r="BC317" s="1" t="str">
        <f>IFERROR($BC$2&amp;VLOOKUP(D319,'Pay Table'!$M$3:$N$18,2,FALSE)&amp;$BB$2&amp;E319&amp;$BD$2,"")</f>
        <v/>
      </c>
      <c r="BD317" s="1" t="str">
        <f>IFERROR($BC$2&amp;VLOOKUP(F319,'Pay Table'!$M$3:$N$18,2,FALSE)&amp;$BB$2&amp;G319&amp;$BD$2,"")</f>
        <v/>
      </c>
      <c r="BE317" s="1" t="str">
        <f>IFERROR($BC$2&amp;VLOOKUP(H319,'Pay Table'!$M$3:$N$18,2,FALSE)&amp;$BB$2&amp;I319&amp;$BD$2,"")</f>
        <v/>
      </c>
      <c r="BF317" s="27" t="str">
        <f>IFERROR($BC$2&amp;VLOOKUP(J319,'Pay Table'!$M$3:$N$18,2,FALSE)&amp;$BB$2&amp;K319&amp;$BD$2,"")</f>
        <v/>
      </c>
    </row>
    <row r="318" spans="54:58" x14ac:dyDescent="0.15">
      <c r="BB318" s="26" t="str">
        <f>IFERROR($BC$2&amp;VLOOKUP(B320,'Pay Table'!$M$3:$N$18,2,FALSE)&amp;$BB$2&amp;C320&amp;$BD$2,"")</f>
        <v/>
      </c>
      <c r="BC318" s="1" t="str">
        <f>IFERROR($BC$2&amp;VLOOKUP(D320,'Pay Table'!$M$3:$N$18,2,FALSE)&amp;$BB$2&amp;E320&amp;$BD$2,"")</f>
        <v/>
      </c>
      <c r="BD318" s="1" t="str">
        <f>IFERROR($BC$2&amp;VLOOKUP(F320,'Pay Table'!$M$3:$N$18,2,FALSE)&amp;$BB$2&amp;G320&amp;$BD$2,"")</f>
        <v/>
      </c>
      <c r="BE318" s="1" t="str">
        <f>IFERROR($BC$2&amp;VLOOKUP(H320,'Pay Table'!$M$3:$N$18,2,FALSE)&amp;$BB$2&amp;I320&amp;$BD$2,"")</f>
        <v/>
      </c>
      <c r="BF318" s="27" t="str">
        <f>IFERROR($BC$2&amp;VLOOKUP(J320,'Pay Table'!$M$3:$N$18,2,FALSE)&amp;$BB$2&amp;K320&amp;$BD$2,"")</f>
        <v/>
      </c>
    </row>
    <row r="319" spans="54:58" x14ac:dyDescent="0.15">
      <c r="BB319" s="26" t="str">
        <f>IFERROR($BC$2&amp;VLOOKUP(B321,'Pay Table'!$M$3:$N$18,2,FALSE)&amp;$BB$2&amp;C321&amp;$BD$2,"")</f>
        <v/>
      </c>
      <c r="BC319" s="1" t="str">
        <f>IFERROR($BC$2&amp;VLOOKUP(D321,'Pay Table'!$M$3:$N$18,2,FALSE)&amp;$BB$2&amp;E321&amp;$BD$2,"")</f>
        <v/>
      </c>
      <c r="BD319" s="1" t="str">
        <f>IFERROR($BC$2&amp;VLOOKUP(F321,'Pay Table'!$M$3:$N$18,2,FALSE)&amp;$BB$2&amp;G321&amp;$BD$2,"")</f>
        <v/>
      </c>
      <c r="BE319" s="1" t="str">
        <f>IFERROR($BC$2&amp;VLOOKUP(H321,'Pay Table'!$M$3:$N$18,2,FALSE)&amp;$BB$2&amp;I321&amp;$BD$2,"")</f>
        <v/>
      </c>
      <c r="BF319" s="27" t="str">
        <f>IFERROR($BC$2&amp;VLOOKUP(J321,'Pay Table'!$M$3:$N$18,2,FALSE)&amp;$BB$2&amp;K321&amp;$BD$2,"")</f>
        <v/>
      </c>
    </row>
    <row r="320" spans="54:58" x14ac:dyDescent="0.15">
      <c r="BB320" s="26" t="str">
        <f>IFERROR($BC$2&amp;VLOOKUP(B322,'Pay Table'!$M$3:$N$18,2,FALSE)&amp;$BB$2&amp;C322&amp;$BD$2,"")</f>
        <v/>
      </c>
      <c r="BC320" s="1" t="str">
        <f>IFERROR($BC$2&amp;VLOOKUP(D322,'Pay Table'!$M$3:$N$18,2,FALSE)&amp;$BB$2&amp;E322&amp;$BD$2,"")</f>
        <v/>
      </c>
      <c r="BD320" s="1" t="str">
        <f>IFERROR($BC$2&amp;VLOOKUP(F322,'Pay Table'!$M$3:$N$18,2,FALSE)&amp;$BB$2&amp;G322&amp;$BD$2,"")</f>
        <v/>
      </c>
      <c r="BE320" s="1" t="str">
        <f>IFERROR($BC$2&amp;VLOOKUP(H322,'Pay Table'!$M$3:$N$18,2,FALSE)&amp;$BB$2&amp;I322&amp;$BD$2,"")</f>
        <v/>
      </c>
      <c r="BF320" s="27" t="str">
        <f>IFERROR($BC$2&amp;VLOOKUP(J322,'Pay Table'!$M$3:$N$18,2,FALSE)&amp;$BB$2&amp;K322&amp;$BD$2,"")</f>
        <v/>
      </c>
    </row>
    <row r="321" spans="54:58" x14ac:dyDescent="0.15">
      <c r="BB321" s="26" t="str">
        <f>IFERROR($BC$2&amp;VLOOKUP(B323,'Pay Table'!$M$3:$N$18,2,FALSE)&amp;$BB$2&amp;C323&amp;$BD$2,"")</f>
        <v/>
      </c>
      <c r="BC321" s="1" t="str">
        <f>IFERROR($BC$2&amp;VLOOKUP(D323,'Pay Table'!$M$3:$N$18,2,FALSE)&amp;$BB$2&amp;E323&amp;$BD$2,"")</f>
        <v/>
      </c>
      <c r="BD321" s="1" t="str">
        <f>IFERROR($BC$2&amp;VLOOKUP(F323,'Pay Table'!$M$3:$N$18,2,FALSE)&amp;$BB$2&amp;G323&amp;$BD$2,"")</f>
        <v/>
      </c>
      <c r="BE321" s="1" t="str">
        <f>IFERROR($BC$2&amp;VLOOKUP(H323,'Pay Table'!$M$3:$N$18,2,FALSE)&amp;$BB$2&amp;I323&amp;$BD$2,"")</f>
        <v/>
      </c>
      <c r="BF321" s="27" t="str">
        <f>IFERROR($BC$2&amp;VLOOKUP(J323,'Pay Table'!$M$3:$N$18,2,FALSE)&amp;$BB$2&amp;K323&amp;$BD$2,"")</f>
        <v/>
      </c>
    </row>
    <row r="322" spans="54:58" x14ac:dyDescent="0.15">
      <c r="BB322" s="26" t="str">
        <f>IFERROR($BC$2&amp;VLOOKUP(B324,'Pay Table'!$M$3:$N$18,2,FALSE)&amp;$BB$2&amp;C324&amp;$BD$2,"")</f>
        <v/>
      </c>
      <c r="BC322" s="1" t="str">
        <f>IFERROR($BC$2&amp;VLOOKUP(D324,'Pay Table'!$M$3:$N$18,2,FALSE)&amp;$BB$2&amp;E324&amp;$BD$2,"")</f>
        <v/>
      </c>
      <c r="BD322" s="1" t="str">
        <f>IFERROR($BC$2&amp;VLOOKUP(F324,'Pay Table'!$M$3:$N$18,2,FALSE)&amp;$BB$2&amp;G324&amp;$BD$2,"")</f>
        <v/>
      </c>
      <c r="BE322" s="1" t="str">
        <f>IFERROR($BC$2&amp;VLOOKUP(H324,'Pay Table'!$M$3:$N$18,2,FALSE)&amp;$BB$2&amp;I324&amp;$BD$2,"")</f>
        <v/>
      </c>
      <c r="BF322" s="27" t="str">
        <f>IFERROR($BC$2&amp;VLOOKUP(J324,'Pay Table'!$M$3:$N$18,2,FALSE)&amp;$BB$2&amp;K324&amp;$BD$2,"")</f>
        <v/>
      </c>
    </row>
    <row r="323" spans="54:58" x14ac:dyDescent="0.15">
      <c r="BB323" s="26" t="str">
        <f>IFERROR($BC$2&amp;VLOOKUP(B325,'Pay Table'!$M$3:$N$18,2,FALSE)&amp;$BB$2&amp;C325&amp;$BD$2,"")</f>
        <v/>
      </c>
      <c r="BC323" s="1" t="str">
        <f>IFERROR($BC$2&amp;VLOOKUP(D325,'Pay Table'!$M$3:$N$18,2,FALSE)&amp;$BB$2&amp;E325&amp;$BD$2,"")</f>
        <v/>
      </c>
      <c r="BD323" s="1" t="str">
        <f>IFERROR($BC$2&amp;VLOOKUP(F325,'Pay Table'!$M$3:$N$18,2,FALSE)&amp;$BB$2&amp;G325&amp;$BD$2,"")</f>
        <v/>
      </c>
      <c r="BE323" s="1" t="str">
        <f>IFERROR($BC$2&amp;VLOOKUP(H325,'Pay Table'!$M$3:$N$18,2,FALSE)&amp;$BB$2&amp;I325&amp;$BD$2,"")</f>
        <v/>
      </c>
      <c r="BF323" s="27" t="str">
        <f>IFERROR($BC$2&amp;VLOOKUP(J325,'Pay Table'!$M$3:$N$18,2,FALSE)&amp;$BB$2&amp;K325&amp;$BD$2,"")</f>
        <v/>
      </c>
    </row>
    <row r="324" spans="54:58" x14ac:dyDescent="0.15">
      <c r="BB324" s="26" t="str">
        <f>IFERROR($BC$2&amp;VLOOKUP(B326,'Pay Table'!$M$3:$N$18,2,FALSE)&amp;$BB$2&amp;C326&amp;$BD$2,"")</f>
        <v/>
      </c>
      <c r="BC324" s="1" t="str">
        <f>IFERROR($BC$2&amp;VLOOKUP(D326,'Pay Table'!$M$3:$N$18,2,FALSE)&amp;$BB$2&amp;E326&amp;$BD$2,"")</f>
        <v/>
      </c>
      <c r="BD324" s="1" t="str">
        <f>IFERROR($BC$2&amp;VLOOKUP(F326,'Pay Table'!$M$3:$N$18,2,FALSE)&amp;$BB$2&amp;G326&amp;$BD$2,"")</f>
        <v/>
      </c>
      <c r="BE324" s="1" t="str">
        <f>IFERROR($BC$2&amp;VLOOKUP(H326,'Pay Table'!$M$3:$N$18,2,FALSE)&amp;$BB$2&amp;I326&amp;$BD$2,"")</f>
        <v/>
      </c>
      <c r="BF324" s="27" t="str">
        <f>IFERROR($BC$2&amp;VLOOKUP(J326,'Pay Table'!$M$3:$N$18,2,FALSE)&amp;$BB$2&amp;K326&amp;$BD$2,"")</f>
        <v/>
      </c>
    </row>
    <row r="325" spans="54:58" x14ac:dyDescent="0.15">
      <c r="BB325" s="26" t="str">
        <f>IFERROR($BC$2&amp;VLOOKUP(B327,'Pay Table'!$M$3:$N$18,2,FALSE)&amp;$BB$2&amp;C327&amp;$BD$2,"")</f>
        <v/>
      </c>
      <c r="BC325" s="1" t="str">
        <f>IFERROR($BC$2&amp;VLOOKUP(D327,'Pay Table'!$M$3:$N$18,2,FALSE)&amp;$BB$2&amp;E327&amp;$BD$2,"")</f>
        <v/>
      </c>
      <c r="BD325" s="1" t="str">
        <f>IFERROR($BC$2&amp;VLOOKUP(F327,'Pay Table'!$M$3:$N$18,2,FALSE)&amp;$BB$2&amp;G327&amp;$BD$2,"")</f>
        <v/>
      </c>
      <c r="BE325" s="1" t="str">
        <f>IFERROR($BC$2&amp;VLOOKUP(H327,'Pay Table'!$M$3:$N$18,2,FALSE)&amp;$BB$2&amp;I327&amp;$BD$2,"")</f>
        <v/>
      </c>
      <c r="BF325" s="27" t="str">
        <f>IFERROR($BC$2&amp;VLOOKUP(J327,'Pay Table'!$M$3:$N$18,2,FALSE)&amp;$BB$2&amp;K327&amp;$BD$2,"")</f>
        <v/>
      </c>
    </row>
    <row r="326" spans="54:58" x14ac:dyDescent="0.15">
      <c r="BB326" s="26" t="str">
        <f>IFERROR($BC$2&amp;VLOOKUP(B328,'Pay Table'!$M$3:$N$18,2,FALSE)&amp;$BB$2&amp;C328&amp;$BD$2,"")</f>
        <v/>
      </c>
      <c r="BC326" s="1" t="str">
        <f>IFERROR($BC$2&amp;VLOOKUP(D328,'Pay Table'!$M$3:$N$18,2,FALSE)&amp;$BB$2&amp;E328&amp;$BD$2,"")</f>
        <v/>
      </c>
      <c r="BD326" s="1" t="str">
        <f>IFERROR($BC$2&amp;VLOOKUP(F328,'Pay Table'!$M$3:$N$18,2,FALSE)&amp;$BB$2&amp;G328&amp;$BD$2,"")</f>
        <v/>
      </c>
      <c r="BE326" s="1" t="str">
        <f>IFERROR($BC$2&amp;VLOOKUP(H328,'Pay Table'!$M$3:$N$18,2,FALSE)&amp;$BB$2&amp;I328&amp;$BD$2,"")</f>
        <v/>
      </c>
      <c r="BF326" s="27" t="str">
        <f>IFERROR($BC$2&amp;VLOOKUP(J328,'Pay Table'!$M$3:$N$18,2,FALSE)&amp;$BB$2&amp;K328&amp;$BD$2,"")</f>
        <v/>
      </c>
    </row>
    <row r="327" spans="54:58" x14ac:dyDescent="0.15">
      <c r="BB327" s="26" t="str">
        <f>IFERROR($BC$2&amp;VLOOKUP(B329,'Pay Table'!$M$3:$N$18,2,FALSE)&amp;$BB$2&amp;C329&amp;$BD$2,"")</f>
        <v/>
      </c>
      <c r="BC327" s="1" t="str">
        <f>IFERROR($BC$2&amp;VLOOKUP(D329,'Pay Table'!$M$3:$N$18,2,FALSE)&amp;$BB$2&amp;E329&amp;$BD$2,"")</f>
        <v/>
      </c>
      <c r="BD327" s="1" t="str">
        <f>IFERROR($BC$2&amp;VLOOKUP(F329,'Pay Table'!$M$3:$N$18,2,FALSE)&amp;$BB$2&amp;G329&amp;$BD$2,"")</f>
        <v/>
      </c>
      <c r="BE327" s="1" t="str">
        <f>IFERROR($BC$2&amp;VLOOKUP(H329,'Pay Table'!$M$3:$N$18,2,FALSE)&amp;$BB$2&amp;I329&amp;$BD$2,"")</f>
        <v/>
      </c>
      <c r="BF327" s="27" t="str">
        <f>IFERROR($BC$2&amp;VLOOKUP(J329,'Pay Table'!$M$3:$N$18,2,FALSE)&amp;$BB$2&amp;K329&amp;$BD$2,"")</f>
        <v/>
      </c>
    </row>
    <row r="328" spans="54:58" x14ac:dyDescent="0.15">
      <c r="BB328" s="26" t="str">
        <f>IFERROR($BC$2&amp;VLOOKUP(B330,'Pay Table'!$M$3:$N$18,2,FALSE)&amp;$BB$2&amp;C330&amp;$BD$2,"")</f>
        <v/>
      </c>
      <c r="BC328" s="1" t="str">
        <f>IFERROR($BC$2&amp;VLOOKUP(D330,'Pay Table'!$M$3:$N$18,2,FALSE)&amp;$BB$2&amp;E330&amp;$BD$2,"")</f>
        <v/>
      </c>
      <c r="BD328" s="1" t="str">
        <f>IFERROR($BC$2&amp;VLOOKUP(F330,'Pay Table'!$M$3:$N$18,2,FALSE)&amp;$BB$2&amp;G330&amp;$BD$2,"")</f>
        <v/>
      </c>
      <c r="BE328" s="1" t="str">
        <f>IFERROR($BC$2&amp;VLOOKUP(H330,'Pay Table'!$M$3:$N$18,2,FALSE)&amp;$BB$2&amp;I330&amp;$BD$2,"")</f>
        <v/>
      </c>
      <c r="BF328" s="27" t="str">
        <f>IFERROR($BC$2&amp;VLOOKUP(J330,'Pay Table'!$M$3:$N$18,2,FALSE)&amp;$BB$2&amp;K330&amp;$BD$2,"")</f>
        <v/>
      </c>
    </row>
    <row r="329" spans="54:58" x14ac:dyDescent="0.15">
      <c r="BB329" s="26" t="str">
        <f>IFERROR($BC$2&amp;VLOOKUP(B331,'Pay Table'!$M$3:$N$18,2,FALSE)&amp;$BB$2&amp;C331&amp;$BD$2,"")</f>
        <v/>
      </c>
      <c r="BC329" s="1" t="str">
        <f>IFERROR($BC$2&amp;VLOOKUP(D331,'Pay Table'!$M$3:$N$18,2,FALSE)&amp;$BB$2&amp;E331&amp;$BD$2,"")</f>
        <v/>
      </c>
      <c r="BD329" s="1" t="str">
        <f>IFERROR($BC$2&amp;VLOOKUP(F331,'Pay Table'!$M$3:$N$18,2,FALSE)&amp;$BB$2&amp;G331&amp;$BD$2,"")</f>
        <v/>
      </c>
      <c r="BE329" s="1" t="str">
        <f>IFERROR($BC$2&amp;VLOOKUP(H331,'Pay Table'!$M$3:$N$18,2,FALSE)&amp;$BB$2&amp;I331&amp;$BD$2,"")</f>
        <v/>
      </c>
      <c r="BF329" s="27" t="str">
        <f>IFERROR($BC$2&amp;VLOOKUP(J331,'Pay Table'!$M$3:$N$18,2,FALSE)&amp;$BB$2&amp;K331&amp;$BD$2,"")</f>
        <v/>
      </c>
    </row>
    <row r="330" spans="54:58" x14ac:dyDescent="0.15">
      <c r="BB330" s="26" t="str">
        <f>IFERROR($BC$2&amp;VLOOKUP(B332,'Pay Table'!$M$3:$N$18,2,FALSE)&amp;$BB$2&amp;C332&amp;$BD$2,"")</f>
        <v/>
      </c>
      <c r="BC330" s="1" t="str">
        <f>IFERROR($BC$2&amp;VLOOKUP(D332,'Pay Table'!$M$3:$N$18,2,FALSE)&amp;$BB$2&amp;E332&amp;$BD$2,"")</f>
        <v/>
      </c>
      <c r="BD330" s="1" t="str">
        <f>IFERROR($BC$2&amp;VLOOKUP(F332,'Pay Table'!$M$3:$N$18,2,FALSE)&amp;$BB$2&amp;G332&amp;$BD$2,"")</f>
        <v/>
      </c>
      <c r="BE330" s="1" t="str">
        <f>IFERROR($BC$2&amp;VLOOKUP(H332,'Pay Table'!$M$3:$N$18,2,FALSE)&amp;$BB$2&amp;I332&amp;$BD$2,"")</f>
        <v/>
      </c>
      <c r="BF330" s="27" t="str">
        <f>IFERROR($BC$2&amp;VLOOKUP(J332,'Pay Table'!$M$3:$N$18,2,FALSE)&amp;$BB$2&amp;K332&amp;$BD$2,"")</f>
        <v/>
      </c>
    </row>
    <row r="331" spans="54:58" x14ac:dyDescent="0.15">
      <c r="BB331" s="26" t="str">
        <f>IFERROR($BC$2&amp;VLOOKUP(B333,'Pay Table'!$M$3:$N$18,2,FALSE)&amp;$BB$2&amp;C333&amp;$BD$2,"")</f>
        <v/>
      </c>
      <c r="BC331" s="1" t="str">
        <f>IFERROR($BC$2&amp;VLOOKUP(D333,'Pay Table'!$M$3:$N$18,2,FALSE)&amp;$BB$2&amp;E333&amp;$BD$2,"")</f>
        <v/>
      </c>
      <c r="BD331" s="1" t="str">
        <f>IFERROR($BC$2&amp;VLOOKUP(F333,'Pay Table'!$M$3:$N$18,2,FALSE)&amp;$BB$2&amp;G333&amp;$BD$2,"")</f>
        <v/>
      </c>
      <c r="BE331" s="1" t="str">
        <f>IFERROR($BC$2&amp;VLOOKUP(H333,'Pay Table'!$M$3:$N$18,2,FALSE)&amp;$BB$2&amp;I333&amp;$BD$2,"")</f>
        <v/>
      </c>
      <c r="BF331" s="27" t="str">
        <f>IFERROR($BC$2&amp;VLOOKUP(J333,'Pay Table'!$M$3:$N$18,2,FALSE)&amp;$BB$2&amp;K333&amp;$BD$2,"")</f>
        <v/>
      </c>
    </row>
    <row r="332" spans="54:58" x14ac:dyDescent="0.15">
      <c r="BB332" s="26" t="str">
        <f>IFERROR($BC$2&amp;VLOOKUP(B334,'Pay Table'!$M$3:$N$18,2,FALSE)&amp;$BB$2&amp;C334&amp;$BD$2,"")</f>
        <v/>
      </c>
      <c r="BC332" s="1" t="str">
        <f>IFERROR($BC$2&amp;VLOOKUP(D334,'Pay Table'!$M$3:$N$18,2,FALSE)&amp;$BB$2&amp;E334&amp;$BD$2,"")</f>
        <v/>
      </c>
      <c r="BD332" s="1" t="str">
        <f>IFERROR($BC$2&amp;VLOOKUP(F334,'Pay Table'!$M$3:$N$18,2,FALSE)&amp;$BB$2&amp;G334&amp;$BD$2,"")</f>
        <v/>
      </c>
      <c r="BE332" s="1" t="str">
        <f>IFERROR($BC$2&amp;VLOOKUP(H334,'Pay Table'!$M$3:$N$18,2,FALSE)&amp;$BB$2&amp;I334&amp;$BD$2,"")</f>
        <v/>
      </c>
      <c r="BF332" s="27" t="str">
        <f>IFERROR($BC$2&amp;VLOOKUP(J334,'Pay Table'!$M$3:$N$18,2,FALSE)&amp;$BB$2&amp;K334&amp;$BD$2,"")</f>
        <v/>
      </c>
    </row>
    <row r="333" spans="54:58" x14ac:dyDescent="0.15">
      <c r="BB333" s="26" t="str">
        <f>IFERROR($BC$2&amp;VLOOKUP(B335,'Pay Table'!$M$3:$N$18,2,FALSE)&amp;$BB$2&amp;C335&amp;$BD$2,"")</f>
        <v/>
      </c>
      <c r="BC333" s="1" t="str">
        <f>IFERROR($BC$2&amp;VLOOKUP(D335,'Pay Table'!$M$3:$N$18,2,FALSE)&amp;$BB$2&amp;E335&amp;$BD$2,"")</f>
        <v/>
      </c>
      <c r="BD333" s="1" t="str">
        <f>IFERROR($BC$2&amp;VLOOKUP(F335,'Pay Table'!$M$3:$N$18,2,FALSE)&amp;$BB$2&amp;G335&amp;$BD$2,"")</f>
        <v/>
      </c>
      <c r="BE333" s="1" t="str">
        <f>IFERROR($BC$2&amp;VLOOKUP(H335,'Pay Table'!$M$3:$N$18,2,FALSE)&amp;$BB$2&amp;I335&amp;$BD$2,"")</f>
        <v/>
      </c>
      <c r="BF333" s="27" t="str">
        <f>IFERROR($BC$2&amp;VLOOKUP(J335,'Pay Table'!$M$3:$N$18,2,FALSE)&amp;$BB$2&amp;K335&amp;$BD$2,"")</f>
        <v/>
      </c>
    </row>
    <row r="334" spans="54:58" x14ac:dyDescent="0.15">
      <c r="BB334" s="26" t="str">
        <f>IFERROR($BC$2&amp;VLOOKUP(B336,'Pay Table'!$M$3:$N$18,2,FALSE)&amp;$BB$2&amp;C336&amp;$BD$2,"")</f>
        <v/>
      </c>
      <c r="BC334" s="1" t="str">
        <f>IFERROR($BC$2&amp;VLOOKUP(D336,'Pay Table'!$M$3:$N$18,2,FALSE)&amp;$BB$2&amp;E336&amp;$BD$2,"")</f>
        <v/>
      </c>
      <c r="BD334" s="1" t="str">
        <f>IFERROR($BC$2&amp;VLOOKUP(F336,'Pay Table'!$M$3:$N$18,2,FALSE)&amp;$BB$2&amp;G336&amp;$BD$2,"")</f>
        <v/>
      </c>
      <c r="BE334" s="1" t="str">
        <f>IFERROR($BC$2&amp;VLOOKUP(H336,'Pay Table'!$M$3:$N$18,2,FALSE)&amp;$BB$2&amp;I336&amp;$BD$2,"")</f>
        <v/>
      </c>
      <c r="BF334" s="27" t="str">
        <f>IFERROR($BC$2&amp;VLOOKUP(J336,'Pay Table'!$M$3:$N$18,2,FALSE)&amp;$BB$2&amp;K336&amp;$BD$2,"")</f>
        <v/>
      </c>
    </row>
    <row r="335" spans="54:58" x14ac:dyDescent="0.15">
      <c r="BB335" s="26" t="str">
        <f>IFERROR($BC$2&amp;VLOOKUP(B337,'Pay Table'!$M$3:$N$18,2,FALSE)&amp;$BB$2&amp;C337&amp;$BD$2,"")</f>
        <v/>
      </c>
      <c r="BC335" s="1" t="str">
        <f>IFERROR($BC$2&amp;VLOOKUP(D337,'Pay Table'!$M$3:$N$18,2,FALSE)&amp;$BB$2&amp;E337&amp;$BD$2,"")</f>
        <v/>
      </c>
      <c r="BD335" s="1" t="str">
        <f>IFERROR($BC$2&amp;VLOOKUP(F337,'Pay Table'!$M$3:$N$18,2,FALSE)&amp;$BB$2&amp;G337&amp;$BD$2,"")</f>
        <v/>
      </c>
      <c r="BE335" s="1" t="str">
        <f>IFERROR($BC$2&amp;VLOOKUP(H337,'Pay Table'!$M$3:$N$18,2,FALSE)&amp;$BB$2&amp;I337&amp;$BD$2,"")</f>
        <v/>
      </c>
      <c r="BF335" s="27" t="str">
        <f>IFERROR($BC$2&amp;VLOOKUP(J337,'Pay Table'!$M$3:$N$18,2,FALSE)&amp;$BB$2&amp;K337&amp;$BD$2,"")</f>
        <v/>
      </c>
    </row>
    <row r="336" spans="54:58" x14ac:dyDescent="0.15">
      <c r="BB336" s="26" t="str">
        <f>IFERROR($BC$2&amp;VLOOKUP(B338,'Pay Table'!$M$3:$N$18,2,FALSE)&amp;$BB$2&amp;C338&amp;$BD$2,"")</f>
        <v/>
      </c>
      <c r="BC336" s="1" t="str">
        <f>IFERROR($BC$2&amp;VLOOKUP(D338,'Pay Table'!$M$3:$N$18,2,FALSE)&amp;$BB$2&amp;E338&amp;$BD$2,"")</f>
        <v/>
      </c>
      <c r="BD336" s="1" t="str">
        <f>IFERROR($BC$2&amp;VLOOKUP(F338,'Pay Table'!$M$3:$N$18,2,FALSE)&amp;$BB$2&amp;G338&amp;$BD$2,"")</f>
        <v/>
      </c>
      <c r="BE336" s="1" t="str">
        <f>IFERROR($BC$2&amp;VLOOKUP(H338,'Pay Table'!$M$3:$N$18,2,FALSE)&amp;$BB$2&amp;I338&amp;$BD$2,"")</f>
        <v/>
      </c>
      <c r="BF336" s="27" t="str">
        <f>IFERROR($BC$2&amp;VLOOKUP(J338,'Pay Table'!$M$3:$N$18,2,FALSE)&amp;$BB$2&amp;K338&amp;$BD$2,"")</f>
        <v/>
      </c>
    </row>
    <row r="337" spans="54:58" x14ac:dyDescent="0.15">
      <c r="BB337" s="26" t="str">
        <f>IFERROR($BC$2&amp;VLOOKUP(B339,'Pay Table'!$M$3:$N$18,2,FALSE)&amp;$BB$2&amp;C339&amp;$BD$2,"")</f>
        <v/>
      </c>
      <c r="BC337" s="1" t="str">
        <f>IFERROR($BC$2&amp;VLOOKUP(D339,'Pay Table'!$M$3:$N$18,2,FALSE)&amp;$BB$2&amp;E339&amp;$BD$2,"")</f>
        <v/>
      </c>
      <c r="BD337" s="1" t="str">
        <f>IFERROR($BC$2&amp;VLOOKUP(F339,'Pay Table'!$M$3:$N$18,2,FALSE)&amp;$BB$2&amp;G339&amp;$BD$2,"")</f>
        <v/>
      </c>
      <c r="BE337" s="1" t="str">
        <f>IFERROR($BC$2&amp;VLOOKUP(H339,'Pay Table'!$M$3:$N$18,2,FALSE)&amp;$BB$2&amp;I339&amp;$BD$2,"")</f>
        <v/>
      </c>
      <c r="BF337" s="27" t="str">
        <f>IFERROR($BC$2&amp;VLOOKUP(J339,'Pay Table'!$M$3:$N$18,2,FALSE)&amp;$BB$2&amp;K339&amp;$BD$2,"")</f>
        <v/>
      </c>
    </row>
    <row r="338" spans="54:58" x14ac:dyDescent="0.15">
      <c r="BB338" s="26" t="str">
        <f>IFERROR($BC$2&amp;VLOOKUP(B340,'Pay Table'!$M$3:$N$18,2,FALSE)&amp;$BB$2&amp;C340&amp;$BD$2,"")</f>
        <v/>
      </c>
      <c r="BC338" s="1" t="str">
        <f>IFERROR($BC$2&amp;VLOOKUP(D340,'Pay Table'!$M$3:$N$18,2,FALSE)&amp;$BB$2&amp;E340&amp;$BD$2,"")</f>
        <v/>
      </c>
      <c r="BD338" s="1" t="str">
        <f>IFERROR($BC$2&amp;VLOOKUP(F340,'Pay Table'!$M$3:$N$18,2,FALSE)&amp;$BB$2&amp;G340&amp;$BD$2,"")</f>
        <v/>
      </c>
      <c r="BE338" s="1" t="str">
        <f>IFERROR($BC$2&amp;VLOOKUP(H340,'Pay Table'!$M$3:$N$18,2,FALSE)&amp;$BB$2&amp;I340&amp;$BD$2,"")</f>
        <v/>
      </c>
      <c r="BF338" s="27" t="str">
        <f>IFERROR($BC$2&amp;VLOOKUP(J340,'Pay Table'!$M$3:$N$18,2,FALSE)&amp;$BB$2&amp;K340&amp;$BD$2,"")</f>
        <v/>
      </c>
    </row>
    <row r="339" spans="54:58" x14ac:dyDescent="0.15">
      <c r="BB339" s="26" t="str">
        <f>IFERROR($BC$2&amp;VLOOKUP(B341,'Pay Table'!$M$3:$N$18,2,FALSE)&amp;$BB$2&amp;C341&amp;$BD$2,"")</f>
        <v/>
      </c>
      <c r="BC339" s="1" t="str">
        <f>IFERROR($BC$2&amp;VLOOKUP(D341,'Pay Table'!$M$3:$N$18,2,FALSE)&amp;$BB$2&amp;E341&amp;$BD$2,"")</f>
        <v/>
      </c>
      <c r="BD339" s="1" t="str">
        <f>IFERROR($BC$2&amp;VLOOKUP(F341,'Pay Table'!$M$3:$N$18,2,FALSE)&amp;$BB$2&amp;G341&amp;$BD$2,"")</f>
        <v/>
      </c>
      <c r="BE339" s="1" t="str">
        <f>IFERROR($BC$2&amp;VLOOKUP(H341,'Pay Table'!$M$3:$N$18,2,FALSE)&amp;$BB$2&amp;I341&amp;$BD$2,"")</f>
        <v/>
      </c>
      <c r="BF339" s="27" t="str">
        <f>IFERROR($BC$2&amp;VLOOKUP(J341,'Pay Table'!$M$3:$N$18,2,FALSE)&amp;$BB$2&amp;K341&amp;$BD$2,"")</f>
        <v/>
      </c>
    </row>
    <row r="340" spans="54:58" x14ac:dyDescent="0.15">
      <c r="BB340" s="26" t="str">
        <f>IFERROR($BC$2&amp;VLOOKUP(B342,'Pay Table'!$M$3:$N$18,2,FALSE)&amp;$BB$2&amp;C342&amp;$BD$2,"")</f>
        <v/>
      </c>
      <c r="BC340" s="1" t="str">
        <f>IFERROR($BC$2&amp;VLOOKUP(D342,'Pay Table'!$M$3:$N$18,2,FALSE)&amp;$BB$2&amp;E342&amp;$BD$2,"")</f>
        <v/>
      </c>
      <c r="BD340" s="1" t="str">
        <f>IFERROR($BC$2&amp;VLOOKUP(F342,'Pay Table'!$M$3:$N$18,2,FALSE)&amp;$BB$2&amp;G342&amp;$BD$2,"")</f>
        <v/>
      </c>
      <c r="BE340" s="1" t="str">
        <f>IFERROR($BC$2&amp;VLOOKUP(H342,'Pay Table'!$M$3:$N$18,2,FALSE)&amp;$BB$2&amp;I342&amp;$BD$2,"")</f>
        <v/>
      </c>
      <c r="BF340" s="27" t="str">
        <f>IFERROR($BC$2&amp;VLOOKUP(J342,'Pay Table'!$M$3:$N$18,2,FALSE)&amp;$BB$2&amp;K342&amp;$BD$2,"")</f>
        <v/>
      </c>
    </row>
    <row r="341" spans="54:58" x14ac:dyDescent="0.15">
      <c r="BB341" s="26" t="str">
        <f>IFERROR($BC$2&amp;VLOOKUP(B343,'Pay Table'!$M$3:$N$18,2,FALSE)&amp;$BB$2&amp;C343&amp;$BD$2,"")</f>
        <v/>
      </c>
      <c r="BC341" s="1" t="str">
        <f>IFERROR($BC$2&amp;VLOOKUP(D343,'Pay Table'!$M$3:$N$18,2,FALSE)&amp;$BB$2&amp;E343&amp;$BD$2,"")</f>
        <v/>
      </c>
      <c r="BD341" s="1" t="str">
        <f>IFERROR($BC$2&amp;VLOOKUP(F343,'Pay Table'!$M$3:$N$18,2,FALSE)&amp;$BB$2&amp;G343&amp;$BD$2,"")</f>
        <v/>
      </c>
      <c r="BE341" s="1" t="str">
        <f>IFERROR($BC$2&amp;VLOOKUP(H343,'Pay Table'!$M$3:$N$18,2,FALSE)&amp;$BB$2&amp;I343&amp;$BD$2,"")</f>
        <v/>
      </c>
      <c r="BF341" s="27" t="str">
        <f>IFERROR($BC$2&amp;VLOOKUP(J343,'Pay Table'!$M$3:$N$18,2,FALSE)&amp;$BB$2&amp;K343&amp;$BD$2,"")</f>
        <v/>
      </c>
    </row>
    <row r="342" spans="54:58" x14ac:dyDescent="0.15">
      <c r="BB342" s="26" t="str">
        <f>IFERROR($BC$2&amp;VLOOKUP(B344,'Pay Table'!$M$3:$N$18,2,FALSE)&amp;$BB$2&amp;C344&amp;$BD$2,"")</f>
        <v/>
      </c>
      <c r="BC342" s="1" t="str">
        <f>IFERROR($BC$2&amp;VLOOKUP(D344,'Pay Table'!$M$3:$N$18,2,FALSE)&amp;$BB$2&amp;E344&amp;$BD$2,"")</f>
        <v/>
      </c>
      <c r="BD342" s="1" t="str">
        <f>IFERROR($BC$2&amp;VLOOKUP(F344,'Pay Table'!$M$3:$N$18,2,FALSE)&amp;$BB$2&amp;G344&amp;$BD$2,"")</f>
        <v/>
      </c>
      <c r="BE342" s="1" t="str">
        <f>IFERROR($BC$2&amp;VLOOKUP(H344,'Pay Table'!$M$3:$N$18,2,FALSE)&amp;$BB$2&amp;I344&amp;$BD$2,"")</f>
        <v/>
      </c>
      <c r="BF342" s="27" t="str">
        <f>IFERROR($BC$2&amp;VLOOKUP(J344,'Pay Table'!$M$3:$N$18,2,FALSE)&amp;$BB$2&amp;K344&amp;$BD$2,"")</f>
        <v/>
      </c>
    </row>
    <row r="343" spans="54:58" x14ac:dyDescent="0.15">
      <c r="BB343" s="26" t="str">
        <f>IFERROR($BC$2&amp;VLOOKUP(B345,'Pay Table'!$M$3:$N$18,2,FALSE)&amp;$BB$2&amp;C345&amp;$BD$2,"")</f>
        <v/>
      </c>
      <c r="BC343" s="1" t="str">
        <f>IFERROR($BC$2&amp;VLOOKUP(D345,'Pay Table'!$M$3:$N$18,2,FALSE)&amp;$BB$2&amp;E345&amp;$BD$2,"")</f>
        <v/>
      </c>
      <c r="BD343" s="1" t="str">
        <f>IFERROR($BC$2&amp;VLOOKUP(F345,'Pay Table'!$M$3:$N$18,2,FALSE)&amp;$BB$2&amp;G345&amp;$BD$2,"")</f>
        <v/>
      </c>
      <c r="BE343" s="1" t="str">
        <f>IFERROR($BC$2&amp;VLOOKUP(H345,'Pay Table'!$M$3:$N$18,2,FALSE)&amp;$BB$2&amp;I345&amp;$BD$2,"")</f>
        <v/>
      </c>
      <c r="BF343" s="27" t="str">
        <f>IFERROR($BC$2&amp;VLOOKUP(J345,'Pay Table'!$M$3:$N$18,2,FALSE)&amp;$BB$2&amp;K345&amp;$BD$2,"")</f>
        <v/>
      </c>
    </row>
    <row r="344" spans="54:58" x14ac:dyDescent="0.15">
      <c r="BB344" s="26" t="str">
        <f>IFERROR($BC$2&amp;VLOOKUP(B346,'Pay Table'!$M$3:$N$18,2,FALSE)&amp;$BB$2&amp;C346&amp;$BD$2,"")</f>
        <v/>
      </c>
      <c r="BC344" s="1" t="str">
        <f>IFERROR($BC$2&amp;VLOOKUP(D346,'Pay Table'!$M$3:$N$18,2,FALSE)&amp;$BB$2&amp;E346&amp;$BD$2,"")</f>
        <v/>
      </c>
      <c r="BD344" s="1" t="str">
        <f>IFERROR($BC$2&amp;VLOOKUP(F346,'Pay Table'!$M$3:$N$18,2,FALSE)&amp;$BB$2&amp;G346&amp;$BD$2,"")</f>
        <v/>
      </c>
      <c r="BE344" s="1" t="str">
        <f>IFERROR($BC$2&amp;VLOOKUP(H346,'Pay Table'!$M$3:$N$18,2,FALSE)&amp;$BB$2&amp;I346&amp;$BD$2,"")</f>
        <v/>
      </c>
      <c r="BF344" s="27" t="str">
        <f>IFERROR($BC$2&amp;VLOOKUP(J346,'Pay Table'!$M$3:$N$18,2,FALSE)&amp;$BB$2&amp;K346&amp;$BD$2,"")</f>
        <v/>
      </c>
    </row>
    <row r="345" spans="54:58" x14ac:dyDescent="0.15">
      <c r="BB345" s="26" t="str">
        <f>IFERROR($BC$2&amp;VLOOKUP(B347,'Pay Table'!$M$3:$N$18,2,FALSE)&amp;$BB$2&amp;C347&amp;$BD$2,"")</f>
        <v/>
      </c>
      <c r="BC345" s="1" t="str">
        <f>IFERROR($BC$2&amp;VLOOKUP(D347,'Pay Table'!$M$3:$N$18,2,FALSE)&amp;$BB$2&amp;E347&amp;$BD$2,"")</f>
        <v/>
      </c>
      <c r="BD345" s="1" t="str">
        <f>IFERROR($BC$2&amp;VLOOKUP(F347,'Pay Table'!$M$3:$N$18,2,FALSE)&amp;$BB$2&amp;G347&amp;$BD$2,"")</f>
        <v/>
      </c>
      <c r="BE345" s="1" t="str">
        <f>IFERROR($BC$2&amp;VLOOKUP(H347,'Pay Table'!$M$3:$N$18,2,FALSE)&amp;$BB$2&amp;I347&amp;$BD$2,"")</f>
        <v/>
      </c>
      <c r="BF345" s="27" t="str">
        <f>IFERROR($BC$2&amp;VLOOKUP(J347,'Pay Table'!$M$3:$N$18,2,FALSE)&amp;$BB$2&amp;K347&amp;$BD$2,"")</f>
        <v/>
      </c>
    </row>
    <row r="346" spans="54:58" x14ac:dyDescent="0.15">
      <c r="BB346" s="26" t="str">
        <f>IFERROR($BC$2&amp;VLOOKUP(B348,'Pay Table'!$M$3:$N$18,2,FALSE)&amp;$BB$2&amp;C348&amp;$BD$2,"")</f>
        <v/>
      </c>
      <c r="BC346" s="1" t="str">
        <f>IFERROR($BC$2&amp;VLOOKUP(D348,'Pay Table'!$M$3:$N$18,2,FALSE)&amp;$BB$2&amp;E348&amp;$BD$2,"")</f>
        <v/>
      </c>
      <c r="BD346" s="1" t="str">
        <f>IFERROR($BC$2&amp;VLOOKUP(F348,'Pay Table'!$M$3:$N$18,2,FALSE)&amp;$BB$2&amp;G348&amp;$BD$2,"")</f>
        <v/>
      </c>
      <c r="BE346" s="1" t="str">
        <f>IFERROR($BC$2&amp;VLOOKUP(H348,'Pay Table'!$M$3:$N$18,2,FALSE)&amp;$BB$2&amp;I348&amp;$BD$2,"")</f>
        <v/>
      </c>
      <c r="BF346" s="27" t="str">
        <f>IFERROR($BC$2&amp;VLOOKUP(J348,'Pay Table'!$M$3:$N$18,2,FALSE)&amp;$BB$2&amp;K348&amp;$BD$2,"")</f>
        <v/>
      </c>
    </row>
    <row r="347" spans="54:58" x14ac:dyDescent="0.15">
      <c r="BB347" s="26" t="str">
        <f>IFERROR($BC$2&amp;VLOOKUP(B349,'Pay Table'!$M$3:$N$18,2,FALSE)&amp;$BB$2&amp;C349&amp;$BD$2,"")</f>
        <v/>
      </c>
      <c r="BC347" s="1" t="str">
        <f>IFERROR($BC$2&amp;VLOOKUP(D349,'Pay Table'!$M$3:$N$18,2,FALSE)&amp;$BB$2&amp;E349&amp;$BD$2,"")</f>
        <v/>
      </c>
      <c r="BD347" s="1" t="str">
        <f>IFERROR($BC$2&amp;VLOOKUP(F349,'Pay Table'!$M$3:$N$18,2,FALSE)&amp;$BB$2&amp;G349&amp;$BD$2,"")</f>
        <v/>
      </c>
      <c r="BE347" s="1" t="str">
        <f>IFERROR($BC$2&amp;VLOOKUP(H349,'Pay Table'!$M$3:$N$18,2,FALSE)&amp;$BB$2&amp;I349&amp;$BD$2,"")</f>
        <v/>
      </c>
      <c r="BF347" s="27" t="str">
        <f>IFERROR($BC$2&amp;VLOOKUP(J349,'Pay Table'!$M$3:$N$18,2,FALSE)&amp;$BB$2&amp;K349&amp;$BD$2,"")</f>
        <v/>
      </c>
    </row>
    <row r="348" spans="54:58" x14ac:dyDescent="0.15">
      <c r="BB348" s="26" t="str">
        <f>IFERROR($BC$2&amp;VLOOKUP(B350,'Pay Table'!$M$3:$N$18,2,FALSE)&amp;$BB$2&amp;C350&amp;$BD$2,"")</f>
        <v/>
      </c>
      <c r="BC348" s="1" t="str">
        <f>IFERROR($BC$2&amp;VLOOKUP(D350,'Pay Table'!$M$3:$N$18,2,FALSE)&amp;$BB$2&amp;E350&amp;$BD$2,"")</f>
        <v/>
      </c>
      <c r="BD348" s="1" t="str">
        <f>IFERROR($BC$2&amp;VLOOKUP(F350,'Pay Table'!$M$3:$N$18,2,FALSE)&amp;$BB$2&amp;G350&amp;$BD$2,"")</f>
        <v/>
      </c>
      <c r="BE348" s="1" t="str">
        <f>IFERROR($BC$2&amp;VLOOKUP(H350,'Pay Table'!$M$3:$N$18,2,FALSE)&amp;$BB$2&amp;I350&amp;$BD$2,"")</f>
        <v/>
      </c>
      <c r="BF348" s="27" t="str">
        <f>IFERROR($BC$2&amp;VLOOKUP(J350,'Pay Table'!$M$3:$N$18,2,FALSE)&amp;$BB$2&amp;K350&amp;$BD$2,"")</f>
        <v/>
      </c>
    </row>
    <row r="349" spans="54:58" x14ac:dyDescent="0.15">
      <c r="BB349" s="26" t="str">
        <f>IFERROR($BC$2&amp;VLOOKUP(B351,'Pay Table'!$M$3:$N$18,2,FALSE)&amp;$BB$2&amp;C351&amp;$BD$2,"")</f>
        <v/>
      </c>
      <c r="BC349" s="1" t="str">
        <f>IFERROR($BC$2&amp;VLOOKUP(D351,'Pay Table'!$M$3:$N$18,2,FALSE)&amp;$BB$2&amp;E351&amp;$BD$2,"")</f>
        <v/>
      </c>
      <c r="BD349" s="1" t="str">
        <f>IFERROR($BC$2&amp;VLOOKUP(F351,'Pay Table'!$M$3:$N$18,2,FALSE)&amp;$BB$2&amp;G351&amp;$BD$2,"")</f>
        <v/>
      </c>
      <c r="BE349" s="1" t="str">
        <f>IFERROR($BC$2&amp;VLOOKUP(H351,'Pay Table'!$M$3:$N$18,2,FALSE)&amp;$BB$2&amp;I351&amp;$BD$2,"")</f>
        <v/>
      </c>
      <c r="BF349" s="27" t="str">
        <f>IFERROR($BC$2&amp;VLOOKUP(J351,'Pay Table'!$M$3:$N$18,2,FALSE)&amp;$BB$2&amp;K351&amp;$BD$2,"")</f>
        <v/>
      </c>
    </row>
    <row r="350" spans="54:58" x14ac:dyDescent="0.15">
      <c r="BB350" s="26" t="str">
        <f>IFERROR($BC$2&amp;VLOOKUP(B352,'Pay Table'!$M$3:$N$18,2,FALSE)&amp;$BB$2&amp;C352&amp;$BD$2,"")</f>
        <v/>
      </c>
      <c r="BC350" s="1" t="str">
        <f>IFERROR($BC$2&amp;VLOOKUP(D352,'Pay Table'!$M$3:$N$18,2,FALSE)&amp;$BB$2&amp;E352&amp;$BD$2,"")</f>
        <v/>
      </c>
      <c r="BD350" s="1" t="str">
        <f>IFERROR($BC$2&amp;VLOOKUP(F352,'Pay Table'!$M$3:$N$18,2,FALSE)&amp;$BB$2&amp;G352&amp;$BD$2,"")</f>
        <v/>
      </c>
      <c r="BE350" s="1" t="str">
        <f>IFERROR($BC$2&amp;VLOOKUP(H352,'Pay Table'!$M$3:$N$18,2,FALSE)&amp;$BB$2&amp;I352&amp;$BD$2,"")</f>
        <v/>
      </c>
      <c r="BF350" s="27" t="str">
        <f>IFERROR($BC$2&amp;VLOOKUP(J352,'Pay Table'!$M$3:$N$18,2,FALSE)&amp;$BB$2&amp;K352&amp;$BD$2,"")</f>
        <v/>
      </c>
    </row>
    <row r="351" spans="54:58" x14ac:dyDescent="0.15">
      <c r="BB351" s="26" t="str">
        <f>IFERROR($BC$2&amp;VLOOKUP(B353,'Pay Table'!$M$3:$N$18,2,FALSE)&amp;$BB$2&amp;C353&amp;$BD$2,"")</f>
        <v/>
      </c>
      <c r="BC351" s="1" t="str">
        <f>IFERROR($BC$2&amp;VLOOKUP(D353,'Pay Table'!$M$3:$N$18,2,FALSE)&amp;$BB$2&amp;E353&amp;$BD$2,"")</f>
        <v/>
      </c>
      <c r="BD351" s="1" t="str">
        <f>IFERROR($BC$2&amp;VLOOKUP(F353,'Pay Table'!$M$3:$N$18,2,FALSE)&amp;$BB$2&amp;G353&amp;$BD$2,"")</f>
        <v/>
      </c>
      <c r="BE351" s="1" t="str">
        <f>IFERROR($BC$2&amp;VLOOKUP(H353,'Pay Table'!$M$3:$N$18,2,FALSE)&amp;$BB$2&amp;I353&amp;$BD$2,"")</f>
        <v/>
      </c>
      <c r="BF351" s="27" t="str">
        <f>IFERROR($BC$2&amp;VLOOKUP(J353,'Pay Table'!$M$3:$N$18,2,FALSE)&amp;$BB$2&amp;K353&amp;$BD$2,"")</f>
        <v/>
      </c>
    </row>
    <row r="352" spans="54:58" x14ac:dyDescent="0.15">
      <c r="BB352" s="26" t="str">
        <f>IFERROR($BC$2&amp;VLOOKUP(B354,'Pay Table'!$M$3:$N$18,2,FALSE)&amp;$BB$2&amp;C354&amp;$BD$2,"")</f>
        <v/>
      </c>
      <c r="BC352" s="1" t="str">
        <f>IFERROR($BC$2&amp;VLOOKUP(D354,'Pay Table'!$M$3:$N$18,2,FALSE)&amp;$BB$2&amp;E354&amp;$BD$2,"")</f>
        <v/>
      </c>
      <c r="BD352" s="1" t="str">
        <f>IFERROR($BC$2&amp;VLOOKUP(F354,'Pay Table'!$M$3:$N$18,2,FALSE)&amp;$BB$2&amp;G354&amp;$BD$2,"")</f>
        <v/>
      </c>
      <c r="BE352" s="1" t="str">
        <f>IFERROR($BC$2&amp;VLOOKUP(H354,'Pay Table'!$M$3:$N$18,2,FALSE)&amp;$BB$2&amp;I354&amp;$BD$2,"")</f>
        <v/>
      </c>
      <c r="BF352" s="27" t="str">
        <f>IFERROR($BC$2&amp;VLOOKUP(J354,'Pay Table'!$M$3:$N$18,2,FALSE)&amp;$BB$2&amp;K354&amp;$BD$2,"")</f>
        <v/>
      </c>
    </row>
    <row r="353" spans="54:58" x14ac:dyDescent="0.15">
      <c r="BB353" s="26" t="str">
        <f>IFERROR($BC$2&amp;VLOOKUP(B355,'Pay Table'!$M$3:$N$18,2,FALSE)&amp;$BB$2&amp;C355&amp;$BD$2,"")</f>
        <v/>
      </c>
      <c r="BC353" s="1" t="str">
        <f>IFERROR($BC$2&amp;VLOOKUP(D355,'Pay Table'!$M$3:$N$18,2,FALSE)&amp;$BB$2&amp;E355&amp;$BD$2,"")</f>
        <v/>
      </c>
      <c r="BD353" s="1" t="str">
        <f>IFERROR($BC$2&amp;VLOOKUP(F355,'Pay Table'!$M$3:$N$18,2,FALSE)&amp;$BB$2&amp;G355&amp;$BD$2,"")</f>
        <v/>
      </c>
      <c r="BE353" s="1" t="str">
        <f>IFERROR($BC$2&amp;VLOOKUP(H355,'Pay Table'!$M$3:$N$18,2,FALSE)&amp;$BB$2&amp;I355&amp;$BD$2,"")</f>
        <v/>
      </c>
      <c r="BF353" s="27" t="str">
        <f>IFERROR($BC$2&amp;VLOOKUP(J355,'Pay Table'!$M$3:$N$18,2,FALSE)&amp;$BB$2&amp;K355&amp;$BD$2,"")</f>
        <v/>
      </c>
    </row>
    <row r="354" spans="54:58" x14ac:dyDescent="0.15">
      <c r="BB354" s="26" t="str">
        <f>IFERROR($BC$2&amp;VLOOKUP(B356,'Pay Table'!$M$3:$N$18,2,FALSE)&amp;$BB$2&amp;C356&amp;$BD$2,"")</f>
        <v/>
      </c>
      <c r="BC354" s="1" t="str">
        <f>IFERROR($BC$2&amp;VLOOKUP(D356,'Pay Table'!$M$3:$N$18,2,FALSE)&amp;$BB$2&amp;E356&amp;$BD$2,"")</f>
        <v/>
      </c>
      <c r="BD354" s="1" t="str">
        <f>IFERROR($BC$2&amp;VLOOKUP(F356,'Pay Table'!$M$3:$N$18,2,FALSE)&amp;$BB$2&amp;G356&amp;$BD$2,"")</f>
        <v/>
      </c>
      <c r="BE354" s="1" t="str">
        <f>IFERROR($BC$2&amp;VLOOKUP(H356,'Pay Table'!$M$3:$N$18,2,FALSE)&amp;$BB$2&amp;I356&amp;$BD$2,"")</f>
        <v/>
      </c>
      <c r="BF354" s="27" t="str">
        <f>IFERROR($BC$2&amp;VLOOKUP(J356,'Pay Table'!$M$3:$N$18,2,FALSE)&amp;$BB$2&amp;K356&amp;$BD$2,"")</f>
        <v/>
      </c>
    </row>
    <row r="355" spans="54:58" x14ac:dyDescent="0.15">
      <c r="BB355" s="26" t="str">
        <f>IFERROR($BC$2&amp;VLOOKUP(B357,'Pay Table'!$M$3:$N$18,2,FALSE)&amp;$BB$2&amp;C357&amp;$BD$2,"")</f>
        <v/>
      </c>
      <c r="BC355" s="1" t="str">
        <f>IFERROR($BC$2&amp;VLOOKUP(D357,'Pay Table'!$M$3:$N$18,2,FALSE)&amp;$BB$2&amp;E357&amp;$BD$2,"")</f>
        <v/>
      </c>
      <c r="BD355" s="1" t="str">
        <f>IFERROR($BC$2&amp;VLOOKUP(F357,'Pay Table'!$M$3:$N$18,2,FALSE)&amp;$BB$2&amp;G357&amp;$BD$2,"")</f>
        <v/>
      </c>
      <c r="BE355" s="1" t="str">
        <f>IFERROR($BC$2&amp;VLOOKUP(H357,'Pay Table'!$M$3:$N$18,2,FALSE)&amp;$BB$2&amp;I357&amp;$BD$2,"")</f>
        <v/>
      </c>
      <c r="BF355" s="27" t="str">
        <f>IFERROR($BC$2&amp;VLOOKUP(J357,'Pay Table'!$M$3:$N$18,2,FALSE)&amp;$BB$2&amp;K357&amp;$BD$2,"")</f>
        <v/>
      </c>
    </row>
    <row r="356" spans="54:58" x14ac:dyDescent="0.15">
      <c r="BB356" s="26" t="str">
        <f>IFERROR($BC$2&amp;VLOOKUP(B358,'Pay Table'!$M$3:$N$18,2,FALSE)&amp;$BB$2&amp;C358&amp;$BD$2,"")</f>
        <v/>
      </c>
      <c r="BC356" s="1" t="str">
        <f>IFERROR($BC$2&amp;VLOOKUP(D358,'Pay Table'!$M$3:$N$18,2,FALSE)&amp;$BB$2&amp;E358&amp;$BD$2,"")</f>
        <v/>
      </c>
      <c r="BD356" s="1" t="str">
        <f>IFERROR($BC$2&amp;VLOOKUP(F358,'Pay Table'!$M$3:$N$18,2,FALSE)&amp;$BB$2&amp;G358&amp;$BD$2,"")</f>
        <v/>
      </c>
      <c r="BE356" s="1" t="str">
        <f>IFERROR($BC$2&amp;VLOOKUP(H358,'Pay Table'!$M$3:$N$18,2,FALSE)&amp;$BB$2&amp;I358&amp;$BD$2,"")</f>
        <v/>
      </c>
      <c r="BF356" s="27" t="str">
        <f>IFERROR($BC$2&amp;VLOOKUP(J358,'Pay Table'!$M$3:$N$18,2,FALSE)&amp;$BB$2&amp;K358&amp;$BD$2,"")</f>
        <v/>
      </c>
    </row>
    <row r="357" spans="54:58" x14ac:dyDescent="0.15">
      <c r="BB357" s="26" t="str">
        <f>IFERROR($BC$2&amp;VLOOKUP(B359,'Pay Table'!$M$3:$N$18,2,FALSE)&amp;$BB$2&amp;C359&amp;$BD$2,"")</f>
        <v/>
      </c>
      <c r="BC357" s="1" t="str">
        <f>IFERROR($BC$2&amp;VLOOKUP(D359,'Pay Table'!$M$3:$N$18,2,FALSE)&amp;$BB$2&amp;E359&amp;$BD$2,"")</f>
        <v/>
      </c>
      <c r="BD357" s="1" t="str">
        <f>IFERROR($BC$2&amp;VLOOKUP(F359,'Pay Table'!$M$3:$N$18,2,FALSE)&amp;$BB$2&amp;G359&amp;$BD$2,"")</f>
        <v/>
      </c>
      <c r="BE357" s="1" t="str">
        <f>IFERROR($BC$2&amp;VLOOKUP(H359,'Pay Table'!$M$3:$N$18,2,FALSE)&amp;$BB$2&amp;I359&amp;$BD$2,"")</f>
        <v/>
      </c>
      <c r="BF357" s="27" t="str">
        <f>IFERROR($BC$2&amp;VLOOKUP(J359,'Pay Table'!$M$3:$N$18,2,FALSE)&amp;$BB$2&amp;K359&amp;$BD$2,"")</f>
        <v/>
      </c>
    </row>
    <row r="358" spans="54:58" x14ac:dyDescent="0.15">
      <c r="BB358" s="26" t="str">
        <f>IFERROR($BC$2&amp;VLOOKUP(B360,'Pay Table'!$M$3:$N$18,2,FALSE)&amp;$BB$2&amp;C360&amp;$BD$2,"")</f>
        <v/>
      </c>
      <c r="BC358" s="1" t="str">
        <f>IFERROR($BC$2&amp;VLOOKUP(D360,'Pay Table'!$M$3:$N$18,2,FALSE)&amp;$BB$2&amp;E360&amp;$BD$2,"")</f>
        <v/>
      </c>
      <c r="BD358" s="1" t="str">
        <f>IFERROR($BC$2&amp;VLOOKUP(F360,'Pay Table'!$M$3:$N$18,2,FALSE)&amp;$BB$2&amp;G360&amp;$BD$2,"")</f>
        <v/>
      </c>
      <c r="BE358" s="1" t="str">
        <f>IFERROR($BC$2&amp;VLOOKUP(H360,'Pay Table'!$M$3:$N$18,2,FALSE)&amp;$BB$2&amp;I360&amp;$BD$2,"")</f>
        <v/>
      </c>
      <c r="BF358" s="27" t="str">
        <f>IFERROR($BC$2&amp;VLOOKUP(J360,'Pay Table'!$M$3:$N$18,2,FALSE)&amp;$BB$2&amp;K360&amp;$BD$2,"")</f>
        <v/>
      </c>
    </row>
    <row r="359" spans="54:58" x14ac:dyDescent="0.15">
      <c r="BB359" s="26" t="str">
        <f>IFERROR($BC$2&amp;VLOOKUP(B361,'Pay Table'!$M$3:$N$18,2,FALSE)&amp;$BB$2&amp;C361&amp;$BD$2,"")</f>
        <v/>
      </c>
      <c r="BC359" s="1" t="str">
        <f>IFERROR($BC$2&amp;VLOOKUP(D361,'Pay Table'!$M$3:$N$18,2,FALSE)&amp;$BB$2&amp;E361&amp;$BD$2,"")</f>
        <v/>
      </c>
      <c r="BD359" s="1" t="str">
        <f>IFERROR($BC$2&amp;VLOOKUP(F361,'Pay Table'!$M$3:$N$18,2,FALSE)&amp;$BB$2&amp;G361&amp;$BD$2,"")</f>
        <v/>
      </c>
      <c r="BE359" s="1" t="str">
        <f>IFERROR($BC$2&amp;VLOOKUP(H361,'Pay Table'!$M$3:$N$18,2,FALSE)&amp;$BB$2&amp;I361&amp;$BD$2,"")</f>
        <v/>
      </c>
      <c r="BF359" s="27" t="str">
        <f>IFERROR($BC$2&amp;VLOOKUP(J361,'Pay Table'!$M$3:$N$18,2,FALSE)&amp;$BB$2&amp;K361&amp;$BD$2,"")</f>
        <v/>
      </c>
    </row>
    <row r="360" spans="54:58" x14ac:dyDescent="0.15">
      <c r="BB360" s="26" t="str">
        <f>IFERROR($BC$2&amp;VLOOKUP(B362,'Pay Table'!$M$3:$N$18,2,FALSE)&amp;$BB$2&amp;C362&amp;$BD$2,"")</f>
        <v/>
      </c>
      <c r="BC360" s="1" t="str">
        <f>IFERROR($BC$2&amp;VLOOKUP(D362,'Pay Table'!$M$3:$N$18,2,FALSE)&amp;$BB$2&amp;E362&amp;$BD$2,"")</f>
        <v/>
      </c>
      <c r="BD360" s="1" t="str">
        <f>IFERROR($BC$2&amp;VLOOKUP(F362,'Pay Table'!$M$3:$N$18,2,FALSE)&amp;$BB$2&amp;G362&amp;$BD$2,"")</f>
        <v/>
      </c>
      <c r="BE360" s="1" t="str">
        <f>IFERROR($BC$2&amp;VLOOKUP(H362,'Pay Table'!$M$3:$N$18,2,FALSE)&amp;$BB$2&amp;I362&amp;$BD$2,"")</f>
        <v/>
      </c>
      <c r="BF360" s="27" t="str">
        <f>IFERROR($BC$2&amp;VLOOKUP(J362,'Pay Table'!$M$3:$N$18,2,FALSE)&amp;$BB$2&amp;K362&amp;$BD$2,"")</f>
        <v/>
      </c>
    </row>
    <row r="361" spans="54:58" x14ac:dyDescent="0.15">
      <c r="BB361" s="26" t="str">
        <f>IFERROR($BC$2&amp;VLOOKUP(B363,'Pay Table'!$M$3:$N$18,2,FALSE)&amp;$BB$2&amp;C363&amp;$BD$2,"")</f>
        <v/>
      </c>
      <c r="BC361" s="1" t="str">
        <f>IFERROR($BC$2&amp;VLOOKUP(D363,'Pay Table'!$M$3:$N$18,2,FALSE)&amp;$BB$2&amp;E363&amp;$BD$2,"")</f>
        <v/>
      </c>
      <c r="BD361" s="1" t="str">
        <f>IFERROR($BC$2&amp;VLOOKUP(F363,'Pay Table'!$M$3:$N$18,2,FALSE)&amp;$BB$2&amp;G363&amp;$BD$2,"")</f>
        <v/>
      </c>
      <c r="BE361" s="1" t="str">
        <f>IFERROR($BC$2&amp;VLOOKUP(H363,'Pay Table'!$M$3:$N$18,2,FALSE)&amp;$BB$2&amp;I363&amp;$BD$2,"")</f>
        <v/>
      </c>
      <c r="BF361" s="27" t="str">
        <f>IFERROR($BC$2&amp;VLOOKUP(J363,'Pay Table'!$M$3:$N$18,2,FALSE)&amp;$BB$2&amp;K363&amp;$BD$2,"")</f>
        <v/>
      </c>
    </row>
    <row r="362" spans="54:58" x14ac:dyDescent="0.15">
      <c r="BB362" s="26" t="str">
        <f>IFERROR($BC$2&amp;VLOOKUP(B364,'Pay Table'!$M$3:$N$18,2,FALSE)&amp;$BB$2&amp;C364&amp;$BD$2,"")</f>
        <v/>
      </c>
      <c r="BC362" s="1" t="str">
        <f>IFERROR($BC$2&amp;VLOOKUP(D364,'Pay Table'!$M$3:$N$18,2,FALSE)&amp;$BB$2&amp;E364&amp;$BD$2,"")</f>
        <v/>
      </c>
      <c r="BD362" s="1" t="str">
        <f>IFERROR($BC$2&amp;VLOOKUP(F364,'Pay Table'!$M$3:$N$18,2,FALSE)&amp;$BB$2&amp;G364&amp;$BD$2,"")</f>
        <v/>
      </c>
      <c r="BE362" s="1" t="str">
        <f>IFERROR($BC$2&amp;VLOOKUP(H364,'Pay Table'!$M$3:$N$18,2,FALSE)&amp;$BB$2&amp;I364&amp;$BD$2,"")</f>
        <v/>
      </c>
      <c r="BF362" s="27" t="str">
        <f>IFERROR($BC$2&amp;VLOOKUP(J364,'Pay Table'!$M$3:$N$18,2,FALSE)&amp;$BB$2&amp;K364&amp;$BD$2,"")</f>
        <v/>
      </c>
    </row>
    <row r="363" spans="54:58" x14ac:dyDescent="0.15">
      <c r="BB363" s="26" t="str">
        <f>IFERROR($BC$2&amp;VLOOKUP(B365,'Pay Table'!$M$3:$N$18,2,FALSE)&amp;$BB$2&amp;C365&amp;$BD$2,"")</f>
        <v/>
      </c>
      <c r="BC363" s="1" t="str">
        <f>IFERROR($BC$2&amp;VLOOKUP(D365,'Pay Table'!$M$3:$N$18,2,FALSE)&amp;$BB$2&amp;E365&amp;$BD$2,"")</f>
        <v/>
      </c>
      <c r="BD363" s="1" t="str">
        <f>IFERROR($BC$2&amp;VLOOKUP(F365,'Pay Table'!$M$3:$N$18,2,FALSE)&amp;$BB$2&amp;G365&amp;$BD$2,"")</f>
        <v/>
      </c>
      <c r="BE363" s="1" t="str">
        <f>IFERROR($BC$2&amp;VLOOKUP(H365,'Pay Table'!$M$3:$N$18,2,FALSE)&amp;$BB$2&amp;I365&amp;$BD$2,"")</f>
        <v/>
      </c>
      <c r="BF363" s="27" t="str">
        <f>IFERROR($BC$2&amp;VLOOKUP(J365,'Pay Table'!$M$3:$N$18,2,FALSE)&amp;$BB$2&amp;K365&amp;$BD$2,"")</f>
        <v/>
      </c>
    </row>
    <row r="364" spans="54:58" x14ac:dyDescent="0.15">
      <c r="BB364" s="26" t="str">
        <f>IFERROR($BC$2&amp;VLOOKUP(B366,'Pay Table'!$M$3:$N$18,2,FALSE)&amp;$BB$2&amp;C366&amp;$BD$2,"")</f>
        <v/>
      </c>
      <c r="BC364" s="1" t="str">
        <f>IFERROR($BC$2&amp;VLOOKUP(D366,'Pay Table'!$M$3:$N$18,2,FALSE)&amp;$BB$2&amp;E366&amp;$BD$2,"")</f>
        <v/>
      </c>
      <c r="BD364" s="1" t="str">
        <f>IFERROR($BC$2&amp;VLOOKUP(F366,'Pay Table'!$M$3:$N$18,2,FALSE)&amp;$BB$2&amp;G366&amp;$BD$2,"")</f>
        <v/>
      </c>
      <c r="BE364" s="1" t="str">
        <f>IFERROR($BC$2&amp;VLOOKUP(H366,'Pay Table'!$M$3:$N$18,2,FALSE)&amp;$BB$2&amp;I366&amp;$BD$2,"")</f>
        <v/>
      </c>
      <c r="BF364" s="27" t="str">
        <f>IFERROR($BC$2&amp;VLOOKUP(J366,'Pay Table'!$M$3:$N$18,2,FALSE)&amp;$BB$2&amp;K366&amp;$BD$2,"")</f>
        <v/>
      </c>
    </row>
    <row r="365" spans="54:58" x14ac:dyDescent="0.15">
      <c r="BB365" s="26" t="str">
        <f>IFERROR($BC$2&amp;VLOOKUP(B367,'Pay Table'!$M$3:$N$18,2,FALSE)&amp;$BB$2&amp;C367&amp;$BD$2,"")</f>
        <v/>
      </c>
      <c r="BC365" s="1" t="str">
        <f>IFERROR($BC$2&amp;VLOOKUP(D367,'Pay Table'!$M$3:$N$18,2,FALSE)&amp;$BB$2&amp;E367&amp;$BD$2,"")</f>
        <v/>
      </c>
      <c r="BD365" s="1" t="str">
        <f>IFERROR($BC$2&amp;VLOOKUP(F367,'Pay Table'!$M$3:$N$18,2,FALSE)&amp;$BB$2&amp;G367&amp;$BD$2,"")</f>
        <v/>
      </c>
      <c r="BE365" s="1" t="str">
        <f>IFERROR($BC$2&amp;VLOOKUP(H367,'Pay Table'!$M$3:$N$18,2,FALSE)&amp;$BB$2&amp;I367&amp;$BD$2,"")</f>
        <v/>
      </c>
      <c r="BF365" s="27" t="str">
        <f>IFERROR($BC$2&amp;VLOOKUP(J367,'Pay Table'!$M$3:$N$18,2,FALSE)&amp;$BB$2&amp;K367&amp;$BD$2,"")</f>
        <v/>
      </c>
    </row>
    <row r="366" spans="54:58" x14ac:dyDescent="0.15">
      <c r="BB366" s="26" t="str">
        <f>IFERROR($BC$2&amp;VLOOKUP(B368,'Pay Table'!$M$3:$N$18,2,FALSE)&amp;$BB$2&amp;C368&amp;$BD$2,"")</f>
        <v/>
      </c>
      <c r="BC366" s="1" t="str">
        <f>IFERROR($BC$2&amp;VLOOKUP(D368,'Pay Table'!$M$3:$N$18,2,FALSE)&amp;$BB$2&amp;E368&amp;$BD$2,"")</f>
        <v/>
      </c>
      <c r="BD366" s="1" t="str">
        <f>IFERROR($BC$2&amp;VLOOKUP(F368,'Pay Table'!$M$3:$N$18,2,FALSE)&amp;$BB$2&amp;G368&amp;$BD$2,"")</f>
        <v/>
      </c>
      <c r="BE366" s="1" t="str">
        <f>IFERROR($BC$2&amp;VLOOKUP(H368,'Pay Table'!$M$3:$N$18,2,FALSE)&amp;$BB$2&amp;I368&amp;$BD$2,"")</f>
        <v/>
      </c>
      <c r="BF366" s="27" t="str">
        <f>IFERROR($BC$2&amp;VLOOKUP(J368,'Pay Table'!$M$3:$N$18,2,FALSE)&amp;$BB$2&amp;K368&amp;$BD$2,"")</f>
        <v/>
      </c>
    </row>
    <row r="367" spans="54:58" x14ac:dyDescent="0.15">
      <c r="BB367" s="26" t="str">
        <f>IFERROR($BC$2&amp;VLOOKUP(B369,'Pay Table'!$M$3:$N$18,2,FALSE)&amp;$BB$2&amp;C369&amp;$BD$2,"")</f>
        <v/>
      </c>
      <c r="BC367" s="1" t="str">
        <f>IFERROR($BC$2&amp;VLOOKUP(D369,'Pay Table'!$M$3:$N$18,2,FALSE)&amp;$BB$2&amp;E369&amp;$BD$2,"")</f>
        <v/>
      </c>
      <c r="BD367" s="1" t="str">
        <f>IFERROR($BC$2&amp;VLOOKUP(F369,'Pay Table'!$M$3:$N$18,2,FALSE)&amp;$BB$2&amp;G369&amp;$BD$2,"")</f>
        <v/>
      </c>
      <c r="BE367" s="1" t="str">
        <f>IFERROR($BC$2&amp;VLOOKUP(H369,'Pay Table'!$M$3:$N$18,2,FALSE)&amp;$BB$2&amp;I369&amp;$BD$2,"")</f>
        <v/>
      </c>
      <c r="BF367" s="27" t="str">
        <f>IFERROR($BC$2&amp;VLOOKUP(J369,'Pay Table'!$M$3:$N$18,2,FALSE)&amp;$BB$2&amp;K369&amp;$BD$2,"")</f>
        <v/>
      </c>
    </row>
    <row r="368" spans="54:58" x14ac:dyDescent="0.15">
      <c r="BB368" s="26" t="str">
        <f>IFERROR($BC$2&amp;VLOOKUP(B370,'Pay Table'!$M$3:$N$18,2,FALSE)&amp;$BB$2&amp;C370&amp;$BD$2,"")</f>
        <v/>
      </c>
      <c r="BC368" s="1" t="str">
        <f>IFERROR($BC$2&amp;VLOOKUP(D370,'Pay Table'!$M$3:$N$18,2,FALSE)&amp;$BB$2&amp;E370&amp;$BD$2,"")</f>
        <v/>
      </c>
      <c r="BD368" s="1" t="str">
        <f>IFERROR($BC$2&amp;VLOOKUP(F370,'Pay Table'!$M$3:$N$18,2,FALSE)&amp;$BB$2&amp;G370&amp;$BD$2,"")</f>
        <v/>
      </c>
      <c r="BE368" s="1" t="str">
        <f>IFERROR($BC$2&amp;VLOOKUP(H370,'Pay Table'!$M$3:$N$18,2,FALSE)&amp;$BB$2&amp;I370&amp;$BD$2,"")</f>
        <v/>
      </c>
      <c r="BF368" s="27" t="str">
        <f>IFERROR($BC$2&amp;VLOOKUP(J370,'Pay Table'!$M$3:$N$18,2,FALSE)&amp;$BB$2&amp;K370&amp;$BD$2,"")</f>
        <v/>
      </c>
    </row>
    <row r="369" spans="54:58" x14ac:dyDescent="0.15">
      <c r="BB369" s="26" t="str">
        <f>IFERROR($BC$2&amp;VLOOKUP(B371,'Pay Table'!$M$3:$N$18,2,FALSE)&amp;$BB$2&amp;C371&amp;$BD$2,"")</f>
        <v/>
      </c>
      <c r="BC369" s="1" t="str">
        <f>IFERROR($BC$2&amp;VLOOKUP(D371,'Pay Table'!$M$3:$N$18,2,FALSE)&amp;$BB$2&amp;E371&amp;$BD$2,"")</f>
        <v/>
      </c>
      <c r="BD369" s="1" t="str">
        <f>IFERROR($BC$2&amp;VLOOKUP(F371,'Pay Table'!$M$3:$N$18,2,FALSE)&amp;$BB$2&amp;G371&amp;$BD$2,"")</f>
        <v/>
      </c>
      <c r="BE369" s="1" t="str">
        <f>IFERROR($BC$2&amp;VLOOKUP(H371,'Pay Table'!$M$3:$N$18,2,FALSE)&amp;$BB$2&amp;I371&amp;$BD$2,"")</f>
        <v/>
      </c>
      <c r="BF369" s="27" t="str">
        <f>IFERROR($BC$2&amp;VLOOKUP(J371,'Pay Table'!$M$3:$N$18,2,FALSE)&amp;$BB$2&amp;K371&amp;$BD$2,"")</f>
        <v/>
      </c>
    </row>
    <row r="370" spans="54:58" x14ac:dyDescent="0.15">
      <c r="BB370" s="26" t="str">
        <f>IFERROR($BC$2&amp;VLOOKUP(B372,'Pay Table'!$M$3:$N$18,2,FALSE)&amp;$BB$2&amp;C372&amp;$BD$2,"")</f>
        <v/>
      </c>
      <c r="BC370" s="1" t="str">
        <f>IFERROR($BC$2&amp;VLOOKUP(D372,'Pay Table'!$M$3:$N$18,2,FALSE)&amp;$BB$2&amp;E372&amp;$BD$2,"")</f>
        <v/>
      </c>
      <c r="BD370" s="1" t="str">
        <f>IFERROR($BC$2&amp;VLOOKUP(F372,'Pay Table'!$M$3:$N$18,2,FALSE)&amp;$BB$2&amp;G372&amp;$BD$2,"")</f>
        <v/>
      </c>
      <c r="BE370" s="1" t="str">
        <f>IFERROR($BC$2&amp;VLOOKUP(H372,'Pay Table'!$M$3:$N$18,2,FALSE)&amp;$BB$2&amp;I372&amp;$BD$2,"")</f>
        <v/>
      </c>
      <c r="BF370" s="27" t="str">
        <f>IFERROR($BC$2&amp;VLOOKUP(J372,'Pay Table'!$M$3:$N$18,2,FALSE)&amp;$BB$2&amp;K372&amp;$BD$2,"")</f>
        <v/>
      </c>
    </row>
    <row r="371" spans="54:58" x14ac:dyDescent="0.15">
      <c r="BB371" s="26" t="str">
        <f>IFERROR($BC$2&amp;VLOOKUP(B373,'Pay Table'!$M$3:$N$18,2,FALSE)&amp;$BB$2&amp;C373&amp;$BD$2,"")</f>
        <v/>
      </c>
      <c r="BC371" s="1" t="str">
        <f>IFERROR($BC$2&amp;VLOOKUP(D373,'Pay Table'!$M$3:$N$18,2,FALSE)&amp;$BB$2&amp;E373&amp;$BD$2,"")</f>
        <v/>
      </c>
      <c r="BD371" s="1" t="str">
        <f>IFERROR($BC$2&amp;VLOOKUP(F373,'Pay Table'!$M$3:$N$18,2,FALSE)&amp;$BB$2&amp;G373&amp;$BD$2,"")</f>
        <v/>
      </c>
      <c r="BE371" s="1" t="str">
        <f>IFERROR($BC$2&amp;VLOOKUP(H373,'Pay Table'!$M$3:$N$18,2,FALSE)&amp;$BB$2&amp;I373&amp;$BD$2,"")</f>
        <v/>
      </c>
      <c r="BF371" s="27" t="str">
        <f>IFERROR($BC$2&amp;VLOOKUP(J373,'Pay Table'!$M$3:$N$18,2,FALSE)&amp;$BB$2&amp;K373&amp;$BD$2,"")</f>
        <v/>
      </c>
    </row>
    <row r="372" spans="54:58" x14ac:dyDescent="0.15">
      <c r="BB372" s="26" t="str">
        <f>IFERROR($BC$2&amp;VLOOKUP(B374,'Pay Table'!$M$3:$N$18,2,FALSE)&amp;$BB$2&amp;C374&amp;$BD$2,"")</f>
        <v/>
      </c>
      <c r="BC372" s="1" t="str">
        <f>IFERROR($BC$2&amp;VLOOKUP(D374,'Pay Table'!$M$3:$N$18,2,FALSE)&amp;$BB$2&amp;E374&amp;$BD$2,"")</f>
        <v/>
      </c>
      <c r="BD372" s="1" t="str">
        <f>IFERROR($BC$2&amp;VLOOKUP(F374,'Pay Table'!$M$3:$N$18,2,FALSE)&amp;$BB$2&amp;G374&amp;$BD$2,"")</f>
        <v/>
      </c>
      <c r="BE372" s="1" t="str">
        <f>IFERROR($BC$2&amp;VLOOKUP(H374,'Pay Table'!$M$3:$N$18,2,FALSE)&amp;$BB$2&amp;I374&amp;$BD$2,"")</f>
        <v/>
      </c>
      <c r="BF372" s="27" t="str">
        <f>IFERROR($BC$2&amp;VLOOKUP(J374,'Pay Table'!$M$3:$N$18,2,FALSE)&amp;$BB$2&amp;K374&amp;$BD$2,"")</f>
        <v/>
      </c>
    </row>
    <row r="373" spans="54:58" x14ac:dyDescent="0.15">
      <c r="BB373" s="26" t="str">
        <f>IFERROR($BC$2&amp;VLOOKUP(B375,'Pay Table'!$M$3:$N$18,2,FALSE)&amp;$BB$2&amp;C375&amp;$BD$2,"")</f>
        <v/>
      </c>
      <c r="BC373" s="1" t="str">
        <f>IFERROR($BC$2&amp;VLOOKUP(D375,'Pay Table'!$M$3:$N$18,2,FALSE)&amp;$BB$2&amp;E375&amp;$BD$2,"")</f>
        <v/>
      </c>
      <c r="BD373" s="1" t="str">
        <f>IFERROR($BC$2&amp;VLOOKUP(F375,'Pay Table'!$M$3:$N$18,2,FALSE)&amp;$BB$2&amp;G375&amp;$BD$2,"")</f>
        <v/>
      </c>
      <c r="BE373" s="1" t="str">
        <f>IFERROR($BC$2&amp;VLOOKUP(H375,'Pay Table'!$M$3:$N$18,2,FALSE)&amp;$BB$2&amp;I375&amp;$BD$2,"")</f>
        <v/>
      </c>
      <c r="BF373" s="27" t="str">
        <f>IFERROR($BC$2&amp;VLOOKUP(J375,'Pay Table'!$M$3:$N$18,2,FALSE)&amp;$BB$2&amp;K375&amp;$BD$2,"")</f>
        <v/>
      </c>
    </row>
    <row r="374" spans="54:58" x14ac:dyDescent="0.15">
      <c r="BB374" s="26" t="str">
        <f>IFERROR($BC$2&amp;VLOOKUP(B376,'Pay Table'!$M$3:$N$18,2,FALSE)&amp;$BB$2&amp;C376&amp;$BD$2,"")</f>
        <v/>
      </c>
      <c r="BC374" s="1" t="str">
        <f>IFERROR($BC$2&amp;VLOOKUP(D376,'Pay Table'!$M$3:$N$18,2,FALSE)&amp;$BB$2&amp;E376&amp;$BD$2,"")</f>
        <v/>
      </c>
      <c r="BD374" s="1" t="str">
        <f>IFERROR($BC$2&amp;VLOOKUP(F376,'Pay Table'!$M$3:$N$18,2,FALSE)&amp;$BB$2&amp;G376&amp;$BD$2,"")</f>
        <v/>
      </c>
      <c r="BE374" s="1" t="str">
        <f>IFERROR($BC$2&amp;VLOOKUP(H376,'Pay Table'!$M$3:$N$18,2,FALSE)&amp;$BB$2&amp;I376&amp;$BD$2,"")</f>
        <v/>
      </c>
      <c r="BF374" s="27" t="str">
        <f>IFERROR($BC$2&amp;VLOOKUP(J376,'Pay Table'!$M$3:$N$18,2,FALSE)&amp;$BB$2&amp;K376&amp;$BD$2,"")</f>
        <v/>
      </c>
    </row>
    <row r="375" spans="54:58" x14ac:dyDescent="0.15">
      <c r="BB375" s="26" t="str">
        <f>IFERROR($BC$2&amp;VLOOKUP(B377,'Pay Table'!$M$3:$N$18,2,FALSE)&amp;$BB$2&amp;C377&amp;$BD$2,"")</f>
        <v/>
      </c>
      <c r="BC375" s="1" t="str">
        <f>IFERROR($BC$2&amp;VLOOKUP(D377,'Pay Table'!$M$3:$N$18,2,FALSE)&amp;$BB$2&amp;E377&amp;$BD$2,"")</f>
        <v/>
      </c>
      <c r="BD375" s="1" t="str">
        <f>IFERROR($BC$2&amp;VLOOKUP(F377,'Pay Table'!$M$3:$N$18,2,FALSE)&amp;$BB$2&amp;G377&amp;$BD$2,"")</f>
        <v/>
      </c>
      <c r="BE375" s="1" t="str">
        <f>IFERROR($BC$2&amp;VLOOKUP(H377,'Pay Table'!$M$3:$N$18,2,FALSE)&amp;$BB$2&amp;I377&amp;$BD$2,"")</f>
        <v/>
      </c>
      <c r="BF375" s="27" t="str">
        <f>IFERROR($BC$2&amp;VLOOKUP(J377,'Pay Table'!$M$3:$N$18,2,FALSE)&amp;$BB$2&amp;K377&amp;$BD$2,"")</f>
        <v/>
      </c>
    </row>
    <row r="376" spans="54:58" x14ac:dyDescent="0.15">
      <c r="BB376" s="26" t="str">
        <f>IFERROR($BC$2&amp;VLOOKUP(B378,'Pay Table'!$M$3:$N$18,2,FALSE)&amp;$BB$2&amp;C378&amp;$BD$2,"")</f>
        <v/>
      </c>
      <c r="BC376" s="1" t="str">
        <f>IFERROR($BC$2&amp;VLOOKUP(D378,'Pay Table'!$M$3:$N$18,2,FALSE)&amp;$BB$2&amp;E378&amp;$BD$2,"")</f>
        <v/>
      </c>
      <c r="BD376" s="1" t="str">
        <f>IFERROR($BC$2&amp;VLOOKUP(F378,'Pay Table'!$M$3:$N$18,2,FALSE)&amp;$BB$2&amp;G378&amp;$BD$2,"")</f>
        <v/>
      </c>
      <c r="BE376" s="1" t="str">
        <f>IFERROR($BC$2&amp;VLOOKUP(H378,'Pay Table'!$M$3:$N$18,2,FALSE)&amp;$BB$2&amp;I378&amp;$BD$2,"")</f>
        <v/>
      </c>
      <c r="BF376" s="27" t="str">
        <f>IFERROR($BC$2&amp;VLOOKUP(J378,'Pay Table'!$M$3:$N$18,2,FALSE)&amp;$BB$2&amp;K378&amp;$BD$2,"")</f>
        <v/>
      </c>
    </row>
    <row r="377" spans="54:58" x14ac:dyDescent="0.15">
      <c r="BB377" s="26" t="str">
        <f>IFERROR($BC$2&amp;VLOOKUP(B379,'Pay Table'!$M$3:$N$18,2,FALSE)&amp;$BB$2&amp;C379&amp;$BD$2,"")</f>
        <v/>
      </c>
      <c r="BC377" s="1" t="str">
        <f>IFERROR($BC$2&amp;VLOOKUP(D379,'Pay Table'!$M$3:$N$18,2,FALSE)&amp;$BB$2&amp;E379&amp;$BD$2,"")</f>
        <v/>
      </c>
      <c r="BD377" s="1" t="str">
        <f>IFERROR($BC$2&amp;VLOOKUP(F379,'Pay Table'!$M$3:$N$18,2,FALSE)&amp;$BB$2&amp;G379&amp;$BD$2,"")</f>
        <v/>
      </c>
      <c r="BE377" s="1" t="str">
        <f>IFERROR($BC$2&amp;VLOOKUP(H379,'Pay Table'!$M$3:$N$18,2,FALSE)&amp;$BB$2&amp;I379&amp;$BD$2,"")</f>
        <v/>
      </c>
      <c r="BF377" s="27" t="str">
        <f>IFERROR($BC$2&amp;VLOOKUP(J379,'Pay Table'!$M$3:$N$18,2,FALSE)&amp;$BB$2&amp;K379&amp;$BD$2,"")</f>
        <v/>
      </c>
    </row>
    <row r="378" spans="54:58" x14ac:dyDescent="0.15">
      <c r="BB378" s="26" t="str">
        <f>IFERROR($BC$2&amp;VLOOKUP(B380,'Pay Table'!$M$3:$N$18,2,FALSE)&amp;$BB$2&amp;C380&amp;$BD$2,"")</f>
        <v/>
      </c>
      <c r="BC378" s="1" t="str">
        <f>IFERROR($BC$2&amp;VLOOKUP(D380,'Pay Table'!$M$3:$N$18,2,FALSE)&amp;$BB$2&amp;E380&amp;$BD$2,"")</f>
        <v/>
      </c>
      <c r="BD378" s="1" t="str">
        <f>IFERROR($BC$2&amp;VLOOKUP(F380,'Pay Table'!$M$3:$N$18,2,FALSE)&amp;$BB$2&amp;G380&amp;$BD$2,"")</f>
        <v/>
      </c>
      <c r="BE378" s="1" t="str">
        <f>IFERROR($BC$2&amp;VLOOKUP(H380,'Pay Table'!$M$3:$N$18,2,FALSE)&amp;$BB$2&amp;I380&amp;$BD$2,"")</f>
        <v/>
      </c>
      <c r="BF378" s="27" t="str">
        <f>IFERROR($BC$2&amp;VLOOKUP(J380,'Pay Table'!$M$3:$N$18,2,FALSE)&amp;$BB$2&amp;K380&amp;$BD$2,"")</f>
        <v/>
      </c>
    </row>
    <row r="379" spans="54:58" x14ac:dyDescent="0.15">
      <c r="BB379" s="26" t="str">
        <f>IFERROR($BC$2&amp;VLOOKUP(B381,'Pay Table'!$M$3:$N$18,2,FALSE)&amp;$BB$2&amp;C381&amp;$BD$2,"")</f>
        <v/>
      </c>
      <c r="BC379" s="1" t="str">
        <f>IFERROR($BC$2&amp;VLOOKUP(D381,'Pay Table'!$M$3:$N$18,2,FALSE)&amp;$BB$2&amp;E381&amp;$BD$2,"")</f>
        <v/>
      </c>
      <c r="BD379" s="1" t="str">
        <f>IFERROR($BC$2&amp;VLOOKUP(F381,'Pay Table'!$M$3:$N$18,2,FALSE)&amp;$BB$2&amp;G381&amp;$BD$2,"")</f>
        <v/>
      </c>
      <c r="BE379" s="1" t="str">
        <f>IFERROR($BC$2&amp;VLOOKUP(H381,'Pay Table'!$M$3:$N$18,2,FALSE)&amp;$BB$2&amp;I381&amp;$BD$2,"")</f>
        <v/>
      </c>
      <c r="BF379" s="27" t="str">
        <f>IFERROR($BC$2&amp;VLOOKUP(J381,'Pay Table'!$M$3:$N$18,2,FALSE)&amp;$BB$2&amp;K381&amp;$BD$2,"")</f>
        <v/>
      </c>
    </row>
    <row r="380" spans="54:58" x14ac:dyDescent="0.15">
      <c r="BB380" s="26" t="str">
        <f>IFERROR($BC$2&amp;VLOOKUP(B382,'Pay Table'!$M$3:$N$18,2,FALSE)&amp;$BB$2&amp;C382&amp;$BD$2,"")</f>
        <v/>
      </c>
      <c r="BC380" s="1" t="str">
        <f>IFERROR($BC$2&amp;VLOOKUP(D382,'Pay Table'!$M$3:$N$18,2,FALSE)&amp;$BB$2&amp;E382&amp;$BD$2,"")</f>
        <v/>
      </c>
      <c r="BD380" s="1" t="str">
        <f>IFERROR($BC$2&amp;VLOOKUP(F382,'Pay Table'!$M$3:$N$18,2,FALSE)&amp;$BB$2&amp;G382&amp;$BD$2,"")</f>
        <v/>
      </c>
      <c r="BE380" s="1" t="str">
        <f>IFERROR($BC$2&amp;VLOOKUP(H382,'Pay Table'!$M$3:$N$18,2,FALSE)&amp;$BB$2&amp;I382&amp;$BD$2,"")</f>
        <v/>
      </c>
      <c r="BF380" s="27" t="str">
        <f>IFERROR($BC$2&amp;VLOOKUP(J382,'Pay Table'!$M$3:$N$18,2,FALSE)&amp;$BB$2&amp;K382&amp;$BD$2,"")</f>
        <v/>
      </c>
    </row>
    <row r="381" spans="54:58" x14ac:dyDescent="0.15">
      <c r="BB381" s="26" t="str">
        <f>IFERROR($BC$2&amp;VLOOKUP(B383,'Pay Table'!$M$3:$N$18,2,FALSE)&amp;$BB$2&amp;C383&amp;$BD$2,"")</f>
        <v/>
      </c>
      <c r="BC381" s="1" t="str">
        <f>IFERROR($BC$2&amp;VLOOKUP(D383,'Pay Table'!$M$3:$N$18,2,FALSE)&amp;$BB$2&amp;E383&amp;$BD$2,"")</f>
        <v/>
      </c>
      <c r="BD381" s="1" t="str">
        <f>IFERROR($BC$2&amp;VLOOKUP(F383,'Pay Table'!$M$3:$N$18,2,FALSE)&amp;$BB$2&amp;G383&amp;$BD$2,"")</f>
        <v/>
      </c>
      <c r="BE381" s="1" t="str">
        <f>IFERROR($BC$2&amp;VLOOKUP(H383,'Pay Table'!$M$3:$N$18,2,FALSE)&amp;$BB$2&amp;I383&amp;$BD$2,"")</f>
        <v/>
      </c>
      <c r="BF381" s="27" t="str">
        <f>IFERROR($BC$2&amp;VLOOKUP(J383,'Pay Table'!$M$3:$N$18,2,FALSE)&amp;$BB$2&amp;K383&amp;$BD$2,"")</f>
        <v/>
      </c>
    </row>
    <row r="382" spans="54:58" x14ac:dyDescent="0.15">
      <c r="BB382" s="26" t="str">
        <f>IFERROR($BC$2&amp;VLOOKUP(B384,'Pay Table'!$M$3:$N$18,2,FALSE)&amp;$BB$2&amp;C384&amp;$BD$2,"")</f>
        <v/>
      </c>
      <c r="BC382" s="1" t="str">
        <f>IFERROR($BC$2&amp;VLOOKUP(D384,'Pay Table'!$M$3:$N$18,2,FALSE)&amp;$BB$2&amp;E384&amp;$BD$2,"")</f>
        <v/>
      </c>
      <c r="BD382" s="1" t="str">
        <f>IFERROR($BC$2&amp;VLOOKUP(F384,'Pay Table'!$M$3:$N$18,2,FALSE)&amp;$BB$2&amp;G384&amp;$BD$2,"")</f>
        <v/>
      </c>
      <c r="BE382" s="1" t="str">
        <f>IFERROR($BC$2&amp;VLOOKUP(H384,'Pay Table'!$M$3:$N$18,2,FALSE)&amp;$BB$2&amp;I384&amp;$BD$2,"")</f>
        <v/>
      </c>
      <c r="BF382" s="27" t="str">
        <f>IFERROR($BC$2&amp;VLOOKUP(J384,'Pay Table'!$M$3:$N$18,2,FALSE)&amp;$BB$2&amp;K384&amp;$BD$2,"")</f>
        <v/>
      </c>
    </row>
    <row r="383" spans="54:58" x14ac:dyDescent="0.15">
      <c r="BB383" s="26" t="str">
        <f>IFERROR($BC$2&amp;VLOOKUP(B385,'Pay Table'!$M$3:$N$18,2,FALSE)&amp;$BB$2&amp;C385&amp;$BD$2,"")</f>
        <v/>
      </c>
      <c r="BC383" s="1" t="str">
        <f>IFERROR($BC$2&amp;VLOOKUP(D385,'Pay Table'!$M$3:$N$18,2,FALSE)&amp;$BB$2&amp;E385&amp;$BD$2,"")</f>
        <v/>
      </c>
      <c r="BD383" s="1" t="str">
        <f>IFERROR($BC$2&amp;VLOOKUP(F385,'Pay Table'!$M$3:$N$18,2,FALSE)&amp;$BB$2&amp;G385&amp;$BD$2,"")</f>
        <v/>
      </c>
      <c r="BE383" s="1" t="str">
        <f>IFERROR($BC$2&amp;VLOOKUP(H385,'Pay Table'!$M$3:$N$18,2,FALSE)&amp;$BB$2&amp;I385&amp;$BD$2,"")</f>
        <v/>
      </c>
      <c r="BF383" s="27" t="str">
        <f>IFERROR($BC$2&amp;VLOOKUP(J385,'Pay Table'!$M$3:$N$18,2,FALSE)&amp;$BB$2&amp;K385&amp;$BD$2,"")</f>
        <v/>
      </c>
    </row>
    <row r="384" spans="54:58" x14ac:dyDescent="0.15">
      <c r="BB384" s="26" t="str">
        <f>IFERROR($BC$2&amp;VLOOKUP(B386,'Pay Table'!$M$3:$N$18,2,FALSE)&amp;$BB$2&amp;C386&amp;$BD$2,"")</f>
        <v/>
      </c>
      <c r="BC384" s="1" t="str">
        <f>IFERROR($BC$2&amp;VLOOKUP(D386,'Pay Table'!$M$3:$N$18,2,FALSE)&amp;$BB$2&amp;E386&amp;$BD$2,"")</f>
        <v/>
      </c>
      <c r="BD384" s="1" t="str">
        <f>IFERROR($BC$2&amp;VLOOKUP(F386,'Pay Table'!$M$3:$N$18,2,FALSE)&amp;$BB$2&amp;G386&amp;$BD$2,"")</f>
        <v/>
      </c>
      <c r="BE384" s="1" t="str">
        <f>IFERROR($BC$2&amp;VLOOKUP(H386,'Pay Table'!$M$3:$N$18,2,FALSE)&amp;$BB$2&amp;I386&amp;$BD$2,"")</f>
        <v/>
      </c>
      <c r="BF384" s="27" t="str">
        <f>IFERROR($BC$2&amp;VLOOKUP(J386,'Pay Table'!$M$3:$N$18,2,FALSE)&amp;$BB$2&amp;K386&amp;$BD$2,"")</f>
        <v/>
      </c>
    </row>
    <row r="385" spans="54:58" x14ac:dyDescent="0.15">
      <c r="BB385" s="26" t="str">
        <f>IFERROR($BC$2&amp;VLOOKUP(B387,'Pay Table'!$M$3:$N$18,2,FALSE)&amp;$BB$2&amp;C387&amp;$BD$2,"")</f>
        <v/>
      </c>
      <c r="BC385" s="1" t="str">
        <f>IFERROR($BC$2&amp;VLOOKUP(D387,'Pay Table'!$M$3:$N$18,2,FALSE)&amp;$BB$2&amp;E387&amp;$BD$2,"")</f>
        <v/>
      </c>
      <c r="BD385" s="1" t="str">
        <f>IFERROR($BC$2&amp;VLOOKUP(F387,'Pay Table'!$M$3:$N$18,2,FALSE)&amp;$BB$2&amp;G387&amp;$BD$2,"")</f>
        <v/>
      </c>
      <c r="BE385" s="1" t="str">
        <f>IFERROR($BC$2&amp;VLOOKUP(H387,'Pay Table'!$M$3:$N$18,2,FALSE)&amp;$BB$2&amp;I387&amp;$BD$2,"")</f>
        <v/>
      </c>
      <c r="BF385" s="27" t="str">
        <f>IFERROR($BC$2&amp;VLOOKUP(J387,'Pay Table'!$M$3:$N$18,2,FALSE)&amp;$BB$2&amp;K387&amp;$BD$2,"")</f>
        <v/>
      </c>
    </row>
    <row r="386" spans="54:58" x14ac:dyDescent="0.15">
      <c r="BB386" s="26" t="str">
        <f>IFERROR($BC$2&amp;VLOOKUP(B388,'Pay Table'!$M$3:$N$18,2,FALSE)&amp;$BB$2&amp;C388&amp;$BD$2,"")</f>
        <v/>
      </c>
      <c r="BC386" s="1" t="str">
        <f>IFERROR($BC$2&amp;VLOOKUP(D388,'Pay Table'!$M$3:$N$18,2,FALSE)&amp;$BB$2&amp;E388&amp;$BD$2,"")</f>
        <v/>
      </c>
      <c r="BD386" s="1" t="str">
        <f>IFERROR($BC$2&amp;VLOOKUP(F388,'Pay Table'!$M$3:$N$18,2,FALSE)&amp;$BB$2&amp;G388&amp;$BD$2,"")</f>
        <v/>
      </c>
      <c r="BE386" s="1" t="str">
        <f>IFERROR($BC$2&amp;VLOOKUP(H388,'Pay Table'!$M$3:$N$18,2,FALSE)&amp;$BB$2&amp;I388&amp;$BD$2,"")</f>
        <v/>
      </c>
      <c r="BF386" s="27" t="str">
        <f>IFERROR($BC$2&amp;VLOOKUP(J388,'Pay Table'!$M$3:$N$18,2,FALSE)&amp;$BB$2&amp;K388&amp;$BD$2,"")</f>
        <v/>
      </c>
    </row>
    <row r="387" spans="54:58" x14ac:dyDescent="0.15">
      <c r="BB387" s="26" t="str">
        <f>IFERROR($BC$2&amp;VLOOKUP(B389,'Pay Table'!$M$3:$N$18,2,FALSE)&amp;$BB$2&amp;C389&amp;$BD$2,"")</f>
        <v/>
      </c>
      <c r="BC387" s="1" t="str">
        <f>IFERROR($BC$2&amp;VLOOKUP(D389,'Pay Table'!$M$3:$N$18,2,FALSE)&amp;$BB$2&amp;E389&amp;$BD$2,"")</f>
        <v/>
      </c>
      <c r="BD387" s="1" t="str">
        <f>IFERROR($BC$2&amp;VLOOKUP(F389,'Pay Table'!$M$3:$N$18,2,FALSE)&amp;$BB$2&amp;G389&amp;$BD$2,"")</f>
        <v/>
      </c>
      <c r="BE387" s="1" t="str">
        <f>IFERROR($BC$2&amp;VLOOKUP(H389,'Pay Table'!$M$3:$N$18,2,FALSE)&amp;$BB$2&amp;I389&amp;$BD$2,"")</f>
        <v/>
      </c>
      <c r="BF387" s="27" t="str">
        <f>IFERROR($BC$2&amp;VLOOKUP(J389,'Pay Table'!$M$3:$N$18,2,FALSE)&amp;$BB$2&amp;K389&amp;$BD$2,"")</f>
        <v/>
      </c>
    </row>
    <row r="388" spans="54:58" x14ac:dyDescent="0.15">
      <c r="BB388" s="26" t="str">
        <f>IFERROR($BC$2&amp;VLOOKUP(B390,'Pay Table'!$M$3:$N$18,2,FALSE)&amp;$BB$2&amp;C390&amp;$BD$2,"")</f>
        <v/>
      </c>
      <c r="BC388" s="1" t="str">
        <f>IFERROR($BC$2&amp;VLOOKUP(D390,'Pay Table'!$M$3:$N$18,2,FALSE)&amp;$BB$2&amp;E390&amp;$BD$2,"")</f>
        <v/>
      </c>
      <c r="BD388" s="1" t="str">
        <f>IFERROR($BC$2&amp;VLOOKUP(F390,'Pay Table'!$M$3:$N$18,2,FALSE)&amp;$BB$2&amp;G390&amp;$BD$2,"")</f>
        <v/>
      </c>
      <c r="BE388" s="1" t="str">
        <f>IFERROR($BC$2&amp;VLOOKUP(H390,'Pay Table'!$M$3:$N$18,2,FALSE)&amp;$BB$2&amp;I390&amp;$BD$2,"")</f>
        <v/>
      </c>
      <c r="BF388" s="27" t="str">
        <f>IFERROR($BC$2&amp;VLOOKUP(J390,'Pay Table'!$M$3:$N$18,2,FALSE)&amp;$BB$2&amp;K390&amp;$BD$2,"")</f>
        <v/>
      </c>
    </row>
    <row r="389" spans="54:58" x14ac:dyDescent="0.15">
      <c r="BB389" s="26" t="str">
        <f>IFERROR($BC$2&amp;VLOOKUP(B391,'Pay Table'!$M$3:$N$18,2,FALSE)&amp;$BB$2&amp;C391&amp;$BD$2,"")</f>
        <v/>
      </c>
      <c r="BC389" s="1" t="str">
        <f>IFERROR($BC$2&amp;VLOOKUP(D391,'Pay Table'!$M$3:$N$18,2,FALSE)&amp;$BB$2&amp;E391&amp;$BD$2,"")</f>
        <v/>
      </c>
      <c r="BD389" s="1" t="str">
        <f>IFERROR($BC$2&amp;VLOOKUP(F391,'Pay Table'!$M$3:$N$18,2,FALSE)&amp;$BB$2&amp;G391&amp;$BD$2,"")</f>
        <v/>
      </c>
      <c r="BE389" s="1" t="str">
        <f>IFERROR($BC$2&amp;VLOOKUP(H391,'Pay Table'!$M$3:$N$18,2,FALSE)&amp;$BB$2&amp;I391&amp;$BD$2,"")</f>
        <v/>
      </c>
      <c r="BF389" s="27" t="str">
        <f>IFERROR($BC$2&amp;VLOOKUP(J391,'Pay Table'!$M$3:$N$18,2,FALSE)&amp;$BB$2&amp;K391&amp;$BD$2,"")</f>
        <v/>
      </c>
    </row>
    <row r="390" spans="54:58" x14ac:dyDescent="0.15">
      <c r="BB390" s="26" t="str">
        <f>IFERROR($BC$2&amp;VLOOKUP(B392,'Pay Table'!$M$3:$N$18,2,FALSE)&amp;$BB$2&amp;C392&amp;$BD$2,"")</f>
        <v/>
      </c>
      <c r="BC390" s="1" t="str">
        <f>IFERROR($BC$2&amp;VLOOKUP(D392,'Pay Table'!$M$3:$N$18,2,FALSE)&amp;$BB$2&amp;E392&amp;$BD$2,"")</f>
        <v/>
      </c>
      <c r="BD390" s="1" t="str">
        <f>IFERROR($BC$2&amp;VLOOKUP(F392,'Pay Table'!$M$3:$N$18,2,FALSE)&amp;$BB$2&amp;G392&amp;$BD$2,"")</f>
        <v/>
      </c>
      <c r="BE390" s="1" t="str">
        <f>IFERROR($BC$2&amp;VLOOKUP(H392,'Pay Table'!$M$3:$N$18,2,FALSE)&amp;$BB$2&amp;I392&amp;$BD$2,"")</f>
        <v/>
      </c>
      <c r="BF390" s="27" t="str">
        <f>IFERROR($BC$2&amp;VLOOKUP(J392,'Pay Table'!$M$3:$N$18,2,FALSE)&amp;$BB$2&amp;K392&amp;$BD$2,"")</f>
        <v/>
      </c>
    </row>
    <row r="391" spans="54:58" x14ac:dyDescent="0.15">
      <c r="BB391" s="26" t="str">
        <f>IFERROR($BC$2&amp;VLOOKUP(B393,'Pay Table'!$M$3:$N$18,2,FALSE)&amp;$BB$2&amp;C393&amp;$BD$2,"")</f>
        <v/>
      </c>
      <c r="BC391" s="1" t="str">
        <f>IFERROR($BC$2&amp;VLOOKUP(D393,'Pay Table'!$M$3:$N$18,2,FALSE)&amp;$BB$2&amp;E393&amp;$BD$2,"")</f>
        <v/>
      </c>
      <c r="BD391" s="1" t="str">
        <f>IFERROR($BC$2&amp;VLOOKUP(F393,'Pay Table'!$M$3:$N$18,2,FALSE)&amp;$BB$2&amp;G393&amp;$BD$2,"")</f>
        <v/>
      </c>
      <c r="BE391" s="1" t="str">
        <f>IFERROR($BC$2&amp;VLOOKUP(H393,'Pay Table'!$M$3:$N$18,2,FALSE)&amp;$BB$2&amp;I393&amp;$BD$2,"")</f>
        <v/>
      </c>
      <c r="BF391" s="27" t="str">
        <f>IFERROR($BC$2&amp;VLOOKUP(J393,'Pay Table'!$M$3:$N$18,2,FALSE)&amp;$BB$2&amp;K393&amp;$BD$2,"")</f>
        <v/>
      </c>
    </row>
    <row r="392" spans="54:58" x14ac:dyDescent="0.15">
      <c r="BB392" s="26" t="str">
        <f>IFERROR($BC$2&amp;VLOOKUP(B394,'Pay Table'!$M$3:$N$18,2,FALSE)&amp;$BB$2&amp;C394&amp;$BD$2,"")</f>
        <v/>
      </c>
      <c r="BC392" s="1" t="str">
        <f>IFERROR($BC$2&amp;VLOOKUP(D394,'Pay Table'!$M$3:$N$18,2,FALSE)&amp;$BB$2&amp;E394&amp;$BD$2,"")</f>
        <v/>
      </c>
      <c r="BD392" s="1" t="str">
        <f>IFERROR($BC$2&amp;VLOOKUP(F394,'Pay Table'!$M$3:$N$18,2,FALSE)&amp;$BB$2&amp;G394&amp;$BD$2,"")</f>
        <v/>
      </c>
      <c r="BE392" s="1" t="str">
        <f>IFERROR($BC$2&amp;VLOOKUP(H394,'Pay Table'!$M$3:$N$18,2,FALSE)&amp;$BB$2&amp;I394&amp;$BD$2,"")</f>
        <v/>
      </c>
      <c r="BF392" s="27" t="str">
        <f>IFERROR($BC$2&amp;VLOOKUP(J394,'Pay Table'!$M$3:$N$18,2,FALSE)&amp;$BB$2&amp;K394&amp;$BD$2,"")</f>
        <v/>
      </c>
    </row>
    <row r="393" spans="54:58" x14ac:dyDescent="0.15">
      <c r="BB393" s="26" t="str">
        <f>IFERROR($BC$2&amp;VLOOKUP(B395,'Pay Table'!$M$3:$N$18,2,FALSE)&amp;$BB$2&amp;C395&amp;$BD$2,"")</f>
        <v/>
      </c>
      <c r="BC393" s="1" t="str">
        <f>IFERROR($BC$2&amp;VLOOKUP(D395,'Pay Table'!$M$3:$N$18,2,FALSE)&amp;$BB$2&amp;E395&amp;$BD$2,"")</f>
        <v/>
      </c>
      <c r="BD393" s="1" t="str">
        <f>IFERROR($BC$2&amp;VLOOKUP(F395,'Pay Table'!$M$3:$N$18,2,FALSE)&amp;$BB$2&amp;G395&amp;$BD$2,"")</f>
        <v/>
      </c>
      <c r="BE393" s="1" t="str">
        <f>IFERROR($BC$2&amp;VLOOKUP(H395,'Pay Table'!$M$3:$N$18,2,FALSE)&amp;$BB$2&amp;I395&amp;$BD$2,"")</f>
        <v/>
      </c>
      <c r="BF393" s="27" t="str">
        <f>IFERROR($BC$2&amp;VLOOKUP(J395,'Pay Table'!$M$3:$N$18,2,FALSE)&amp;$BB$2&amp;K395&amp;$BD$2,"")</f>
        <v/>
      </c>
    </row>
    <row r="394" spans="54:58" x14ac:dyDescent="0.15">
      <c r="BB394" s="26" t="str">
        <f>IFERROR($BC$2&amp;VLOOKUP(B396,'Pay Table'!$M$3:$N$18,2,FALSE)&amp;$BB$2&amp;C396&amp;$BD$2,"")</f>
        <v/>
      </c>
      <c r="BC394" s="1" t="str">
        <f>IFERROR($BC$2&amp;VLOOKUP(D396,'Pay Table'!$M$3:$N$18,2,FALSE)&amp;$BB$2&amp;E396&amp;$BD$2,"")</f>
        <v/>
      </c>
      <c r="BD394" s="1" t="str">
        <f>IFERROR($BC$2&amp;VLOOKUP(F396,'Pay Table'!$M$3:$N$18,2,FALSE)&amp;$BB$2&amp;G396&amp;$BD$2,"")</f>
        <v/>
      </c>
      <c r="BE394" s="1" t="str">
        <f>IFERROR($BC$2&amp;VLOOKUP(H396,'Pay Table'!$M$3:$N$18,2,FALSE)&amp;$BB$2&amp;I396&amp;$BD$2,"")</f>
        <v/>
      </c>
      <c r="BF394" s="27" t="str">
        <f>IFERROR($BC$2&amp;VLOOKUP(J396,'Pay Table'!$M$3:$N$18,2,FALSE)&amp;$BB$2&amp;K396&amp;$BD$2,"")</f>
        <v/>
      </c>
    </row>
    <row r="395" spans="54:58" x14ac:dyDescent="0.15">
      <c r="BB395" s="26" t="str">
        <f>IFERROR($BC$2&amp;VLOOKUP(B397,'Pay Table'!$M$3:$N$18,2,FALSE)&amp;$BB$2&amp;C397&amp;$BD$2,"")</f>
        <v/>
      </c>
      <c r="BC395" s="1" t="str">
        <f>IFERROR($BC$2&amp;VLOOKUP(D397,'Pay Table'!$M$3:$N$18,2,FALSE)&amp;$BB$2&amp;E397&amp;$BD$2,"")</f>
        <v/>
      </c>
      <c r="BD395" s="1" t="str">
        <f>IFERROR($BC$2&amp;VLOOKUP(F397,'Pay Table'!$M$3:$N$18,2,FALSE)&amp;$BB$2&amp;G397&amp;$BD$2,"")</f>
        <v/>
      </c>
      <c r="BE395" s="1" t="str">
        <f>IFERROR($BC$2&amp;VLOOKUP(H397,'Pay Table'!$M$3:$N$18,2,FALSE)&amp;$BB$2&amp;I397&amp;$BD$2,"")</f>
        <v/>
      </c>
      <c r="BF395" s="27" t="str">
        <f>IFERROR($BC$2&amp;VLOOKUP(J397,'Pay Table'!$M$3:$N$18,2,FALSE)&amp;$BB$2&amp;K397&amp;$BD$2,"")</f>
        <v/>
      </c>
    </row>
    <row r="396" spans="54:58" x14ac:dyDescent="0.15">
      <c r="BB396" s="26" t="str">
        <f>IFERROR($BC$2&amp;VLOOKUP(B398,'Pay Table'!$M$3:$N$18,2,FALSE)&amp;$BB$2&amp;C398&amp;$BD$2,"")</f>
        <v/>
      </c>
      <c r="BC396" s="1" t="str">
        <f>IFERROR($BC$2&amp;VLOOKUP(D398,'Pay Table'!$M$3:$N$18,2,FALSE)&amp;$BB$2&amp;E398&amp;$BD$2,"")</f>
        <v/>
      </c>
      <c r="BD396" s="1" t="str">
        <f>IFERROR($BC$2&amp;VLOOKUP(F398,'Pay Table'!$M$3:$N$18,2,FALSE)&amp;$BB$2&amp;G398&amp;$BD$2,"")</f>
        <v/>
      </c>
      <c r="BE396" s="1" t="str">
        <f>IFERROR($BC$2&amp;VLOOKUP(H398,'Pay Table'!$M$3:$N$18,2,FALSE)&amp;$BB$2&amp;I398&amp;$BD$2,"")</f>
        <v/>
      </c>
      <c r="BF396" s="27" t="str">
        <f>IFERROR($BC$2&amp;VLOOKUP(J398,'Pay Table'!$M$3:$N$18,2,FALSE)&amp;$BB$2&amp;K398&amp;$BD$2,"")</f>
        <v/>
      </c>
    </row>
    <row r="397" spans="54:58" x14ac:dyDescent="0.15">
      <c r="BB397" s="26" t="str">
        <f>IFERROR($BC$2&amp;VLOOKUP(B399,'Pay Table'!$M$3:$N$18,2,FALSE)&amp;$BB$2&amp;C399&amp;$BD$2,"")</f>
        <v/>
      </c>
      <c r="BC397" s="1" t="str">
        <f>IFERROR($BC$2&amp;VLOOKUP(D399,'Pay Table'!$M$3:$N$18,2,FALSE)&amp;$BB$2&amp;E399&amp;$BD$2,"")</f>
        <v/>
      </c>
      <c r="BD397" s="1" t="str">
        <f>IFERROR($BC$2&amp;VLOOKUP(F399,'Pay Table'!$M$3:$N$18,2,FALSE)&amp;$BB$2&amp;G399&amp;$BD$2,"")</f>
        <v/>
      </c>
      <c r="BE397" s="1" t="str">
        <f>IFERROR($BC$2&amp;VLOOKUP(H399,'Pay Table'!$M$3:$N$18,2,FALSE)&amp;$BB$2&amp;I399&amp;$BD$2,"")</f>
        <v/>
      </c>
      <c r="BF397" s="27" t="str">
        <f>IFERROR($BC$2&amp;VLOOKUP(J399,'Pay Table'!$M$3:$N$18,2,FALSE)&amp;$BB$2&amp;K399&amp;$BD$2,"")</f>
        <v/>
      </c>
    </row>
    <row r="398" spans="54:58" x14ac:dyDescent="0.15">
      <c r="BB398" s="26" t="str">
        <f>IFERROR($BC$2&amp;VLOOKUP(B400,'Pay Table'!$M$3:$N$18,2,FALSE)&amp;$BB$2&amp;C400&amp;$BD$2,"")</f>
        <v/>
      </c>
      <c r="BC398" s="1" t="str">
        <f>IFERROR($BC$2&amp;VLOOKUP(D400,'Pay Table'!$M$3:$N$18,2,FALSE)&amp;$BB$2&amp;E400&amp;$BD$2,"")</f>
        <v/>
      </c>
      <c r="BD398" s="1" t="str">
        <f>IFERROR($BC$2&amp;VLOOKUP(F400,'Pay Table'!$M$3:$N$18,2,FALSE)&amp;$BB$2&amp;G400&amp;$BD$2,"")</f>
        <v/>
      </c>
      <c r="BE398" s="1" t="str">
        <f>IFERROR($BC$2&amp;VLOOKUP(H400,'Pay Table'!$M$3:$N$18,2,FALSE)&amp;$BB$2&amp;I400&amp;$BD$2,"")</f>
        <v/>
      </c>
      <c r="BF398" s="27" t="str">
        <f>IFERROR($BC$2&amp;VLOOKUP(J400,'Pay Table'!$M$3:$N$18,2,FALSE)&amp;$BB$2&amp;K400&amp;$BD$2,"")</f>
        <v/>
      </c>
    </row>
    <row r="399" spans="54:58" x14ac:dyDescent="0.15">
      <c r="BB399" s="26" t="str">
        <f>IFERROR($BC$2&amp;VLOOKUP(B401,'Pay Table'!$M$3:$N$18,2,FALSE)&amp;$BB$2&amp;C401&amp;$BD$2,"")</f>
        <v/>
      </c>
      <c r="BC399" s="1" t="str">
        <f>IFERROR($BC$2&amp;VLOOKUP(D401,'Pay Table'!$M$3:$N$18,2,FALSE)&amp;$BB$2&amp;E401&amp;$BD$2,"")</f>
        <v/>
      </c>
      <c r="BD399" s="1" t="str">
        <f>IFERROR($BC$2&amp;VLOOKUP(F401,'Pay Table'!$M$3:$N$18,2,FALSE)&amp;$BB$2&amp;G401&amp;$BD$2,"")</f>
        <v/>
      </c>
      <c r="BE399" s="1" t="str">
        <f>IFERROR($BC$2&amp;VLOOKUP(H401,'Pay Table'!$M$3:$N$18,2,FALSE)&amp;$BB$2&amp;I401&amp;$BD$2,"")</f>
        <v/>
      </c>
      <c r="BF399" s="27" t="str">
        <f>IFERROR($BC$2&amp;VLOOKUP(J401,'Pay Table'!$M$3:$N$18,2,FALSE)&amp;$BB$2&amp;K401&amp;$BD$2,"")</f>
        <v/>
      </c>
    </row>
    <row r="400" spans="54:58" x14ac:dyDescent="0.15">
      <c r="BB400" s="26" t="str">
        <f>IFERROR($BC$2&amp;VLOOKUP(B402,'Pay Table'!$M$3:$N$18,2,FALSE)&amp;$BB$2&amp;C402&amp;$BD$2,"")</f>
        <v/>
      </c>
      <c r="BC400" s="1" t="str">
        <f>IFERROR($BC$2&amp;VLOOKUP(D402,'Pay Table'!$M$3:$N$18,2,FALSE)&amp;$BB$2&amp;E402&amp;$BD$2,"")</f>
        <v/>
      </c>
      <c r="BD400" s="1" t="str">
        <f>IFERROR($BC$2&amp;VLOOKUP(F402,'Pay Table'!$M$3:$N$18,2,FALSE)&amp;$BB$2&amp;G402&amp;$BD$2,"")</f>
        <v/>
      </c>
      <c r="BE400" s="1" t="str">
        <f>IFERROR($BC$2&amp;VLOOKUP(H402,'Pay Table'!$M$3:$N$18,2,FALSE)&amp;$BB$2&amp;I402&amp;$BD$2,"")</f>
        <v/>
      </c>
      <c r="BF400" s="27" t="str">
        <f>IFERROR($BC$2&amp;VLOOKUP(J402,'Pay Table'!$M$3:$N$18,2,FALSE)&amp;$BB$2&amp;K402&amp;$BD$2,"")</f>
        <v/>
      </c>
    </row>
    <row r="401" spans="54:58" x14ac:dyDescent="0.15">
      <c r="BB401" s="26" t="str">
        <f>IFERROR($BC$2&amp;VLOOKUP(B403,'Pay Table'!$M$3:$N$18,2,FALSE)&amp;$BB$2&amp;C403&amp;$BD$2,"")</f>
        <v/>
      </c>
      <c r="BC401" s="1" t="str">
        <f>IFERROR($BC$2&amp;VLOOKUP(D403,'Pay Table'!$M$3:$N$18,2,FALSE)&amp;$BB$2&amp;E403&amp;$BD$2,"")</f>
        <v/>
      </c>
      <c r="BD401" s="1" t="str">
        <f>IFERROR($BC$2&amp;VLOOKUP(F403,'Pay Table'!$M$3:$N$18,2,FALSE)&amp;$BB$2&amp;G403&amp;$BD$2,"")</f>
        <v/>
      </c>
      <c r="BE401" s="1" t="str">
        <f>IFERROR($BC$2&amp;VLOOKUP(H403,'Pay Table'!$M$3:$N$18,2,FALSE)&amp;$BB$2&amp;I403&amp;$BD$2,"")</f>
        <v/>
      </c>
      <c r="BF401" s="27" t="str">
        <f>IFERROR($BC$2&amp;VLOOKUP(J403,'Pay Table'!$M$3:$N$18,2,FALSE)&amp;$BB$2&amp;K403&amp;$BD$2,"")</f>
        <v/>
      </c>
    </row>
    <row r="402" spans="54:58" x14ac:dyDescent="0.15">
      <c r="BB402" s="26" t="str">
        <f>IFERROR($BC$2&amp;VLOOKUP(B404,'Pay Table'!$M$3:$N$18,2,FALSE)&amp;$BB$2&amp;C404&amp;$BD$2,"")</f>
        <v/>
      </c>
      <c r="BC402" s="1" t="str">
        <f>IFERROR($BC$2&amp;VLOOKUP(D404,'Pay Table'!$M$3:$N$18,2,FALSE)&amp;$BB$2&amp;E404&amp;$BD$2,"")</f>
        <v/>
      </c>
      <c r="BD402" s="1" t="str">
        <f>IFERROR($BC$2&amp;VLOOKUP(F404,'Pay Table'!$M$3:$N$18,2,FALSE)&amp;$BB$2&amp;G404&amp;$BD$2,"")</f>
        <v/>
      </c>
      <c r="BE402" s="1" t="str">
        <f>IFERROR($BC$2&amp;VLOOKUP(H404,'Pay Table'!$M$3:$N$18,2,FALSE)&amp;$BB$2&amp;I404&amp;$BD$2,"")</f>
        <v/>
      </c>
      <c r="BF402" s="27" t="str">
        <f>IFERROR($BC$2&amp;VLOOKUP(J404,'Pay Table'!$M$3:$N$18,2,FALSE)&amp;$BB$2&amp;K404&amp;$BD$2,"")</f>
        <v/>
      </c>
    </row>
    <row r="403" spans="54:58" x14ac:dyDescent="0.15">
      <c r="BB403" s="26" t="str">
        <f>IFERROR($BC$2&amp;VLOOKUP(B405,'Pay Table'!$M$3:$N$18,2,FALSE)&amp;$BB$2&amp;C405&amp;$BD$2,"")</f>
        <v/>
      </c>
      <c r="BC403" s="1" t="str">
        <f>IFERROR($BC$2&amp;VLOOKUP(D405,'Pay Table'!$M$3:$N$18,2,FALSE)&amp;$BB$2&amp;E405&amp;$BD$2,"")</f>
        <v/>
      </c>
      <c r="BD403" s="1" t="str">
        <f>IFERROR($BC$2&amp;VLOOKUP(F405,'Pay Table'!$M$3:$N$18,2,FALSE)&amp;$BB$2&amp;G405&amp;$BD$2,"")</f>
        <v/>
      </c>
      <c r="BE403" s="1" t="str">
        <f>IFERROR($BC$2&amp;VLOOKUP(H405,'Pay Table'!$M$3:$N$18,2,FALSE)&amp;$BB$2&amp;I405&amp;$BD$2,"")</f>
        <v/>
      </c>
      <c r="BF403" s="27" t="str">
        <f>IFERROR($BC$2&amp;VLOOKUP(J405,'Pay Table'!$M$3:$N$18,2,FALSE)&amp;$BB$2&amp;K405&amp;$BD$2,"")</f>
        <v/>
      </c>
    </row>
    <row r="404" spans="54:58" x14ac:dyDescent="0.15">
      <c r="BB404" s="26" t="str">
        <f>IFERROR($BC$2&amp;VLOOKUP(B406,'Pay Table'!$M$3:$N$18,2,FALSE)&amp;$BB$2&amp;C406&amp;$BD$2,"")</f>
        <v/>
      </c>
      <c r="BC404" s="1" t="str">
        <f>IFERROR($BC$2&amp;VLOOKUP(D406,'Pay Table'!$M$3:$N$18,2,FALSE)&amp;$BB$2&amp;E406&amp;$BD$2,"")</f>
        <v/>
      </c>
      <c r="BD404" s="1" t="str">
        <f>IFERROR($BC$2&amp;VLOOKUP(F406,'Pay Table'!$M$3:$N$18,2,FALSE)&amp;$BB$2&amp;G406&amp;$BD$2,"")</f>
        <v/>
      </c>
      <c r="BE404" s="1" t="str">
        <f>IFERROR($BC$2&amp;VLOOKUP(H406,'Pay Table'!$M$3:$N$18,2,FALSE)&amp;$BB$2&amp;I406&amp;$BD$2,"")</f>
        <v/>
      </c>
      <c r="BF404" s="27" t="str">
        <f>IFERROR($BC$2&amp;VLOOKUP(J406,'Pay Table'!$M$3:$N$18,2,FALSE)&amp;$BB$2&amp;K406&amp;$BD$2,"")</f>
        <v/>
      </c>
    </row>
    <row r="405" spans="54:58" x14ac:dyDescent="0.15">
      <c r="BB405" s="26" t="str">
        <f>IFERROR($BC$2&amp;VLOOKUP(B407,'Pay Table'!$M$3:$N$18,2,FALSE)&amp;$BB$2&amp;C407&amp;$BD$2,"")</f>
        <v/>
      </c>
      <c r="BC405" s="1" t="str">
        <f>IFERROR($BC$2&amp;VLOOKUP(D407,'Pay Table'!$M$3:$N$18,2,FALSE)&amp;$BB$2&amp;E407&amp;$BD$2,"")</f>
        <v/>
      </c>
      <c r="BD405" s="1" t="str">
        <f>IFERROR($BC$2&amp;VLOOKUP(F407,'Pay Table'!$M$3:$N$18,2,FALSE)&amp;$BB$2&amp;G407&amp;$BD$2,"")</f>
        <v/>
      </c>
      <c r="BE405" s="1" t="str">
        <f>IFERROR($BC$2&amp;VLOOKUP(H407,'Pay Table'!$M$3:$N$18,2,FALSE)&amp;$BB$2&amp;I407&amp;$BD$2,"")</f>
        <v/>
      </c>
      <c r="BF405" s="27" t="str">
        <f>IFERROR($BC$2&amp;VLOOKUP(J407,'Pay Table'!$M$3:$N$18,2,FALSE)&amp;$BB$2&amp;K407&amp;$BD$2,"")</f>
        <v/>
      </c>
    </row>
    <row r="406" spans="54:58" x14ac:dyDescent="0.15">
      <c r="BB406" s="26" t="str">
        <f>IFERROR($BC$2&amp;VLOOKUP(B408,'Pay Table'!$M$3:$N$18,2,FALSE)&amp;$BB$2&amp;C408&amp;$BD$2,"")</f>
        <v/>
      </c>
      <c r="BC406" s="1" t="str">
        <f>IFERROR($BC$2&amp;VLOOKUP(D408,'Pay Table'!$M$3:$N$18,2,FALSE)&amp;$BB$2&amp;E408&amp;$BD$2,"")</f>
        <v/>
      </c>
      <c r="BD406" s="1" t="str">
        <f>IFERROR($BC$2&amp;VLOOKUP(F408,'Pay Table'!$M$3:$N$18,2,FALSE)&amp;$BB$2&amp;G408&amp;$BD$2,"")</f>
        <v/>
      </c>
      <c r="BE406" s="1" t="str">
        <f>IFERROR($BC$2&amp;VLOOKUP(H408,'Pay Table'!$M$3:$N$18,2,FALSE)&amp;$BB$2&amp;I408&amp;$BD$2,"")</f>
        <v/>
      </c>
      <c r="BF406" s="27" t="str">
        <f>IFERROR($BC$2&amp;VLOOKUP(J408,'Pay Table'!$M$3:$N$18,2,FALSE)&amp;$BB$2&amp;K408&amp;$BD$2,"")</f>
        <v/>
      </c>
    </row>
    <row r="407" spans="54:58" x14ac:dyDescent="0.15">
      <c r="BB407" s="26" t="str">
        <f>IFERROR($BC$2&amp;VLOOKUP(B409,'Pay Table'!$M$3:$N$18,2,FALSE)&amp;$BB$2&amp;C409&amp;$BD$2,"")</f>
        <v/>
      </c>
      <c r="BC407" s="1" t="str">
        <f>IFERROR($BC$2&amp;VLOOKUP(D409,'Pay Table'!$M$3:$N$18,2,FALSE)&amp;$BB$2&amp;E409&amp;$BD$2,"")</f>
        <v/>
      </c>
      <c r="BD407" s="1" t="str">
        <f>IFERROR($BC$2&amp;VLOOKUP(F409,'Pay Table'!$M$3:$N$18,2,FALSE)&amp;$BB$2&amp;G409&amp;$BD$2,"")</f>
        <v/>
      </c>
      <c r="BE407" s="1" t="str">
        <f>IFERROR($BC$2&amp;VLOOKUP(H409,'Pay Table'!$M$3:$N$18,2,FALSE)&amp;$BB$2&amp;I409&amp;$BD$2,"")</f>
        <v/>
      </c>
      <c r="BF407" s="27" t="str">
        <f>IFERROR($BC$2&amp;VLOOKUP(J409,'Pay Table'!$M$3:$N$18,2,FALSE)&amp;$BB$2&amp;K409&amp;$BD$2,"")</f>
        <v/>
      </c>
    </row>
    <row r="408" spans="54:58" x14ac:dyDescent="0.15">
      <c r="BB408" s="26" t="str">
        <f>IFERROR($BC$2&amp;VLOOKUP(B410,'Pay Table'!$M$3:$N$18,2,FALSE)&amp;$BB$2&amp;C410&amp;$BD$2,"")</f>
        <v/>
      </c>
      <c r="BC408" s="1" t="str">
        <f>IFERROR($BC$2&amp;VLOOKUP(D410,'Pay Table'!$M$3:$N$18,2,FALSE)&amp;$BB$2&amp;E410&amp;$BD$2,"")</f>
        <v/>
      </c>
      <c r="BD408" s="1" t="str">
        <f>IFERROR($BC$2&amp;VLOOKUP(F410,'Pay Table'!$M$3:$N$18,2,FALSE)&amp;$BB$2&amp;G410&amp;$BD$2,"")</f>
        <v/>
      </c>
      <c r="BE408" s="1" t="str">
        <f>IFERROR($BC$2&amp;VLOOKUP(H410,'Pay Table'!$M$3:$N$18,2,FALSE)&amp;$BB$2&amp;I410&amp;$BD$2,"")</f>
        <v/>
      </c>
      <c r="BF408" s="27" t="str">
        <f>IFERROR($BC$2&amp;VLOOKUP(J410,'Pay Table'!$M$3:$N$18,2,FALSE)&amp;$BB$2&amp;K410&amp;$BD$2,"")</f>
        <v/>
      </c>
    </row>
    <row r="409" spans="54:58" x14ac:dyDescent="0.15">
      <c r="BB409" s="26" t="str">
        <f>IFERROR($BC$2&amp;VLOOKUP(B411,'Pay Table'!$M$3:$N$18,2,FALSE)&amp;$BB$2&amp;C411&amp;$BD$2,"")</f>
        <v/>
      </c>
      <c r="BC409" s="1" t="str">
        <f>IFERROR($BC$2&amp;VLOOKUP(D411,'Pay Table'!$M$3:$N$18,2,FALSE)&amp;$BB$2&amp;E411&amp;$BD$2,"")</f>
        <v/>
      </c>
      <c r="BD409" s="1" t="str">
        <f>IFERROR($BC$2&amp;VLOOKUP(F411,'Pay Table'!$M$3:$N$18,2,FALSE)&amp;$BB$2&amp;G411&amp;$BD$2,"")</f>
        <v/>
      </c>
      <c r="BE409" s="1" t="str">
        <f>IFERROR($BC$2&amp;VLOOKUP(H411,'Pay Table'!$M$3:$N$18,2,FALSE)&amp;$BB$2&amp;I411&amp;$BD$2,"")</f>
        <v/>
      </c>
      <c r="BF409" s="27" t="str">
        <f>IFERROR($BC$2&amp;VLOOKUP(J411,'Pay Table'!$M$3:$N$18,2,FALSE)&amp;$BB$2&amp;K411&amp;$BD$2,"")</f>
        <v/>
      </c>
    </row>
    <row r="410" spans="54:58" x14ac:dyDescent="0.15">
      <c r="BB410" s="26" t="str">
        <f>IFERROR($BC$2&amp;VLOOKUP(B412,'Pay Table'!$M$3:$N$18,2,FALSE)&amp;$BB$2&amp;C412&amp;$BD$2,"")</f>
        <v/>
      </c>
      <c r="BC410" s="1" t="str">
        <f>IFERROR($BC$2&amp;VLOOKUP(D412,'Pay Table'!$M$3:$N$18,2,FALSE)&amp;$BB$2&amp;E412&amp;$BD$2,"")</f>
        <v/>
      </c>
      <c r="BD410" s="1" t="str">
        <f>IFERROR($BC$2&amp;VLOOKUP(F412,'Pay Table'!$M$3:$N$18,2,FALSE)&amp;$BB$2&amp;G412&amp;$BD$2,"")</f>
        <v/>
      </c>
      <c r="BE410" s="1" t="str">
        <f>IFERROR($BC$2&amp;VLOOKUP(H412,'Pay Table'!$M$3:$N$18,2,FALSE)&amp;$BB$2&amp;I412&amp;$BD$2,"")</f>
        <v/>
      </c>
      <c r="BF410" s="27" t="str">
        <f>IFERROR($BC$2&amp;VLOOKUP(J412,'Pay Table'!$M$3:$N$18,2,FALSE)&amp;$BB$2&amp;K412&amp;$BD$2,"")</f>
        <v/>
      </c>
    </row>
    <row r="411" spans="54:58" x14ac:dyDescent="0.15">
      <c r="BB411" s="26" t="str">
        <f>IFERROR($BC$2&amp;VLOOKUP(B413,'Pay Table'!$M$3:$N$18,2,FALSE)&amp;$BB$2&amp;C413&amp;$BD$2,"")</f>
        <v/>
      </c>
      <c r="BC411" s="1" t="str">
        <f>IFERROR($BC$2&amp;VLOOKUP(D413,'Pay Table'!$M$3:$N$18,2,FALSE)&amp;$BB$2&amp;E413&amp;$BD$2,"")</f>
        <v/>
      </c>
      <c r="BD411" s="1" t="str">
        <f>IFERROR($BC$2&amp;VLOOKUP(F413,'Pay Table'!$M$3:$N$18,2,FALSE)&amp;$BB$2&amp;G413&amp;$BD$2,"")</f>
        <v/>
      </c>
      <c r="BE411" s="1" t="str">
        <f>IFERROR($BC$2&amp;VLOOKUP(H413,'Pay Table'!$M$3:$N$18,2,FALSE)&amp;$BB$2&amp;I413&amp;$BD$2,"")</f>
        <v/>
      </c>
      <c r="BF411" s="27" t="str">
        <f>IFERROR($BC$2&amp;VLOOKUP(J413,'Pay Table'!$M$3:$N$18,2,FALSE)&amp;$BB$2&amp;K413&amp;$BD$2,"")</f>
        <v/>
      </c>
    </row>
    <row r="412" spans="54:58" x14ac:dyDescent="0.15">
      <c r="BB412" s="26" t="str">
        <f>IFERROR($BC$2&amp;VLOOKUP(B414,'Pay Table'!$M$3:$N$18,2,FALSE)&amp;$BB$2&amp;C414&amp;$BD$2,"")</f>
        <v/>
      </c>
      <c r="BC412" s="1" t="str">
        <f>IFERROR($BC$2&amp;VLOOKUP(D414,'Pay Table'!$M$3:$N$18,2,FALSE)&amp;$BB$2&amp;E414&amp;$BD$2,"")</f>
        <v/>
      </c>
      <c r="BD412" s="1" t="str">
        <f>IFERROR($BC$2&amp;VLOOKUP(F414,'Pay Table'!$M$3:$N$18,2,FALSE)&amp;$BB$2&amp;G414&amp;$BD$2,"")</f>
        <v/>
      </c>
      <c r="BE412" s="1" t="str">
        <f>IFERROR($BC$2&amp;VLOOKUP(H414,'Pay Table'!$M$3:$N$18,2,FALSE)&amp;$BB$2&amp;I414&amp;$BD$2,"")</f>
        <v/>
      </c>
      <c r="BF412" s="27" t="str">
        <f>IFERROR($BC$2&amp;VLOOKUP(J414,'Pay Table'!$M$3:$N$18,2,FALSE)&amp;$BB$2&amp;K414&amp;$BD$2,"")</f>
        <v/>
      </c>
    </row>
    <row r="413" spans="54:58" x14ac:dyDescent="0.15">
      <c r="BB413" s="26" t="str">
        <f>IFERROR($BC$2&amp;VLOOKUP(B415,'Pay Table'!$M$3:$N$18,2,FALSE)&amp;$BB$2&amp;C415&amp;$BD$2,"")</f>
        <v/>
      </c>
      <c r="BC413" s="1" t="str">
        <f>IFERROR($BC$2&amp;VLOOKUP(D415,'Pay Table'!$M$3:$N$18,2,FALSE)&amp;$BB$2&amp;E415&amp;$BD$2,"")</f>
        <v/>
      </c>
      <c r="BD413" s="1" t="str">
        <f>IFERROR($BC$2&amp;VLOOKUP(F415,'Pay Table'!$M$3:$N$18,2,FALSE)&amp;$BB$2&amp;G415&amp;$BD$2,"")</f>
        <v/>
      </c>
      <c r="BE413" s="1" t="str">
        <f>IFERROR($BC$2&amp;VLOOKUP(H415,'Pay Table'!$M$3:$N$18,2,FALSE)&amp;$BB$2&amp;I415&amp;$BD$2,"")</f>
        <v/>
      </c>
      <c r="BF413" s="27" t="str">
        <f>IFERROR($BC$2&amp;VLOOKUP(J415,'Pay Table'!$M$3:$N$18,2,FALSE)&amp;$BB$2&amp;K415&amp;$BD$2,"")</f>
        <v/>
      </c>
    </row>
    <row r="414" spans="54:58" x14ac:dyDescent="0.15">
      <c r="BB414" s="26" t="str">
        <f>IFERROR($BC$2&amp;VLOOKUP(B416,'Pay Table'!$M$3:$N$18,2,FALSE)&amp;$BB$2&amp;C416&amp;$BD$2,"")</f>
        <v/>
      </c>
      <c r="BC414" s="1" t="str">
        <f>IFERROR($BC$2&amp;VLOOKUP(D416,'Pay Table'!$M$3:$N$18,2,FALSE)&amp;$BB$2&amp;E416&amp;$BD$2,"")</f>
        <v/>
      </c>
      <c r="BD414" s="1" t="str">
        <f>IFERROR($BC$2&amp;VLOOKUP(F416,'Pay Table'!$M$3:$N$18,2,FALSE)&amp;$BB$2&amp;G416&amp;$BD$2,"")</f>
        <v/>
      </c>
      <c r="BE414" s="1" t="str">
        <f>IFERROR($BC$2&amp;VLOOKUP(H416,'Pay Table'!$M$3:$N$18,2,FALSE)&amp;$BB$2&amp;I416&amp;$BD$2,"")</f>
        <v/>
      </c>
      <c r="BF414" s="27" t="str">
        <f>IFERROR($BC$2&amp;VLOOKUP(J416,'Pay Table'!$M$3:$N$18,2,FALSE)&amp;$BB$2&amp;K416&amp;$BD$2,"")</f>
        <v/>
      </c>
    </row>
    <row r="415" spans="54:58" x14ac:dyDescent="0.15">
      <c r="BB415" s="26" t="str">
        <f>IFERROR($BC$2&amp;VLOOKUP(B417,'Pay Table'!$M$3:$N$18,2,FALSE)&amp;$BB$2&amp;C417&amp;$BD$2,"")</f>
        <v/>
      </c>
      <c r="BC415" s="1" t="str">
        <f>IFERROR($BC$2&amp;VLOOKUP(D417,'Pay Table'!$M$3:$N$18,2,FALSE)&amp;$BB$2&amp;E417&amp;$BD$2,"")</f>
        <v/>
      </c>
      <c r="BD415" s="1" t="str">
        <f>IFERROR($BC$2&amp;VLOOKUP(F417,'Pay Table'!$M$3:$N$18,2,FALSE)&amp;$BB$2&amp;G417&amp;$BD$2,"")</f>
        <v/>
      </c>
      <c r="BE415" s="1" t="str">
        <f>IFERROR($BC$2&amp;VLOOKUP(H417,'Pay Table'!$M$3:$N$18,2,FALSE)&amp;$BB$2&amp;I417&amp;$BD$2,"")</f>
        <v/>
      </c>
      <c r="BF415" s="27" t="str">
        <f>IFERROR($BC$2&amp;VLOOKUP(J417,'Pay Table'!$M$3:$N$18,2,FALSE)&amp;$BB$2&amp;K417&amp;$BD$2,"")</f>
        <v/>
      </c>
    </row>
    <row r="416" spans="54:58" x14ac:dyDescent="0.15">
      <c r="BB416" s="26" t="str">
        <f>IFERROR($BC$2&amp;VLOOKUP(B418,'Pay Table'!$M$3:$N$18,2,FALSE)&amp;$BB$2&amp;C418&amp;$BD$2,"")</f>
        <v/>
      </c>
      <c r="BC416" s="1" t="str">
        <f>IFERROR($BC$2&amp;VLOOKUP(D418,'Pay Table'!$M$3:$N$18,2,FALSE)&amp;$BB$2&amp;E418&amp;$BD$2,"")</f>
        <v/>
      </c>
      <c r="BD416" s="1" t="str">
        <f>IFERROR($BC$2&amp;VLOOKUP(F418,'Pay Table'!$M$3:$N$18,2,FALSE)&amp;$BB$2&amp;G418&amp;$BD$2,"")</f>
        <v/>
      </c>
      <c r="BE416" s="1" t="str">
        <f>IFERROR($BC$2&amp;VLOOKUP(H418,'Pay Table'!$M$3:$N$18,2,FALSE)&amp;$BB$2&amp;I418&amp;$BD$2,"")</f>
        <v/>
      </c>
      <c r="BF416" s="27" t="str">
        <f>IFERROR($BC$2&amp;VLOOKUP(J418,'Pay Table'!$M$3:$N$18,2,FALSE)&amp;$BB$2&amp;K418&amp;$BD$2,"")</f>
        <v/>
      </c>
    </row>
    <row r="417" spans="54:58" x14ac:dyDescent="0.15">
      <c r="BB417" s="26" t="str">
        <f>IFERROR($BC$2&amp;VLOOKUP(B419,'Pay Table'!$M$3:$N$18,2,FALSE)&amp;$BB$2&amp;C419&amp;$BD$2,"")</f>
        <v/>
      </c>
      <c r="BC417" s="1" t="str">
        <f>IFERROR($BC$2&amp;VLOOKUP(D419,'Pay Table'!$M$3:$N$18,2,FALSE)&amp;$BB$2&amp;E419&amp;$BD$2,"")</f>
        <v/>
      </c>
      <c r="BD417" s="1" t="str">
        <f>IFERROR($BC$2&amp;VLOOKUP(F419,'Pay Table'!$M$3:$N$18,2,FALSE)&amp;$BB$2&amp;G419&amp;$BD$2,"")</f>
        <v/>
      </c>
      <c r="BE417" s="1" t="str">
        <f>IFERROR($BC$2&amp;VLOOKUP(H419,'Pay Table'!$M$3:$N$18,2,FALSE)&amp;$BB$2&amp;I419&amp;$BD$2,"")</f>
        <v/>
      </c>
      <c r="BF417" s="27" t="str">
        <f>IFERROR($BC$2&amp;VLOOKUP(J419,'Pay Table'!$M$3:$N$18,2,FALSE)&amp;$BB$2&amp;K419&amp;$BD$2,"")</f>
        <v/>
      </c>
    </row>
    <row r="418" spans="54:58" x14ac:dyDescent="0.15">
      <c r="BB418" s="26" t="str">
        <f>IFERROR($BC$2&amp;VLOOKUP(B420,'Pay Table'!$M$3:$N$18,2,FALSE)&amp;$BB$2&amp;C420&amp;$BD$2,"")</f>
        <v/>
      </c>
      <c r="BC418" s="1" t="str">
        <f>IFERROR($BC$2&amp;VLOOKUP(D420,'Pay Table'!$M$3:$N$18,2,FALSE)&amp;$BB$2&amp;E420&amp;$BD$2,"")</f>
        <v/>
      </c>
      <c r="BD418" s="1" t="str">
        <f>IFERROR($BC$2&amp;VLOOKUP(F420,'Pay Table'!$M$3:$N$18,2,FALSE)&amp;$BB$2&amp;G420&amp;$BD$2,"")</f>
        <v/>
      </c>
      <c r="BE418" s="1" t="str">
        <f>IFERROR($BC$2&amp;VLOOKUP(H420,'Pay Table'!$M$3:$N$18,2,FALSE)&amp;$BB$2&amp;I420&amp;$BD$2,"")</f>
        <v/>
      </c>
      <c r="BF418" s="27" t="str">
        <f>IFERROR($BC$2&amp;VLOOKUP(J420,'Pay Table'!$M$3:$N$18,2,FALSE)&amp;$BB$2&amp;K420&amp;$BD$2,"")</f>
        <v/>
      </c>
    </row>
    <row r="419" spans="54:58" x14ac:dyDescent="0.15">
      <c r="BB419" s="26" t="str">
        <f>IFERROR($BC$2&amp;VLOOKUP(B421,'Pay Table'!$M$3:$N$18,2,FALSE)&amp;$BB$2&amp;C421&amp;$BD$2,"")</f>
        <v/>
      </c>
      <c r="BC419" s="1" t="str">
        <f>IFERROR($BC$2&amp;VLOOKUP(D421,'Pay Table'!$M$3:$N$18,2,FALSE)&amp;$BB$2&amp;E421&amp;$BD$2,"")</f>
        <v/>
      </c>
      <c r="BD419" s="1" t="str">
        <f>IFERROR($BC$2&amp;VLOOKUP(F421,'Pay Table'!$M$3:$N$18,2,FALSE)&amp;$BB$2&amp;G421&amp;$BD$2,"")</f>
        <v/>
      </c>
      <c r="BE419" s="1" t="str">
        <f>IFERROR($BC$2&amp;VLOOKUP(H421,'Pay Table'!$M$3:$N$18,2,FALSE)&amp;$BB$2&amp;I421&amp;$BD$2,"")</f>
        <v/>
      </c>
      <c r="BF419" s="27" t="str">
        <f>IFERROR($BC$2&amp;VLOOKUP(J421,'Pay Table'!$M$3:$N$18,2,FALSE)&amp;$BB$2&amp;K421&amp;$BD$2,"")</f>
        <v/>
      </c>
    </row>
    <row r="420" spans="54:58" x14ac:dyDescent="0.15">
      <c r="BB420" s="26" t="str">
        <f>IFERROR($BC$2&amp;VLOOKUP(B422,'Pay Table'!$M$3:$N$18,2,FALSE)&amp;$BB$2&amp;C422&amp;$BD$2,"")</f>
        <v/>
      </c>
      <c r="BC420" s="1" t="str">
        <f>IFERROR($BC$2&amp;VLOOKUP(D422,'Pay Table'!$M$3:$N$18,2,FALSE)&amp;$BB$2&amp;E422&amp;$BD$2,"")</f>
        <v/>
      </c>
      <c r="BD420" s="1" t="str">
        <f>IFERROR($BC$2&amp;VLOOKUP(F422,'Pay Table'!$M$3:$N$18,2,FALSE)&amp;$BB$2&amp;G422&amp;$BD$2,"")</f>
        <v/>
      </c>
      <c r="BE420" s="1" t="str">
        <f>IFERROR($BC$2&amp;VLOOKUP(H422,'Pay Table'!$M$3:$N$18,2,FALSE)&amp;$BB$2&amp;I422&amp;$BD$2,"")</f>
        <v/>
      </c>
      <c r="BF420" s="27" t="str">
        <f>IFERROR($BC$2&amp;VLOOKUP(J422,'Pay Table'!$M$3:$N$18,2,FALSE)&amp;$BB$2&amp;K422&amp;$BD$2,"")</f>
        <v/>
      </c>
    </row>
    <row r="421" spans="54:58" x14ac:dyDescent="0.15">
      <c r="BB421" s="26" t="str">
        <f>IFERROR($BC$2&amp;VLOOKUP(B423,'Pay Table'!$M$3:$N$18,2,FALSE)&amp;$BB$2&amp;C423&amp;$BD$2,"")</f>
        <v/>
      </c>
      <c r="BC421" s="1" t="str">
        <f>IFERROR($BC$2&amp;VLOOKUP(D423,'Pay Table'!$M$3:$N$18,2,FALSE)&amp;$BB$2&amp;E423&amp;$BD$2,"")</f>
        <v/>
      </c>
      <c r="BD421" s="1" t="str">
        <f>IFERROR($BC$2&amp;VLOOKUP(F423,'Pay Table'!$M$3:$N$18,2,FALSE)&amp;$BB$2&amp;G423&amp;$BD$2,"")</f>
        <v/>
      </c>
      <c r="BE421" s="1" t="str">
        <f>IFERROR($BC$2&amp;VLOOKUP(H423,'Pay Table'!$M$3:$N$18,2,FALSE)&amp;$BB$2&amp;I423&amp;$BD$2,"")</f>
        <v/>
      </c>
      <c r="BF421" s="27" t="str">
        <f>IFERROR($BC$2&amp;VLOOKUP(J423,'Pay Table'!$M$3:$N$18,2,FALSE)&amp;$BB$2&amp;K423&amp;$BD$2,"")</f>
        <v/>
      </c>
    </row>
    <row r="422" spans="54:58" x14ac:dyDescent="0.15">
      <c r="BB422" s="26" t="str">
        <f>IFERROR($BC$2&amp;VLOOKUP(B424,'Pay Table'!$M$3:$N$18,2,FALSE)&amp;$BB$2&amp;C424&amp;$BD$2,"")</f>
        <v/>
      </c>
      <c r="BC422" s="1" t="str">
        <f>IFERROR($BC$2&amp;VLOOKUP(D424,'Pay Table'!$M$3:$N$18,2,FALSE)&amp;$BB$2&amp;E424&amp;$BD$2,"")</f>
        <v/>
      </c>
      <c r="BD422" s="1" t="str">
        <f>IFERROR($BC$2&amp;VLOOKUP(F424,'Pay Table'!$M$3:$N$18,2,FALSE)&amp;$BB$2&amp;G424&amp;$BD$2,"")</f>
        <v/>
      </c>
      <c r="BE422" s="1" t="str">
        <f>IFERROR($BC$2&amp;VLOOKUP(H424,'Pay Table'!$M$3:$N$18,2,FALSE)&amp;$BB$2&amp;I424&amp;$BD$2,"")</f>
        <v/>
      </c>
      <c r="BF422" s="27" t="str">
        <f>IFERROR($BC$2&amp;VLOOKUP(J424,'Pay Table'!$M$3:$N$18,2,FALSE)&amp;$BB$2&amp;K424&amp;$BD$2,"")</f>
        <v/>
      </c>
    </row>
    <row r="423" spans="54:58" x14ac:dyDescent="0.15">
      <c r="BB423" s="26" t="str">
        <f>IFERROR($BC$2&amp;VLOOKUP(B425,'Pay Table'!$M$3:$N$18,2,FALSE)&amp;$BB$2&amp;C425&amp;$BD$2,"")</f>
        <v/>
      </c>
      <c r="BC423" s="1" t="str">
        <f>IFERROR($BC$2&amp;VLOOKUP(D425,'Pay Table'!$M$3:$N$18,2,FALSE)&amp;$BB$2&amp;E425&amp;$BD$2,"")</f>
        <v/>
      </c>
      <c r="BD423" s="1" t="str">
        <f>IFERROR($BC$2&amp;VLOOKUP(F425,'Pay Table'!$M$3:$N$18,2,FALSE)&amp;$BB$2&amp;G425&amp;$BD$2,"")</f>
        <v/>
      </c>
      <c r="BE423" s="1" t="str">
        <f>IFERROR($BC$2&amp;VLOOKUP(H425,'Pay Table'!$M$3:$N$18,2,FALSE)&amp;$BB$2&amp;I425&amp;$BD$2,"")</f>
        <v/>
      </c>
      <c r="BF423" s="27" t="str">
        <f>IFERROR($BC$2&amp;VLOOKUP(J425,'Pay Table'!$M$3:$N$18,2,FALSE)&amp;$BB$2&amp;K425&amp;$BD$2,"")</f>
        <v/>
      </c>
    </row>
    <row r="424" spans="54:58" x14ac:dyDescent="0.15">
      <c r="BB424" s="26" t="str">
        <f>IFERROR($BC$2&amp;VLOOKUP(B426,'Pay Table'!$M$3:$N$18,2,FALSE)&amp;$BB$2&amp;C426&amp;$BD$2,"")</f>
        <v/>
      </c>
      <c r="BC424" s="1" t="str">
        <f>IFERROR($BC$2&amp;VLOOKUP(D426,'Pay Table'!$M$3:$N$18,2,FALSE)&amp;$BB$2&amp;E426&amp;$BD$2,"")</f>
        <v/>
      </c>
      <c r="BD424" s="1" t="str">
        <f>IFERROR($BC$2&amp;VLOOKUP(F426,'Pay Table'!$M$3:$N$18,2,FALSE)&amp;$BB$2&amp;G426&amp;$BD$2,"")</f>
        <v/>
      </c>
      <c r="BE424" s="1" t="str">
        <f>IFERROR($BC$2&amp;VLOOKUP(H426,'Pay Table'!$M$3:$N$18,2,FALSE)&amp;$BB$2&amp;I426&amp;$BD$2,"")</f>
        <v/>
      </c>
      <c r="BF424" s="27" t="str">
        <f>IFERROR($BC$2&amp;VLOOKUP(J426,'Pay Table'!$M$3:$N$18,2,FALSE)&amp;$BB$2&amp;K426&amp;$BD$2,"")</f>
        <v/>
      </c>
    </row>
    <row r="425" spans="54:58" x14ac:dyDescent="0.15">
      <c r="BB425" s="26" t="str">
        <f>IFERROR($BC$2&amp;VLOOKUP(B427,'Pay Table'!$M$3:$N$18,2,FALSE)&amp;$BB$2&amp;C427&amp;$BD$2,"")</f>
        <v/>
      </c>
      <c r="BC425" s="1" t="str">
        <f>IFERROR($BC$2&amp;VLOOKUP(D427,'Pay Table'!$M$3:$N$18,2,FALSE)&amp;$BB$2&amp;E427&amp;$BD$2,"")</f>
        <v/>
      </c>
      <c r="BD425" s="1" t="str">
        <f>IFERROR($BC$2&amp;VLOOKUP(F427,'Pay Table'!$M$3:$N$18,2,FALSE)&amp;$BB$2&amp;G427&amp;$BD$2,"")</f>
        <v/>
      </c>
      <c r="BE425" s="1" t="str">
        <f>IFERROR($BC$2&amp;VLOOKUP(H427,'Pay Table'!$M$3:$N$18,2,FALSE)&amp;$BB$2&amp;I427&amp;$BD$2,"")</f>
        <v/>
      </c>
      <c r="BF425" s="27" t="str">
        <f>IFERROR($BC$2&amp;VLOOKUP(J427,'Pay Table'!$M$3:$N$18,2,FALSE)&amp;$BB$2&amp;K427&amp;$BD$2,"")</f>
        <v/>
      </c>
    </row>
    <row r="426" spans="54:58" x14ac:dyDescent="0.15">
      <c r="BB426" s="26" t="str">
        <f>IFERROR($BC$2&amp;VLOOKUP(B428,'Pay Table'!$M$3:$N$18,2,FALSE)&amp;$BB$2&amp;C428&amp;$BD$2,"")</f>
        <v/>
      </c>
      <c r="BC426" s="1" t="str">
        <f>IFERROR($BC$2&amp;VLOOKUP(D428,'Pay Table'!$M$3:$N$18,2,FALSE)&amp;$BB$2&amp;E428&amp;$BD$2,"")</f>
        <v/>
      </c>
      <c r="BD426" s="1" t="str">
        <f>IFERROR($BC$2&amp;VLOOKUP(F428,'Pay Table'!$M$3:$N$18,2,FALSE)&amp;$BB$2&amp;G428&amp;$BD$2,"")</f>
        <v/>
      </c>
      <c r="BE426" s="1" t="str">
        <f>IFERROR($BC$2&amp;VLOOKUP(H428,'Pay Table'!$M$3:$N$18,2,FALSE)&amp;$BB$2&amp;I428&amp;$BD$2,"")</f>
        <v/>
      </c>
      <c r="BF426" s="27" t="str">
        <f>IFERROR($BC$2&amp;VLOOKUP(J428,'Pay Table'!$M$3:$N$18,2,FALSE)&amp;$BB$2&amp;K428&amp;$BD$2,"")</f>
        <v/>
      </c>
    </row>
    <row r="427" spans="54:58" x14ac:dyDescent="0.15">
      <c r="BB427" s="26" t="str">
        <f>IFERROR($BC$2&amp;VLOOKUP(B429,'Pay Table'!$M$3:$N$18,2,FALSE)&amp;$BB$2&amp;C429&amp;$BD$2,"")</f>
        <v/>
      </c>
      <c r="BC427" s="1" t="str">
        <f>IFERROR($BC$2&amp;VLOOKUP(D429,'Pay Table'!$M$3:$N$18,2,FALSE)&amp;$BB$2&amp;E429&amp;$BD$2,"")</f>
        <v/>
      </c>
      <c r="BD427" s="1" t="str">
        <f>IFERROR($BC$2&amp;VLOOKUP(F429,'Pay Table'!$M$3:$N$18,2,FALSE)&amp;$BB$2&amp;G429&amp;$BD$2,"")</f>
        <v/>
      </c>
      <c r="BE427" s="1" t="str">
        <f>IFERROR($BC$2&amp;VLOOKUP(H429,'Pay Table'!$M$3:$N$18,2,FALSE)&amp;$BB$2&amp;I429&amp;$BD$2,"")</f>
        <v/>
      </c>
      <c r="BF427" s="27" t="str">
        <f>IFERROR($BC$2&amp;VLOOKUP(J429,'Pay Table'!$M$3:$N$18,2,FALSE)&amp;$BB$2&amp;K429&amp;$BD$2,"")</f>
        <v/>
      </c>
    </row>
    <row r="428" spans="54:58" x14ac:dyDescent="0.15">
      <c r="BB428" s="26" t="str">
        <f>IFERROR($BC$2&amp;VLOOKUP(B430,'Pay Table'!$M$3:$N$18,2,FALSE)&amp;$BB$2&amp;C430&amp;$BD$2,"")</f>
        <v/>
      </c>
      <c r="BC428" s="1" t="str">
        <f>IFERROR($BC$2&amp;VLOOKUP(D430,'Pay Table'!$M$3:$N$18,2,FALSE)&amp;$BB$2&amp;E430&amp;$BD$2,"")</f>
        <v/>
      </c>
      <c r="BD428" s="1" t="str">
        <f>IFERROR($BC$2&amp;VLOOKUP(F430,'Pay Table'!$M$3:$N$18,2,FALSE)&amp;$BB$2&amp;G430&amp;$BD$2,"")</f>
        <v/>
      </c>
      <c r="BE428" s="1" t="str">
        <f>IFERROR($BC$2&amp;VLOOKUP(H430,'Pay Table'!$M$3:$N$18,2,FALSE)&amp;$BB$2&amp;I430&amp;$BD$2,"")</f>
        <v/>
      </c>
      <c r="BF428" s="27" t="str">
        <f>IFERROR($BC$2&amp;VLOOKUP(J430,'Pay Table'!$M$3:$N$18,2,FALSE)&amp;$BB$2&amp;K430&amp;$BD$2,"")</f>
        <v/>
      </c>
    </row>
    <row r="429" spans="54:58" x14ac:dyDescent="0.15">
      <c r="BB429" s="26" t="str">
        <f>IFERROR($BC$2&amp;VLOOKUP(B431,'Pay Table'!$M$3:$N$18,2,FALSE)&amp;$BB$2&amp;C431&amp;$BD$2,"")</f>
        <v/>
      </c>
      <c r="BC429" s="1" t="str">
        <f>IFERROR($BC$2&amp;VLOOKUP(D431,'Pay Table'!$M$3:$N$18,2,FALSE)&amp;$BB$2&amp;E431&amp;$BD$2,"")</f>
        <v/>
      </c>
      <c r="BD429" s="1" t="str">
        <f>IFERROR($BC$2&amp;VLOOKUP(F431,'Pay Table'!$M$3:$N$18,2,FALSE)&amp;$BB$2&amp;G431&amp;$BD$2,"")</f>
        <v/>
      </c>
      <c r="BE429" s="1" t="str">
        <f>IFERROR($BC$2&amp;VLOOKUP(H431,'Pay Table'!$M$3:$N$18,2,FALSE)&amp;$BB$2&amp;I431&amp;$BD$2,"")</f>
        <v/>
      </c>
      <c r="BF429" s="27" t="str">
        <f>IFERROR($BC$2&amp;VLOOKUP(J431,'Pay Table'!$M$3:$N$18,2,FALSE)&amp;$BB$2&amp;K431&amp;$BD$2,"")</f>
        <v/>
      </c>
    </row>
    <row r="430" spans="54:58" x14ac:dyDescent="0.15">
      <c r="BB430" s="26" t="str">
        <f>IFERROR($BC$2&amp;VLOOKUP(B432,'Pay Table'!$M$3:$N$18,2,FALSE)&amp;$BB$2&amp;C432&amp;$BD$2,"")</f>
        <v/>
      </c>
      <c r="BC430" s="1" t="str">
        <f>IFERROR($BC$2&amp;VLOOKUP(D432,'Pay Table'!$M$3:$N$18,2,FALSE)&amp;$BB$2&amp;E432&amp;$BD$2,"")</f>
        <v/>
      </c>
      <c r="BD430" s="1" t="str">
        <f>IFERROR($BC$2&amp;VLOOKUP(F432,'Pay Table'!$M$3:$N$18,2,FALSE)&amp;$BB$2&amp;G432&amp;$BD$2,"")</f>
        <v/>
      </c>
      <c r="BE430" s="1" t="str">
        <f>IFERROR($BC$2&amp;VLOOKUP(H432,'Pay Table'!$M$3:$N$18,2,FALSE)&amp;$BB$2&amp;I432&amp;$BD$2,"")</f>
        <v/>
      </c>
      <c r="BF430" s="27" t="str">
        <f>IFERROR($BC$2&amp;VLOOKUP(J432,'Pay Table'!$M$3:$N$18,2,FALSE)&amp;$BB$2&amp;K432&amp;$BD$2,"")</f>
        <v/>
      </c>
    </row>
    <row r="431" spans="54:58" x14ac:dyDescent="0.15">
      <c r="BB431" s="26" t="str">
        <f>IFERROR($BC$2&amp;VLOOKUP(B433,'Pay Table'!$M$3:$N$18,2,FALSE)&amp;$BB$2&amp;C433&amp;$BD$2,"")</f>
        <v/>
      </c>
      <c r="BC431" s="1" t="str">
        <f>IFERROR($BC$2&amp;VLOOKUP(D433,'Pay Table'!$M$3:$N$18,2,FALSE)&amp;$BB$2&amp;E433&amp;$BD$2,"")</f>
        <v/>
      </c>
      <c r="BD431" s="1" t="str">
        <f>IFERROR($BC$2&amp;VLOOKUP(F433,'Pay Table'!$M$3:$N$18,2,FALSE)&amp;$BB$2&amp;G433&amp;$BD$2,"")</f>
        <v/>
      </c>
      <c r="BE431" s="1" t="str">
        <f>IFERROR($BC$2&amp;VLOOKUP(H433,'Pay Table'!$M$3:$N$18,2,FALSE)&amp;$BB$2&amp;I433&amp;$BD$2,"")</f>
        <v/>
      </c>
      <c r="BF431" s="27" t="str">
        <f>IFERROR($BC$2&amp;VLOOKUP(J433,'Pay Table'!$M$3:$N$18,2,FALSE)&amp;$BB$2&amp;K433&amp;$BD$2,"")</f>
        <v/>
      </c>
    </row>
    <row r="432" spans="54:58" x14ac:dyDescent="0.15">
      <c r="BB432" s="26" t="str">
        <f>IFERROR($BC$2&amp;VLOOKUP(B434,'Pay Table'!$M$3:$N$18,2,FALSE)&amp;$BB$2&amp;C434&amp;$BD$2,"")</f>
        <v/>
      </c>
      <c r="BC432" s="1" t="str">
        <f>IFERROR($BC$2&amp;VLOOKUP(D434,'Pay Table'!$M$3:$N$18,2,FALSE)&amp;$BB$2&amp;E434&amp;$BD$2,"")</f>
        <v/>
      </c>
      <c r="BD432" s="1" t="str">
        <f>IFERROR($BC$2&amp;VLOOKUP(F434,'Pay Table'!$M$3:$N$18,2,FALSE)&amp;$BB$2&amp;G434&amp;$BD$2,"")</f>
        <v/>
      </c>
      <c r="BE432" s="1" t="str">
        <f>IFERROR($BC$2&amp;VLOOKUP(H434,'Pay Table'!$M$3:$N$18,2,FALSE)&amp;$BB$2&amp;I434&amp;$BD$2,"")</f>
        <v/>
      </c>
      <c r="BF432" s="27" t="str">
        <f>IFERROR($BC$2&amp;VLOOKUP(J434,'Pay Table'!$M$3:$N$18,2,FALSE)&amp;$BB$2&amp;K434&amp;$BD$2,"")</f>
        <v/>
      </c>
    </row>
    <row r="433" spans="54:58" x14ac:dyDescent="0.15">
      <c r="BB433" s="26" t="str">
        <f>IFERROR($BC$2&amp;VLOOKUP(B435,'Pay Table'!$M$3:$N$18,2,FALSE)&amp;$BB$2&amp;C435&amp;$BD$2,"")</f>
        <v/>
      </c>
      <c r="BC433" s="1" t="str">
        <f>IFERROR($BC$2&amp;VLOOKUP(D435,'Pay Table'!$M$3:$N$18,2,FALSE)&amp;$BB$2&amp;E435&amp;$BD$2,"")</f>
        <v/>
      </c>
      <c r="BD433" s="1" t="str">
        <f>IFERROR($BC$2&amp;VLOOKUP(F435,'Pay Table'!$M$3:$N$18,2,FALSE)&amp;$BB$2&amp;G435&amp;$BD$2,"")</f>
        <v/>
      </c>
      <c r="BE433" s="1" t="str">
        <f>IFERROR($BC$2&amp;VLOOKUP(H435,'Pay Table'!$M$3:$N$18,2,FALSE)&amp;$BB$2&amp;I435&amp;$BD$2,"")</f>
        <v/>
      </c>
      <c r="BF433" s="27" t="str">
        <f>IFERROR($BC$2&amp;VLOOKUP(J435,'Pay Table'!$M$3:$N$18,2,FALSE)&amp;$BB$2&amp;K435&amp;$BD$2,"")</f>
        <v/>
      </c>
    </row>
    <row r="434" spans="54:58" x14ac:dyDescent="0.15">
      <c r="BB434" s="26" t="str">
        <f>IFERROR($BC$2&amp;VLOOKUP(B436,'Pay Table'!$M$3:$N$18,2,FALSE)&amp;$BB$2&amp;C436&amp;$BD$2,"")</f>
        <v/>
      </c>
      <c r="BC434" s="1" t="str">
        <f>IFERROR($BC$2&amp;VLOOKUP(D436,'Pay Table'!$M$3:$N$18,2,FALSE)&amp;$BB$2&amp;E436&amp;$BD$2,"")</f>
        <v/>
      </c>
      <c r="BD434" s="1" t="str">
        <f>IFERROR($BC$2&amp;VLOOKUP(F436,'Pay Table'!$M$3:$N$18,2,FALSE)&amp;$BB$2&amp;G436&amp;$BD$2,"")</f>
        <v/>
      </c>
      <c r="BE434" s="1" t="str">
        <f>IFERROR($BC$2&amp;VLOOKUP(H436,'Pay Table'!$M$3:$N$18,2,FALSE)&amp;$BB$2&amp;I436&amp;$BD$2,"")</f>
        <v/>
      </c>
      <c r="BF434" s="27" t="str">
        <f>IFERROR($BC$2&amp;VLOOKUP(J436,'Pay Table'!$M$3:$N$18,2,FALSE)&amp;$BB$2&amp;K436&amp;$BD$2,"")</f>
        <v/>
      </c>
    </row>
    <row r="435" spans="54:58" x14ac:dyDescent="0.15">
      <c r="BB435" s="26" t="str">
        <f>IFERROR($BC$2&amp;VLOOKUP(B437,'Pay Table'!$M$3:$N$18,2,FALSE)&amp;$BB$2&amp;C437&amp;$BD$2,"")</f>
        <v/>
      </c>
      <c r="BC435" s="1" t="str">
        <f>IFERROR($BC$2&amp;VLOOKUP(D437,'Pay Table'!$M$3:$N$18,2,FALSE)&amp;$BB$2&amp;E437&amp;$BD$2,"")</f>
        <v/>
      </c>
      <c r="BD435" s="1" t="str">
        <f>IFERROR($BC$2&amp;VLOOKUP(F437,'Pay Table'!$M$3:$N$18,2,FALSE)&amp;$BB$2&amp;G437&amp;$BD$2,"")</f>
        <v/>
      </c>
      <c r="BE435" s="1" t="str">
        <f>IFERROR($BC$2&amp;VLOOKUP(H437,'Pay Table'!$M$3:$N$18,2,FALSE)&amp;$BB$2&amp;I437&amp;$BD$2,"")</f>
        <v/>
      </c>
      <c r="BF435" s="27" t="str">
        <f>IFERROR($BC$2&amp;VLOOKUP(J437,'Pay Table'!$M$3:$N$18,2,FALSE)&amp;$BB$2&amp;K437&amp;$BD$2,"")</f>
        <v/>
      </c>
    </row>
    <row r="436" spans="54:58" x14ac:dyDescent="0.15">
      <c r="BB436" s="26" t="str">
        <f>IFERROR($BC$2&amp;VLOOKUP(B438,'Pay Table'!$M$3:$N$18,2,FALSE)&amp;$BB$2&amp;C438&amp;$BD$2,"")</f>
        <v/>
      </c>
      <c r="BC436" s="1" t="str">
        <f>IFERROR($BC$2&amp;VLOOKUP(D438,'Pay Table'!$M$3:$N$18,2,FALSE)&amp;$BB$2&amp;E438&amp;$BD$2,"")</f>
        <v/>
      </c>
      <c r="BD436" s="1" t="str">
        <f>IFERROR($BC$2&amp;VLOOKUP(F438,'Pay Table'!$M$3:$N$18,2,FALSE)&amp;$BB$2&amp;G438&amp;$BD$2,"")</f>
        <v/>
      </c>
      <c r="BE436" s="1" t="str">
        <f>IFERROR($BC$2&amp;VLOOKUP(H438,'Pay Table'!$M$3:$N$18,2,FALSE)&amp;$BB$2&amp;I438&amp;$BD$2,"")</f>
        <v/>
      </c>
      <c r="BF436" s="27" t="str">
        <f>IFERROR($BC$2&amp;VLOOKUP(J438,'Pay Table'!$M$3:$N$18,2,FALSE)&amp;$BB$2&amp;K438&amp;$BD$2,"")</f>
        <v/>
      </c>
    </row>
    <row r="437" spans="54:58" x14ac:dyDescent="0.15">
      <c r="BB437" s="26" t="str">
        <f>IFERROR($BC$2&amp;VLOOKUP(B439,'Pay Table'!$M$3:$N$18,2,FALSE)&amp;$BB$2&amp;C439&amp;$BD$2,"")</f>
        <v/>
      </c>
      <c r="BC437" s="1" t="str">
        <f>IFERROR($BC$2&amp;VLOOKUP(D439,'Pay Table'!$M$3:$N$18,2,FALSE)&amp;$BB$2&amp;E439&amp;$BD$2,"")</f>
        <v/>
      </c>
      <c r="BD437" s="1" t="str">
        <f>IFERROR($BC$2&amp;VLOOKUP(F439,'Pay Table'!$M$3:$N$18,2,FALSE)&amp;$BB$2&amp;G439&amp;$BD$2,"")</f>
        <v/>
      </c>
      <c r="BE437" s="1" t="str">
        <f>IFERROR($BC$2&amp;VLOOKUP(H439,'Pay Table'!$M$3:$N$18,2,FALSE)&amp;$BB$2&amp;I439&amp;$BD$2,"")</f>
        <v/>
      </c>
      <c r="BF437" s="27" t="str">
        <f>IFERROR($BC$2&amp;VLOOKUP(J439,'Pay Table'!$M$3:$N$18,2,FALSE)&amp;$BB$2&amp;K439&amp;$BD$2,"")</f>
        <v/>
      </c>
    </row>
    <row r="438" spans="54:58" x14ac:dyDescent="0.15">
      <c r="BB438" s="26" t="str">
        <f>IFERROR($BC$2&amp;VLOOKUP(B440,'Pay Table'!$M$3:$N$18,2,FALSE)&amp;$BB$2&amp;C440&amp;$BD$2,"")</f>
        <v/>
      </c>
      <c r="BC438" s="1" t="str">
        <f>IFERROR($BC$2&amp;VLOOKUP(D440,'Pay Table'!$M$3:$N$18,2,FALSE)&amp;$BB$2&amp;E440&amp;$BD$2,"")</f>
        <v/>
      </c>
      <c r="BD438" s="1" t="str">
        <f>IFERROR($BC$2&amp;VLOOKUP(F440,'Pay Table'!$M$3:$N$18,2,FALSE)&amp;$BB$2&amp;G440&amp;$BD$2,"")</f>
        <v/>
      </c>
      <c r="BE438" s="1" t="str">
        <f>IFERROR($BC$2&amp;VLOOKUP(H440,'Pay Table'!$M$3:$N$18,2,FALSE)&amp;$BB$2&amp;I440&amp;$BD$2,"")</f>
        <v/>
      </c>
      <c r="BF438" s="27" t="str">
        <f>IFERROR($BC$2&amp;VLOOKUP(J440,'Pay Table'!$M$3:$N$18,2,FALSE)&amp;$BB$2&amp;K440&amp;$BD$2,"")</f>
        <v/>
      </c>
    </row>
    <row r="439" spans="54:58" x14ac:dyDescent="0.15">
      <c r="BB439" s="26" t="str">
        <f>IFERROR($BC$2&amp;VLOOKUP(B441,'Pay Table'!$M$3:$N$18,2,FALSE)&amp;$BB$2&amp;C441&amp;$BD$2,"")</f>
        <v/>
      </c>
      <c r="BC439" s="1" t="str">
        <f>IFERROR($BC$2&amp;VLOOKUP(D441,'Pay Table'!$M$3:$N$18,2,FALSE)&amp;$BB$2&amp;E441&amp;$BD$2,"")</f>
        <v/>
      </c>
      <c r="BD439" s="1" t="str">
        <f>IFERROR($BC$2&amp;VLOOKUP(F441,'Pay Table'!$M$3:$N$18,2,FALSE)&amp;$BB$2&amp;G441&amp;$BD$2,"")</f>
        <v/>
      </c>
      <c r="BE439" s="1" t="str">
        <f>IFERROR($BC$2&amp;VLOOKUP(H441,'Pay Table'!$M$3:$N$18,2,FALSE)&amp;$BB$2&amp;I441&amp;$BD$2,"")</f>
        <v/>
      </c>
      <c r="BF439" s="27" t="str">
        <f>IFERROR($BC$2&amp;VLOOKUP(J441,'Pay Table'!$M$3:$N$18,2,FALSE)&amp;$BB$2&amp;K441&amp;$BD$2,"")</f>
        <v/>
      </c>
    </row>
    <row r="440" spans="54:58" x14ac:dyDescent="0.15">
      <c r="BB440" s="26" t="str">
        <f>IFERROR($BC$2&amp;VLOOKUP(B442,'Pay Table'!$M$3:$N$18,2,FALSE)&amp;$BB$2&amp;C442&amp;$BD$2,"")</f>
        <v/>
      </c>
      <c r="BC440" s="1" t="str">
        <f>IFERROR($BC$2&amp;VLOOKUP(D442,'Pay Table'!$M$3:$N$18,2,FALSE)&amp;$BB$2&amp;E442&amp;$BD$2,"")</f>
        <v/>
      </c>
      <c r="BD440" s="1" t="str">
        <f>IFERROR($BC$2&amp;VLOOKUP(F442,'Pay Table'!$M$3:$N$18,2,FALSE)&amp;$BB$2&amp;G442&amp;$BD$2,"")</f>
        <v/>
      </c>
      <c r="BE440" s="1" t="str">
        <f>IFERROR($BC$2&amp;VLOOKUP(H442,'Pay Table'!$M$3:$N$18,2,FALSE)&amp;$BB$2&amp;I442&amp;$BD$2,"")</f>
        <v/>
      </c>
      <c r="BF440" s="27" t="str">
        <f>IFERROR($BC$2&amp;VLOOKUP(J442,'Pay Table'!$M$3:$N$18,2,FALSE)&amp;$BB$2&amp;K442&amp;$BD$2,"")</f>
        <v/>
      </c>
    </row>
    <row r="441" spans="54:58" x14ac:dyDescent="0.15">
      <c r="BB441" s="26" t="str">
        <f>IFERROR($BC$2&amp;VLOOKUP(B443,'Pay Table'!$M$3:$N$18,2,FALSE)&amp;$BB$2&amp;C443&amp;$BD$2,"")</f>
        <v/>
      </c>
      <c r="BC441" s="1" t="str">
        <f>IFERROR($BC$2&amp;VLOOKUP(D443,'Pay Table'!$M$3:$N$18,2,FALSE)&amp;$BB$2&amp;E443&amp;$BD$2,"")</f>
        <v/>
      </c>
      <c r="BD441" s="1" t="str">
        <f>IFERROR($BC$2&amp;VLOOKUP(F443,'Pay Table'!$M$3:$N$18,2,FALSE)&amp;$BB$2&amp;G443&amp;$BD$2,"")</f>
        <v/>
      </c>
      <c r="BE441" s="1" t="str">
        <f>IFERROR($BC$2&amp;VLOOKUP(H443,'Pay Table'!$M$3:$N$18,2,FALSE)&amp;$BB$2&amp;I443&amp;$BD$2,"")</f>
        <v/>
      </c>
      <c r="BF441" s="27" t="str">
        <f>IFERROR($BC$2&amp;VLOOKUP(J443,'Pay Table'!$M$3:$N$18,2,FALSE)&amp;$BB$2&amp;K443&amp;$BD$2,"")</f>
        <v/>
      </c>
    </row>
    <row r="442" spans="54:58" x14ac:dyDescent="0.15">
      <c r="BB442" s="26" t="str">
        <f>IFERROR($BC$2&amp;VLOOKUP(B444,'Pay Table'!$M$3:$N$18,2,FALSE)&amp;$BB$2&amp;C444&amp;$BD$2,"")</f>
        <v/>
      </c>
      <c r="BC442" s="1" t="str">
        <f>IFERROR($BC$2&amp;VLOOKUP(D444,'Pay Table'!$M$3:$N$18,2,FALSE)&amp;$BB$2&amp;E444&amp;$BD$2,"")</f>
        <v/>
      </c>
      <c r="BD442" s="1" t="str">
        <f>IFERROR($BC$2&amp;VLOOKUP(F444,'Pay Table'!$M$3:$N$18,2,FALSE)&amp;$BB$2&amp;G444&amp;$BD$2,"")</f>
        <v/>
      </c>
      <c r="BE442" s="1" t="str">
        <f>IFERROR($BC$2&amp;VLOOKUP(H444,'Pay Table'!$M$3:$N$18,2,FALSE)&amp;$BB$2&amp;I444&amp;$BD$2,"")</f>
        <v/>
      </c>
      <c r="BF442" s="27" t="str">
        <f>IFERROR($BC$2&amp;VLOOKUP(J444,'Pay Table'!$M$3:$N$18,2,FALSE)&amp;$BB$2&amp;K444&amp;$BD$2,"")</f>
        <v/>
      </c>
    </row>
    <row r="443" spans="54:58" x14ac:dyDescent="0.15">
      <c r="BB443" s="26" t="str">
        <f>IFERROR($BC$2&amp;VLOOKUP(B445,'Pay Table'!$M$3:$N$18,2,FALSE)&amp;$BB$2&amp;C445&amp;$BD$2,"")</f>
        <v/>
      </c>
      <c r="BC443" s="1" t="str">
        <f>IFERROR($BC$2&amp;VLOOKUP(D445,'Pay Table'!$M$3:$N$18,2,FALSE)&amp;$BB$2&amp;E445&amp;$BD$2,"")</f>
        <v/>
      </c>
      <c r="BD443" s="1" t="str">
        <f>IFERROR($BC$2&amp;VLOOKUP(F445,'Pay Table'!$M$3:$N$18,2,FALSE)&amp;$BB$2&amp;G445&amp;$BD$2,"")</f>
        <v/>
      </c>
      <c r="BE443" s="1" t="str">
        <f>IFERROR($BC$2&amp;VLOOKUP(H445,'Pay Table'!$M$3:$N$18,2,FALSE)&amp;$BB$2&amp;I445&amp;$BD$2,"")</f>
        <v/>
      </c>
      <c r="BF443" s="27" t="str">
        <f>IFERROR($BC$2&amp;VLOOKUP(J445,'Pay Table'!$M$3:$N$18,2,FALSE)&amp;$BB$2&amp;K445&amp;$BD$2,"")</f>
        <v/>
      </c>
    </row>
    <row r="444" spans="54:58" x14ac:dyDescent="0.15">
      <c r="BB444" s="26" t="str">
        <f>IFERROR($BC$2&amp;VLOOKUP(B446,'Pay Table'!$M$3:$N$18,2,FALSE)&amp;$BB$2&amp;C446&amp;$BD$2,"")</f>
        <v/>
      </c>
      <c r="BC444" s="1" t="str">
        <f>IFERROR($BC$2&amp;VLOOKUP(D446,'Pay Table'!$M$3:$N$18,2,FALSE)&amp;$BB$2&amp;E446&amp;$BD$2,"")</f>
        <v/>
      </c>
      <c r="BD444" s="1" t="str">
        <f>IFERROR($BC$2&amp;VLOOKUP(F446,'Pay Table'!$M$3:$N$18,2,FALSE)&amp;$BB$2&amp;G446&amp;$BD$2,"")</f>
        <v/>
      </c>
      <c r="BE444" s="1" t="str">
        <f>IFERROR($BC$2&amp;VLOOKUP(H446,'Pay Table'!$M$3:$N$18,2,FALSE)&amp;$BB$2&amp;I446&amp;$BD$2,"")</f>
        <v/>
      </c>
      <c r="BF444" s="27" t="str">
        <f>IFERROR($BC$2&amp;VLOOKUP(J446,'Pay Table'!$M$3:$N$18,2,FALSE)&amp;$BB$2&amp;K446&amp;$BD$2,"")</f>
        <v/>
      </c>
    </row>
    <row r="445" spans="54:58" x14ac:dyDescent="0.15">
      <c r="BB445" s="26" t="str">
        <f>IFERROR($BC$2&amp;VLOOKUP(B447,'Pay Table'!$M$3:$N$18,2,FALSE)&amp;$BB$2&amp;C447&amp;$BD$2,"")</f>
        <v/>
      </c>
      <c r="BC445" s="1" t="str">
        <f>IFERROR($BC$2&amp;VLOOKUP(D447,'Pay Table'!$M$3:$N$18,2,FALSE)&amp;$BB$2&amp;E447&amp;$BD$2,"")</f>
        <v/>
      </c>
      <c r="BD445" s="1" t="str">
        <f>IFERROR($BC$2&amp;VLOOKUP(F447,'Pay Table'!$M$3:$N$18,2,FALSE)&amp;$BB$2&amp;G447&amp;$BD$2,"")</f>
        <v/>
      </c>
      <c r="BE445" s="1" t="str">
        <f>IFERROR($BC$2&amp;VLOOKUP(H447,'Pay Table'!$M$3:$N$18,2,FALSE)&amp;$BB$2&amp;I447&amp;$BD$2,"")</f>
        <v/>
      </c>
      <c r="BF445" s="27" t="str">
        <f>IFERROR($BC$2&amp;VLOOKUP(J447,'Pay Table'!$M$3:$N$18,2,FALSE)&amp;$BB$2&amp;K447&amp;$BD$2,"")</f>
        <v/>
      </c>
    </row>
    <row r="446" spans="54:58" x14ac:dyDescent="0.15">
      <c r="BB446" s="26" t="str">
        <f>IFERROR($BC$2&amp;VLOOKUP(B448,'Pay Table'!$M$3:$N$18,2,FALSE)&amp;$BB$2&amp;C448&amp;$BD$2,"")</f>
        <v/>
      </c>
      <c r="BC446" s="1" t="str">
        <f>IFERROR($BC$2&amp;VLOOKUP(D448,'Pay Table'!$M$3:$N$18,2,FALSE)&amp;$BB$2&amp;E448&amp;$BD$2,"")</f>
        <v/>
      </c>
      <c r="BD446" s="1" t="str">
        <f>IFERROR($BC$2&amp;VLOOKUP(F448,'Pay Table'!$M$3:$N$18,2,FALSE)&amp;$BB$2&amp;G448&amp;$BD$2,"")</f>
        <v/>
      </c>
      <c r="BE446" s="1" t="str">
        <f>IFERROR($BC$2&amp;VLOOKUP(H448,'Pay Table'!$M$3:$N$18,2,FALSE)&amp;$BB$2&amp;I448&amp;$BD$2,"")</f>
        <v/>
      </c>
      <c r="BF446" s="27" t="str">
        <f>IFERROR($BC$2&amp;VLOOKUP(J448,'Pay Table'!$M$3:$N$18,2,FALSE)&amp;$BB$2&amp;K448&amp;$BD$2,"")</f>
        <v/>
      </c>
    </row>
    <row r="447" spans="54:58" x14ac:dyDescent="0.15">
      <c r="BB447" s="26" t="str">
        <f>IFERROR($BC$2&amp;VLOOKUP(B449,'Pay Table'!$M$3:$N$18,2,FALSE)&amp;$BB$2&amp;C449&amp;$BD$2,"")</f>
        <v/>
      </c>
      <c r="BC447" s="1" t="str">
        <f>IFERROR($BC$2&amp;VLOOKUP(D449,'Pay Table'!$M$3:$N$18,2,FALSE)&amp;$BB$2&amp;E449&amp;$BD$2,"")</f>
        <v/>
      </c>
      <c r="BD447" s="1" t="str">
        <f>IFERROR($BC$2&amp;VLOOKUP(F449,'Pay Table'!$M$3:$N$18,2,FALSE)&amp;$BB$2&amp;G449&amp;$BD$2,"")</f>
        <v/>
      </c>
      <c r="BE447" s="1" t="str">
        <f>IFERROR($BC$2&amp;VLOOKUP(H449,'Pay Table'!$M$3:$N$18,2,FALSE)&amp;$BB$2&amp;I449&amp;$BD$2,"")</f>
        <v/>
      </c>
      <c r="BF447" s="27" t="str">
        <f>IFERROR($BC$2&amp;VLOOKUP(J449,'Pay Table'!$M$3:$N$18,2,FALSE)&amp;$BB$2&amp;K449&amp;$BD$2,"")</f>
        <v/>
      </c>
    </row>
    <row r="448" spans="54:58" x14ac:dyDescent="0.15">
      <c r="BB448" s="26" t="str">
        <f>IFERROR($BC$2&amp;VLOOKUP(B450,'Pay Table'!$M$3:$N$18,2,FALSE)&amp;$BB$2&amp;C450&amp;$BD$2,"")</f>
        <v/>
      </c>
      <c r="BC448" s="1" t="str">
        <f>IFERROR($BC$2&amp;VLOOKUP(D450,'Pay Table'!$M$3:$N$18,2,FALSE)&amp;$BB$2&amp;E450&amp;$BD$2,"")</f>
        <v/>
      </c>
      <c r="BD448" s="1" t="str">
        <f>IFERROR($BC$2&amp;VLOOKUP(F450,'Pay Table'!$M$3:$N$18,2,FALSE)&amp;$BB$2&amp;G450&amp;$BD$2,"")</f>
        <v/>
      </c>
      <c r="BE448" s="1" t="str">
        <f>IFERROR($BC$2&amp;VLOOKUP(H450,'Pay Table'!$M$3:$N$18,2,FALSE)&amp;$BB$2&amp;I450&amp;$BD$2,"")</f>
        <v/>
      </c>
      <c r="BF448" s="27" t="str">
        <f>IFERROR($BC$2&amp;VLOOKUP(J450,'Pay Table'!$M$3:$N$18,2,FALSE)&amp;$BB$2&amp;K450&amp;$BD$2,"")</f>
        <v/>
      </c>
    </row>
    <row r="449" spans="54:58" x14ac:dyDescent="0.15">
      <c r="BB449" s="26" t="str">
        <f>IFERROR($BC$2&amp;VLOOKUP(B451,'Pay Table'!$M$3:$N$18,2,FALSE)&amp;$BB$2&amp;C451&amp;$BD$2,"")</f>
        <v/>
      </c>
      <c r="BC449" s="1" t="str">
        <f>IFERROR($BC$2&amp;VLOOKUP(D451,'Pay Table'!$M$3:$N$18,2,FALSE)&amp;$BB$2&amp;E451&amp;$BD$2,"")</f>
        <v/>
      </c>
      <c r="BD449" s="1" t="str">
        <f>IFERROR($BC$2&amp;VLOOKUP(F451,'Pay Table'!$M$3:$N$18,2,FALSE)&amp;$BB$2&amp;G451&amp;$BD$2,"")</f>
        <v/>
      </c>
      <c r="BE449" s="1" t="str">
        <f>IFERROR($BC$2&amp;VLOOKUP(H451,'Pay Table'!$M$3:$N$18,2,FALSE)&amp;$BB$2&amp;I451&amp;$BD$2,"")</f>
        <v/>
      </c>
      <c r="BF449" s="27" t="str">
        <f>IFERROR($BC$2&amp;VLOOKUP(J451,'Pay Table'!$M$3:$N$18,2,FALSE)&amp;$BB$2&amp;K451&amp;$BD$2,"")</f>
        <v/>
      </c>
    </row>
    <row r="450" spans="54:58" x14ac:dyDescent="0.15">
      <c r="BB450" s="26" t="str">
        <f>IFERROR($BC$2&amp;VLOOKUP(B452,'Pay Table'!$M$3:$N$18,2,FALSE)&amp;$BB$2&amp;C452&amp;$BD$2,"")</f>
        <v/>
      </c>
      <c r="BC450" s="1" t="str">
        <f>IFERROR($BC$2&amp;VLOOKUP(D452,'Pay Table'!$M$3:$N$18,2,FALSE)&amp;$BB$2&amp;E452&amp;$BD$2,"")</f>
        <v/>
      </c>
      <c r="BD450" s="1" t="str">
        <f>IFERROR($BC$2&amp;VLOOKUP(F452,'Pay Table'!$M$3:$N$18,2,FALSE)&amp;$BB$2&amp;G452&amp;$BD$2,"")</f>
        <v/>
      </c>
      <c r="BE450" s="1" t="str">
        <f>IFERROR($BC$2&amp;VLOOKUP(H452,'Pay Table'!$M$3:$N$18,2,FALSE)&amp;$BB$2&amp;I452&amp;$BD$2,"")</f>
        <v/>
      </c>
      <c r="BF450" s="27" t="str">
        <f>IFERROR($BC$2&amp;VLOOKUP(J452,'Pay Table'!$M$3:$N$18,2,FALSE)&amp;$BB$2&amp;K452&amp;$BD$2,"")</f>
        <v/>
      </c>
    </row>
    <row r="451" spans="54:58" x14ac:dyDescent="0.15">
      <c r="BB451" s="26" t="str">
        <f>IFERROR($BC$2&amp;VLOOKUP(B453,'Pay Table'!$M$3:$N$18,2,FALSE)&amp;$BB$2&amp;C453&amp;$BD$2,"")</f>
        <v/>
      </c>
      <c r="BC451" s="1" t="str">
        <f>IFERROR($BC$2&amp;VLOOKUP(D453,'Pay Table'!$M$3:$N$18,2,FALSE)&amp;$BB$2&amp;E453&amp;$BD$2,"")</f>
        <v/>
      </c>
      <c r="BD451" s="1" t="str">
        <f>IFERROR($BC$2&amp;VLOOKUP(F453,'Pay Table'!$M$3:$N$18,2,FALSE)&amp;$BB$2&amp;G453&amp;$BD$2,"")</f>
        <v/>
      </c>
      <c r="BE451" s="1" t="str">
        <f>IFERROR($BC$2&amp;VLOOKUP(H453,'Pay Table'!$M$3:$N$18,2,FALSE)&amp;$BB$2&amp;I453&amp;$BD$2,"")</f>
        <v/>
      </c>
      <c r="BF451" s="27" t="str">
        <f>IFERROR($BC$2&amp;VLOOKUP(J453,'Pay Table'!$M$3:$N$18,2,FALSE)&amp;$BB$2&amp;K453&amp;$BD$2,"")</f>
        <v/>
      </c>
    </row>
    <row r="452" spans="54:58" x14ac:dyDescent="0.15">
      <c r="BB452" s="26" t="str">
        <f>IFERROR($BC$2&amp;VLOOKUP(B454,'Pay Table'!$M$3:$N$18,2,FALSE)&amp;$BB$2&amp;C454&amp;$BD$2,"")</f>
        <v/>
      </c>
      <c r="BC452" s="1" t="str">
        <f>IFERROR($BC$2&amp;VLOOKUP(D454,'Pay Table'!$M$3:$N$18,2,FALSE)&amp;$BB$2&amp;E454&amp;$BD$2,"")</f>
        <v/>
      </c>
      <c r="BD452" s="1" t="str">
        <f>IFERROR($BC$2&amp;VLOOKUP(F454,'Pay Table'!$M$3:$N$18,2,FALSE)&amp;$BB$2&amp;G454&amp;$BD$2,"")</f>
        <v/>
      </c>
      <c r="BE452" s="1" t="str">
        <f>IFERROR($BC$2&amp;VLOOKUP(H454,'Pay Table'!$M$3:$N$18,2,FALSE)&amp;$BB$2&amp;I454&amp;$BD$2,"")</f>
        <v/>
      </c>
      <c r="BF452" s="27" t="str">
        <f>IFERROR($BC$2&amp;VLOOKUP(J454,'Pay Table'!$M$3:$N$18,2,FALSE)&amp;$BB$2&amp;K454&amp;$BD$2,"")</f>
        <v/>
      </c>
    </row>
    <row r="453" spans="54:58" x14ac:dyDescent="0.15">
      <c r="BB453" s="26" t="str">
        <f>IFERROR($BC$2&amp;VLOOKUP(B455,'Pay Table'!$M$3:$N$18,2,FALSE)&amp;$BB$2&amp;C455&amp;$BD$2,"")</f>
        <v/>
      </c>
      <c r="BC453" s="1" t="str">
        <f>IFERROR($BC$2&amp;VLOOKUP(D455,'Pay Table'!$M$3:$N$18,2,FALSE)&amp;$BB$2&amp;E455&amp;$BD$2,"")</f>
        <v/>
      </c>
      <c r="BD453" s="1" t="str">
        <f>IFERROR($BC$2&amp;VLOOKUP(F455,'Pay Table'!$M$3:$N$18,2,FALSE)&amp;$BB$2&amp;G455&amp;$BD$2,"")</f>
        <v/>
      </c>
      <c r="BE453" s="1" t="str">
        <f>IFERROR($BC$2&amp;VLOOKUP(H455,'Pay Table'!$M$3:$N$18,2,FALSE)&amp;$BB$2&amp;I455&amp;$BD$2,"")</f>
        <v/>
      </c>
      <c r="BF453" s="27" t="str">
        <f>IFERROR($BC$2&amp;VLOOKUP(J455,'Pay Table'!$M$3:$N$18,2,FALSE)&amp;$BB$2&amp;K455&amp;$BD$2,"")</f>
        <v/>
      </c>
    </row>
    <row r="454" spans="54:58" x14ac:dyDescent="0.15">
      <c r="BB454" s="26" t="str">
        <f>IFERROR($BC$2&amp;VLOOKUP(B456,'Pay Table'!$M$3:$N$18,2,FALSE)&amp;$BB$2&amp;C456&amp;$BD$2,"")</f>
        <v/>
      </c>
      <c r="BC454" s="1" t="str">
        <f>IFERROR($BC$2&amp;VLOOKUP(D456,'Pay Table'!$M$3:$N$18,2,FALSE)&amp;$BB$2&amp;E456&amp;$BD$2,"")</f>
        <v/>
      </c>
      <c r="BD454" s="1" t="str">
        <f>IFERROR($BC$2&amp;VLOOKUP(F456,'Pay Table'!$M$3:$N$18,2,FALSE)&amp;$BB$2&amp;G456&amp;$BD$2,"")</f>
        <v/>
      </c>
      <c r="BE454" s="1" t="str">
        <f>IFERROR($BC$2&amp;VLOOKUP(H456,'Pay Table'!$M$3:$N$18,2,FALSE)&amp;$BB$2&amp;I456&amp;$BD$2,"")</f>
        <v/>
      </c>
      <c r="BF454" s="27" t="str">
        <f>IFERROR($BC$2&amp;VLOOKUP(J456,'Pay Table'!$M$3:$N$18,2,FALSE)&amp;$BB$2&amp;K456&amp;$BD$2,"")</f>
        <v/>
      </c>
    </row>
    <row r="455" spans="54:58" x14ac:dyDescent="0.15">
      <c r="BB455" s="26" t="str">
        <f>IFERROR($BC$2&amp;VLOOKUP(B457,'Pay Table'!$M$3:$N$18,2,FALSE)&amp;$BB$2&amp;C457&amp;$BD$2,"")</f>
        <v/>
      </c>
      <c r="BC455" s="1" t="str">
        <f>IFERROR($BC$2&amp;VLOOKUP(D457,'Pay Table'!$M$3:$N$18,2,FALSE)&amp;$BB$2&amp;E457&amp;$BD$2,"")</f>
        <v/>
      </c>
      <c r="BD455" s="1" t="str">
        <f>IFERROR($BC$2&amp;VLOOKUP(F457,'Pay Table'!$M$3:$N$18,2,FALSE)&amp;$BB$2&amp;G457&amp;$BD$2,"")</f>
        <v/>
      </c>
      <c r="BE455" s="1" t="str">
        <f>IFERROR($BC$2&amp;VLOOKUP(H457,'Pay Table'!$M$3:$N$18,2,FALSE)&amp;$BB$2&amp;I457&amp;$BD$2,"")</f>
        <v/>
      </c>
      <c r="BF455" s="27" t="str">
        <f>IFERROR($BC$2&amp;VLOOKUP(J457,'Pay Table'!$M$3:$N$18,2,FALSE)&amp;$BB$2&amp;K457&amp;$BD$2,"")</f>
        <v/>
      </c>
    </row>
    <row r="456" spans="54:58" x14ac:dyDescent="0.15">
      <c r="BB456" s="26" t="str">
        <f>IFERROR($BC$2&amp;VLOOKUP(B458,'Pay Table'!$M$3:$N$18,2,FALSE)&amp;$BB$2&amp;C458&amp;$BD$2,"")</f>
        <v/>
      </c>
      <c r="BC456" s="1" t="str">
        <f>IFERROR($BC$2&amp;VLOOKUP(D458,'Pay Table'!$M$3:$N$18,2,FALSE)&amp;$BB$2&amp;E458&amp;$BD$2,"")</f>
        <v/>
      </c>
      <c r="BD456" s="1" t="str">
        <f>IFERROR($BC$2&amp;VLOOKUP(F458,'Pay Table'!$M$3:$N$18,2,FALSE)&amp;$BB$2&amp;G458&amp;$BD$2,"")</f>
        <v/>
      </c>
      <c r="BE456" s="1" t="str">
        <f>IFERROR($BC$2&amp;VLOOKUP(H458,'Pay Table'!$M$3:$N$18,2,FALSE)&amp;$BB$2&amp;I458&amp;$BD$2,"")</f>
        <v/>
      </c>
      <c r="BF456" s="27" t="str">
        <f>IFERROR($BC$2&amp;VLOOKUP(J458,'Pay Table'!$M$3:$N$18,2,FALSE)&amp;$BB$2&amp;K458&amp;$BD$2,"")</f>
        <v/>
      </c>
    </row>
    <row r="457" spans="54:58" x14ac:dyDescent="0.15">
      <c r="BB457" s="26" t="str">
        <f>IFERROR($BC$2&amp;VLOOKUP(B459,'Pay Table'!$M$3:$N$18,2,FALSE)&amp;$BB$2&amp;C459&amp;$BD$2,"")</f>
        <v/>
      </c>
      <c r="BC457" s="1" t="str">
        <f>IFERROR($BC$2&amp;VLOOKUP(D459,'Pay Table'!$M$3:$N$18,2,FALSE)&amp;$BB$2&amp;E459&amp;$BD$2,"")</f>
        <v/>
      </c>
      <c r="BD457" s="1" t="str">
        <f>IFERROR($BC$2&amp;VLOOKUP(F459,'Pay Table'!$M$3:$N$18,2,FALSE)&amp;$BB$2&amp;G459&amp;$BD$2,"")</f>
        <v/>
      </c>
      <c r="BE457" s="1" t="str">
        <f>IFERROR($BC$2&amp;VLOOKUP(H459,'Pay Table'!$M$3:$N$18,2,FALSE)&amp;$BB$2&amp;I459&amp;$BD$2,"")</f>
        <v/>
      </c>
      <c r="BF457" s="27" t="str">
        <f>IFERROR($BC$2&amp;VLOOKUP(J459,'Pay Table'!$M$3:$N$18,2,FALSE)&amp;$BB$2&amp;K459&amp;$BD$2,"")</f>
        <v/>
      </c>
    </row>
    <row r="458" spans="54:58" x14ac:dyDescent="0.15">
      <c r="BB458" s="26" t="str">
        <f>IFERROR($BC$2&amp;VLOOKUP(B460,'Pay Table'!$M$3:$N$18,2,FALSE)&amp;$BB$2&amp;C460&amp;$BD$2,"")</f>
        <v/>
      </c>
      <c r="BC458" s="1" t="str">
        <f>IFERROR($BC$2&amp;VLOOKUP(D460,'Pay Table'!$M$3:$N$18,2,FALSE)&amp;$BB$2&amp;E460&amp;$BD$2,"")</f>
        <v/>
      </c>
      <c r="BD458" s="1" t="str">
        <f>IFERROR($BC$2&amp;VLOOKUP(F460,'Pay Table'!$M$3:$N$18,2,FALSE)&amp;$BB$2&amp;G460&amp;$BD$2,"")</f>
        <v/>
      </c>
      <c r="BE458" s="1" t="str">
        <f>IFERROR($BC$2&amp;VLOOKUP(H460,'Pay Table'!$M$3:$N$18,2,FALSE)&amp;$BB$2&amp;I460&amp;$BD$2,"")</f>
        <v/>
      </c>
      <c r="BF458" s="27" t="str">
        <f>IFERROR($BC$2&amp;VLOOKUP(J460,'Pay Table'!$M$3:$N$18,2,FALSE)&amp;$BB$2&amp;K460&amp;$BD$2,"")</f>
        <v/>
      </c>
    </row>
    <row r="459" spans="54:58" x14ac:dyDescent="0.15">
      <c r="BB459" s="26" t="str">
        <f>IFERROR($BC$2&amp;VLOOKUP(B461,'Pay Table'!$M$3:$N$18,2,FALSE)&amp;$BB$2&amp;C461&amp;$BD$2,"")</f>
        <v/>
      </c>
      <c r="BC459" s="1" t="str">
        <f>IFERROR($BC$2&amp;VLOOKUP(D461,'Pay Table'!$M$3:$N$18,2,FALSE)&amp;$BB$2&amp;E461&amp;$BD$2,"")</f>
        <v/>
      </c>
      <c r="BD459" s="1" t="str">
        <f>IFERROR($BC$2&amp;VLOOKUP(F461,'Pay Table'!$M$3:$N$18,2,FALSE)&amp;$BB$2&amp;G461&amp;$BD$2,"")</f>
        <v/>
      </c>
      <c r="BE459" s="1" t="str">
        <f>IFERROR($BC$2&amp;VLOOKUP(H461,'Pay Table'!$M$3:$N$18,2,FALSE)&amp;$BB$2&amp;I461&amp;$BD$2,"")</f>
        <v/>
      </c>
      <c r="BF459" s="27" t="str">
        <f>IFERROR($BC$2&amp;VLOOKUP(J461,'Pay Table'!$M$3:$N$18,2,FALSE)&amp;$BB$2&amp;K461&amp;$BD$2,"")</f>
        <v/>
      </c>
    </row>
    <row r="460" spans="54:58" x14ac:dyDescent="0.15">
      <c r="BB460" s="26" t="str">
        <f>IFERROR($BC$2&amp;VLOOKUP(B462,'Pay Table'!$M$3:$N$18,2,FALSE)&amp;$BB$2&amp;C462&amp;$BD$2,"")</f>
        <v/>
      </c>
      <c r="BC460" s="1" t="str">
        <f>IFERROR($BC$2&amp;VLOOKUP(D462,'Pay Table'!$M$3:$N$18,2,FALSE)&amp;$BB$2&amp;E462&amp;$BD$2,"")</f>
        <v/>
      </c>
      <c r="BD460" s="1" t="str">
        <f>IFERROR($BC$2&amp;VLOOKUP(F462,'Pay Table'!$M$3:$N$18,2,FALSE)&amp;$BB$2&amp;G462&amp;$BD$2,"")</f>
        <v/>
      </c>
      <c r="BE460" s="1" t="str">
        <f>IFERROR($BC$2&amp;VLOOKUP(H462,'Pay Table'!$M$3:$N$18,2,FALSE)&amp;$BB$2&amp;I462&amp;$BD$2,"")</f>
        <v/>
      </c>
      <c r="BF460" s="27" t="str">
        <f>IFERROR($BC$2&amp;VLOOKUP(J462,'Pay Table'!$M$3:$N$18,2,FALSE)&amp;$BB$2&amp;K462&amp;$BD$2,"")</f>
        <v/>
      </c>
    </row>
    <row r="461" spans="54:58" x14ac:dyDescent="0.15">
      <c r="BB461" s="26" t="str">
        <f>IFERROR($BC$2&amp;VLOOKUP(B463,'Pay Table'!$M$3:$N$18,2,FALSE)&amp;$BB$2&amp;C463&amp;$BD$2,"")</f>
        <v/>
      </c>
      <c r="BC461" s="1" t="str">
        <f>IFERROR($BC$2&amp;VLOOKUP(D463,'Pay Table'!$M$3:$N$18,2,FALSE)&amp;$BB$2&amp;E463&amp;$BD$2,"")</f>
        <v/>
      </c>
      <c r="BD461" s="1" t="str">
        <f>IFERROR($BC$2&amp;VLOOKUP(F463,'Pay Table'!$M$3:$N$18,2,FALSE)&amp;$BB$2&amp;G463&amp;$BD$2,"")</f>
        <v/>
      </c>
      <c r="BE461" s="1" t="str">
        <f>IFERROR($BC$2&amp;VLOOKUP(H463,'Pay Table'!$M$3:$N$18,2,FALSE)&amp;$BB$2&amp;I463&amp;$BD$2,"")</f>
        <v/>
      </c>
      <c r="BF461" s="27" t="str">
        <f>IFERROR($BC$2&amp;VLOOKUP(J463,'Pay Table'!$M$3:$N$18,2,FALSE)&amp;$BB$2&amp;K463&amp;$BD$2,"")</f>
        <v/>
      </c>
    </row>
    <row r="462" spans="54:58" x14ac:dyDescent="0.15">
      <c r="BB462" s="26" t="str">
        <f>IFERROR($BC$2&amp;VLOOKUP(B464,'Pay Table'!$M$3:$N$18,2,FALSE)&amp;$BB$2&amp;C464&amp;$BD$2,"")</f>
        <v/>
      </c>
      <c r="BC462" s="1" t="str">
        <f>IFERROR($BC$2&amp;VLOOKUP(D464,'Pay Table'!$M$3:$N$18,2,FALSE)&amp;$BB$2&amp;E464&amp;$BD$2,"")</f>
        <v/>
      </c>
      <c r="BD462" s="1" t="str">
        <f>IFERROR($BC$2&amp;VLOOKUP(F464,'Pay Table'!$M$3:$N$18,2,FALSE)&amp;$BB$2&amp;G464&amp;$BD$2,"")</f>
        <v/>
      </c>
      <c r="BE462" s="1" t="str">
        <f>IFERROR($BC$2&amp;VLOOKUP(H464,'Pay Table'!$M$3:$N$18,2,FALSE)&amp;$BB$2&amp;I464&amp;$BD$2,"")</f>
        <v/>
      </c>
      <c r="BF462" s="27" t="str">
        <f>IFERROR($BC$2&amp;VLOOKUP(J464,'Pay Table'!$M$3:$N$18,2,FALSE)&amp;$BB$2&amp;K464&amp;$BD$2,"")</f>
        <v/>
      </c>
    </row>
    <row r="463" spans="54:58" x14ac:dyDescent="0.15">
      <c r="BB463" s="26" t="str">
        <f>IFERROR($BC$2&amp;VLOOKUP(B465,'Pay Table'!$M$3:$N$18,2,FALSE)&amp;$BB$2&amp;C465&amp;$BD$2,"")</f>
        <v/>
      </c>
      <c r="BC463" s="1" t="str">
        <f>IFERROR($BC$2&amp;VLOOKUP(D465,'Pay Table'!$M$3:$N$18,2,FALSE)&amp;$BB$2&amp;E465&amp;$BD$2,"")</f>
        <v/>
      </c>
      <c r="BD463" s="1" t="str">
        <f>IFERROR($BC$2&amp;VLOOKUP(F465,'Pay Table'!$M$3:$N$18,2,FALSE)&amp;$BB$2&amp;G465&amp;$BD$2,"")</f>
        <v/>
      </c>
      <c r="BE463" s="1" t="str">
        <f>IFERROR($BC$2&amp;VLOOKUP(H465,'Pay Table'!$M$3:$N$18,2,FALSE)&amp;$BB$2&amp;I465&amp;$BD$2,"")</f>
        <v/>
      </c>
      <c r="BF463" s="27" t="str">
        <f>IFERROR($BC$2&amp;VLOOKUP(J465,'Pay Table'!$M$3:$N$18,2,FALSE)&amp;$BB$2&amp;K465&amp;$BD$2,"")</f>
        <v/>
      </c>
    </row>
    <row r="464" spans="54:58" x14ac:dyDescent="0.15">
      <c r="BB464" s="26" t="str">
        <f>IFERROR($BC$2&amp;VLOOKUP(B466,'Pay Table'!$M$3:$N$18,2,FALSE)&amp;$BB$2&amp;C466&amp;$BD$2,"")</f>
        <v/>
      </c>
      <c r="BC464" s="1" t="str">
        <f>IFERROR($BC$2&amp;VLOOKUP(D466,'Pay Table'!$M$3:$N$18,2,FALSE)&amp;$BB$2&amp;E466&amp;$BD$2,"")</f>
        <v/>
      </c>
      <c r="BD464" s="1" t="str">
        <f>IFERROR($BC$2&amp;VLOOKUP(F466,'Pay Table'!$M$3:$N$18,2,FALSE)&amp;$BB$2&amp;G466&amp;$BD$2,"")</f>
        <v/>
      </c>
      <c r="BE464" s="1" t="str">
        <f>IFERROR($BC$2&amp;VLOOKUP(H466,'Pay Table'!$M$3:$N$18,2,FALSE)&amp;$BB$2&amp;I466&amp;$BD$2,"")</f>
        <v/>
      </c>
      <c r="BF464" s="27" t="str">
        <f>IFERROR($BC$2&amp;VLOOKUP(J466,'Pay Table'!$M$3:$N$18,2,FALSE)&amp;$BB$2&amp;K466&amp;$BD$2,"")</f>
        <v/>
      </c>
    </row>
    <row r="465" spans="54:58" x14ac:dyDescent="0.15">
      <c r="BB465" s="26" t="str">
        <f>IFERROR($BC$2&amp;VLOOKUP(B467,'Pay Table'!$M$3:$N$18,2,FALSE)&amp;$BB$2&amp;C467&amp;$BD$2,"")</f>
        <v/>
      </c>
      <c r="BC465" s="1" t="str">
        <f>IFERROR($BC$2&amp;VLOOKUP(D467,'Pay Table'!$M$3:$N$18,2,FALSE)&amp;$BB$2&amp;E467&amp;$BD$2,"")</f>
        <v/>
      </c>
      <c r="BD465" s="1" t="str">
        <f>IFERROR($BC$2&amp;VLOOKUP(F467,'Pay Table'!$M$3:$N$18,2,FALSE)&amp;$BB$2&amp;G467&amp;$BD$2,"")</f>
        <v/>
      </c>
      <c r="BE465" s="1" t="str">
        <f>IFERROR($BC$2&amp;VLOOKUP(H467,'Pay Table'!$M$3:$N$18,2,FALSE)&amp;$BB$2&amp;I467&amp;$BD$2,"")</f>
        <v/>
      </c>
      <c r="BF465" s="27" t="str">
        <f>IFERROR($BC$2&amp;VLOOKUP(J467,'Pay Table'!$M$3:$N$18,2,FALSE)&amp;$BB$2&amp;K467&amp;$BD$2,"")</f>
        <v/>
      </c>
    </row>
    <row r="466" spans="54:58" x14ac:dyDescent="0.15">
      <c r="BB466" s="26" t="str">
        <f>IFERROR($BC$2&amp;VLOOKUP(B468,'Pay Table'!$M$3:$N$18,2,FALSE)&amp;$BB$2&amp;C468&amp;$BD$2,"")</f>
        <v/>
      </c>
      <c r="BC466" s="1" t="str">
        <f>IFERROR($BC$2&amp;VLOOKUP(D468,'Pay Table'!$M$3:$N$18,2,FALSE)&amp;$BB$2&amp;E468&amp;$BD$2,"")</f>
        <v/>
      </c>
      <c r="BD466" s="1" t="str">
        <f>IFERROR($BC$2&amp;VLOOKUP(F468,'Pay Table'!$M$3:$N$18,2,FALSE)&amp;$BB$2&amp;G468&amp;$BD$2,"")</f>
        <v/>
      </c>
      <c r="BE466" s="1" t="str">
        <f>IFERROR($BC$2&amp;VLOOKUP(H468,'Pay Table'!$M$3:$N$18,2,FALSE)&amp;$BB$2&amp;I468&amp;$BD$2,"")</f>
        <v/>
      </c>
      <c r="BF466" s="27" t="str">
        <f>IFERROR($BC$2&amp;VLOOKUP(J468,'Pay Table'!$M$3:$N$18,2,FALSE)&amp;$BB$2&amp;K468&amp;$BD$2,"")</f>
        <v/>
      </c>
    </row>
    <row r="467" spans="54:58" x14ac:dyDescent="0.15">
      <c r="BB467" s="26" t="str">
        <f>IFERROR($BC$2&amp;VLOOKUP(B469,'Pay Table'!$M$3:$N$18,2,FALSE)&amp;$BB$2&amp;C469&amp;$BD$2,"")</f>
        <v/>
      </c>
      <c r="BC467" s="1" t="str">
        <f>IFERROR($BC$2&amp;VLOOKUP(D469,'Pay Table'!$M$3:$N$18,2,FALSE)&amp;$BB$2&amp;E469&amp;$BD$2,"")</f>
        <v/>
      </c>
      <c r="BD467" s="1" t="str">
        <f>IFERROR($BC$2&amp;VLOOKUP(F469,'Pay Table'!$M$3:$N$18,2,FALSE)&amp;$BB$2&amp;G469&amp;$BD$2,"")</f>
        <v/>
      </c>
      <c r="BE467" s="1" t="str">
        <f>IFERROR($BC$2&amp;VLOOKUP(H469,'Pay Table'!$M$3:$N$18,2,FALSE)&amp;$BB$2&amp;I469&amp;$BD$2,"")</f>
        <v/>
      </c>
      <c r="BF467" s="27" t="str">
        <f>IFERROR($BC$2&amp;VLOOKUP(J469,'Pay Table'!$M$3:$N$18,2,FALSE)&amp;$BB$2&amp;K469&amp;$BD$2,"")</f>
        <v/>
      </c>
    </row>
    <row r="468" spans="54:58" x14ac:dyDescent="0.15">
      <c r="BB468" s="26" t="str">
        <f>IFERROR($BC$2&amp;VLOOKUP(B470,'Pay Table'!$M$3:$N$18,2,FALSE)&amp;$BB$2&amp;C470&amp;$BD$2,"")</f>
        <v/>
      </c>
      <c r="BC468" s="1" t="str">
        <f>IFERROR($BC$2&amp;VLOOKUP(D470,'Pay Table'!$M$3:$N$18,2,FALSE)&amp;$BB$2&amp;E470&amp;$BD$2,"")</f>
        <v/>
      </c>
      <c r="BD468" s="1" t="str">
        <f>IFERROR($BC$2&amp;VLOOKUP(F470,'Pay Table'!$M$3:$N$18,2,FALSE)&amp;$BB$2&amp;G470&amp;$BD$2,"")</f>
        <v/>
      </c>
      <c r="BE468" s="1" t="str">
        <f>IFERROR($BC$2&amp;VLOOKUP(H470,'Pay Table'!$M$3:$N$18,2,FALSE)&amp;$BB$2&amp;I470&amp;$BD$2,"")</f>
        <v/>
      </c>
      <c r="BF468" s="27" t="str">
        <f>IFERROR($BC$2&amp;VLOOKUP(J470,'Pay Table'!$M$3:$N$18,2,FALSE)&amp;$BB$2&amp;K470&amp;$BD$2,"")</f>
        <v/>
      </c>
    </row>
    <row r="469" spans="54:58" x14ac:dyDescent="0.15">
      <c r="BB469" s="26" t="str">
        <f>IFERROR($BC$2&amp;VLOOKUP(B471,'Pay Table'!$M$3:$N$18,2,FALSE)&amp;$BB$2&amp;C471&amp;$BD$2,"")</f>
        <v/>
      </c>
      <c r="BC469" s="1" t="str">
        <f>IFERROR($BC$2&amp;VLOOKUP(D471,'Pay Table'!$M$3:$N$18,2,FALSE)&amp;$BB$2&amp;E471&amp;$BD$2,"")</f>
        <v/>
      </c>
      <c r="BD469" s="1" t="str">
        <f>IFERROR($BC$2&amp;VLOOKUP(F471,'Pay Table'!$M$3:$N$18,2,FALSE)&amp;$BB$2&amp;G471&amp;$BD$2,"")</f>
        <v/>
      </c>
      <c r="BE469" s="1" t="str">
        <f>IFERROR($BC$2&amp;VLOOKUP(H471,'Pay Table'!$M$3:$N$18,2,FALSE)&amp;$BB$2&amp;I471&amp;$BD$2,"")</f>
        <v/>
      </c>
      <c r="BF469" s="27" t="str">
        <f>IFERROR($BC$2&amp;VLOOKUP(J471,'Pay Table'!$M$3:$N$18,2,FALSE)&amp;$BB$2&amp;K471&amp;$BD$2,"")</f>
        <v/>
      </c>
    </row>
    <row r="470" spans="54:58" x14ac:dyDescent="0.15">
      <c r="BB470" s="26" t="str">
        <f>IFERROR($BC$2&amp;VLOOKUP(B472,'Pay Table'!$M$3:$N$18,2,FALSE)&amp;$BB$2&amp;C472&amp;$BD$2,"")</f>
        <v/>
      </c>
      <c r="BC470" s="1" t="str">
        <f>IFERROR($BC$2&amp;VLOOKUP(D472,'Pay Table'!$M$3:$N$18,2,FALSE)&amp;$BB$2&amp;E472&amp;$BD$2,"")</f>
        <v/>
      </c>
      <c r="BD470" s="1" t="str">
        <f>IFERROR($BC$2&amp;VLOOKUP(F472,'Pay Table'!$M$3:$N$18,2,FALSE)&amp;$BB$2&amp;G472&amp;$BD$2,"")</f>
        <v/>
      </c>
      <c r="BE470" s="1" t="str">
        <f>IFERROR($BC$2&amp;VLOOKUP(H472,'Pay Table'!$M$3:$N$18,2,FALSE)&amp;$BB$2&amp;I472&amp;$BD$2,"")</f>
        <v/>
      </c>
      <c r="BF470" s="27" t="str">
        <f>IFERROR($BC$2&amp;VLOOKUP(J472,'Pay Table'!$M$3:$N$18,2,FALSE)&amp;$BB$2&amp;K472&amp;$BD$2,"")</f>
        <v/>
      </c>
    </row>
    <row r="471" spans="54:58" x14ac:dyDescent="0.15">
      <c r="BB471" s="26" t="str">
        <f>IFERROR($BC$2&amp;VLOOKUP(B473,'Pay Table'!$M$3:$N$18,2,FALSE)&amp;$BB$2&amp;C473&amp;$BD$2,"")</f>
        <v/>
      </c>
      <c r="BC471" s="1" t="str">
        <f>IFERROR($BC$2&amp;VLOOKUP(D473,'Pay Table'!$M$3:$N$18,2,FALSE)&amp;$BB$2&amp;E473&amp;$BD$2,"")</f>
        <v/>
      </c>
      <c r="BD471" s="1" t="str">
        <f>IFERROR($BC$2&amp;VLOOKUP(F473,'Pay Table'!$M$3:$N$18,2,FALSE)&amp;$BB$2&amp;G473&amp;$BD$2,"")</f>
        <v/>
      </c>
      <c r="BE471" s="1" t="str">
        <f>IFERROR($BC$2&amp;VLOOKUP(H473,'Pay Table'!$M$3:$N$18,2,FALSE)&amp;$BB$2&amp;I473&amp;$BD$2,"")</f>
        <v/>
      </c>
      <c r="BF471" s="27" t="str">
        <f>IFERROR($BC$2&amp;VLOOKUP(J473,'Pay Table'!$M$3:$N$18,2,FALSE)&amp;$BB$2&amp;K473&amp;$BD$2,"")</f>
        <v/>
      </c>
    </row>
    <row r="472" spans="54:58" x14ac:dyDescent="0.15">
      <c r="BB472" s="26" t="str">
        <f>IFERROR($BC$2&amp;VLOOKUP(B474,'Pay Table'!$M$3:$N$18,2,FALSE)&amp;$BB$2&amp;C474&amp;$BD$2,"")</f>
        <v/>
      </c>
      <c r="BC472" s="1" t="str">
        <f>IFERROR($BC$2&amp;VLOOKUP(D474,'Pay Table'!$M$3:$N$18,2,FALSE)&amp;$BB$2&amp;E474&amp;$BD$2,"")</f>
        <v/>
      </c>
      <c r="BD472" s="1" t="str">
        <f>IFERROR($BC$2&amp;VLOOKUP(F474,'Pay Table'!$M$3:$N$18,2,FALSE)&amp;$BB$2&amp;G474&amp;$BD$2,"")</f>
        <v/>
      </c>
      <c r="BE472" s="1" t="str">
        <f>IFERROR($BC$2&amp;VLOOKUP(H474,'Pay Table'!$M$3:$N$18,2,FALSE)&amp;$BB$2&amp;I474&amp;$BD$2,"")</f>
        <v/>
      </c>
      <c r="BF472" s="27" t="str">
        <f>IFERROR($BC$2&amp;VLOOKUP(J474,'Pay Table'!$M$3:$N$18,2,FALSE)&amp;$BB$2&amp;K474&amp;$BD$2,"")</f>
        <v/>
      </c>
    </row>
    <row r="473" spans="54:58" x14ac:dyDescent="0.15">
      <c r="BB473" s="26" t="str">
        <f>IFERROR($BC$2&amp;VLOOKUP(B475,'Pay Table'!$M$3:$N$18,2,FALSE)&amp;$BB$2&amp;C475&amp;$BD$2,"")</f>
        <v/>
      </c>
      <c r="BC473" s="1" t="str">
        <f>IFERROR($BC$2&amp;VLOOKUP(D475,'Pay Table'!$M$3:$N$18,2,FALSE)&amp;$BB$2&amp;E475&amp;$BD$2,"")</f>
        <v/>
      </c>
      <c r="BD473" s="1" t="str">
        <f>IFERROR($BC$2&amp;VLOOKUP(F475,'Pay Table'!$M$3:$N$18,2,FALSE)&amp;$BB$2&amp;G475&amp;$BD$2,"")</f>
        <v/>
      </c>
      <c r="BE473" s="1" t="str">
        <f>IFERROR($BC$2&amp;VLOOKUP(H475,'Pay Table'!$M$3:$N$18,2,FALSE)&amp;$BB$2&amp;I475&amp;$BD$2,"")</f>
        <v/>
      </c>
      <c r="BF473" s="27" t="str">
        <f>IFERROR($BC$2&amp;VLOOKUP(J475,'Pay Table'!$M$3:$N$18,2,FALSE)&amp;$BB$2&amp;K475&amp;$BD$2,"")</f>
        <v/>
      </c>
    </row>
    <row r="474" spans="54:58" x14ac:dyDescent="0.15">
      <c r="BB474" s="26" t="str">
        <f>IFERROR($BC$2&amp;VLOOKUP(B476,'Pay Table'!$M$3:$N$18,2,FALSE)&amp;$BB$2&amp;C476&amp;$BD$2,"")</f>
        <v/>
      </c>
      <c r="BC474" s="1" t="str">
        <f>IFERROR($BC$2&amp;VLOOKUP(D476,'Pay Table'!$M$3:$N$18,2,FALSE)&amp;$BB$2&amp;E476&amp;$BD$2,"")</f>
        <v/>
      </c>
      <c r="BD474" s="1" t="str">
        <f>IFERROR($BC$2&amp;VLOOKUP(F476,'Pay Table'!$M$3:$N$18,2,FALSE)&amp;$BB$2&amp;G476&amp;$BD$2,"")</f>
        <v/>
      </c>
      <c r="BE474" s="1" t="str">
        <f>IFERROR($BC$2&amp;VLOOKUP(H476,'Pay Table'!$M$3:$N$18,2,FALSE)&amp;$BB$2&amp;I476&amp;$BD$2,"")</f>
        <v/>
      </c>
      <c r="BF474" s="27" t="str">
        <f>IFERROR($BC$2&amp;VLOOKUP(J476,'Pay Table'!$M$3:$N$18,2,FALSE)&amp;$BB$2&amp;K476&amp;$BD$2,"")</f>
        <v/>
      </c>
    </row>
    <row r="475" spans="54:58" x14ac:dyDescent="0.15">
      <c r="BB475" s="26" t="str">
        <f>IFERROR($BC$2&amp;VLOOKUP(B477,'Pay Table'!$M$3:$N$18,2,FALSE)&amp;$BB$2&amp;C477&amp;$BD$2,"")</f>
        <v/>
      </c>
      <c r="BC475" s="1" t="str">
        <f>IFERROR($BC$2&amp;VLOOKUP(D477,'Pay Table'!$M$3:$N$18,2,FALSE)&amp;$BB$2&amp;E477&amp;$BD$2,"")</f>
        <v/>
      </c>
      <c r="BD475" s="1" t="str">
        <f>IFERROR($BC$2&amp;VLOOKUP(F477,'Pay Table'!$M$3:$N$18,2,FALSE)&amp;$BB$2&amp;G477&amp;$BD$2,"")</f>
        <v/>
      </c>
      <c r="BE475" s="1" t="str">
        <f>IFERROR($BC$2&amp;VLOOKUP(H477,'Pay Table'!$M$3:$N$18,2,FALSE)&amp;$BB$2&amp;I477&amp;$BD$2,"")</f>
        <v/>
      </c>
      <c r="BF475" s="27" t="str">
        <f>IFERROR($BC$2&amp;VLOOKUP(J477,'Pay Table'!$M$3:$N$18,2,FALSE)&amp;$BB$2&amp;K477&amp;$BD$2,"")</f>
        <v/>
      </c>
    </row>
    <row r="476" spans="54:58" x14ac:dyDescent="0.15">
      <c r="BB476" s="26" t="str">
        <f>IFERROR($BC$2&amp;VLOOKUP(B478,'Pay Table'!$M$3:$N$18,2,FALSE)&amp;$BB$2&amp;C478&amp;$BD$2,"")</f>
        <v/>
      </c>
      <c r="BC476" s="1" t="str">
        <f>IFERROR($BC$2&amp;VLOOKUP(D478,'Pay Table'!$M$3:$N$18,2,FALSE)&amp;$BB$2&amp;E478&amp;$BD$2,"")</f>
        <v/>
      </c>
      <c r="BD476" s="1" t="str">
        <f>IFERROR($BC$2&amp;VLOOKUP(F478,'Pay Table'!$M$3:$N$18,2,FALSE)&amp;$BB$2&amp;G478&amp;$BD$2,"")</f>
        <v/>
      </c>
      <c r="BE476" s="1" t="str">
        <f>IFERROR($BC$2&amp;VLOOKUP(H478,'Pay Table'!$M$3:$N$18,2,FALSE)&amp;$BB$2&amp;I478&amp;$BD$2,"")</f>
        <v/>
      </c>
      <c r="BF476" s="27" t="str">
        <f>IFERROR($BC$2&amp;VLOOKUP(J478,'Pay Table'!$M$3:$N$18,2,FALSE)&amp;$BB$2&amp;K478&amp;$BD$2,"")</f>
        <v/>
      </c>
    </row>
    <row r="477" spans="54:58" x14ac:dyDescent="0.15">
      <c r="BB477" s="26" t="str">
        <f>IFERROR($BC$2&amp;VLOOKUP(B479,'Pay Table'!$M$3:$N$18,2,FALSE)&amp;$BB$2&amp;C479&amp;$BD$2,"")</f>
        <v/>
      </c>
      <c r="BC477" s="1" t="str">
        <f>IFERROR($BC$2&amp;VLOOKUP(D479,'Pay Table'!$M$3:$N$18,2,FALSE)&amp;$BB$2&amp;E479&amp;$BD$2,"")</f>
        <v/>
      </c>
      <c r="BD477" s="1" t="str">
        <f>IFERROR($BC$2&amp;VLOOKUP(F479,'Pay Table'!$M$3:$N$18,2,FALSE)&amp;$BB$2&amp;G479&amp;$BD$2,"")</f>
        <v/>
      </c>
      <c r="BE477" s="1" t="str">
        <f>IFERROR($BC$2&amp;VLOOKUP(H479,'Pay Table'!$M$3:$N$18,2,FALSE)&amp;$BB$2&amp;I479&amp;$BD$2,"")</f>
        <v/>
      </c>
      <c r="BF477" s="27" t="str">
        <f>IFERROR($BC$2&amp;VLOOKUP(J479,'Pay Table'!$M$3:$N$18,2,FALSE)&amp;$BB$2&amp;K479&amp;$BD$2,"")</f>
        <v/>
      </c>
    </row>
    <row r="478" spans="54:58" x14ac:dyDescent="0.15">
      <c r="BB478" s="26" t="str">
        <f>IFERROR($BC$2&amp;VLOOKUP(B480,'Pay Table'!$M$3:$N$18,2,FALSE)&amp;$BB$2&amp;C480&amp;$BD$2,"")</f>
        <v/>
      </c>
      <c r="BC478" s="1" t="str">
        <f>IFERROR($BC$2&amp;VLOOKUP(D480,'Pay Table'!$M$3:$N$18,2,FALSE)&amp;$BB$2&amp;E480&amp;$BD$2,"")</f>
        <v/>
      </c>
      <c r="BD478" s="1" t="str">
        <f>IFERROR($BC$2&amp;VLOOKUP(F480,'Pay Table'!$M$3:$N$18,2,FALSE)&amp;$BB$2&amp;G480&amp;$BD$2,"")</f>
        <v/>
      </c>
      <c r="BE478" s="1" t="str">
        <f>IFERROR($BC$2&amp;VLOOKUP(H480,'Pay Table'!$M$3:$N$18,2,FALSE)&amp;$BB$2&amp;I480&amp;$BD$2,"")</f>
        <v/>
      </c>
      <c r="BF478" s="27" t="str">
        <f>IFERROR($BC$2&amp;VLOOKUP(J480,'Pay Table'!$M$3:$N$18,2,FALSE)&amp;$BB$2&amp;K480&amp;$BD$2,"")</f>
        <v/>
      </c>
    </row>
    <row r="479" spans="54:58" x14ac:dyDescent="0.15">
      <c r="BB479" s="26" t="str">
        <f>IFERROR($BC$2&amp;VLOOKUP(B481,'Pay Table'!$M$3:$N$18,2,FALSE)&amp;$BB$2&amp;C481&amp;$BD$2,"")</f>
        <v/>
      </c>
      <c r="BC479" s="1" t="str">
        <f>IFERROR($BC$2&amp;VLOOKUP(D481,'Pay Table'!$M$3:$N$18,2,FALSE)&amp;$BB$2&amp;E481&amp;$BD$2,"")</f>
        <v/>
      </c>
      <c r="BD479" s="1" t="str">
        <f>IFERROR($BC$2&amp;VLOOKUP(F481,'Pay Table'!$M$3:$N$18,2,FALSE)&amp;$BB$2&amp;G481&amp;$BD$2,"")</f>
        <v/>
      </c>
      <c r="BE479" s="1" t="str">
        <f>IFERROR($BC$2&amp;VLOOKUP(H481,'Pay Table'!$M$3:$N$18,2,FALSE)&amp;$BB$2&amp;I481&amp;$BD$2,"")</f>
        <v/>
      </c>
      <c r="BF479" s="27" t="str">
        <f>IFERROR($BC$2&amp;VLOOKUP(J481,'Pay Table'!$M$3:$N$18,2,FALSE)&amp;$BB$2&amp;K481&amp;$BD$2,"")</f>
        <v/>
      </c>
    </row>
    <row r="480" spans="54:58" x14ac:dyDescent="0.15">
      <c r="BB480" s="26" t="str">
        <f>IFERROR($BC$2&amp;VLOOKUP(B482,'Pay Table'!$M$3:$N$18,2,FALSE)&amp;$BB$2&amp;C482&amp;$BD$2,"")</f>
        <v/>
      </c>
      <c r="BC480" s="1" t="str">
        <f>IFERROR($BC$2&amp;VLOOKUP(D482,'Pay Table'!$M$3:$N$18,2,FALSE)&amp;$BB$2&amp;E482&amp;$BD$2,"")</f>
        <v/>
      </c>
      <c r="BD480" s="1" t="str">
        <f>IFERROR($BC$2&amp;VLOOKUP(F482,'Pay Table'!$M$3:$N$18,2,FALSE)&amp;$BB$2&amp;G482&amp;$BD$2,"")</f>
        <v/>
      </c>
      <c r="BE480" s="1" t="str">
        <f>IFERROR($BC$2&amp;VLOOKUP(H482,'Pay Table'!$M$3:$N$18,2,FALSE)&amp;$BB$2&amp;I482&amp;$BD$2,"")</f>
        <v/>
      </c>
      <c r="BF480" s="27" t="str">
        <f>IFERROR($BC$2&amp;VLOOKUP(J482,'Pay Table'!$M$3:$N$18,2,FALSE)&amp;$BB$2&amp;K482&amp;$BD$2,"")</f>
        <v/>
      </c>
    </row>
    <row r="481" spans="54:58" x14ac:dyDescent="0.15">
      <c r="BB481" s="26" t="str">
        <f>IFERROR($BC$2&amp;VLOOKUP(B483,'Pay Table'!$M$3:$N$18,2,FALSE)&amp;$BB$2&amp;C483&amp;$BD$2,"")</f>
        <v/>
      </c>
      <c r="BC481" s="1" t="str">
        <f>IFERROR($BC$2&amp;VLOOKUP(D483,'Pay Table'!$M$3:$N$18,2,FALSE)&amp;$BB$2&amp;E483&amp;$BD$2,"")</f>
        <v/>
      </c>
      <c r="BD481" s="1" t="str">
        <f>IFERROR($BC$2&amp;VLOOKUP(F483,'Pay Table'!$M$3:$N$18,2,FALSE)&amp;$BB$2&amp;G483&amp;$BD$2,"")</f>
        <v/>
      </c>
      <c r="BE481" s="1" t="str">
        <f>IFERROR($BC$2&amp;VLOOKUP(H483,'Pay Table'!$M$3:$N$18,2,FALSE)&amp;$BB$2&amp;I483&amp;$BD$2,"")</f>
        <v/>
      </c>
      <c r="BF481" s="27" t="str">
        <f>IFERROR($BC$2&amp;VLOOKUP(J483,'Pay Table'!$M$3:$N$18,2,FALSE)&amp;$BB$2&amp;K483&amp;$BD$2,"")</f>
        <v/>
      </c>
    </row>
    <row r="482" spans="54:58" x14ac:dyDescent="0.15">
      <c r="BB482" s="26" t="str">
        <f>IFERROR($BC$2&amp;VLOOKUP(B484,'Pay Table'!$M$3:$N$18,2,FALSE)&amp;$BB$2&amp;C484&amp;$BD$2,"")</f>
        <v/>
      </c>
      <c r="BC482" s="1" t="str">
        <f>IFERROR($BC$2&amp;VLOOKUP(D484,'Pay Table'!$M$3:$N$18,2,FALSE)&amp;$BB$2&amp;E484&amp;$BD$2,"")</f>
        <v/>
      </c>
      <c r="BD482" s="1" t="str">
        <f>IFERROR($BC$2&amp;VLOOKUP(F484,'Pay Table'!$M$3:$N$18,2,FALSE)&amp;$BB$2&amp;G484&amp;$BD$2,"")</f>
        <v/>
      </c>
      <c r="BE482" s="1" t="str">
        <f>IFERROR($BC$2&amp;VLOOKUP(H484,'Pay Table'!$M$3:$N$18,2,FALSE)&amp;$BB$2&amp;I484&amp;$BD$2,"")</f>
        <v/>
      </c>
      <c r="BF482" s="27" t="str">
        <f>IFERROR($BC$2&amp;VLOOKUP(J484,'Pay Table'!$M$3:$N$18,2,FALSE)&amp;$BB$2&amp;K484&amp;$BD$2,"")</f>
        <v/>
      </c>
    </row>
    <row r="483" spans="54:58" x14ac:dyDescent="0.15">
      <c r="BB483" s="26" t="str">
        <f>IFERROR($BC$2&amp;VLOOKUP(B485,'Pay Table'!$M$3:$N$18,2,FALSE)&amp;$BB$2&amp;C485&amp;$BD$2,"")</f>
        <v/>
      </c>
      <c r="BC483" s="1" t="str">
        <f>IFERROR($BC$2&amp;VLOOKUP(D485,'Pay Table'!$M$3:$N$18,2,FALSE)&amp;$BB$2&amp;E485&amp;$BD$2,"")</f>
        <v/>
      </c>
      <c r="BD483" s="1" t="str">
        <f>IFERROR($BC$2&amp;VLOOKUP(F485,'Pay Table'!$M$3:$N$18,2,FALSE)&amp;$BB$2&amp;G485&amp;$BD$2,"")</f>
        <v/>
      </c>
      <c r="BE483" s="1" t="str">
        <f>IFERROR($BC$2&amp;VLOOKUP(H485,'Pay Table'!$M$3:$N$18,2,FALSE)&amp;$BB$2&amp;I485&amp;$BD$2,"")</f>
        <v/>
      </c>
      <c r="BF483" s="27" t="str">
        <f>IFERROR($BC$2&amp;VLOOKUP(J485,'Pay Table'!$M$3:$N$18,2,FALSE)&amp;$BB$2&amp;K485&amp;$BD$2,"")</f>
        <v/>
      </c>
    </row>
    <row r="484" spans="54:58" x14ac:dyDescent="0.15">
      <c r="BB484" s="26" t="str">
        <f>IFERROR($BC$2&amp;VLOOKUP(B486,'Pay Table'!$M$3:$N$18,2,FALSE)&amp;$BB$2&amp;C486&amp;$BD$2,"")</f>
        <v/>
      </c>
      <c r="BC484" s="1" t="str">
        <f>IFERROR($BC$2&amp;VLOOKUP(D486,'Pay Table'!$M$3:$N$18,2,FALSE)&amp;$BB$2&amp;E486&amp;$BD$2,"")</f>
        <v/>
      </c>
      <c r="BD484" s="1" t="str">
        <f>IFERROR($BC$2&amp;VLOOKUP(F486,'Pay Table'!$M$3:$N$18,2,FALSE)&amp;$BB$2&amp;G486&amp;$BD$2,"")</f>
        <v/>
      </c>
      <c r="BE484" s="1" t="str">
        <f>IFERROR($BC$2&amp;VLOOKUP(H486,'Pay Table'!$M$3:$N$18,2,FALSE)&amp;$BB$2&amp;I486&amp;$BD$2,"")</f>
        <v/>
      </c>
      <c r="BF484" s="27" t="str">
        <f>IFERROR($BC$2&amp;VLOOKUP(J486,'Pay Table'!$M$3:$N$18,2,FALSE)&amp;$BB$2&amp;K486&amp;$BD$2,"")</f>
        <v/>
      </c>
    </row>
    <row r="485" spans="54:58" x14ac:dyDescent="0.15">
      <c r="BB485" s="26" t="str">
        <f>IFERROR($BC$2&amp;VLOOKUP(B487,'Pay Table'!$M$3:$N$18,2,FALSE)&amp;$BB$2&amp;C487&amp;$BD$2,"")</f>
        <v/>
      </c>
      <c r="BC485" s="1" t="str">
        <f>IFERROR($BC$2&amp;VLOOKUP(D487,'Pay Table'!$M$3:$N$18,2,FALSE)&amp;$BB$2&amp;E487&amp;$BD$2,"")</f>
        <v/>
      </c>
      <c r="BD485" s="1" t="str">
        <f>IFERROR($BC$2&amp;VLOOKUP(F487,'Pay Table'!$M$3:$N$18,2,FALSE)&amp;$BB$2&amp;G487&amp;$BD$2,"")</f>
        <v/>
      </c>
      <c r="BE485" s="1" t="str">
        <f>IFERROR($BC$2&amp;VLOOKUP(H487,'Pay Table'!$M$3:$N$18,2,FALSE)&amp;$BB$2&amp;I487&amp;$BD$2,"")</f>
        <v/>
      </c>
      <c r="BF485" s="27" t="str">
        <f>IFERROR($BC$2&amp;VLOOKUP(J487,'Pay Table'!$M$3:$N$18,2,FALSE)&amp;$BB$2&amp;K487&amp;$BD$2,"")</f>
        <v/>
      </c>
    </row>
    <row r="486" spans="54:58" x14ac:dyDescent="0.15">
      <c r="BB486" s="26" t="str">
        <f>IFERROR($BC$2&amp;VLOOKUP(B488,'Pay Table'!$M$3:$N$18,2,FALSE)&amp;$BB$2&amp;C488&amp;$BD$2,"")</f>
        <v/>
      </c>
      <c r="BC486" s="1" t="str">
        <f>IFERROR($BC$2&amp;VLOOKUP(D488,'Pay Table'!$M$3:$N$18,2,FALSE)&amp;$BB$2&amp;E488&amp;$BD$2,"")</f>
        <v/>
      </c>
      <c r="BD486" s="1" t="str">
        <f>IFERROR($BC$2&amp;VLOOKUP(F488,'Pay Table'!$M$3:$N$18,2,FALSE)&amp;$BB$2&amp;G488&amp;$BD$2,"")</f>
        <v/>
      </c>
      <c r="BE486" s="1" t="str">
        <f>IFERROR($BC$2&amp;VLOOKUP(H488,'Pay Table'!$M$3:$N$18,2,FALSE)&amp;$BB$2&amp;I488&amp;$BD$2,"")</f>
        <v/>
      </c>
      <c r="BF486" s="27" t="str">
        <f>IFERROR($BC$2&amp;VLOOKUP(J488,'Pay Table'!$M$3:$N$18,2,FALSE)&amp;$BB$2&amp;K488&amp;$BD$2,"")</f>
        <v/>
      </c>
    </row>
    <row r="487" spans="54:58" x14ac:dyDescent="0.15">
      <c r="BB487" s="26" t="str">
        <f>IFERROR($BC$2&amp;VLOOKUP(B489,'Pay Table'!$M$3:$N$18,2,FALSE)&amp;$BB$2&amp;C489&amp;$BD$2,"")</f>
        <v/>
      </c>
      <c r="BC487" s="1" t="str">
        <f>IFERROR($BC$2&amp;VLOOKUP(D489,'Pay Table'!$M$3:$N$18,2,FALSE)&amp;$BB$2&amp;E489&amp;$BD$2,"")</f>
        <v/>
      </c>
      <c r="BD487" s="1" t="str">
        <f>IFERROR($BC$2&amp;VLOOKUP(F489,'Pay Table'!$M$3:$N$18,2,FALSE)&amp;$BB$2&amp;G489&amp;$BD$2,"")</f>
        <v/>
      </c>
      <c r="BE487" s="1" t="str">
        <f>IFERROR($BC$2&amp;VLOOKUP(H489,'Pay Table'!$M$3:$N$18,2,FALSE)&amp;$BB$2&amp;I489&amp;$BD$2,"")</f>
        <v/>
      </c>
      <c r="BF487" s="27" t="str">
        <f>IFERROR($BC$2&amp;VLOOKUP(J489,'Pay Table'!$M$3:$N$18,2,FALSE)&amp;$BB$2&amp;K489&amp;$BD$2,"")</f>
        <v/>
      </c>
    </row>
    <row r="488" spans="54:58" x14ac:dyDescent="0.15">
      <c r="BB488" s="26" t="str">
        <f>IFERROR($BC$2&amp;VLOOKUP(B490,'Pay Table'!$M$3:$N$18,2,FALSE)&amp;$BB$2&amp;C490&amp;$BD$2,"")</f>
        <v/>
      </c>
      <c r="BC488" s="1" t="str">
        <f>IFERROR($BC$2&amp;VLOOKUP(D490,'Pay Table'!$M$3:$N$18,2,FALSE)&amp;$BB$2&amp;E490&amp;$BD$2,"")</f>
        <v/>
      </c>
      <c r="BD488" s="1" t="str">
        <f>IFERROR($BC$2&amp;VLOOKUP(F490,'Pay Table'!$M$3:$N$18,2,FALSE)&amp;$BB$2&amp;G490&amp;$BD$2,"")</f>
        <v/>
      </c>
      <c r="BE488" s="1" t="str">
        <f>IFERROR($BC$2&amp;VLOOKUP(H490,'Pay Table'!$M$3:$N$18,2,FALSE)&amp;$BB$2&amp;I490&amp;$BD$2,"")</f>
        <v/>
      </c>
      <c r="BF488" s="27" t="str">
        <f>IFERROR($BC$2&amp;VLOOKUP(J490,'Pay Table'!$M$3:$N$18,2,FALSE)&amp;$BB$2&amp;K490&amp;$BD$2,"")</f>
        <v/>
      </c>
    </row>
    <row r="489" spans="54:58" x14ac:dyDescent="0.15">
      <c r="BB489" s="26" t="str">
        <f>IFERROR($BC$2&amp;VLOOKUP(B491,'Pay Table'!$M$3:$N$18,2,FALSE)&amp;$BB$2&amp;C491&amp;$BD$2,"")</f>
        <v/>
      </c>
      <c r="BC489" s="1" t="str">
        <f>IFERROR($BC$2&amp;VLOOKUP(D491,'Pay Table'!$M$3:$N$18,2,FALSE)&amp;$BB$2&amp;E491&amp;$BD$2,"")</f>
        <v/>
      </c>
      <c r="BD489" s="1" t="str">
        <f>IFERROR($BC$2&amp;VLOOKUP(F491,'Pay Table'!$M$3:$N$18,2,FALSE)&amp;$BB$2&amp;G491&amp;$BD$2,"")</f>
        <v/>
      </c>
      <c r="BE489" s="1" t="str">
        <f>IFERROR($BC$2&amp;VLOOKUP(H491,'Pay Table'!$M$3:$N$18,2,FALSE)&amp;$BB$2&amp;I491&amp;$BD$2,"")</f>
        <v/>
      </c>
      <c r="BF489" s="27" t="str">
        <f>IFERROR($BC$2&amp;VLOOKUP(J491,'Pay Table'!$M$3:$N$18,2,FALSE)&amp;$BB$2&amp;K491&amp;$BD$2,"")</f>
        <v/>
      </c>
    </row>
    <row r="490" spans="54:58" x14ac:dyDescent="0.15">
      <c r="BB490" s="26" t="str">
        <f>IFERROR($BC$2&amp;VLOOKUP(B492,'Pay Table'!$M$3:$N$18,2,FALSE)&amp;$BB$2&amp;C492&amp;$BD$2,"")</f>
        <v/>
      </c>
      <c r="BC490" s="1" t="str">
        <f>IFERROR($BC$2&amp;VLOOKUP(D492,'Pay Table'!$M$3:$N$18,2,FALSE)&amp;$BB$2&amp;E492&amp;$BD$2,"")</f>
        <v/>
      </c>
      <c r="BD490" s="1" t="str">
        <f>IFERROR($BC$2&amp;VLOOKUP(F492,'Pay Table'!$M$3:$N$18,2,FALSE)&amp;$BB$2&amp;G492&amp;$BD$2,"")</f>
        <v/>
      </c>
      <c r="BE490" s="1" t="str">
        <f>IFERROR($BC$2&amp;VLOOKUP(H492,'Pay Table'!$M$3:$N$18,2,FALSE)&amp;$BB$2&amp;I492&amp;$BD$2,"")</f>
        <v/>
      </c>
      <c r="BF490" s="27" t="str">
        <f>IFERROR($BC$2&amp;VLOOKUP(J492,'Pay Table'!$M$3:$N$18,2,FALSE)&amp;$BB$2&amp;K492&amp;$BD$2,"")</f>
        <v/>
      </c>
    </row>
    <row r="491" spans="54:58" x14ac:dyDescent="0.15">
      <c r="BB491" s="26" t="str">
        <f>IFERROR($BC$2&amp;VLOOKUP(B493,'Pay Table'!$M$3:$N$18,2,FALSE)&amp;$BB$2&amp;C493&amp;$BD$2,"")</f>
        <v/>
      </c>
      <c r="BC491" s="1" t="str">
        <f>IFERROR($BC$2&amp;VLOOKUP(D493,'Pay Table'!$M$3:$N$18,2,FALSE)&amp;$BB$2&amp;E493&amp;$BD$2,"")</f>
        <v/>
      </c>
      <c r="BD491" s="1" t="str">
        <f>IFERROR($BC$2&amp;VLOOKUP(F493,'Pay Table'!$M$3:$N$18,2,FALSE)&amp;$BB$2&amp;G493&amp;$BD$2,"")</f>
        <v/>
      </c>
      <c r="BE491" s="1" t="str">
        <f>IFERROR($BC$2&amp;VLOOKUP(H493,'Pay Table'!$M$3:$N$18,2,FALSE)&amp;$BB$2&amp;I493&amp;$BD$2,"")</f>
        <v/>
      </c>
      <c r="BF491" s="27" t="str">
        <f>IFERROR($BC$2&amp;VLOOKUP(J493,'Pay Table'!$M$3:$N$18,2,FALSE)&amp;$BB$2&amp;K493&amp;$BD$2,"")</f>
        <v/>
      </c>
    </row>
    <row r="492" spans="54:58" x14ac:dyDescent="0.15">
      <c r="BB492" s="26" t="str">
        <f>IFERROR($BC$2&amp;VLOOKUP(B494,'Pay Table'!$M$3:$N$18,2,FALSE)&amp;$BB$2&amp;C494&amp;$BD$2,"")</f>
        <v/>
      </c>
      <c r="BC492" s="1" t="str">
        <f>IFERROR($BC$2&amp;VLOOKUP(D494,'Pay Table'!$M$3:$N$18,2,FALSE)&amp;$BB$2&amp;E494&amp;$BD$2,"")</f>
        <v/>
      </c>
      <c r="BD492" s="1" t="str">
        <f>IFERROR($BC$2&amp;VLOOKUP(F494,'Pay Table'!$M$3:$N$18,2,FALSE)&amp;$BB$2&amp;G494&amp;$BD$2,"")</f>
        <v/>
      </c>
      <c r="BE492" s="1" t="str">
        <f>IFERROR($BC$2&amp;VLOOKUP(H494,'Pay Table'!$M$3:$N$18,2,FALSE)&amp;$BB$2&amp;I494&amp;$BD$2,"")</f>
        <v/>
      </c>
      <c r="BF492" s="27" t="str">
        <f>IFERROR($BC$2&amp;VLOOKUP(J494,'Pay Table'!$M$3:$N$18,2,FALSE)&amp;$BB$2&amp;K494&amp;$BD$2,"")</f>
        <v/>
      </c>
    </row>
    <row r="493" spans="54:58" x14ac:dyDescent="0.15">
      <c r="BB493" s="26" t="str">
        <f>IFERROR($BC$2&amp;VLOOKUP(B495,'Pay Table'!$M$3:$N$18,2,FALSE)&amp;$BB$2&amp;C495&amp;$BD$2,"")</f>
        <v/>
      </c>
      <c r="BC493" s="1" t="str">
        <f>IFERROR($BC$2&amp;VLOOKUP(D495,'Pay Table'!$M$3:$N$18,2,FALSE)&amp;$BB$2&amp;E495&amp;$BD$2,"")</f>
        <v/>
      </c>
      <c r="BD493" s="1" t="str">
        <f>IFERROR($BC$2&amp;VLOOKUP(F495,'Pay Table'!$M$3:$N$18,2,FALSE)&amp;$BB$2&amp;G495&amp;$BD$2,"")</f>
        <v/>
      </c>
      <c r="BE493" s="1" t="str">
        <f>IFERROR($BC$2&amp;VLOOKUP(H495,'Pay Table'!$M$3:$N$18,2,FALSE)&amp;$BB$2&amp;I495&amp;$BD$2,"")</f>
        <v/>
      </c>
      <c r="BF493" s="27" t="str">
        <f>IFERROR($BC$2&amp;VLOOKUP(J495,'Pay Table'!$M$3:$N$18,2,FALSE)&amp;$BB$2&amp;K495&amp;$BD$2,"")</f>
        <v/>
      </c>
    </row>
    <row r="494" spans="54:58" x14ac:dyDescent="0.15">
      <c r="BB494" s="26" t="str">
        <f>IFERROR($BC$2&amp;VLOOKUP(B496,'Pay Table'!$M$3:$N$18,2,FALSE)&amp;$BB$2&amp;C496&amp;$BD$2,"")</f>
        <v/>
      </c>
      <c r="BC494" s="1" t="str">
        <f>IFERROR($BC$2&amp;VLOOKUP(D496,'Pay Table'!$M$3:$N$18,2,FALSE)&amp;$BB$2&amp;E496&amp;$BD$2,"")</f>
        <v/>
      </c>
      <c r="BD494" s="1" t="str">
        <f>IFERROR($BC$2&amp;VLOOKUP(F496,'Pay Table'!$M$3:$N$18,2,FALSE)&amp;$BB$2&amp;G496&amp;$BD$2,"")</f>
        <v/>
      </c>
      <c r="BE494" s="1" t="str">
        <f>IFERROR($BC$2&amp;VLOOKUP(H496,'Pay Table'!$M$3:$N$18,2,FALSE)&amp;$BB$2&amp;I496&amp;$BD$2,"")</f>
        <v/>
      </c>
      <c r="BF494" s="27" t="str">
        <f>IFERROR($BC$2&amp;VLOOKUP(J496,'Pay Table'!$M$3:$N$18,2,FALSE)&amp;$BB$2&amp;K496&amp;$BD$2,"")</f>
        <v/>
      </c>
    </row>
    <row r="495" spans="54:58" x14ac:dyDescent="0.15">
      <c r="BB495" s="26" t="str">
        <f>IFERROR($BC$2&amp;VLOOKUP(B497,'Pay Table'!$M$3:$N$18,2,FALSE)&amp;$BB$2&amp;C497&amp;$BD$2,"")</f>
        <v/>
      </c>
      <c r="BC495" s="1" t="str">
        <f>IFERROR($BC$2&amp;VLOOKUP(D497,'Pay Table'!$M$3:$N$18,2,FALSE)&amp;$BB$2&amp;E497&amp;$BD$2,"")</f>
        <v/>
      </c>
      <c r="BD495" s="1" t="str">
        <f>IFERROR($BC$2&amp;VLOOKUP(F497,'Pay Table'!$M$3:$N$18,2,FALSE)&amp;$BB$2&amp;G497&amp;$BD$2,"")</f>
        <v/>
      </c>
      <c r="BE495" s="1" t="str">
        <f>IFERROR($BC$2&amp;VLOOKUP(H497,'Pay Table'!$M$3:$N$18,2,FALSE)&amp;$BB$2&amp;I497&amp;$BD$2,"")</f>
        <v/>
      </c>
      <c r="BF495" s="27" t="str">
        <f>IFERROR($BC$2&amp;VLOOKUP(J497,'Pay Table'!$M$3:$N$18,2,FALSE)&amp;$BB$2&amp;K497&amp;$BD$2,"")</f>
        <v/>
      </c>
    </row>
    <row r="496" spans="54:58" x14ac:dyDescent="0.15">
      <c r="BB496" s="26" t="str">
        <f>IFERROR($BC$2&amp;VLOOKUP(B498,'Pay Table'!$M$3:$N$18,2,FALSE)&amp;$BB$2&amp;C498&amp;$BD$2,"")</f>
        <v/>
      </c>
      <c r="BC496" s="1" t="str">
        <f>IFERROR($BC$2&amp;VLOOKUP(D498,'Pay Table'!$M$3:$N$18,2,FALSE)&amp;$BB$2&amp;E498&amp;$BD$2,"")</f>
        <v/>
      </c>
      <c r="BD496" s="1" t="str">
        <f>IFERROR($BC$2&amp;VLOOKUP(F498,'Pay Table'!$M$3:$N$18,2,FALSE)&amp;$BB$2&amp;G498&amp;$BD$2,"")</f>
        <v/>
      </c>
      <c r="BE496" s="1" t="str">
        <f>IFERROR($BC$2&amp;VLOOKUP(H498,'Pay Table'!$M$3:$N$18,2,FALSE)&amp;$BB$2&amp;I498&amp;$BD$2,"")</f>
        <v/>
      </c>
      <c r="BF496" s="27" t="str">
        <f>IFERROR($BC$2&amp;VLOOKUP(J498,'Pay Table'!$M$3:$N$18,2,FALSE)&amp;$BB$2&amp;K498&amp;$BD$2,"")</f>
        <v/>
      </c>
    </row>
    <row r="497" spans="54:58" x14ac:dyDescent="0.15">
      <c r="BB497" s="26" t="str">
        <f>IFERROR($BC$2&amp;VLOOKUP(B499,'Pay Table'!$M$3:$N$18,2,FALSE)&amp;$BB$2&amp;C499&amp;$BD$2,"")</f>
        <v/>
      </c>
      <c r="BC497" s="1" t="str">
        <f>IFERROR($BC$2&amp;VLOOKUP(D499,'Pay Table'!$M$3:$N$18,2,FALSE)&amp;$BB$2&amp;E499&amp;$BD$2,"")</f>
        <v/>
      </c>
      <c r="BD497" s="1" t="str">
        <f>IFERROR($BC$2&amp;VLOOKUP(F499,'Pay Table'!$M$3:$N$18,2,FALSE)&amp;$BB$2&amp;G499&amp;$BD$2,"")</f>
        <v/>
      </c>
      <c r="BE497" s="1" t="str">
        <f>IFERROR($BC$2&amp;VLOOKUP(H499,'Pay Table'!$M$3:$N$18,2,FALSE)&amp;$BB$2&amp;I499&amp;$BD$2,"")</f>
        <v/>
      </c>
      <c r="BF497" s="27" t="str">
        <f>IFERROR($BC$2&amp;VLOOKUP(J499,'Pay Table'!$M$3:$N$18,2,FALSE)&amp;$BB$2&amp;K499&amp;$BD$2,"")</f>
        <v/>
      </c>
    </row>
    <row r="498" spans="54:58" x14ac:dyDescent="0.15">
      <c r="BB498" s="26" t="str">
        <f>IFERROR($BC$2&amp;VLOOKUP(B500,'Pay Table'!$M$3:$N$18,2,FALSE)&amp;$BB$2&amp;C500&amp;$BD$2,"")</f>
        <v/>
      </c>
      <c r="BC498" s="1" t="str">
        <f>IFERROR($BC$2&amp;VLOOKUP(D500,'Pay Table'!$M$3:$N$18,2,FALSE)&amp;$BB$2&amp;E500&amp;$BD$2,"")</f>
        <v/>
      </c>
      <c r="BD498" s="1" t="str">
        <f>IFERROR($BC$2&amp;VLOOKUP(F500,'Pay Table'!$M$3:$N$18,2,FALSE)&amp;$BB$2&amp;G500&amp;$BD$2,"")</f>
        <v/>
      </c>
      <c r="BE498" s="1" t="str">
        <f>IFERROR($BC$2&amp;VLOOKUP(H500,'Pay Table'!$M$3:$N$18,2,FALSE)&amp;$BB$2&amp;I500&amp;$BD$2,"")</f>
        <v/>
      </c>
      <c r="BF498" s="27" t="str">
        <f>IFERROR($BC$2&amp;VLOOKUP(J500,'Pay Table'!$M$3:$N$18,2,FALSE)&amp;$BB$2&amp;K500&amp;$BD$2,"")</f>
        <v/>
      </c>
    </row>
    <row r="499" spans="54:58" x14ac:dyDescent="0.15">
      <c r="BB499" s="26" t="str">
        <f>IFERROR($BC$2&amp;VLOOKUP(B501,'Pay Table'!$M$3:$N$18,2,FALSE)&amp;$BB$2&amp;C501&amp;$BD$2,"")</f>
        <v/>
      </c>
      <c r="BC499" s="1" t="str">
        <f>IFERROR($BC$2&amp;VLOOKUP(D501,'Pay Table'!$M$3:$N$18,2,FALSE)&amp;$BB$2&amp;E501&amp;$BD$2,"")</f>
        <v/>
      </c>
      <c r="BD499" s="1" t="str">
        <f>IFERROR($BC$2&amp;VLOOKUP(F501,'Pay Table'!$M$3:$N$18,2,FALSE)&amp;$BB$2&amp;G501&amp;$BD$2,"")</f>
        <v/>
      </c>
      <c r="BE499" s="1" t="str">
        <f>IFERROR($BC$2&amp;VLOOKUP(H501,'Pay Table'!$M$3:$N$18,2,FALSE)&amp;$BB$2&amp;I501&amp;$BD$2,"")</f>
        <v/>
      </c>
      <c r="BF499" s="27" t="str">
        <f>IFERROR($BC$2&amp;VLOOKUP(J501,'Pay Table'!$M$3:$N$18,2,FALSE)&amp;$BB$2&amp;K501&amp;$BD$2,"")</f>
        <v/>
      </c>
    </row>
    <row r="500" spans="54:58" x14ac:dyDescent="0.15">
      <c r="BB500" s="26" t="str">
        <f>IFERROR($BC$2&amp;VLOOKUP(B502,'Pay Table'!$M$3:$N$18,2,FALSE)&amp;$BB$2&amp;C502&amp;$BD$2,"")</f>
        <v/>
      </c>
      <c r="BC500" s="1" t="str">
        <f>IFERROR($BC$2&amp;VLOOKUP(D502,'Pay Table'!$M$3:$N$18,2,FALSE)&amp;$BB$2&amp;E502&amp;$BD$2,"")</f>
        <v/>
      </c>
      <c r="BD500" s="1" t="str">
        <f>IFERROR($BC$2&amp;VLOOKUP(F502,'Pay Table'!$M$3:$N$18,2,FALSE)&amp;$BB$2&amp;G502&amp;$BD$2,"")</f>
        <v/>
      </c>
      <c r="BE500" s="1" t="str">
        <f>IFERROR($BC$2&amp;VLOOKUP(H502,'Pay Table'!$M$3:$N$18,2,FALSE)&amp;$BB$2&amp;I502&amp;$BD$2,"")</f>
        <v/>
      </c>
      <c r="BF500" s="27" t="str">
        <f>IFERROR($BC$2&amp;VLOOKUP(J502,'Pay Table'!$M$3:$N$18,2,FALSE)&amp;$BB$2&amp;K502&amp;$BD$2,"")</f>
        <v/>
      </c>
    </row>
    <row r="501" spans="54:58" x14ac:dyDescent="0.15">
      <c r="BB501" s="26" t="str">
        <f>IFERROR($BC$2&amp;VLOOKUP(B503,'Pay Table'!$M$3:$N$18,2,FALSE)&amp;$BB$2&amp;C503&amp;$BD$2,"")</f>
        <v/>
      </c>
      <c r="BC501" s="1" t="str">
        <f>IFERROR($BC$2&amp;VLOOKUP(D503,'Pay Table'!$M$3:$N$18,2,FALSE)&amp;$BB$2&amp;E503&amp;$BD$2,"")</f>
        <v/>
      </c>
      <c r="BD501" s="1" t="str">
        <f>IFERROR($BC$2&amp;VLOOKUP(F503,'Pay Table'!$M$3:$N$18,2,FALSE)&amp;$BB$2&amp;G503&amp;$BD$2,"")</f>
        <v/>
      </c>
      <c r="BE501" s="1" t="str">
        <f>IFERROR($BC$2&amp;VLOOKUP(H503,'Pay Table'!$M$3:$N$18,2,FALSE)&amp;$BB$2&amp;I503&amp;$BD$2,"")</f>
        <v/>
      </c>
      <c r="BF501" s="27" t="str">
        <f>IFERROR($BC$2&amp;VLOOKUP(J503,'Pay Table'!$M$3:$N$18,2,FALSE)&amp;$BB$2&amp;K503&amp;$BD$2,"")</f>
        <v/>
      </c>
    </row>
    <row r="502" spans="54:58" x14ac:dyDescent="0.15">
      <c r="BB502" s="26" t="str">
        <f>IFERROR($BC$2&amp;VLOOKUP(B504,'Pay Table'!$M$3:$N$18,2,FALSE)&amp;$BB$2&amp;C504&amp;$BD$2,"")</f>
        <v/>
      </c>
      <c r="BC502" s="1" t="str">
        <f>IFERROR($BC$2&amp;VLOOKUP(D504,'Pay Table'!$M$3:$N$18,2,FALSE)&amp;$BB$2&amp;E504&amp;$BD$2,"")</f>
        <v/>
      </c>
      <c r="BD502" s="1" t="str">
        <f>IFERROR($BC$2&amp;VLOOKUP(F504,'Pay Table'!$M$3:$N$18,2,FALSE)&amp;$BB$2&amp;G504&amp;$BD$2,"")</f>
        <v/>
      </c>
      <c r="BE502" s="1" t="str">
        <f>IFERROR($BC$2&amp;VLOOKUP(H504,'Pay Table'!$M$3:$N$18,2,FALSE)&amp;$BB$2&amp;I504&amp;$BD$2,"")</f>
        <v/>
      </c>
      <c r="BF502" s="27" t="str">
        <f>IFERROR($BC$2&amp;VLOOKUP(J504,'Pay Table'!$M$3:$N$18,2,FALSE)&amp;$BB$2&amp;K504&amp;$BD$2,"")</f>
        <v/>
      </c>
    </row>
    <row r="503" spans="54:58" x14ac:dyDescent="0.15">
      <c r="BB503" s="26" t="str">
        <f>IFERROR($BC$2&amp;VLOOKUP(B505,'Pay Table'!$M$3:$N$18,2,FALSE)&amp;$BB$2&amp;C505&amp;$BD$2,"")</f>
        <v/>
      </c>
      <c r="BC503" s="1" t="str">
        <f>IFERROR($BC$2&amp;VLOOKUP(D505,'Pay Table'!$M$3:$N$18,2,FALSE)&amp;$BB$2&amp;E505&amp;$BD$2,"")</f>
        <v/>
      </c>
      <c r="BD503" s="1" t="str">
        <f>IFERROR($BC$2&amp;VLOOKUP(F505,'Pay Table'!$M$3:$N$18,2,FALSE)&amp;$BB$2&amp;G505&amp;$BD$2,"")</f>
        <v/>
      </c>
      <c r="BE503" s="1" t="str">
        <f>IFERROR($BC$2&amp;VLOOKUP(H505,'Pay Table'!$M$3:$N$18,2,FALSE)&amp;$BB$2&amp;I505&amp;$BD$2,"")</f>
        <v/>
      </c>
      <c r="BF503" s="27" t="str">
        <f>IFERROR($BC$2&amp;VLOOKUP(J505,'Pay Table'!$M$3:$N$18,2,FALSE)&amp;$BB$2&amp;K505&amp;$BD$2,"")</f>
        <v/>
      </c>
    </row>
    <row r="504" spans="54:58" x14ac:dyDescent="0.15">
      <c r="BB504" s="26" t="str">
        <f>IFERROR($BC$2&amp;VLOOKUP(B506,'Pay Table'!$M$3:$N$18,2,FALSE)&amp;$BB$2&amp;C506&amp;$BD$2,"")</f>
        <v/>
      </c>
      <c r="BC504" s="1" t="str">
        <f>IFERROR($BC$2&amp;VLOOKUP(D506,'Pay Table'!$M$3:$N$18,2,FALSE)&amp;$BB$2&amp;E506&amp;$BD$2,"")</f>
        <v/>
      </c>
      <c r="BD504" s="1" t="str">
        <f>IFERROR($BC$2&amp;VLOOKUP(F506,'Pay Table'!$M$3:$N$18,2,FALSE)&amp;$BB$2&amp;G506&amp;$BD$2,"")</f>
        <v/>
      </c>
      <c r="BE504" s="1" t="str">
        <f>IFERROR($BC$2&amp;VLOOKUP(H506,'Pay Table'!$M$3:$N$18,2,FALSE)&amp;$BB$2&amp;I506&amp;$BD$2,"")</f>
        <v/>
      </c>
      <c r="BF504" s="27" t="str">
        <f>IFERROR($BC$2&amp;VLOOKUP(J506,'Pay Table'!$M$3:$N$18,2,FALSE)&amp;$BB$2&amp;K506&amp;$BD$2,"")</f>
        <v/>
      </c>
    </row>
    <row r="505" spans="54:58" x14ac:dyDescent="0.15">
      <c r="BB505" s="26" t="str">
        <f>IFERROR($BC$2&amp;VLOOKUP(B507,'Pay Table'!$M$3:$N$18,2,FALSE)&amp;$BB$2&amp;C507&amp;$BD$2,"")</f>
        <v/>
      </c>
      <c r="BC505" s="1" t="str">
        <f>IFERROR($BC$2&amp;VLOOKUP(D507,'Pay Table'!$M$3:$N$18,2,FALSE)&amp;$BB$2&amp;E507&amp;$BD$2,"")</f>
        <v/>
      </c>
      <c r="BD505" s="1" t="str">
        <f>IFERROR($BC$2&amp;VLOOKUP(F507,'Pay Table'!$M$3:$N$18,2,FALSE)&amp;$BB$2&amp;G507&amp;$BD$2,"")</f>
        <v/>
      </c>
      <c r="BE505" s="1" t="str">
        <f>IFERROR($BC$2&amp;VLOOKUP(H507,'Pay Table'!$M$3:$N$18,2,FALSE)&amp;$BB$2&amp;I507&amp;$BD$2,"")</f>
        <v/>
      </c>
      <c r="BF505" s="27" t="str">
        <f>IFERROR($BC$2&amp;VLOOKUP(J507,'Pay Table'!$M$3:$N$18,2,FALSE)&amp;$BB$2&amp;K507&amp;$BD$2,"")</f>
        <v/>
      </c>
    </row>
    <row r="506" spans="54:58" x14ac:dyDescent="0.15">
      <c r="BB506" s="26" t="str">
        <f>IFERROR($BC$2&amp;VLOOKUP(B508,'Pay Table'!$M$3:$N$18,2,FALSE)&amp;$BB$2&amp;C508&amp;$BD$2,"")</f>
        <v/>
      </c>
      <c r="BC506" s="1" t="str">
        <f>IFERROR($BC$2&amp;VLOOKUP(D508,'Pay Table'!$M$3:$N$18,2,FALSE)&amp;$BB$2&amp;E508&amp;$BD$2,"")</f>
        <v/>
      </c>
      <c r="BD506" s="1" t="str">
        <f>IFERROR($BC$2&amp;VLOOKUP(F508,'Pay Table'!$M$3:$N$18,2,FALSE)&amp;$BB$2&amp;G508&amp;$BD$2,"")</f>
        <v/>
      </c>
      <c r="BE506" s="1" t="str">
        <f>IFERROR($BC$2&amp;VLOOKUP(H508,'Pay Table'!$M$3:$N$18,2,FALSE)&amp;$BB$2&amp;I508&amp;$BD$2,"")</f>
        <v/>
      </c>
      <c r="BF506" s="27" t="str">
        <f>IFERROR($BC$2&amp;VLOOKUP(J508,'Pay Table'!$M$3:$N$18,2,FALSE)&amp;$BB$2&amp;K508&amp;$BD$2,"")</f>
        <v/>
      </c>
    </row>
    <row r="507" spans="54:58" x14ac:dyDescent="0.15">
      <c r="BB507" s="26" t="str">
        <f>IFERROR($BC$2&amp;VLOOKUP(B509,'Pay Table'!$M$3:$N$18,2,FALSE)&amp;$BB$2&amp;C509&amp;$BD$2,"")</f>
        <v/>
      </c>
      <c r="BC507" s="1" t="str">
        <f>IFERROR($BC$2&amp;VLOOKUP(D509,'Pay Table'!$M$3:$N$18,2,FALSE)&amp;$BB$2&amp;E509&amp;$BD$2,"")</f>
        <v/>
      </c>
      <c r="BD507" s="1" t="str">
        <f>IFERROR($BC$2&amp;VLOOKUP(F509,'Pay Table'!$M$3:$N$18,2,FALSE)&amp;$BB$2&amp;G509&amp;$BD$2,"")</f>
        <v/>
      </c>
      <c r="BE507" s="1" t="str">
        <f>IFERROR($BC$2&amp;VLOOKUP(H509,'Pay Table'!$M$3:$N$18,2,FALSE)&amp;$BB$2&amp;I509&amp;$BD$2,"")</f>
        <v/>
      </c>
      <c r="BF507" s="27" t="str">
        <f>IFERROR($BC$2&amp;VLOOKUP(J509,'Pay Table'!$M$3:$N$18,2,FALSE)&amp;$BB$2&amp;K509&amp;$BD$2,"")</f>
        <v/>
      </c>
    </row>
    <row r="508" spans="54:58" x14ac:dyDescent="0.15">
      <c r="BB508" s="26" t="str">
        <f>IFERROR($BC$2&amp;VLOOKUP(B510,'Pay Table'!$M$3:$N$18,2,FALSE)&amp;$BB$2&amp;C510&amp;$BD$2,"")</f>
        <v/>
      </c>
      <c r="BC508" s="1" t="str">
        <f>IFERROR($BC$2&amp;VLOOKUP(D510,'Pay Table'!$M$3:$N$18,2,FALSE)&amp;$BB$2&amp;E510&amp;$BD$2,"")</f>
        <v/>
      </c>
      <c r="BD508" s="1" t="str">
        <f>IFERROR($BC$2&amp;VLOOKUP(F510,'Pay Table'!$M$3:$N$18,2,FALSE)&amp;$BB$2&amp;G510&amp;$BD$2,"")</f>
        <v/>
      </c>
      <c r="BE508" s="1" t="str">
        <f>IFERROR($BC$2&amp;VLOOKUP(H510,'Pay Table'!$M$3:$N$18,2,FALSE)&amp;$BB$2&amp;I510&amp;$BD$2,"")</f>
        <v/>
      </c>
      <c r="BF508" s="27" t="str">
        <f>IFERROR($BC$2&amp;VLOOKUP(J510,'Pay Table'!$M$3:$N$18,2,FALSE)&amp;$BB$2&amp;K510&amp;$BD$2,"")</f>
        <v/>
      </c>
    </row>
    <row r="509" spans="54:58" x14ac:dyDescent="0.15">
      <c r="BB509" s="26" t="str">
        <f>IFERROR($BC$2&amp;VLOOKUP(B511,'Pay Table'!$M$3:$N$18,2,FALSE)&amp;$BB$2&amp;C511&amp;$BD$2,"")</f>
        <v/>
      </c>
      <c r="BC509" s="1" t="str">
        <f>IFERROR($BC$2&amp;VLOOKUP(D511,'Pay Table'!$M$3:$N$18,2,FALSE)&amp;$BB$2&amp;E511&amp;$BD$2,"")</f>
        <v/>
      </c>
      <c r="BD509" s="1" t="str">
        <f>IFERROR($BC$2&amp;VLOOKUP(F511,'Pay Table'!$M$3:$N$18,2,FALSE)&amp;$BB$2&amp;G511&amp;$BD$2,"")</f>
        <v/>
      </c>
      <c r="BE509" s="1" t="str">
        <f>IFERROR($BC$2&amp;VLOOKUP(H511,'Pay Table'!$M$3:$N$18,2,FALSE)&amp;$BB$2&amp;I511&amp;$BD$2,"")</f>
        <v/>
      </c>
      <c r="BF509" s="27" t="str">
        <f>IFERROR($BC$2&amp;VLOOKUP(J511,'Pay Table'!$M$3:$N$18,2,FALSE)&amp;$BB$2&amp;K511&amp;$BD$2,"")</f>
        <v/>
      </c>
    </row>
    <row r="510" spans="54:58" x14ac:dyDescent="0.15">
      <c r="BB510" s="26" t="str">
        <f>IFERROR($BC$2&amp;VLOOKUP(B512,'Pay Table'!$M$3:$N$18,2,FALSE)&amp;$BB$2&amp;C512&amp;$BD$2,"")</f>
        <v/>
      </c>
      <c r="BC510" s="1" t="str">
        <f>IFERROR($BC$2&amp;VLOOKUP(D512,'Pay Table'!$M$3:$N$18,2,FALSE)&amp;$BB$2&amp;E512&amp;$BD$2,"")</f>
        <v/>
      </c>
      <c r="BD510" s="1" t="str">
        <f>IFERROR($BC$2&amp;VLOOKUP(F512,'Pay Table'!$M$3:$N$18,2,FALSE)&amp;$BB$2&amp;G512&amp;$BD$2,"")</f>
        <v/>
      </c>
      <c r="BE510" s="1" t="str">
        <f>IFERROR($BC$2&amp;VLOOKUP(H512,'Pay Table'!$M$3:$N$18,2,FALSE)&amp;$BB$2&amp;I512&amp;$BD$2,"")</f>
        <v/>
      </c>
      <c r="BF510" s="27" t="str">
        <f>IFERROR($BC$2&amp;VLOOKUP(J512,'Pay Table'!$M$3:$N$18,2,FALSE)&amp;$BB$2&amp;K512&amp;$BD$2,"")</f>
        <v/>
      </c>
    </row>
    <row r="511" spans="54:58" x14ac:dyDescent="0.15">
      <c r="BB511" s="26" t="str">
        <f>IFERROR($BC$2&amp;VLOOKUP(B513,'Pay Table'!$M$3:$N$18,2,FALSE)&amp;$BB$2&amp;C513&amp;$BD$2,"")</f>
        <v/>
      </c>
      <c r="BC511" s="1" t="str">
        <f>IFERROR($BC$2&amp;VLOOKUP(D513,'Pay Table'!$M$3:$N$18,2,FALSE)&amp;$BB$2&amp;E513&amp;$BD$2,"")</f>
        <v/>
      </c>
      <c r="BD511" s="1" t="str">
        <f>IFERROR($BC$2&amp;VLOOKUP(F513,'Pay Table'!$M$3:$N$18,2,FALSE)&amp;$BB$2&amp;G513&amp;$BD$2,"")</f>
        <v/>
      </c>
      <c r="BE511" s="1" t="str">
        <f>IFERROR($BC$2&amp;VLOOKUP(H513,'Pay Table'!$M$3:$N$18,2,FALSE)&amp;$BB$2&amp;I513&amp;$BD$2,"")</f>
        <v/>
      </c>
      <c r="BF511" s="27" t="str">
        <f>IFERROR($BC$2&amp;VLOOKUP(J513,'Pay Table'!$M$3:$N$18,2,FALSE)&amp;$BB$2&amp;K513&amp;$BD$2,"")</f>
        <v/>
      </c>
    </row>
    <row r="512" spans="54:58" x14ac:dyDescent="0.15">
      <c r="BB512" s="26" t="str">
        <f>IFERROR($BC$2&amp;VLOOKUP(B514,'Pay Table'!$M$3:$N$18,2,FALSE)&amp;$BB$2&amp;C514&amp;$BD$2,"")</f>
        <v/>
      </c>
      <c r="BC512" s="1" t="str">
        <f>IFERROR($BC$2&amp;VLOOKUP(D514,'Pay Table'!$M$3:$N$18,2,FALSE)&amp;$BB$2&amp;E514&amp;$BD$2,"")</f>
        <v/>
      </c>
      <c r="BD512" s="1" t="str">
        <f>IFERROR($BC$2&amp;VLOOKUP(F514,'Pay Table'!$M$3:$N$18,2,FALSE)&amp;$BB$2&amp;G514&amp;$BD$2,"")</f>
        <v/>
      </c>
      <c r="BE512" s="1" t="str">
        <f>IFERROR($BC$2&amp;VLOOKUP(H514,'Pay Table'!$M$3:$N$18,2,FALSE)&amp;$BB$2&amp;I514&amp;$BD$2,"")</f>
        <v/>
      </c>
      <c r="BF512" s="27" t="str">
        <f>IFERROR($BC$2&amp;VLOOKUP(J514,'Pay Table'!$M$3:$N$18,2,FALSE)&amp;$BB$2&amp;K514&amp;$BD$2,"")</f>
        <v/>
      </c>
    </row>
    <row r="513" spans="54:58" x14ac:dyDescent="0.15">
      <c r="BB513" s="26" t="str">
        <f>IFERROR($BC$2&amp;VLOOKUP(B515,'Pay Table'!$M$3:$N$18,2,FALSE)&amp;$BB$2&amp;C515&amp;$BD$2,"")</f>
        <v/>
      </c>
      <c r="BC513" s="1" t="str">
        <f>IFERROR($BC$2&amp;VLOOKUP(D515,'Pay Table'!$M$3:$N$18,2,FALSE)&amp;$BB$2&amp;E515&amp;$BD$2,"")</f>
        <v/>
      </c>
      <c r="BD513" s="1" t="str">
        <f>IFERROR($BC$2&amp;VLOOKUP(F515,'Pay Table'!$M$3:$N$18,2,FALSE)&amp;$BB$2&amp;G515&amp;$BD$2,"")</f>
        <v/>
      </c>
      <c r="BE513" s="1" t="str">
        <f>IFERROR($BC$2&amp;VLOOKUP(H515,'Pay Table'!$M$3:$N$18,2,FALSE)&amp;$BB$2&amp;I515&amp;$BD$2,"")</f>
        <v/>
      </c>
      <c r="BF513" s="27" t="str">
        <f>IFERROR($BC$2&amp;VLOOKUP(J515,'Pay Table'!$M$3:$N$18,2,FALSE)&amp;$BB$2&amp;K515&amp;$BD$2,"")</f>
        <v/>
      </c>
    </row>
    <row r="514" spans="54:58" x14ac:dyDescent="0.15">
      <c r="BB514" s="26" t="str">
        <f>IFERROR($BC$2&amp;VLOOKUP(B516,'Pay Table'!$M$3:$N$18,2,FALSE)&amp;$BB$2&amp;C516&amp;$BD$2,"")</f>
        <v/>
      </c>
      <c r="BC514" s="1" t="str">
        <f>IFERROR($BC$2&amp;VLOOKUP(D516,'Pay Table'!$M$3:$N$18,2,FALSE)&amp;$BB$2&amp;E516&amp;$BD$2,"")</f>
        <v/>
      </c>
      <c r="BD514" s="1" t="str">
        <f>IFERROR($BC$2&amp;VLOOKUP(F516,'Pay Table'!$M$3:$N$18,2,FALSE)&amp;$BB$2&amp;G516&amp;$BD$2,"")</f>
        <v/>
      </c>
      <c r="BE514" s="1" t="str">
        <f>IFERROR($BC$2&amp;VLOOKUP(H516,'Pay Table'!$M$3:$N$18,2,FALSE)&amp;$BB$2&amp;I516&amp;$BD$2,"")</f>
        <v/>
      </c>
      <c r="BF514" s="27" t="str">
        <f>IFERROR($BC$2&amp;VLOOKUP(J516,'Pay Table'!$M$3:$N$18,2,FALSE)&amp;$BB$2&amp;K516&amp;$BD$2,"")</f>
        <v/>
      </c>
    </row>
    <row r="515" spans="54:58" x14ac:dyDescent="0.15">
      <c r="BB515" s="26" t="str">
        <f>IFERROR($BC$2&amp;VLOOKUP(B517,'Pay Table'!$M$3:$N$18,2,FALSE)&amp;$BB$2&amp;C517&amp;$BD$2,"")</f>
        <v/>
      </c>
      <c r="BC515" s="1" t="str">
        <f>IFERROR($BC$2&amp;VLOOKUP(D517,'Pay Table'!$M$3:$N$18,2,FALSE)&amp;$BB$2&amp;E517&amp;$BD$2,"")</f>
        <v/>
      </c>
      <c r="BD515" s="1" t="str">
        <f>IFERROR($BC$2&amp;VLOOKUP(F517,'Pay Table'!$M$3:$N$18,2,FALSE)&amp;$BB$2&amp;G517&amp;$BD$2,"")</f>
        <v/>
      </c>
      <c r="BE515" s="1" t="str">
        <f>IFERROR($BC$2&amp;VLOOKUP(H517,'Pay Table'!$M$3:$N$18,2,FALSE)&amp;$BB$2&amp;I517&amp;$BD$2,"")</f>
        <v/>
      </c>
      <c r="BF515" s="27" t="str">
        <f>IFERROR($BC$2&amp;VLOOKUP(J517,'Pay Table'!$M$3:$N$18,2,FALSE)&amp;$BB$2&amp;K517&amp;$BD$2,"")</f>
        <v/>
      </c>
    </row>
    <row r="516" spans="54:58" x14ac:dyDescent="0.15">
      <c r="BB516" s="26" t="str">
        <f>IFERROR($BC$2&amp;VLOOKUP(B518,'Pay Table'!$M$3:$N$18,2,FALSE)&amp;$BB$2&amp;C518&amp;$BD$2,"")</f>
        <v/>
      </c>
      <c r="BC516" s="1" t="str">
        <f>IFERROR($BC$2&amp;VLOOKUP(D518,'Pay Table'!$M$3:$N$18,2,FALSE)&amp;$BB$2&amp;E518&amp;$BD$2,"")</f>
        <v/>
      </c>
      <c r="BD516" s="1" t="str">
        <f>IFERROR($BC$2&amp;VLOOKUP(F518,'Pay Table'!$M$3:$N$18,2,FALSE)&amp;$BB$2&amp;G518&amp;$BD$2,"")</f>
        <v/>
      </c>
      <c r="BE516" s="1" t="str">
        <f>IFERROR($BC$2&amp;VLOOKUP(H518,'Pay Table'!$M$3:$N$18,2,FALSE)&amp;$BB$2&amp;I518&amp;$BD$2,"")</f>
        <v/>
      </c>
      <c r="BF516" s="27" t="str">
        <f>IFERROR($BC$2&amp;VLOOKUP(J518,'Pay Table'!$M$3:$N$18,2,FALSE)&amp;$BB$2&amp;K518&amp;$BD$2,"")</f>
        <v/>
      </c>
    </row>
    <row r="517" spans="54:58" x14ac:dyDescent="0.15">
      <c r="BB517" s="26" t="str">
        <f>IFERROR($BC$2&amp;VLOOKUP(B519,'Pay Table'!$M$3:$N$18,2,FALSE)&amp;$BB$2&amp;C519&amp;$BD$2,"")</f>
        <v/>
      </c>
      <c r="BC517" s="1" t="str">
        <f>IFERROR($BC$2&amp;VLOOKUP(D519,'Pay Table'!$M$3:$N$18,2,FALSE)&amp;$BB$2&amp;E519&amp;$BD$2,"")</f>
        <v/>
      </c>
      <c r="BD517" s="1" t="str">
        <f>IFERROR($BC$2&amp;VLOOKUP(F519,'Pay Table'!$M$3:$N$18,2,FALSE)&amp;$BB$2&amp;G519&amp;$BD$2,"")</f>
        <v/>
      </c>
      <c r="BE517" s="1" t="str">
        <f>IFERROR($BC$2&amp;VLOOKUP(H519,'Pay Table'!$M$3:$N$18,2,FALSE)&amp;$BB$2&amp;I519&amp;$BD$2,"")</f>
        <v/>
      </c>
      <c r="BF517" s="27" t="str">
        <f>IFERROR($BC$2&amp;VLOOKUP(J519,'Pay Table'!$M$3:$N$18,2,FALSE)&amp;$BB$2&amp;K519&amp;$BD$2,"")</f>
        <v/>
      </c>
    </row>
    <row r="518" spans="54:58" x14ac:dyDescent="0.15">
      <c r="BB518" s="26" t="str">
        <f>IFERROR($BC$2&amp;VLOOKUP(B520,'Pay Table'!$M$3:$N$18,2,FALSE)&amp;$BB$2&amp;C520&amp;$BD$2,"")</f>
        <v/>
      </c>
      <c r="BC518" s="1" t="str">
        <f>IFERROR($BC$2&amp;VLOOKUP(D520,'Pay Table'!$M$3:$N$18,2,FALSE)&amp;$BB$2&amp;E520&amp;$BD$2,"")</f>
        <v/>
      </c>
      <c r="BD518" s="1" t="str">
        <f>IFERROR($BC$2&amp;VLOOKUP(F520,'Pay Table'!$M$3:$N$18,2,FALSE)&amp;$BB$2&amp;G520&amp;$BD$2,"")</f>
        <v/>
      </c>
      <c r="BE518" s="1" t="str">
        <f>IFERROR($BC$2&amp;VLOOKUP(H520,'Pay Table'!$M$3:$N$18,2,FALSE)&amp;$BB$2&amp;I520&amp;$BD$2,"")</f>
        <v/>
      </c>
      <c r="BF518" s="27" t="str">
        <f>IFERROR($BC$2&amp;VLOOKUP(J520,'Pay Table'!$M$3:$N$18,2,FALSE)&amp;$BB$2&amp;K520&amp;$BD$2,"")</f>
        <v/>
      </c>
    </row>
    <row r="519" spans="54:58" x14ac:dyDescent="0.15">
      <c r="BB519" s="26" t="str">
        <f>IFERROR($BC$2&amp;VLOOKUP(B521,'Pay Table'!$M$3:$N$18,2,FALSE)&amp;$BB$2&amp;C521&amp;$BD$2,"")</f>
        <v/>
      </c>
      <c r="BC519" s="1" t="str">
        <f>IFERROR($BC$2&amp;VLOOKUP(D521,'Pay Table'!$M$3:$N$18,2,FALSE)&amp;$BB$2&amp;E521&amp;$BD$2,"")</f>
        <v/>
      </c>
      <c r="BD519" s="1" t="str">
        <f>IFERROR($BC$2&amp;VLOOKUP(F521,'Pay Table'!$M$3:$N$18,2,FALSE)&amp;$BB$2&amp;G521&amp;$BD$2,"")</f>
        <v/>
      </c>
      <c r="BE519" s="1" t="str">
        <f>IFERROR($BC$2&amp;VLOOKUP(H521,'Pay Table'!$M$3:$N$18,2,FALSE)&amp;$BB$2&amp;I521&amp;$BD$2,"")</f>
        <v/>
      </c>
      <c r="BF519" s="27" t="str">
        <f>IFERROR($BC$2&amp;VLOOKUP(J521,'Pay Table'!$M$3:$N$18,2,FALSE)&amp;$BB$2&amp;K521&amp;$BD$2,"")</f>
        <v/>
      </c>
    </row>
    <row r="520" spans="54:58" x14ac:dyDescent="0.15">
      <c r="BB520" s="26" t="str">
        <f>IFERROR($BC$2&amp;VLOOKUP(B522,'Pay Table'!$M$3:$N$18,2,FALSE)&amp;$BB$2&amp;C522&amp;$BD$2,"")</f>
        <v/>
      </c>
      <c r="BC520" s="1" t="str">
        <f>IFERROR($BC$2&amp;VLOOKUP(D522,'Pay Table'!$M$3:$N$18,2,FALSE)&amp;$BB$2&amp;E522&amp;$BD$2,"")</f>
        <v/>
      </c>
      <c r="BD520" s="1" t="str">
        <f>IFERROR($BC$2&amp;VLOOKUP(F522,'Pay Table'!$M$3:$N$18,2,FALSE)&amp;$BB$2&amp;G522&amp;$BD$2,"")</f>
        <v/>
      </c>
      <c r="BE520" s="1" t="str">
        <f>IFERROR($BC$2&amp;VLOOKUP(H522,'Pay Table'!$M$3:$N$18,2,FALSE)&amp;$BB$2&amp;I522&amp;$BD$2,"")</f>
        <v/>
      </c>
      <c r="BF520" s="27" t="str">
        <f>IFERROR($BC$2&amp;VLOOKUP(J522,'Pay Table'!$M$3:$N$18,2,FALSE)&amp;$BB$2&amp;K522&amp;$BD$2,"")</f>
        <v/>
      </c>
    </row>
    <row r="521" spans="54:58" x14ac:dyDescent="0.15">
      <c r="BB521" s="26" t="str">
        <f>IFERROR($BC$2&amp;VLOOKUP(B523,'Pay Table'!$M$3:$N$18,2,FALSE)&amp;$BB$2&amp;C523&amp;$BD$2,"")</f>
        <v/>
      </c>
      <c r="BC521" s="1" t="str">
        <f>IFERROR($BC$2&amp;VLOOKUP(D523,'Pay Table'!$M$3:$N$18,2,FALSE)&amp;$BB$2&amp;E523&amp;$BD$2,"")</f>
        <v/>
      </c>
      <c r="BD521" s="1" t="str">
        <f>IFERROR($BC$2&amp;VLOOKUP(F523,'Pay Table'!$M$3:$N$18,2,FALSE)&amp;$BB$2&amp;G523&amp;$BD$2,"")</f>
        <v/>
      </c>
      <c r="BE521" s="1" t="str">
        <f>IFERROR($BC$2&amp;VLOOKUP(H523,'Pay Table'!$M$3:$N$18,2,FALSE)&amp;$BB$2&amp;I523&amp;$BD$2,"")</f>
        <v/>
      </c>
      <c r="BF521" s="27" t="str">
        <f>IFERROR($BC$2&amp;VLOOKUP(J523,'Pay Table'!$M$3:$N$18,2,FALSE)&amp;$BB$2&amp;K523&amp;$BD$2,"")</f>
        <v/>
      </c>
    </row>
    <row r="522" spans="54:58" x14ac:dyDescent="0.15">
      <c r="BB522" s="26" t="str">
        <f>IFERROR($BC$2&amp;VLOOKUP(B524,'Pay Table'!$M$3:$N$18,2,FALSE)&amp;$BB$2&amp;C524&amp;$BD$2,"")</f>
        <v/>
      </c>
      <c r="BC522" s="1" t="str">
        <f>IFERROR($BC$2&amp;VLOOKUP(D524,'Pay Table'!$M$3:$N$18,2,FALSE)&amp;$BB$2&amp;E524&amp;$BD$2,"")</f>
        <v/>
      </c>
      <c r="BD522" s="1" t="str">
        <f>IFERROR($BC$2&amp;VLOOKUP(F524,'Pay Table'!$M$3:$N$18,2,FALSE)&amp;$BB$2&amp;G524&amp;$BD$2,"")</f>
        <v/>
      </c>
      <c r="BE522" s="1" t="str">
        <f>IFERROR($BC$2&amp;VLOOKUP(H524,'Pay Table'!$M$3:$N$18,2,FALSE)&amp;$BB$2&amp;I524&amp;$BD$2,"")</f>
        <v/>
      </c>
      <c r="BF522" s="27" t="str">
        <f>IFERROR($BC$2&amp;VLOOKUP(J524,'Pay Table'!$M$3:$N$18,2,FALSE)&amp;$BB$2&amp;K524&amp;$BD$2,"")</f>
        <v/>
      </c>
    </row>
    <row r="523" spans="54:58" x14ac:dyDescent="0.15">
      <c r="BB523" s="26" t="str">
        <f>IFERROR($BC$2&amp;VLOOKUP(B525,'Pay Table'!$M$3:$N$18,2,FALSE)&amp;$BB$2&amp;C525&amp;$BD$2,"")</f>
        <v/>
      </c>
      <c r="BC523" s="1" t="str">
        <f>IFERROR($BC$2&amp;VLOOKUP(D525,'Pay Table'!$M$3:$N$18,2,FALSE)&amp;$BB$2&amp;E525&amp;$BD$2,"")</f>
        <v/>
      </c>
      <c r="BD523" s="1" t="str">
        <f>IFERROR($BC$2&amp;VLOOKUP(F525,'Pay Table'!$M$3:$N$18,2,FALSE)&amp;$BB$2&amp;G525&amp;$BD$2,"")</f>
        <v/>
      </c>
      <c r="BE523" s="1" t="str">
        <f>IFERROR($BC$2&amp;VLOOKUP(H525,'Pay Table'!$M$3:$N$18,2,FALSE)&amp;$BB$2&amp;I525&amp;$BD$2,"")</f>
        <v/>
      </c>
      <c r="BF523" s="27" t="str">
        <f>IFERROR($BC$2&amp;VLOOKUP(J525,'Pay Table'!$M$3:$N$18,2,FALSE)&amp;$BB$2&amp;K525&amp;$BD$2,"")</f>
        <v/>
      </c>
    </row>
    <row r="524" spans="54:58" x14ac:dyDescent="0.15">
      <c r="BB524" s="26" t="str">
        <f>IFERROR($BC$2&amp;VLOOKUP(B526,'Pay Table'!$M$3:$N$18,2,FALSE)&amp;$BB$2&amp;C526&amp;$BD$2,"")</f>
        <v/>
      </c>
      <c r="BC524" s="1" t="str">
        <f>IFERROR($BC$2&amp;VLOOKUP(D526,'Pay Table'!$M$3:$N$18,2,FALSE)&amp;$BB$2&amp;E526&amp;$BD$2,"")</f>
        <v/>
      </c>
      <c r="BD524" s="1" t="str">
        <f>IFERROR($BC$2&amp;VLOOKUP(F526,'Pay Table'!$M$3:$N$18,2,FALSE)&amp;$BB$2&amp;G526&amp;$BD$2,"")</f>
        <v/>
      </c>
      <c r="BE524" s="1" t="str">
        <f>IFERROR($BC$2&amp;VLOOKUP(H526,'Pay Table'!$M$3:$N$18,2,FALSE)&amp;$BB$2&amp;I526&amp;$BD$2,"")</f>
        <v/>
      </c>
      <c r="BF524" s="27" t="str">
        <f>IFERROR($BC$2&amp;VLOOKUP(J526,'Pay Table'!$M$3:$N$18,2,FALSE)&amp;$BB$2&amp;K526&amp;$BD$2,"")</f>
        <v/>
      </c>
    </row>
    <row r="525" spans="54:58" x14ac:dyDescent="0.15">
      <c r="BB525" s="26" t="str">
        <f>IFERROR($BC$2&amp;VLOOKUP(B527,'Pay Table'!$M$3:$N$18,2,FALSE)&amp;$BB$2&amp;C527&amp;$BD$2,"")</f>
        <v/>
      </c>
      <c r="BC525" s="1" t="str">
        <f>IFERROR($BC$2&amp;VLOOKUP(D527,'Pay Table'!$M$3:$N$18,2,FALSE)&amp;$BB$2&amp;E527&amp;$BD$2,"")</f>
        <v/>
      </c>
      <c r="BD525" s="1" t="str">
        <f>IFERROR($BC$2&amp;VLOOKUP(F527,'Pay Table'!$M$3:$N$18,2,FALSE)&amp;$BB$2&amp;G527&amp;$BD$2,"")</f>
        <v/>
      </c>
      <c r="BE525" s="1" t="str">
        <f>IFERROR($BC$2&amp;VLOOKUP(H527,'Pay Table'!$M$3:$N$18,2,FALSE)&amp;$BB$2&amp;I527&amp;$BD$2,"")</f>
        <v/>
      </c>
      <c r="BF525" s="27" t="str">
        <f>IFERROR($BC$2&amp;VLOOKUP(J527,'Pay Table'!$M$3:$N$18,2,FALSE)&amp;$BB$2&amp;K527&amp;$BD$2,"")</f>
        <v/>
      </c>
    </row>
    <row r="526" spans="54:58" x14ac:dyDescent="0.15">
      <c r="BB526" s="26" t="str">
        <f>IFERROR($BC$2&amp;VLOOKUP(B528,'Pay Table'!$M$3:$N$18,2,FALSE)&amp;$BB$2&amp;C528&amp;$BD$2,"")</f>
        <v/>
      </c>
      <c r="BC526" s="1" t="str">
        <f>IFERROR($BC$2&amp;VLOOKUP(D528,'Pay Table'!$M$3:$N$18,2,FALSE)&amp;$BB$2&amp;E528&amp;$BD$2,"")</f>
        <v/>
      </c>
      <c r="BD526" s="1" t="str">
        <f>IFERROR($BC$2&amp;VLOOKUP(F528,'Pay Table'!$M$3:$N$18,2,FALSE)&amp;$BB$2&amp;G528&amp;$BD$2,"")</f>
        <v/>
      </c>
      <c r="BE526" s="1" t="str">
        <f>IFERROR($BC$2&amp;VLOOKUP(H528,'Pay Table'!$M$3:$N$18,2,FALSE)&amp;$BB$2&amp;I528&amp;$BD$2,"")</f>
        <v/>
      </c>
      <c r="BF526" s="27" t="str">
        <f>IFERROR($BC$2&amp;VLOOKUP(J528,'Pay Table'!$M$3:$N$18,2,FALSE)&amp;$BB$2&amp;K528&amp;$BD$2,"")</f>
        <v/>
      </c>
    </row>
    <row r="527" spans="54:58" x14ac:dyDescent="0.15">
      <c r="BB527" s="26" t="str">
        <f>IFERROR($BC$2&amp;VLOOKUP(B529,'Pay Table'!$M$3:$N$18,2,FALSE)&amp;$BB$2&amp;C529&amp;$BD$2,"")</f>
        <v/>
      </c>
      <c r="BC527" s="1" t="str">
        <f>IFERROR($BC$2&amp;VLOOKUP(D529,'Pay Table'!$M$3:$N$18,2,FALSE)&amp;$BB$2&amp;E529&amp;$BD$2,"")</f>
        <v/>
      </c>
      <c r="BD527" s="1" t="str">
        <f>IFERROR($BC$2&amp;VLOOKUP(F529,'Pay Table'!$M$3:$N$18,2,FALSE)&amp;$BB$2&amp;G529&amp;$BD$2,"")</f>
        <v/>
      </c>
      <c r="BE527" s="1" t="str">
        <f>IFERROR($BC$2&amp;VLOOKUP(H529,'Pay Table'!$M$3:$N$18,2,FALSE)&amp;$BB$2&amp;I529&amp;$BD$2,"")</f>
        <v/>
      </c>
      <c r="BF527" s="27" t="str">
        <f>IFERROR($BC$2&amp;VLOOKUP(J529,'Pay Table'!$M$3:$N$18,2,FALSE)&amp;$BB$2&amp;K529&amp;$BD$2,"")</f>
        <v/>
      </c>
    </row>
    <row r="528" spans="54:58" x14ac:dyDescent="0.15">
      <c r="BB528" s="26" t="str">
        <f>IFERROR($BC$2&amp;VLOOKUP(B530,'Pay Table'!$M$3:$N$18,2,FALSE)&amp;$BB$2&amp;C530&amp;$BD$2,"")</f>
        <v/>
      </c>
      <c r="BC528" s="1" t="str">
        <f>IFERROR($BC$2&amp;VLOOKUP(D530,'Pay Table'!$M$3:$N$18,2,FALSE)&amp;$BB$2&amp;E530&amp;$BD$2,"")</f>
        <v/>
      </c>
      <c r="BD528" s="1" t="str">
        <f>IFERROR($BC$2&amp;VLOOKUP(F530,'Pay Table'!$M$3:$N$18,2,FALSE)&amp;$BB$2&amp;G530&amp;$BD$2,"")</f>
        <v/>
      </c>
      <c r="BE528" s="1" t="str">
        <f>IFERROR($BC$2&amp;VLOOKUP(H530,'Pay Table'!$M$3:$N$18,2,FALSE)&amp;$BB$2&amp;I530&amp;$BD$2,"")</f>
        <v/>
      </c>
      <c r="BF528" s="27" t="str">
        <f>IFERROR($BC$2&amp;VLOOKUP(J530,'Pay Table'!$M$3:$N$18,2,FALSE)&amp;$BB$2&amp;K530&amp;$BD$2,"")</f>
        <v/>
      </c>
    </row>
    <row r="529" spans="54:58" x14ac:dyDescent="0.15">
      <c r="BB529" s="26" t="str">
        <f>IFERROR($BC$2&amp;VLOOKUP(B531,'Pay Table'!$M$3:$N$18,2,FALSE)&amp;$BB$2&amp;C531&amp;$BD$2,"")</f>
        <v/>
      </c>
      <c r="BC529" s="1" t="str">
        <f>IFERROR($BC$2&amp;VLOOKUP(D531,'Pay Table'!$M$3:$N$18,2,FALSE)&amp;$BB$2&amp;E531&amp;$BD$2,"")</f>
        <v/>
      </c>
      <c r="BD529" s="1" t="str">
        <f>IFERROR($BC$2&amp;VLOOKUP(F531,'Pay Table'!$M$3:$N$18,2,FALSE)&amp;$BB$2&amp;G531&amp;$BD$2,"")</f>
        <v/>
      </c>
      <c r="BE529" s="1" t="str">
        <f>IFERROR($BC$2&amp;VLOOKUP(H531,'Pay Table'!$M$3:$N$18,2,FALSE)&amp;$BB$2&amp;I531&amp;$BD$2,"")</f>
        <v/>
      </c>
      <c r="BF529" s="27" t="str">
        <f>IFERROR($BC$2&amp;VLOOKUP(J531,'Pay Table'!$M$3:$N$18,2,FALSE)&amp;$BB$2&amp;K531&amp;$BD$2,"")</f>
        <v/>
      </c>
    </row>
    <row r="530" spans="54:58" x14ac:dyDescent="0.15">
      <c r="BB530" s="26" t="str">
        <f>IFERROR($BC$2&amp;VLOOKUP(B532,'Pay Table'!$M$3:$N$18,2,FALSE)&amp;$BB$2&amp;C532&amp;$BD$2,"")</f>
        <v/>
      </c>
      <c r="BC530" s="1" t="str">
        <f>IFERROR($BC$2&amp;VLOOKUP(D532,'Pay Table'!$M$3:$N$18,2,FALSE)&amp;$BB$2&amp;E532&amp;$BD$2,"")</f>
        <v/>
      </c>
      <c r="BD530" s="1" t="str">
        <f>IFERROR($BC$2&amp;VLOOKUP(F532,'Pay Table'!$M$3:$N$18,2,FALSE)&amp;$BB$2&amp;G532&amp;$BD$2,"")</f>
        <v/>
      </c>
      <c r="BE530" s="1" t="str">
        <f>IFERROR($BC$2&amp;VLOOKUP(H532,'Pay Table'!$M$3:$N$18,2,FALSE)&amp;$BB$2&amp;I532&amp;$BD$2,"")</f>
        <v/>
      </c>
      <c r="BF530" s="27" t="str">
        <f>IFERROR($BC$2&amp;VLOOKUP(J532,'Pay Table'!$M$3:$N$18,2,FALSE)&amp;$BB$2&amp;K532&amp;$BD$2,"")</f>
        <v/>
      </c>
    </row>
    <row r="531" spans="54:58" x14ac:dyDescent="0.15">
      <c r="BB531" s="26" t="str">
        <f>IFERROR($BC$2&amp;VLOOKUP(B533,'Pay Table'!$M$3:$N$18,2,FALSE)&amp;$BB$2&amp;C533&amp;$BD$2,"")</f>
        <v/>
      </c>
      <c r="BC531" s="1" t="str">
        <f>IFERROR($BC$2&amp;VLOOKUP(D533,'Pay Table'!$M$3:$N$18,2,FALSE)&amp;$BB$2&amp;E533&amp;$BD$2,"")</f>
        <v/>
      </c>
      <c r="BD531" s="1" t="str">
        <f>IFERROR($BC$2&amp;VLOOKUP(F533,'Pay Table'!$M$3:$N$18,2,FALSE)&amp;$BB$2&amp;G533&amp;$BD$2,"")</f>
        <v/>
      </c>
      <c r="BE531" s="1" t="str">
        <f>IFERROR($BC$2&amp;VLOOKUP(H533,'Pay Table'!$M$3:$N$18,2,FALSE)&amp;$BB$2&amp;I533&amp;$BD$2,"")</f>
        <v/>
      </c>
      <c r="BF531" s="27" t="str">
        <f>IFERROR($BC$2&amp;VLOOKUP(J533,'Pay Table'!$M$3:$N$18,2,FALSE)&amp;$BB$2&amp;K533&amp;$BD$2,"")</f>
        <v/>
      </c>
    </row>
    <row r="532" spans="54:58" x14ac:dyDescent="0.15">
      <c r="BB532" s="26" t="str">
        <f>IFERROR($BC$2&amp;VLOOKUP(B534,'Pay Table'!$M$3:$N$18,2,FALSE)&amp;$BB$2&amp;C534&amp;$BD$2,"")</f>
        <v/>
      </c>
      <c r="BC532" s="1" t="str">
        <f>IFERROR($BC$2&amp;VLOOKUP(D534,'Pay Table'!$M$3:$N$18,2,FALSE)&amp;$BB$2&amp;E534&amp;$BD$2,"")</f>
        <v/>
      </c>
      <c r="BD532" s="1" t="str">
        <f>IFERROR($BC$2&amp;VLOOKUP(F534,'Pay Table'!$M$3:$N$18,2,FALSE)&amp;$BB$2&amp;G534&amp;$BD$2,"")</f>
        <v/>
      </c>
      <c r="BE532" s="1" t="str">
        <f>IFERROR($BC$2&amp;VLOOKUP(H534,'Pay Table'!$M$3:$N$18,2,FALSE)&amp;$BB$2&amp;I534&amp;$BD$2,"")</f>
        <v/>
      </c>
      <c r="BF532" s="27" t="str">
        <f>IFERROR($BC$2&amp;VLOOKUP(J534,'Pay Table'!$M$3:$N$18,2,FALSE)&amp;$BB$2&amp;K534&amp;$BD$2,"")</f>
        <v/>
      </c>
    </row>
    <row r="533" spans="54:58" x14ac:dyDescent="0.15">
      <c r="BB533" s="26" t="str">
        <f>IFERROR($BC$2&amp;VLOOKUP(B535,'Pay Table'!$M$3:$N$18,2,FALSE)&amp;$BB$2&amp;C535&amp;$BD$2,"")</f>
        <v/>
      </c>
      <c r="BC533" s="1" t="str">
        <f>IFERROR($BC$2&amp;VLOOKUP(D535,'Pay Table'!$M$3:$N$18,2,FALSE)&amp;$BB$2&amp;E535&amp;$BD$2,"")</f>
        <v/>
      </c>
      <c r="BD533" s="1" t="str">
        <f>IFERROR($BC$2&amp;VLOOKUP(F535,'Pay Table'!$M$3:$N$18,2,FALSE)&amp;$BB$2&amp;G535&amp;$BD$2,"")</f>
        <v/>
      </c>
      <c r="BE533" s="1" t="str">
        <f>IFERROR($BC$2&amp;VLOOKUP(H535,'Pay Table'!$M$3:$N$18,2,FALSE)&amp;$BB$2&amp;I535&amp;$BD$2,"")</f>
        <v/>
      </c>
      <c r="BF533" s="27" t="str">
        <f>IFERROR($BC$2&amp;VLOOKUP(J535,'Pay Table'!$M$3:$N$18,2,FALSE)&amp;$BB$2&amp;K535&amp;$BD$2,"")</f>
        <v/>
      </c>
    </row>
    <row r="534" spans="54:58" x14ac:dyDescent="0.15">
      <c r="BB534" s="26" t="str">
        <f>IFERROR($BC$2&amp;VLOOKUP(B536,'Pay Table'!$M$3:$N$18,2,FALSE)&amp;$BB$2&amp;C536&amp;$BD$2,"")</f>
        <v/>
      </c>
      <c r="BC534" s="1" t="str">
        <f>IFERROR($BC$2&amp;VLOOKUP(D536,'Pay Table'!$M$3:$N$18,2,FALSE)&amp;$BB$2&amp;E536&amp;$BD$2,"")</f>
        <v/>
      </c>
      <c r="BD534" s="1" t="str">
        <f>IFERROR($BC$2&amp;VLOOKUP(F536,'Pay Table'!$M$3:$N$18,2,FALSE)&amp;$BB$2&amp;G536&amp;$BD$2,"")</f>
        <v/>
      </c>
      <c r="BE534" s="1" t="str">
        <f>IFERROR($BC$2&amp;VLOOKUP(H536,'Pay Table'!$M$3:$N$18,2,FALSE)&amp;$BB$2&amp;I536&amp;$BD$2,"")</f>
        <v/>
      </c>
      <c r="BF534" s="27" t="str">
        <f>IFERROR($BC$2&amp;VLOOKUP(J536,'Pay Table'!$M$3:$N$18,2,FALSE)&amp;$BB$2&amp;K536&amp;$BD$2,"")</f>
        <v/>
      </c>
    </row>
    <row r="535" spans="54:58" x14ac:dyDescent="0.15">
      <c r="BB535" s="26" t="str">
        <f>IFERROR($BC$2&amp;VLOOKUP(B537,'Pay Table'!$M$3:$N$18,2,FALSE)&amp;$BB$2&amp;C537&amp;$BD$2,"")</f>
        <v/>
      </c>
      <c r="BC535" s="1" t="str">
        <f>IFERROR($BC$2&amp;VLOOKUP(D537,'Pay Table'!$M$3:$N$18,2,FALSE)&amp;$BB$2&amp;E537&amp;$BD$2,"")</f>
        <v/>
      </c>
      <c r="BD535" s="1" t="str">
        <f>IFERROR($BC$2&amp;VLOOKUP(F537,'Pay Table'!$M$3:$N$18,2,FALSE)&amp;$BB$2&amp;G537&amp;$BD$2,"")</f>
        <v/>
      </c>
      <c r="BE535" s="1" t="str">
        <f>IFERROR($BC$2&amp;VLOOKUP(H537,'Pay Table'!$M$3:$N$18,2,FALSE)&amp;$BB$2&amp;I537&amp;$BD$2,"")</f>
        <v/>
      </c>
      <c r="BF535" s="27" t="str">
        <f>IFERROR($BC$2&amp;VLOOKUP(J537,'Pay Table'!$M$3:$N$18,2,FALSE)&amp;$BB$2&amp;K537&amp;$BD$2,"")</f>
        <v/>
      </c>
    </row>
    <row r="536" spans="54:58" x14ac:dyDescent="0.15">
      <c r="BB536" s="26" t="str">
        <f>IFERROR($BC$2&amp;VLOOKUP(B538,'Pay Table'!$M$3:$N$18,2,FALSE)&amp;$BB$2&amp;C538&amp;$BD$2,"")</f>
        <v/>
      </c>
      <c r="BC536" s="1" t="str">
        <f>IFERROR($BC$2&amp;VLOOKUP(D538,'Pay Table'!$M$3:$N$18,2,FALSE)&amp;$BB$2&amp;E538&amp;$BD$2,"")</f>
        <v/>
      </c>
      <c r="BD536" s="1" t="str">
        <f>IFERROR($BC$2&amp;VLOOKUP(F538,'Pay Table'!$M$3:$N$18,2,FALSE)&amp;$BB$2&amp;G538&amp;$BD$2,"")</f>
        <v/>
      </c>
      <c r="BE536" s="1" t="str">
        <f>IFERROR($BC$2&amp;VLOOKUP(H538,'Pay Table'!$M$3:$N$18,2,FALSE)&amp;$BB$2&amp;I538&amp;$BD$2,"")</f>
        <v/>
      </c>
      <c r="BF536" s="27" t="str">
        <f>IFERROR($BC$2&amp;VLOOKUP(J538,'Pay Table'!$M$3:$N$18,2,FALSE)&amp;$BB$2&amp;K538&amp;$BD$2,"")</f>
        <v/>
      </c>
    </row>
    <row r="537" spans="54:58" x14ac:dyDescent="0.15">
      <c r="BB537" s="26" t="str">
        <f>IFERROR($BC$2&amp;VLOOKUP(B539,'Pay Table'!$M$3:$N$18,2,FALSE)&amp;$BB$2&amp;C539&amp;$BD$2,"")</f>
        <v/>
      </c>
      <c r="BC537" s="1" t="str">
        <f>IFERROR($BC$2&amp;VLOOKUP(D539,'Pay Table'!$M$3:$N$18,2,FALSE)&amp;$BB$2&amp;E539&amp;$BD$2,"")</f>
        <v/>
      </c>
      <c r="BD537" s="1" t="str">
        <f>IFERROR($BC$2&amp;VLOOKUP(F539,'Pay Table'!$M$3:$N$18,2,FALSE)&amp;$BB$2&amp;G539&amp;$BD$2,"")</f>
        <v/>
      </c>
      <c r="BE537" s="1" t="str">
        <f>IFERROR($BC$2&amp;VLOOKUP(H539,'Pay Table'!$M$3:$N$18,2,FALSE)&amp;$BB$2&amp;I539&amp;$BD$2,"")</f>
        <v/>
      </c>
      <c r="BF537" s="27" t="str">
        <f>IFERROR($BC$2&amp;VLOOKUP(J539,'Pay Table'!$M$3:$N$18,2,FALSE)&amp;$BB$2&amp;K539&amp;$BD$2,"")</f>
        <v/>
      </c>
    </row>
    <row r="538" spans="54:58" x14ac:dyDescent="0.15">
      <c r="BB538" s="26" t="str">
        <f>IFERROR($BC$2&amp;VLOOKUP(B540,'Pay Table'!$M$3:$N$18,2,FALSE)&amp;$BB$2&amp;C540&amp;$BD$2,"")</f>
        <v/>
      </c>
      <c r="BC538" s="1" t="str">
        <f>IFERROR($BC$2&amp;VLOOKUP(D540,'Pay Table'!$M$3:$N$18,2,FALSE)&amp;$BB$2&amp;E540&amp;$BD$2,"")</f>
        <v/>
      </c>
      <c r="BD538" s="1" t="str">
        <f>IFERROR($BC$2&amp;VLOOKUP(F540,'Pay Table'!$M$3:$N$18,2,FALSE)&amp;$BB$2&amp;G540&amp;$BD$2,"")</f>
        <v/>
      </c>
      <c r="BE538" s="1" t="str">
        <f>IFERROR($BC$2&amp;VLOOKUP(H540,'Pay Table'!$M$3:$N$18,2,FALSE)&amp;$BB$2&amp;I540&amp;$BD$2,"")</f>
        <v/>
      </c>
      <c r="BF538" s="27" t="str">
        <f>IFERROR($BC$2&amp;VLOOKUP(J540,'Pay Table'!$M$3:$N$18,2,FALSE)&amp;$BB$2&amp;K540&amp;$BD$2,"")</f>
        <v/>
      </c>
    </row>
    <row r="539" spans="54:58" x14ac:dyDescent="0.15">
      <c r="BB539" s="26" t="str">
        <f>IFERROR($BC$2&amp;VLOOKUP(B541,'Pay Table'!$M$3:$N$18,2,FALSE)&amp;$BB$2&amp;C541&amp;$BD$2,"")</f>
        <v/>
      </c>
      <c r="BC539" s="1" t="str">
        <f>IFERROR($BC$2&amp;VLOOKUP(D541,'Pay Table'!$M$3:$N$18,2,FALSE)&amp;$BB$2&amp;E541&amp;$BD$2,"")</f>
        <v/>
      </c>
      <c r="BD539" s="1" t="str">
        <f>IFERROR($BC$2&amp;VLOOKUP(F541,'Pay Table'!$M$3:$N$18,2,FALSE)&amp;$BB$2&amp;G541&amp;$BD$2,"")</f>
        <v/>
      </c>
      <c r="BE539" s="1" t="str">
        <f>IFERROR($BC$2&amp;VLOOKUP(H541,'Pay Table'!$M$3:$N$18,2,FALSE)&amp;$BB$2&amp;I541&amp;$BD$2,"")</f>
        <v/>
      </c>
      <c r="BF539" s="27" t="str">
        <f>IFERROR($BC$2&amp;VLOOKUP(J541,'Pay Table'!$M$3:$N$18,2,FALSE)&amp;$BB$2&amp;K541&amp;$BD$2,"")</f>
        <v/>
      </c>
    </row>
    <row r="540" spans="54:58" x14ac:dyDescent="0.15">
      <c r="BB540" s="26" t="str">
        <f>IFERROR($BC$2&amp;VLOOKUP(B542,'Pay Table'!$M$3:$N$18,2,FALSE)&amp;$BB$2&amp;C542&amp;$BD$2,"")</f>
        <v/>
      </c>
      <c r="BC540" s="1" t="str">
        <f>IFERROR($BC$2&amp;VLOOKUP(D542,'Pay Table'!$M$3:$N$18,2,FALSE)&amp;$BB$2&amp;E542&amp;$BD$2,"")</f>
        <v/>
      </c>
      <c r="BD540" s="1" t="str">
        <f>IFERROR($BC$2&amp;VLOOKUP(F542,'Pay Table'!$M$3:$N$18,2,FALSE)&amp;$BB$2&amp;G542&amp;$BD$2,"")</f>
        <v/>
      </c>
      <c r="BE540" s="1" t="str">
        <f>IFERROR($BC$2&amp;VLOOKUP(H542,'Pay Table'!$M$3:$N$18,2,FALSE)&amp;$BB$2&amp;I542&amp;$BD$2,"")</f>
        <v/>
      </c>
      <c r="BF540" s="27" t="str">
        <f>IFERROR($BC$2&amp;VLOOKUP(J542,'Pay Table'!$M$3:$N$18,2,FALSE)&amp;$BB$2&amp;K542&amp;$BD$2,"")</f>
        <v/>
      </c>
    </row>
    <row r="541" spans="54:58" x14ac:dyDescent="0.15">
      <c r="BB541" s="26" t="str">
        <f>IFERROR($BC$2&amp;VLOOKUP(B543,'Pay Table'!$M$3:$N$18,2,FALSE)&amp;$BB$2&amp;C543&amp;$BD$2,"")</f>
        <v/>
      </c>
      <c r="BC541" s="1" t="str">
        <f>IFERROR($BC$2&amp;VLOOKUP(D543,'Pay Table'!$M$3:$N$18,2,FALSE)&amp;$BB$2&amp;E543&amp;$BD$2,"")</f>
        <v/>
      </c>
      <c r="BD541" s="1" t="str">
        <f>IFERROR($BC$2&amp;VLOOKUP(F543,'Pay Table'!$M$3:$N$18,2,FALSE)&amp;$BB$2&amp;G543&amp;$BD$2,"")</f>
        <v/>
      </c>
      <c r="BE541" s="1" t="str">
        <f>IFERROR($BC$2&amp;VLOOKUP(H543,'Pay Table'!$M$3:$N$18,2,FALSE)&amp;$BB$2&amp;I543&amp;$BD$2,"")</f>
        <v/>
      </c>
      <c r="BF541" s="27" t="str">
        <f>IFERROR($BC$2&amp;VLOOKUP(J543,'Pay Table'!$M$3:$N$18,2,FALSE)&amp;$BB$2&amp;K543&amp;$BD$2,"")</f>
        <v/>
      </c>
    </row>
    <row r="542" spans="54:58" x14ac:dyDescent="0.15">
      <c r="BB542" s="26" t="str">
        <f>IFERROR($BC$2&amp;VLOOKUP(B544,'Pay Table'!$M$3:$N$18,2,FALSE)&amp;$BB$2&amp;C544&amp;$BD$2,"")</f>
        <v/>
      </c>
      <c r="BC542" s="1" t="str">
        <f>IFERROR($BC$2&amp;VLOOKUP(D544,'Pay Table'!$M$3:$N$18,2,FALSE)&amp;$BB$2&amp;E544&amp;$BD$2,"")</f>
        <v/>
      </c>
      <c r="BD542" s="1" t="str">
        <f>IFERROR($BC$2&amp;VLOOKUP(F544,'Pay Table'!$M$3:$N$18,2,FALSE)&amp;$BB$2&amp;G544&amp;$BD$2,"")</f>
        <v/>
      </c>
      <c r="BE542" s="1" t="str">
        <f>IFERROR($BC$2&amp;VLOOKUP(H544,'Pay Table'!$M$3:$N$18,2,FALSE)&amp;$BB$2&amp;I544&amp;$BD$2,"")</f>
        <v/>
      </c>
      <c r="BF542" s="27" t="str">
        <f>IFERROR($BC$2&amp;VLOOKUP(J544,'Pay Table'!$M$3:$N$18,2,FALSE)&amp;$BB$2&amp;K544&amp;$BD$2,"")</f>
        <v/>
      </c>
    </row>
    <row r="543" spans="54:58" x14ac:dyDescent="0.15">
      <c r="BB543" s="26" t="str">
        <f>IFERROR($BC$2&amp;VLOOKUP(B545,'Pay Table'!$M$3:$N$18,2,FALSE)&amp;$BB$2&amp;C545&amp;$BD$2,"")</f>
        <v/>
      </c>
      <c r="BC543" s="1" t="str">
        <f>IFERROR($BC$2&amp;VLOOKUP(D545,'Pay Table'!$M$3:$N$18,2,FALSE)&amp;$BB$2&amp;E545&amp;$BD$2,"")</f>
        <v/>
      </c>
      <c r="BD543" s="1" t="str">
        <f>IFERROR($BC$2&amp;VLOOKUP(F545,'Pay Table'!$M$3:$N$18,2,FALSE)&amp;$BB$2&amp;G545&amp;$BD$2,"")</f>
        <v/>
      </c>
      <c r="BE543" s="1" t="str">
        <f>IFERROR($BC$2&amp;VLOOKUP(H545,'Pay Table'!$M$3:$N$18,2,FALSE)&amp;$BB$2&amp;I545&amp;$BD$2,"")</f>
        <v/>
      </c>
      <c r="BF543" s="27" t="str">
        <f>IFERROR($BC$2&amp;VLOOKUP(J545,'Pay Table'!$M$3:$N$18,2,FALSE)&amp;$BB$2&amp;K545&amp;$BD$2,"")</f>
        <v/>
      </c>
    </row>
    <row r="544" spans="54:58" x14ac:dyDescent="0.15">
      <c r="BB544" s="26" t="str">
        <f>IFERROR($BC$2&amp;VLOOKUP(B546,'Pay Table'!$M$3:$N$18,2,FALSE)&amp;$BB$2&amp;C546&amp;$BD$2,"")</f>
        <v/>
      </c>
      <c r="BC544" s="1" t="str">
        <f>IFERROR($BC$2&amp;VLOOKUP(D546,'Pay Table'!$M$3:$N$18,2,FALSE)&amp;$BB$2&amp;E546&amp;$BD$2,"")</f>
        <v/>
      </c>
      <c r="BD544" s="1" t="str">
        <f>IFERROR($BC$2&amp;VLOOKUP(F546,'Pay Table'!$M$3:$N$18,2,FALSE)&amp;$BB$2&amp;G546&amp;$BD$2,"")</f>
        <v/>
      </c>
      <c r="BE544" s="1" t="str">
        <f>IFERROR($BC$2&amp;VLOOKUP(H546,'Pay Table'!$M$3:$N$18,2,FALSE)&amp;$BB$2&amp;I546&amp;$BD$2,"")</f>
        <v/>
      </c>
      <c r="BF544" s="27" t="str">
        <f>IFERROR($BC$2&amp;VLOOKUP(J546,'Pay Table'!$M$3:$N$18,2,FALSE)&amp;$BB$2&amp;K546&amp;$BD$2,"")</f>
        <v/>
      </c>
    </row>
    <row r="545" spans="54:58" x14ac:dyDescent="0.15">
      <c r="BB545" s="26" t="str">
        <f>IFERROR($BC$2&amp;VLOOKUP(B547,'Pay Table'!$M$3:$N$18,2,FALSE)&amp;$BB$2&amp;C547&amp;$BD$2,"")</f>
        <v/>
      </c>
      <c r="BC545" s="1" t="str">
        <f>IFERROR($BC$2&amp;VLOOKUP(D547,'Pay Table'!$M$3:$N$18,2,FALSE)&amp;$BB$2&amp;E547&amp;$BD$2,"")</f>
        <v/>
      </c>
      <c r="BD545" s="1" t="str">
        <f>IFERROR($BC$2&amp;VLOOKUP(F547,'Pay Table'!$M$3:$N$18,2,FALSE)&amp;$BB$2&amp;G547&amp;$BD$2,"")</f>
        <v/>
      </c>
      <c r="BE545" s="1" t="str">
        <f>IFERROR($BC$2&amp;VLOOKUP(H547,'Pay Table'!$M$3:$N$18,2,FALSE)&amp;$BB$2&amp;I547&amp;$BD$2,"")</f>
        <v/>
      </c>
      <c r="BF545" s="27" t="str">
        <f>IFERROR($BC$2&amp;VLOOKUP(J547,'Pay Table'!$M$3:$N$18,2,FALSE)&amp;$BB$2&amp;K547&amp;$BD$2,"")</f>
        <v/>
      </c>
    </row>
    <row r="546" spans="54:58" x14ac:dyDescent="0.15">
      <c r="BB546" s="26" t="str">
        <f>IFERROR($BC$2&amp;VLOOKUP(B548,'Pay Table'!$M$3:$N$18,2,FALSE)&amp;$BB$2&amp;C548&amp;$BD$2,"")</f>
        <v/>
      </c>
      <c r="BC546" s="1" t="str">
        <f>IFERROR($BC$2&amp;VLOOKUP(D548,'Pay Table'!$M$3:$N$18,2,FALSE)&amp;$BB$2&amp;E548&amp;$BD$2,"")</f>
        <v/>
      </c>
      <c r="BD546" s="1" t="str">
        <f>IFERROR($BC$2&amp;VLOOKUP(F548,'Pay Table'!$M$3:$N$18,2,FALSE)&amp;$BB$2&amp;G548&amp;$BD$2,"")</f>
        <v/>
      </c>
      <c r="BE546" s="1" t="str">
        <f>IFERROR($BC$2&amp;VLOOKUP(H548,'Pay Table'!$M$3:$N$18,2,FALSE)&amp;$BB$2&amp;I548&amp;$BD$2,"")</f>
        <v/>
      </c>
      <c r="BF546" s="27" t="str">
        <f>IFERROR($BC$2&amp;VLOOKUP(J548,'Pay Table'!$M$3:$N$18,2,FALSE)&amp;$BB$2&amp;K548&amp;$BD$2,"")</f>
        <v/>
      </c>
    </row>
    <row r="547" spans="54:58" x14ac:dyDescent="0.15">
      <c r="BB547" s="26" t="str">
        <f>IFERROR($BC$2&amp;VLOOKUP(B549,'Pay Table'!$M$3:$N$18,2,FALSE)&amp;$BB$2&amp;C549&amp;$BD$2,"")</f>
        <v/>
      </c>
      <c r="BC547" s="1" t="str">
        <f>IFERROR($BC$2&amp;VLOOKUP(D549,'Pay Table'!$M$3:$N$18,2,FALSE)&amp;$BB$2&amp;E549&amp;$BD$2,"")</f>
        <v/>
      </c>
      <c r="BD547" s="1" t="str">
        <f>IFERROR($BC$2&amp;VLOOKUP(F549,'Pay Table'!$M$3:$N$18,2,FALSE)&amp;$BB$2&amp;G549&amp;$BD$2,"")</f>
        <v/>
      </c>
      <c r="BE547" s="1" t="str">
        <f>IFERROR($BC$2&amp;VLOOKUP(H549,'Pay Table'!$M$3:$N$18,2,FALSE)&amp;$BB$2&amp;I549&amp;$BD$2,"")</f>
        <v/>
      </c>
      <c r="BF547" s="27" t="str">
        <f>IFERROR($BC$2&amp;VLOOKUP(J549,'Pay Table'!$M$3:$N$18,2,FALSE)&amp;$BB$2&amp;K549&amp;$BD$2,"")</f>
        <v/>
      </c>
    </row>
    <row r="548" spans="54:58" x14ac:dyDescent="0.15">
      <c r="BB548" s="26" t="str">
        <f>IFERROR($BC$2&amp;VLOOKUP(B550,'Pay Table'!$M$3:$N$18,2,FALSE)&amp;$BB$2&amp;C550&amp;$BD$2,"")</f>
        <v/>
      </c>
      <c r="BC548" s="1" t="str">
        <f>IFERROR($BC$2&amp;VLOOKUP(D550,'Pay Table'!$M$3:$N$18,2,FALSE)&amp;$BB$2&amp;E550&amp;$BD$2,"")</f>
        <v/>
      </c>
      <c r="BD548" s="1" t="str">
        <f>IFERROR($BC$2&amp;VLOOKUP(F550,'Pay Table'!$M$3:$N$18,2,FALSE)&amp;$BB$2&amp;G550&amp;$BD$2,"")</f>
        <v/>
      </c>
      <c r="BE548" s="1" t="str">
        <f>IFERROR($BC$2&amp;VLOOKUP(H550,'Pay Table'!$M$3:$N$18,2,FALSE)&amp;$BB$2&amp;I550&amp;$BD$2,"")</f>
        <v/>
      </c>
      <c r="BF548" s="27" t="str">
        <f>IFERROR($BC$2&amp;VLOOKUP(J550,'Pay Table'!$M$3:$N$18,2,FALSE)&amp;$BB$2&amp;K550&amp;$BD$2,"")</f>
        <v/>
      </c>
    </row>
    <row r="549" spans="54:58" x14ac:dyDescent="0.15">
      <c r="BB549" s="26" t="str">
        <f>IFERROR($BC$2&amp;VLOOKUP(B551,'Pay Table'!$M$3:$N$18,2,FALSE)&amp;$BB$2&amp;C551&amp;$BD$2,"")</f>
        <v/>
      </c>
      <c r="BC549" s="1" t="str">
        <f>IFERROR($BC$2&amp;VLOOKUP(D551,'Pay Table'!$M$3:$N$18,2,FALSE)&amp;$BB$2&amp;E551&amp;$BD$2,"")</f>
        <v/>
      </c>
      <c r="BD549" s="1" t="str">
        <f>IFERROR($BC$2&amp;VLOOKUP(F551,'Pay Table'!$M$3:$N$18,2,FALSE)&amp;$BB$2&amp;G551&amp;$BD$2,"")</f>
        <v/>
      </c>
      <c r="BE549" s="1" t="str">
        <f>IFERROR($BC$2&amp;VLOOKUP(H551,'Pay Table'!$M$3:$N$18,2,FALSE)&amp;$BB$2&amp;I551&amp;$BD$2,"")</f>
        <v/>
      </c>
      <c r="BF549" s="27" t="str">
        <f>IFERROR($BC$2&amp;VLOOKUP(J551,'Pay Table'!$M$3:$N$18,2,FALSE)&amp;$BB$2&amp;K551&amp;$BD$2,"")</f>
        <v/>
      </c>
    </row>
    <row r="550" spans="54:58" x14ac:dyDescent="0.15">
      <c r="BB550" s="26" t="str">
        <f>IFERROR($BC$2&amp;VLOOKUP(B552,'Pay Table'!$M$3:$N$18,2,FALSE)&amp;$BB$2&amp;C552&amp;$BD$2,"")</f>
        <v/>
      </c>
      <c r="BC550" s="1" t="str">
        <f>IFERROR($BC$2&amp;VLOOKUP(D552,'Pay Table'!$M$3:$N$18,2,FALSE)&amp;$BB$2&amp;E552&amp;$BD$2,"")</f>
        <v/>
      </c>
      <c r="BD550" s="1" t="str">
        <f>IFERROR($BC$2&amp;VLOOKUP(F552,'Pay Table'!$M$3:$N$18,2,FALSE)&amp;$BB$2&amp;G552&amp;$BD$2,"")</f>
        <v/>
      </c>
      <c r="BE550" s="1" t="str">
        <f>IFERROR($BC$2&amp;VLOOKUP(H552,'Pay Table'!$M$3:$N$18,2,FALSE)&amp;$BB$2&amp;I552&amp;$BD$2,"")</f>
        <v/>
      </c>
      <c r="BF550" s="27" t="str">
        <f>IFERROR($BC$2&amp;VLOOKUP(J552,'Pay Table'!$M$3:$N$18,2,FALSE)&amp;$BB$2&amp;K552&amp;$BD$2,"")</f>
        <v/>
      </c>
    </row>
    <row r="551" spans="54:58" x14ac:dyDescent="0.15">
      <c r="BB551" s="26" t="str">
        <f>IFERROR($BC$2&amp;VLOOKUP(B553,'Pay Table'!$M$3:$N$18,2,FALSE)&amp;$BB$2&amp;C553&amp;$BD$2,"")</f>
        <v/>
      </c>
      <c r="BC551" s="1" t="str">
        <f>IFERROR($BC$2&amp;VLOOKUP(D553,'Pay Table'!$M$3:$N$18,2,FALSE)&amp;$BB$2&amp;E553&amp;$BD$2,"")</f>
        <v/>
      </c>
      <c r="BD551" s="1" t="str">
        <f>IFERROR($BC$2&amp;VLOOKUP(F553,'Pay Table'!$M$3:$N$18,2,FALSE)&amp;$BB$2&amp;G553&amp;$BD$2,"")</f>
        <v/>
      </c>
      <c r="BE551" s="1" t="str">
        <f>IFERROR($BC$2&amp;VLOOKUP(H553,'Pay Table'!$M$3:$N$18,2,FALSE)&amp;$BB$2&amp;I553&amp;$BD$2,"")</f>
        <v/>
      </c>
      <c r="BF551" s="27" t="str">
        <f>IFERROR($BC$2&amp;VLOOKUP(J553,'Pay Table'!$M$3:$N$18,2,FALSE)&amp;$BB$2&amp;K553&amp;$BD$2,"")</f>
        <v/>
      </c>
    </row>
    <row r="552" spans="54:58" x14ac:dyDescent="0.15">
      <c r="BB552" s="26" t="str">
        <f>IFERROR($BC$2&amp;VLOOKUP(B554,'Pay Table'!$M$3:$N$18,2,FALSE)&amp;$BB$2&amp;C554&amp;$BD$2,"")</f>
        <v/>
      </c>
      <c r="BC552" s="1" t="str">
        <f>IFERROR($BC$2&amp;VLOOKUP(D554,'Pay Table'!$M$3:$N$18,2,FALSE)&amp;$BB$2&amp;E554&amp;$BD$2,"")</f>
        <v/>
      </c>
      <c r="BD552" s="1" t="str">
        <f>IFERROR($BC$2&amp;VLOOKUP(F554,'Pay Table'!$M$3:$N$18,2,FALSE)&amp;$BB$2&amp;G554&amp;$BD$2,"")</f>
        <v/>
      </c>
      <c r="BE552" s="1" t="str">
        <f>IFERROR($BC$2&amp;VLOOKUP(H554,'Pay Table'!$M$3:$N$18,2,FALSE)&amp;$BB$2&amp;I554&amp;$BD$2,"")</f>
        <v/>
      </c>
      <c r="BF552" s="27" t="str">
        <f>IFERROR($BC$2&amp;VLOOKUP(J554,'Pay Table'!$M$3:$N$18,2,FALSE)&amp;$BB$2&amp;K554&amp;$BD$2,"")</f>
        <v/>
      </c>
    </row>
    <row r="553" spans="54:58" x14ac:dyDescent="0.15">
      <c r="BB553" s="26" t="str">
        <f>IFERROR($BC$2&amp;VLOOKUP(B555,'Pay Table'!$M$3:$N$18,2,FALSE)&amp;$BB$2&amp;C555&amp;$BD$2,"")</f>
        <v/>
      </c>
      <c r="BC553" s="1" t="str">
        <f>IFERROR($BC$2&amp;VLOOKUP(D555,'Pay Table'!$M$3:$N$18,2,FALSE)&amp;$BB$2&amp;E555&amp;$BD$2,"")</f>
        <v/>
      </c>
      <c r="BD553" s="1" t="str">
        <f>IFERROR($BC$2&amp;VLOOKUP(F555,'Pay Table'!$M$3:$N$18,2,FALSE)&amp;$BB$2&amp;G555&amp;$BD$2,"")</f>
        <v/>
      </c>
      <c r="BE553" s="1" t="str">
        <f>IFERROR($BC$2&amp;VLOOKUP(H555,'Pay Table'!$M$3:$N$18,2,FALSE)&amp;$BB$2&amp;I555&amp;$BD$2,"")</f>
        <v/>
      </c>
      <c r="BF553" s="27" t="str">
        <f>IFERROR($BC$2&amp;VLOOKUP(J555,'Pay Table'!$M$3:$N$18,2,FALSE)&amp;$BB$2&amp;K555&amp;$BD$2,"")</f>
        <v/>
      </c>
    </row>
    <row r="554" spans="54:58" x14ac:dyDescent="0.15">
      <c r="BB554" s="26" t="str">
        <f>IFERROR($BC$2&amp;VLOOKUP(B556,'Pay Table'!$M$3:$N$18,2,FALSE)&amp;$BB$2&amp;C556&amp;$BD$2,"")</f>
        <v/>
      </c>
      <c r="BC554" s="1" t="str">
        <f>IFERROR($BC$2&amp;VLOOKUP(D556,'Pay Table'!$M$3:$N$18,2,FALSE)&amp;$BB$2&amp;E556&amp;$BD$2,"")</f>
        <v/>
      </c>
      <c r="BD554" s="1" t="str">
        <f>IFERROR($BC$2&amp;VLOOKUP(F556,'Pay Table'!$M$3:$N$18,2,FALSE)&amp;$BB$2&amp;G556&amp;$BD$2,"")</f>
        <v/>
      </c>
      <c r="BE554" s="1" t="str">
        <f>IFERROR($BC$2&amp;VLOOKUP(H556,'Pay Table'!$M$3:$N$18,2,FALSE)&amp;$BB$2&amp;I556&amp;$BD$2,"")</f>
        <v/>
      </c>
      <c r="BF554" s="27" t="str">
        <f>IFERROR($BC$2&amp;VLOOKUP(J556,'Pay Table'!$M$3:$N$18,2,FALSE)&amp;$BB$2&amp;K556&amp;$BD$2,"")</f>
        <v/>
      </c>
    </row>
    <row r="555" spans="54:58" x14ac:dyDescent="0.15">
      <c r="BB555" s="26" t="str">
        <f>IFERROR($BC$2&amp;VLOOKUP(B557,'Pay Table'!$M$3:$N$18,2,FALSE)&amp;$BB$2&amp;C557&amp;$BD$2,"")</f>
        <v/>
      </c>
      <c r="BC555" s="1" t="str">
        <f>IFERROR($BC$2&amp;VLOOKUP(D557,'Pay Table'!$M$3:$N$18,2,FALSE)&amp;$BB$2&amp;E557&amp;$BD$2,"")</f>
        <v/>
      </c>
      <c r="BD555" s="1" t="str">
        <f>IFERROR($BC$2&amp;VLOOKUP(F557,'Pay Table'!$M$3:$N$18,2,FALSE)&amp;$BB$2&amp;G557&amp;$BD$2,"")</f>
        <v/>
      </c>
      <c r="BE555" s="1" t="str">
        <f>IFERROR($BC$2&amp;VLOOKUP(H557,'Pay Table'!$M$3:$N$18,2,FALSE)&amp;$BB$2&amp;I557&amp;$BD$2,"")</f>
        <v/>
      </c>
      <c r="BF555" s="27" t="str">
        <f>IFERROR($BC$2&amp;VLOOKUP(J557,'Pay Table'!$M$3:$N$18,2,FALSE)&amp;$BB$2&amp;K557&amp;$BD$2,"")</f>
        <v/>
      </c>
    </row>
    <row r="556" spans="54:58" x14ac:dyDescent="0.15">
      <c r="BB556" s="26" t="str">
        <f>IFERROR($BC$2&amp;VLOOKUP(B558,'Pay Table'!$M$3:$N$18,2,FALSE)&amp;$BB$2&amp;C558&amp;$BD$2,"")</f>
        <v/>
      </c>
      <c r="BC556" s="1" t="str">
        <f>IFERROR($BC$2&amp;VLOOKUP(D558,'Pay Table'!$M$3:$N$18,2,FALSE)&amp;$BB$2&amp;E558&amp;$BD$2,"")</f>
        <v/>
      </c>
      <c r="BD556" s="1" t="str">
        <f>IFERROR($BC$2&amp;VLOOKUP(F558,'Pay Table'!$M$3:$N$18,2,FALSE)&amp;$BB$2&amp;G558&amp;$BD$2,"")</f>
        <v/>
      </c>
      <c r="BE556" s="1" t="str">
        <f>IFERROR($BC$2&amp;VLOOKUP(H558,'Pay Table'!$M$3:$N$18,2,FALSE)&amp;$BB$2&amp;I558&amp;$BD$2,"")</f>
        <v/>
      </c>
      <c r="BF556" s="27" t="str">
        <f>IFERROR($BC$2&amp;VLOOKUP(J558,'Pay Table'!$M$3:$N$18,2,FALSE)&amp;$BB$2&amp;K558&amp;$BD$2,"")</f>
        <v/>
      </c>
    </row>
    <row r="557" spans="54:58" x14ac:dyDescent="0.15">
      <c r="BB557" s="26" t="str">
        <f>IFERROR($BC$2&amp;VLOOKUP(B559,'Pay Table'!$M$3:$N$18,2,FALSE)&amp;$BB$2&amp;C559&amp;$BD$2,"")</f>
        <v/>
      </c>
      <c r="BC557" s="1" t="str">
        <f>IFERROR($BC$2&amp;VLOOKUP(D559,'Pay Table'!$M$3:$N$18,2,FALSE)&amp;$BB$2&amp;E559&amp;$BD$2,"")</f>
        <v/>
      </c>
      <c r="BD557" s="1" t="str">
        <f>IFERROR($BC$2&amp;VLOOKUP(F559,'Pay Table'!$M$3:$N$18,2,FALSE)&amp;$BB$2&amp;G559&amp;$BD$2,"")</f>
        <v/>
      </c>
      <c r="BE557" s="1" t="str">
        <f>IFERROR($BC$2&amp;VLOOKUP(H559,'Pay Table'!$M$3:$N$18,2,FALSE)&amp;$BB$2&amp;I559&amp;$BD$2,"")</f>
        <v/>
      </c>
      <c r="BF557" s="27" t="str">
        <f>IFERROR($BC$2&amp;VLOOKUP(J559,'Pay Table'!$M$3:$N$18,2,FALSE)&amp;$BB$2&amp;K559&amp;$BD$2,"")</f>
        <v/>
      </c>
    </row>
    <row r="558" spans="54:58" x14ac:dyDescent="0.15">
      <c r="BB558" s="26" t="str">
        <f>IFERROR($BC$2&amp;VLOOKUP(B560,'Pay Table'!$M$3:$N$18,2,FALSE)&amp;$BB$2&amp;C560&amp;$BD$2,"")</f>
        <v/>
      </c>
      <c r="BC558" s="1" t="str">
        <f>IFERROR($BC$2&amp;VLOOKUP(D560,'Pay Table'!$M$3:$N$18,2,FALSE)&amp;$BB$2&amp;E560&amp;$BD$2,"")</f>
        <v/>
      </c>
      <c r="BD558" s="1" t="str">
        <f>IFERROR($BC$2&amp;VLOOKUP(F560,'Pay Table'!$M$3:$N$18,2,FALSE)&amp;$BB$2&amp;G560&amp;$BD$2,"")</f>
        <v/>
      </c>
      <c r="BE558" s="1" t="str">
        <f>IFERROR($BC$2&amp;VLOOKUP(H560,'Pay Table'!$M$3:$N$18,2,FALSE)&amp;$BB$2&amp;I560&amp;$BD$2,"")</f>
        <v/>
      </c>
      <c r="BF558" s="27" t="str">
        <f>IFERROR($BC$2&amp;VLOOKUP(J560,'Pay Table'!$M$3:$N$18,2,FALSE)&amp;$BB$2&amp;K560&amp;$BD$2,"")</f>
        <v/>
      </c>
    </row>
    <row r="559" spans="54:58" x14ac:dyDescent="0.15">
      <c r="BB559" s="26" t="str">
        <f>IFERROR($BC$2&amp;VLOOKUP(B561,'Pay Table'!$M$3:$N$18,2,FALSE)&amp;$BB$2&amp;C561&amp;$BD$2,"")</f>
        <v/>
      </c>
      <c r="BC559" s="1" t="str">
        <f>IFERROR($BC$2&amp;VLOOKUP(D561,'Pay Table'!$M$3:$N$18,2,FALSE)&amp;$BB$2&amp;E561&amp;$BD$2,"")</f>
        <v/>
      </c>
      <c r="BD559" s="1" t="str">
        <f>IFERROR($BC$2&amp;VLOOKUP(F561,'Pay Table'!$M$3:$N$18,2,FALSE)&amp;$BB$2&amp;G561&amp;$BD$2,"")</f>
        <v/>
      </c>
      <c r="BE559" s="1" t="str">
        <f>IFERROR($BC$2&amp;VLOOKUP(H561,'Pay Table'!$M$3:$N$18,2,FALSE)&amp;$BB$2&amp;I561&amp;$BD$2,"")</f>
        <v/>
      </c>
      <c r="BF559" s="27" t="str">
        <f>IFERROR($BC$2&amp;VLOOKUP(J561,'Pay Table'!$M$3:$N$18,2,FALSE)&amp;$BB$2&amp;K561&amp;$BD$2,"")</f>
        <v/>
      </c>
    </row>
    <row r="560" spans="54:58" x14ac:dyDescent="0.15">
      <c r="BB560" s="26" t="str">
        <f>IFERROR($BC$2&amp;VLOOKUP(B562,'Pay Table'!$M$3:$N$18,2,FALSE)&amp;$BB$2&amp;C562&amp;$BD$2,"")</f>
        <v/>
      </c>
      <c r="BC560" s="1" t="str">
        <f>IFERROR($BC$2&amp;VLOOKUP(D562,'Pay Table'!$M$3:$N$18,2,FALSE)&amp;$BB$2&amp;E562&amp;$BD$2,"")</f>
        <v/>
      </c>
      <c r="BD560" s="1" t="str">
        <f>IFERROR($BC$2&amp;VLOOKUP(F562,'Pay Table'!$M$3:$N$18,2,FALSE)&amp;$BB$2&amp;G562&amp;$BD$2,"")</f>
        <v/>
      </c>
      <c r="BE560" s="1" t="str">
        <f>IFERROR($BC$2&amp;VLOOKUP(H562,'Pay Table'!$M$3:$N$18,2,FALSE)&amp;$BB$2&amp;I562&amp;$BD$2,"")</f>
        <v/>
      </c>
      <c r="BF560" s="27" t="str">
        <f>IFERROR($BC$2&amp;VLOOKUP(J562,'Pay Table'!$M$3:$N$18,2,FALSE)&amp;$BB$2&amp;K562&amp;$BD$2,"")</f>
        <v/>
      </c>
    </row>
    <row r="561" spans="54:58" x14ac:dyDescent="0.15">
      <c r="BB561" s="26" t="str">
        <f>IFERROR($BC$2&amp;VLOOKUP(B563,'Pay Table'!$M$3:$N$18,2,FALSE)&amp;$BB$2&amp;C563&amp;$BD$2,"")</f>
        <v/>
      </c>
      <c r="BC561" s="1" t="str">
        <f>IFERROR($BC$2&amp;VLOOKUP(D563,'Pay Table'!$M$3:$N$18,2,FALSE)&amp;$BB$2&amp;E563&amp;$BD$2,"")</f>
        <v/>
      </c>
      <c r="BD561" s="1" t="str">
        <f>IFERROR($BC$2&amp;VLOOKUP(F563,'Pay Table'!$M$3:$N$18,2,FALSE)&amp;$BB$2&amp;G563&amp;$BD$2,"")</f>
        <v/>
      </c>
      <c r="BE561" s="1" t="str">
        <f>IFERROR($BC$2&amp;VLOOKUP(H563,'Pay Table'!$M$3:$N$18,2,FALSE)&amp;$BB$2&amp;I563&amp;$BD$2,"")</f>
        <v/>
      </c>
      <c r="BF561" s="27" t="str">
        <f>IFERROR($BC$2&amp;VLOOKUP(J563,'Pay Table'!$M$3:$N$18,2,FALSE)&amp;$BB$2&amp;K563&amp;$BD$2,"")</f>
        <v/>
      </c>
    </row>
    <row r="562" spans="54:58" x14ac:dyDescent="0.15">
      <c r="BB562" s="26" t="str">
        <f>IFERROR($BC$2&amp;VLOOKUP(B564,'Pay Table'!$M$3:$N$18,2,FALSE)&amp;$BB$2&amp;C564&amp;$BD$2,"")</f>
        <v/>
      </c>
      <c r="BC562" s="1" t="str">
        <f>IFERROR($BC$2&amp;VLOOKUP(D564,'Pay Table'!$M$3:$N$18,2,FALSE)&amp;$BB$2&amp;E564&amp;$BD$2,"")</f>
        <v/>
      </c>
      <c r="BD562" s="1" t="str">
        <f>IFERROR($BC$2&amp;VLOOKUP(F564,'Pay Table'!$M$3:$N$18,2,FALSE)&amp;$BB$2&amp;G564&amp;$BD$2,"")</f>
        <v/>
      </c>
      <c r="BE562" s="1" t="str">
        <f>IFERROR($BC$2&amp;VLOOKUP(H564,'Pay Table'!$M$3:$N$18,2,FALSE)&amp;$BB$2&amp;I564&amp;$BD$2,"")</f>
        <v/>
      </c>
      <c r="BF562" s="27" t="str">
        <f>IFERROR($BC$2&amp;VLOOKUP(J564,'Pay Table'!$M$3:$N$18,2,FALSE)&amp;$BB$2&amp;K564&amp;$BD$2,"")</f>
        <v/>
      </c>
    </row>
    <row r="563" spans="54:58" x14ac:dyDescent="0.15">
      <c r="BB563" s="26" t="str">
        <f>IFERROR($BC$2&amp;VLOOKUP(B565,'Pay Table'!$M$3:$N$18,2,FALSE)&amp;$BB$2&amp;C565&amp;$BD$2,"")</f>
        <v/>
      </c>
      <c r="BC563" s="1" t="str">
        <f>IFERROR($BC$2&amp;VLOOKUP(D565,'Pay Table'!$M$3:$N$18,2,FALSE)&amp;$BB$2&amp;E565&amp;$BD$2,"")</f>
        <v/>
      </c>
      <c r="BD563" s="1" t="str">
        <f>IFERROR($BC$2&amp;VLOOKUP(F565,'Pay Table'!$M$3:$N$18,2,FALSE)&amp;$BB$2&amp;G565&amp;$BD$2,"")</f>
        <v/>
      </c>
      <c r="BE563" s="1" t="str">
        <f>IFERROR($BC$2&amp;VLOOKUP(H565,'Pay Table'!$M$3:$N$18,2,FALSE)&amp;$BB$2&amp;I565&amp;$BD$2,"")</f>
        <v/>
      </c>
      <c r="BF563" s="27" t="str">
        <f>IFERROR($BC$2&amp;VLOOKUP(J565,'Pay Table'!$M$3:$N$18,2,FALSE)&amp;$BB$2&amp;K565&amp;$BD$2,"")</f>
        <v/>
      </c>
    </row>
    <row r="564" spans="54:58" x14ac:dyDescent="0.15">
      <c r="BB564" s="26" t="str">
        <f>IFERROR($BC$2&amp;VLOOKUP(B566,'Pay Table'!$M$3:$N$18,2,FALSE)&amp;$BB$2&amp;C566&amp;$BD$2,"")</f>
        <v/>
      </c>
      <c r="BC564" s="1" t="str">
        <f>IFERROR($BC$2&amp;VLOOKUP(D566,'Pay Table'!$M$3:$N$18,2,FALSE)&amp;$BB$2&amp;E566&amp;$BD$2,"")</f>
        <v/>
      </c>
      <c r="BD564" s="1" t="str">
        <f>IFERROR($BC$2&amp;VLOOKUP(F566,'Pay Table'!$M$3:$N$18,2,FALSE)&amp;$BB$2&amp;G566&amp;$BD$2,"")</f>
        <v/>
      </c>
      <c r="BE564" s="1" t="str">
        <f>IFERROR($BC$2&amp;VLOOKUP(H566,'Pay Table'!$M$3:$N$18,2,FALSE)&amp;$BB$2&amp;I566&amp;$BD$2,"")</f>
        <v/>
      </c>
      <c r="BF564" s="27" t="str">
        <f>IFERROR($BC$2&amp;VLOOKUP(J566,'Pay Table'!$M$3:$N$18,2,FALSE)&amp;$BB$2&amp;K566&amp;$BD$2,"")</f>
        <v/>
      </c>
    </row>
    <row r="565" spans="54:58" x14ac:dyDescent="0.15">
      <c r="BB565" s="26" t="str">
        <f>IFERROR($BC$2&amp;VLOOKUP(B567,'Pay Table'!$M$3:$N$18,2,FALSE)&amp;$BB$2&amp;C567&amp;$BD$2,"")</f>
        <v/>
      </c>
      <c r="BC565" s="1" t="str">
        <f>IFERROR($BC$2&amp;VLOOKUP(D567,'Pay Table'!$M$3:$N$18,2,FALSE)&amp;$BB$2&amp;E567&amp;$BD$2,"")</f>
        <v/>
      </c>
      <c r="BD565" s="1" t="str">
        <f>IFERROR($BC$2&amp;VLOOKUP(F567,'Pay Table'!$M$3:$N$18,2,FALSE)&amp;$BB$2&amp;G567&amp;$BD$2,"")</f>
        <v/>
      </c>
      <c r="BE565" s="1" t="str">
        <f>IFERROR($BC$2&amp;VLOOKUP(H567,'Pay Table'!$M$3:$N$18,2,FALSE)&amp;$BB$2&amp;I567&amp;$BD$2,"")</f>
        <v/>
      </c>
      <c r="BF565" s="27" t="str">
        <f>IFERROR($BC$2&amp;VLOOKUP(J567,'Pay Table'!$M$3:$N$18,2,FALSE)&amp;$BB$2&amp;K567&amp;$BD$2,"")</f>
        <v/>
      </c>
    </row>
    <row r="566" spans="54:58" x14ac:dyDescent="0.15">
      <c r="BB566" s="26" t="str">
        <f>IFERROR($BC$2&amp;VLOOKUP(B568,'Pay Table'!$M$3:$N$18,2,FALSE)&amp;$BB$2&amp;C568&amp;$BD$2,"")</f>
        <v/>
      </c>
      <c r="BC566" s="1" t="str">
        <f>IFERROR($BC$2&amp;VLOOKUP(D568,'Pay Table'!$M$3:$N$18,2,FALSE)&amp;$BB$2&amp;E568&amp;$BD$2,"")</f>
        <v/>
      </c>
      <c r="BD566" s="1" t="str">
        <f>IFERROR($BC$2&amp;VLOOKUP(F568,'Pay Table'!$M$3:$N$18,2,FALSE)&amp;$BB$2&amp;G568&amp;$BD$2,"")</f>
        <v/>
      </c>
      <c r="BE566" s="1" t="str">
        <f>IFERROR($BC$2&amp;VLOOKUP(H568,'Pay Table'!$M$3:$N$18,2,FALSE)&amp;$BB$2&amp;I568&amp;$BD$2,"")</f>
        <v/>
      </c>
      <c r="BF566" s="27" t="str">
        <f>IFERROR($BC$2&amp;VLOOKUP(J568,'Pay Table'!$M$3:$N$18,2,FALSE)&amp;$BB$2&amp;K568&amp;$BD$2,"")</f>
        <v/>
      </c>
    </row>
    <row r="567" spans="54:58" x14ac:dyDescent="0.15">
      <c r="BB567" s="26" t="str">
        <f>IFERROR($BC$2&amp;VLOOKUP(B569,'Pay Table'!$M$3:$N$18,2,FALSE)&amp;$BB$2&amp;C569&amp;$BD$2,"")</f>
        <v/>
      </c>
      <c r="BC567" s="1" t="str">
        <f>IFERROR($BC$2&amp;VLOOKUP(D569,'Pay Table'!$M$3:$N$18,2,FALSE)&amp;$BB$2&amp;E569&amp;$BD$2,"")</f>
        <v/>
      </c>
      <c r="BD567" s="1" t="str">
        <f>IFERROR($BC$2&amp;VLOOKUP(F569,'Pay Table'!$M$3:$N$18,2,FALSE)&amp;$BB$2&amp;G569&amp;$BD$2,"")</f>
        <v/>
      </c>
      <c r="BE567" s="1" t="str">
        <f>IFERROR($BC$2&amp;VLOOKUP(H569,'Pay Table'!$M$3:$N$18,2,FALSE)&amp;$BB$2&amp;I569&amp;$BD$2,"")</f>
        <v/>
      </c>
      <c r="BF567" s="27" t="str">
        <f>IFERROR($BC$2&amp;VLOOKUP(J569,'Pay Table'!$M$3:$N$18,2,FALSE)&amp;$BB$2&amp;K569&amp;$BD$2,"")</f>
        <v/>
      </c>
    </row>
    <row r="568" spans="54:58" x14ac:dyDescent="0.15">
      <c r="BB568" s="26" t="str">
        <f>IFERROR($BC$2&amp;VLOOKUP(B570,'Pay Table'!$M$3:$N$18,2,FALSE)&amp;$BB$2&amp;C570&amp;$BD$2,"")</f>
        <v/>
      </c>
      <c r="BC568" s="1" t="str">
        <f>IFERROR($BC$2&amp;VLOOKUP(D570,'Pay Table'!$M$3:$N$18,2,FALSE)&amp;$BB$2&amp;E570&amp;$BD$2,"")</f>
        <v/>
      </c>
      <c r="BD568" s="1" t="str">
        <f>IFERROR($BC$2&amp;VLOOKUP(F570,'Pay Table'!$M$3:$N$18,2,FALSE)&amp;$BB$2&amp;G570&amp;$BD$2,"")</f>
        <v/>
      </c>
      <c r="BE568" s="1" t="str">
        <f>IFERROR($BC$2&amp;VLOOKUP(H570,'Pay Table'!$M$3:$N$18,2,FALSE)&amp;$BB$2&amp;I570&amp;$BD$2,"")</f>
        <v/>
      </c>
      <c r="BF568" s="27" t="str">
        <f>IFERROR($BC$2&amp;VLOOKUP(J570,'Pay Table'!$M$3:$N$18,2,FALSE)&amp;$BB$2&amp;K570&amp;$BD$2,"")</f>
        <v/>
      </c>
    </row>
    <row r="569" spans="54:58" x14ac:dyDescent="0.15">
      <c r="BB569" s="26" t="str">
        <f>IFERROR($BC$2&amp;VLOOKUP(B571,'Pay Table'!$M$3:$N$18,2,FALSE)&amp;$BB$2&amp;C571&amp;$BD$2,"")</f>
        <v/>
      </c>
      <c r="BC569" s="1" t="str">
        <f>IFERROR($BC$2&amp;VLOOKUP(D571,'Pay Table'!$M$3:$N$18,2,FALSE)&amp;$BB$2&amp;E571&amp;$BD$2,"")</f>
        <v/>
      </c>
      <c r="BD569" s="1" t="str">
        <f>IFERROR($BC$2&amp;VLOOKUP(F571,'Pay Table'!$M$3:$N$18,2,FALSE)&amp;$BB$2&amp;G571&amp;$BD$2,"")</f>
        <v/>
      </c>
      <c r="BE569" s="1" t="str">
        <f>IFERROR($BC$2&amp;VLOOKUP(H571,'Pay Table'!$M$3:$N$18,2,FALSE)&amp;$BB$2&amp;I571&amp;$BD$2,"")</f>
        <v/>
      </c>
      <c r="BF569" s="27" t="str">
        <f>IFERROR($BC$2&amp;VLOOKUP(J571,'Pay Table'!$M$3:$N$18,2,FALSE)&amp;$BB$2&amp;K571&amp;$BD$2,"")</f>
        <v/>
      </c>
    </row>
    <row r="570" spans="54:58" x14ac:dyDescent="0.15">
      <c r="BB570" s="26" t="str">
        <f>IFERROR($BC$2&amp;VLOOKUP(B572,'Pay Table'!$M$3:$N$18,2,FALSE)&amp;$BB$2&amp;C572&amp;$BD$2,"")</f>
        <v/>
      </c>
      <c r="BC570" s="1" t="str">
        <f>IFERROR($BC$2&amp;VLOOKUP(D572,'Pay Table'!$M$3:$N$18,2,FALSE)&amp;$BB$2&amp;E572&amp;$BD$2,"")</f>
        <v/>
      </c>
      <c r="BD570" s="1" t="str">
        <f>IFERROR($BC$2&amp;VLOOKUP(F572,'Pay Table'!$M$3:$N$18,2,FALSE)&amp;$BB$2&amp;G572&amp;$BD$2,"")</f>
        <v/>
      </c>
      <c r="BE570" s="1" t="str">
        <f>IFERROR($BC$2&amp;VLOOKUP(H572,'Pay Table'!$M$3:$N$18,2,FALSE)&amp;$BB$2&amp;I572&amp;$BD$2,"")</f>
        <v/>
      </c>
      <c r="BF570" s="27" t="str">
        <f>IFERROR($BC$2&amp;VLOOKUP(J572,'Pay Table'!$M$3:$N$18,2,FALSE)&amp;$BB$2&amp;K572&amp;$BD$2,"")</f>
        <v/>
      </c>
    </row>
    <row r="571" spans="54:58" x14ac:dyDescent="0.15">
      <c r="BB571" s="26" t="str">
        <f>IFERROR($BC$2&amp;VLOOKUP(B573,'Pay Table'!$M$3:$N$18,2,FALSE)&amp;$BB$2&amp;C573&amp;$BD$2,"")</f>
        <v/>
      </c>
      <c r="BC571" s="1" t="str">
        <f>IFERROR($BC$2&amp;VLOOKUP(D573,'Pay Table'!$M$3:$N$18,2,FALSE)&amp;$BB$2&amp;E573&amp;$BD$2,"")</f>
        <v/>
      </c>
      <c r="BD571" s="1" t="str">
        <f>IFERROR($BC$2&amp;VLOOKUP(F573,'Pay Table'!$M$3:$N$18,2,FALSE)&amp;$BB$2&amp;G573&amp;$BD$2,"")</f>
        <v/>
      </c>
      <c r="BE571" s="1" t="str">
        <f>IFERROR($BC$2&amp;VLOOKUP(H573,'Pay Table'!$M$3:$N$18,2,FALSE)&amp;$BB$2&amp;I573&amp;$BD$2,"")</f>
        <v/>
      </c>
      <c r="BF571" s="27" t="str">
        <f>IFERROR($BC$2&amp;VLOOKUP(J573,'Pay Table'!$M$3:$N$18,2,FALSE)&amp;$BB$2&amp;K573&amp;$BD$2,"")</f>
        <v/>
      </c>
    </row>
    <row r="572" spans="54:58" x14ac:dyDescent="0.15">
      <c r="BB572" s="26" t="str">
        <f>IFERROR($BC$2&amp;VLOOKUP(B574,'Pay Table'!$M$3:$N$18,2,FALSE)&amp;$BB$2&amp;C574&amp;$BD$2,"")</f>
        <v/>
      </c>
      <c r="BC572" s="1" t="str">
        <f>IFERROR($BC$2&amp;VLOOKUP(D574,'Pay Table'!$M$3:$N$18,2,FALSE)&amp;$BB$2&amp;E574&amp;$BD$2,"")</f>
        <v/>
      </c>
      <c r="BD572" s="1" t="str">
        <f>IFERROR($BC$2&amp;VLOOKUP(F574,'Pay Table'!$M$3:$N$18,2,FALSE)&amp;$BB$2&amp;G574&amp;$BD$2,"")</f>
        <v/>
      </c>
      <c r="BE572" s="1" t="str">
        <f>IFERROR($BC$2&amp;VLOOKUP(H574,'Pay Table'!$M$3:$N$18,2,FALSE)&amp;$BB$2&amp;I574&amp;$BD$2,"")</f>
        <v/>
      </c>
      <c r="BF572" s="27" t="str">
        <f>IFERROR($BC$2&amp;VLOOKUP(J574,'Pay Table'!$M$3:$N$18,2,FALSE)&amp;$BB$2&amp;K574&amp;$BD$2,"")</f>
        <v/>
      </c>
    </row>
    <row r="573" spans="54:58" x14ac:dyDescent="0.15">
      <c r="BB573" s="26" t="str">
        <f>IFERROR($BC$2&amp;VLOOKUP(B575,'Pay Table'!$M$3:$N$18,2,FALSE)&amp;$BB$2&amp;C575&amp;$BD$2,"")</f>
        <v/>
      </c>
      <c r="BC573" s="1" t="str">
        <f>IFERROR($BC$2&amp;VLOOKUP(D575,'Pay Table'!$M$3:$N$18,2,FALSE)&amp;$BB$2&amp;E575&amp;$BD$2,"")</f>
        <v/>
      </c>
      <c r="BD573" s="1" t="str">
        <f>IFERROR($BC$2&amp;VLOOKUP(F575,'Pay Table'!$M$3:$N$18,2,FALSE)&amp;$BB$2&amp;G575&amp;$BD$2,"")</f>
        <v/>
      </c>
      <c r="BE573" s="1" t="str">
        <f>IFERROR($BC$2&amp;VLOOKUP(H575,'Pay Table'!$M$3:$N$18,2,FALSE)&amp;$BB$2&amp;I575&amp;$BD$2,"")</f>
        <v/>
      </c>
      <c r="BF573" s="27" t="str">
        <f>IFERROR($BC$2&amp;VLOOKUP(J575,'Pay Table'!$M$3:$N$18,2,FALSE)&amp;$BB$2&amp;K575&amp;$BD$2,"")</f>
        <v/>
      </c>
    </row>
    <row r="574" spans="54:58" x14ac:dyDescent="0.15">
      <c r="BB574" s="26" t="str">
        <f>IFERROR($BC$2&amp;VLOOKUP(B576,'Pay Table'!$M$3:$N$18,2,FALSE)&amp;$BB$2&amp;C576&amp;$BD$2,"")</f>
        <v/>
      </c>
      <c r="BC574" s="1" t="str">
        <f>IFERROR($BC$2&amp;VLOOKUP(D576,'Pay Table'!$M$3:$N$18,2,FALSE)&amp;$BB$2&amp;E576&amp;$BD$2,"")</f>
        <v/>
      </c>
      <c r="BD574" s="1" t="str">
        <f>IFERROR($BC$2&amp;VLOOKUP(F576,'Pay Table'!$M$3:$N$18,2,FALSE)&amp;$BB$2&amp;G576&amp;$BD$2,"")</f>
        <v/>
      </c>
      <c r="BE574" s="1" t="str">
        <f>IFERROR($BC$2&amp;VLOOKUP(H576,'Pay Table'!$M$3:$N$18,2,FALSE)&amp;$BB$2&amp;I576&amp;$BD$2,"")</f>
        <v/>
      </c>
      <c r="BF574" s="27" t="str">
        <f>IFERROR($BC$2&amp;VLOOKUP(J576,'Pay Table'!$M$3:$N$18,2,FALSE)&amp;$BB$2&amp;K576&amp;$BD$2,"")</f>
        <v/>
      </c>
    </row>
    <row r="575" spans="54:58" x14ac:dyDescent="0.15">
      <c r="BB575" s="26" t="str">
        <f>IFERROR($BC$2&amp;VLOOKUP(B577,'Pay Table'!$M$3:$N$18,2,FALSE)&amp;$BB$2&amp;C577&amp;$BD$2,"")</f>
        <v/>
      </c>
      <c r="BC575" s="1" t="str">
        <f>IFERROR($BC$2&amp;VLOOKUP(D577,'Pay Table'!$M$3:$N$18,2,FALSE)&amp;$BB$2&amp;E577&amp;$BD$2,"")</f>
        <v/>
      </c>
      <c r="BD575" s="1" t="str">
        <f>IFERROR($BC$2&amp;VLOOKUP(F577,'Pay Table'!$M$3:$N$18,2,FALSE)&amp;$BB$2&amp;G577&amp;$BD$2,"")</f>
        <v/>
      </c>
      <c r="BE575" s="1" t="str">
        <f>IFERROR($BC$2&amp;VLOOKUP(H577,'Pay Table'!$M$3:$N$18,2,FALSE)&amp;$BB$2&amp;I577&amp;$BD$2,"")</f>
        <v/>
      </c>
      <c r="BF575" s="27" t="str">
        <f>IFERROR($BC$2&amp;VLOOKUP(J577,'Pay Table'!$M$3:$N$18,2,FALSE)&amp;$BB$2&amp;K577&amp;$BD$2,"")</f>
        <v/>
      </c>
    </row>
    <row r="576" spans="54:58" x14ac:dyDescent="0.15">
      <c r="BB576" s="26" t="str">
        <f>IFERROR($BC$2&amp;VLOOKUP(B578,'Pay Table'!$M$3:$N$18,2,FALSE)&amp;$BB$2&amp;C578&amp;$BD$2,"")</f>
        <v/>
      </c>
      <c r="BC576" s="1" t="str">
        <f>IFERROR($BC$2&amp;VLOOKUP(D578,'Pay Table'!$M$3:$N$18,2,FALSE)&amp;$BB$2&amp;E578&amp;$BD$2,"")</f>
        <v/>
      </c>
      <c r="BD576" s="1" t="str">
        <f>IFERROR($BC$2&amp;VLOOKUP(F578,'Pay Table'!$M$3:$N$18,2,FALSE)&amp;$BB$2&amp;G578&amp;$BD$2,"")</f>
        <v/>
      </c>
      <c r="BE576" s="1" t="str">
        <f>IFERROR($BC$2&amp;VLOOKUP(H578,'Pay Table'!$M$3:$N$18,2,FALSE)&amp;$BB$2&amp;I578&amp;$BD$2,"")</f>
        <v/>
      </c>
      <c r="BF576" s="27" t="str">
        <f>IFERROR($BC$2&amp;VLOOKUP(J578,'Pay Table'!$M$3:$N$18,2,FALSE)&amp;$BB$2&amp;K578&amp;$BD$2,"")</f>
        <v/>
      </c>
    </row>
    <row r="577" spans="54:58" x14ac:dyDescent="0.15">
      <c r="BB577" s="26" t="str">
        <f>IFERROR($BC$2&amp;VLOOKUP(B579,'Pay Table'!$M$3:$N$18,2,FALSE)&amp;$BB$2&amp;C579&amp;$BD$2,"")</f>
        <v/>
      </c>
      <c r="BC577" s="1" t="str">
        <f>IFERROR($BC$2&amp;VLOOKUP(D579,'Pay Table'!$M$3:$N$18,2,FALSE)&amp;$BB$2&amp;E579&amp;$BD$2,"")</f>
        <v/>
      </c>
      <c r="BD577" s="1" t="str">
        <f>IFERROR($BC$2&amp;VLOOKUP(F579,'Pay Table'!$M$3:$N$18,2,FALSE)&amp;$BB$2&amp;G579&amp;$BD$2,"")</f>
        <v/>
      </c>
      <c r="BE577" s="1" t="str">
        <f>IFERROR($BC$2&amp;VLOOKUP(H579,'Pay Table'!$M$3:$N$18,2,FALSE)&amp;$BB$2&amp;I579&amp;$BD$2,"")</f>
        <v/>
      </c>
      <c r="BF577" s="27" t="str">
        <f>IFERROR($BC$2&amp;VLOOKUP(J579,'Pay Table'!$M$3:$N$18,2,FALSE)&amp;$BB$2&amp;K579&amp;$BD$2,"")</f>
        <v/>
      </c>
    </row>
    <row r="578" spans="54:58" x14ac:dyDescent="0.15">
      <c r="BB578" s="26" t="str">
        <f>IFERROR($BC$2&amp;VLOOKUP(B580,'Pay Table'!$M$3:$N$18,2,FALSE)&amp;$BB$2&amp;C580&amp;$BD$2,"")</f>
        <v/>
      </c>
      <c r="BC578" s="1" t="str">
        <f>IFERROR($BC$2&amp;VLOOKUP(D580,'Pay Table'!$M$3:$N$18,2,FALSE)&amp;$BB$2&amp;E580&amp;$BD$2,"")</f>
        <v/>
      </c>
      <c r="BD578" s="1" t="str">
        <f>IFERROR($BC$2&amp;VLOOKUP(F580,'Pay Table'!$M$3:$N$18,2,FALSE)&amp;$BB$2&amp;G580&amp;$BD$2,"")</f>
        <v/>
      </c>
      <c r="BE578" s="1" t="str">
        <f>IFERROR($BC$2&amp;VLOOKUP(H580,'Pay Table'!$M$3:$N$18,2,FALSE)&amp;$BB$2&amp;I580&amp;$BD$2,"")</f>
        <v/>
      </c>
      <c r="BF578" s="27" t="str">
        <f>IFERROR($BC$2&amp;VLOOKUP(J580,'Pay Table'!$M$3:$N$18,2,FALSE)&amp;$BB$2&amp;K580&amp;$BD$2,"")</f>
        <v/>
      </c>
    </row>
    <row r="579" spans="54:58" x14ac:dyDescent="0.15">
      <c r="BB579" s="26" t="str">
        <f>IFERROR($BC$2&amp;VLOOKUP(B581,'Pay Table'!$M$3:$N$18,2,FALSE)&amp;$BB$2&amp;C581&amp;$BD$2,"")</f>
        <v/>
      </c>
      <c r="BC579" s="1" t="str">
        <f>IFERROR($BC$2&amp;VLOOKUP(D581,'Pay Table'!$M$3:$N$18,2,FALSE)&amp;$BB$2&amp;E581&amp;$BD$2,"")</f>
        <v/>
      </c>
      <c r="BD579" s="1" t="str">
        <f>IFERROR($BC$2&amp;VLOOKUP(F581,'Pay Table'!$M$3:$N$18,2,FALSE)&amp;$BB$2&amp;G581&amp;$BD$2,"")</f>
        <v/>
      </c>
      <c r="BE579" s="1" t="str">
        <f>IFERROR($BC$2&amp;VLOOKUP(H581,'Pay Table'!$M$3:$N$18,2,FALSE)&amp;$BB$2&amp;I581&amp;$BD$2,"")</f>
        <v/>
      </c>
      <c r="BF579" s="27" t="str">
        <f>IFERROR($BC$2&amp;VLOOKUP(J581,'Pay Table'!$M$3:$N$18,2,FALSE)&amp;$BB$2&amp;K581&amp;$BD$2,"")</f>
        <v/>
      </c>
    </row>
    <row r="580" spans="54:58" x14ac:dyDescent="0.15">
      <c r="BB580" s="26" t="str">
        <f>IFERROR($BC$2&amp;VLOOKUP(B582,'Pay Table'!$M$3:$N$18,2,FALSE)&amp;$BB$2&amp;C582&amp;$BD$2,"")</f>
        <v/>
      </c>
      <c r="BC580" s="1" t="str">
        <f>IFERROR($BC$2&amp;VLOOKUP(D582,'Pay Table'!$M$3:$N$18,2,FALSE)&amp;$BB$2&amp;E582&amp;$BD$2,"")</f>
        <v/>
      </c>
      <c r="BD580" s="1" t="str">
        <f>IFERROR($BC$2&amp;VLOOKUP(F582,'Pay Table'!$M$3:$N$18,2,FALSE)&amp;$BB$2&amp;G582&amp;$BD$2,"")</f>
        <v/>
      </c>
      <c r="BE580" s="1" t="str">
        <f>IFERROR($BC$2&amp;VLOOKUP(H582,'Pay Table'!$M$3:$N$18,2,FALSE)&amp;$BB$2&amp;I582&amp;$BD$2,"")</f>
        <v/>
      </c>
      <c r="BF580" s="27" t="str">
        <f>IFERROR($BC$2&amp;VLOOKUP(J582,'Pay Table'!$M$3:$N$18,2,FALSE)&amp;$BB$2&amp;K582&amp;$BD$2,"")</f>
        <v/>
      </c>
    </row>
    <row r="581" spans="54:58" x14ac:dyDescent="0.15">
      <c r="BB581" s="26" t="str">
        <f>IFERROR($BC$2&amp;VLOOKUP(B583,'Pay Table'!$M$3:$N$18,2,FALSE)&amp;$BB$2&amp;C583&amp;$BD$2,"")</f>
        <v/>
      </c>
      <c r="BC581" s="1" t="str">
        <f>IFERROR($BC$2&amp;VLOOKUP(D583,'Pay Table'!$M$3:$N$18,2,FALSE)&amp;$BB$2&amp;E583&amp;$BD$2,"")</f>
        <v/>
      </c>
      <c r="BD581" s="1" t="str">
        <f>IFERROR($BC$2&amp;VLOOKUP(F583,'Pay Table'!$M$3:$N$18,2,FALSE)&amp;$BB$2&amp;G583&amp;$BD$2,"")</f>
        <v/>
      </c>
      <c r="BE581" s="1" t="str">
        <f>IFERROR($BC$2&amp;VLOOKUP(H583,'Pay Table'!$M$3:$N$18,2,FALSE)&amp;$BB$2&amp;I583&amp;$BD$2,"")</f>
        <v/>
      </c>
      <c r="BF581" s="27" t="str">
        <f>IFERROR($BC$2&amp;VLOOKUP(J583,'Pay Table'!$M$3:$N$18,2,FALSE)&amp;$BB$2&amp;K583&amp;$BD$2,"")</f>
        <v/>
      </c>
    </row>
    <row r="582" spans="54:58" x14ac:dyDescent="0.15">
      <c r="BB582" s="26" t="str">
        <f>IFERROR($BC$2&amp;VLOOKUP(B584,'Pay Table'!$M$3:$N$18,2,FALSE)&amp;$BB$2&amp;C584&amp;$BD$2,"")</f>
        <v/>
      </c>
      <c r="BC582" s="1" t="str">
        <f>IFERROR($BC$2&amp;VLOOKUP(D584,'Pay Table'!$M$3:$N$18,2,FALSE)&amp;$BB$2&amp;E584&amp;$BD$2,"")</f>
        <v/>
      </c>
      <c r="BD582" s="1" t="str">
        <f>IFERROR($BC$2&amp;VLOOKUP(F584,'Pay Table'!$M$3:$N$18,2,FALSE)&amp;$BB$2&amp;G584&amp;$BD$2,"")</f>
        <v/>
      </c>
      <c r="BE582" s="1" t="str">
        <f>IFERROR($BC$2&amp;VLOOKUP(H584,'Pay Table'!$M$3:$N$18,2,FALSE)&amp;$BB$2&amp;I584&amp;$BD$2,"")</f>
        <v/>
      </c>
      <c r="BF582" s="27" t="str">
        <f>IFERROR($BC$2&amp;VLOOKUP(J584,'Pay Table'!$M$3:$N$18,2,FALSE)&amp;$BB$2&amp;K584&amp;$BD$2,"")</f>
        <v/>
      </c>
    </row>
    <row r="583" spans="54:58" x14ac:dyDescent="0.15">
      <c r="BB583" s="26" t="str">
        <f>IFERROR($BC$2&amp;VLOOKUP(B585,'Pay Table'!$M$3:$N$18,2,FALSE)&amp;$BB$2&amp;C585&amp;$BD$2,"")</f>
        <v/>
      </c>
      <c r="BC583" s="1" t="str">
        <f>IFERROR($BC$2&amp;VLOOKUP(D585,'Pay Table'!$M$3:$N$18,2,FALSE)&amp;$BB$2&amp;E585&amp;$BD$2,"")</f>
        <v/>
      </c>
      <c r="BD583" s="1" t="str">
        <f>IFERROR($BC$2&amp;VLOOKUP(F585,'Pay Table'!$M$3:$N$18,2,FALSE)&amp;$BB$2&amp;G585&amp;$BD$2,"")</f>
        <v/>
      </c>
      <c r="BE583" s="1" t="str">
        <f>IFERROR($BC$2&amp;VLOOKUP(H585,'Pay Table'!$M$3:$N$18,2,FALSE)&amp;$BB$2&amp;I585&amp;$BD$2,"")</f>
        <v/>
      </c>
      <c r="BF583" s="27" t="str">
        <f>IFERROR($BC$2&amp;VLOOKUP(J585,'Pay Table'!$M$3:$N$18,2,FALSE)&amp;$BB$2&amp;K585&amp;$BD$2,"")</f>
        <v/>
      </c>
    </row>
    <row r="584" spans="54:58" x14ac:dyDescent="0.15">
      <c r="BB584" s="26" t="str">
        <f>IFERROR($BC$2&amp;VLOOKUP(B586,'Pay Table'!$M$3:$N$18,2,FALSE)&amp;$BB$2&amp;C586&amp;$BD$2,"")</f>
        <v/>
      </c>
      <c r="BC584" s="1" t="str">
        <f>IFERROR($BC$2&amp;VLOOKUP(D586,'Pay Table'!$M$3:$N$18,2,FALSE)&amp;$BB$2&amp;E586&amp;$BD$2,"")</f>
        <v/>
      </c>
      <c r="BD584" s="1" t="str">
        <f>IFERROR($BC$2&amp;VLOOKUP(F586,'Pay Table'!$M$3:$N$18,2,FALSE)&amp;$BB$2&amp;G586&amp;$BD$2,"")</f>
        <v/>
      </c>
      <c r="BE584" s="1" t="str">
        <f>IFERROR($BC$2&amp;VLOOKUP(H586,'Pay Table'!$M$3:$N$18,2,FALSE)&amp;$BB$2&amp;I586&amp;$BD$2,"")</f>
        <v/>
      </c>
      <c r="BF584" s="27" t="str">
        <f>IFERROR($BC$2&amp;VLOOKUP(J586,'Pay Table'!$M$3:$N$18,2,FALSE)&amp;$BB$2&amp;K586&amp;$BD$2,"")</f>
        <v/>
      </c>
    </row>
    <row r="585" spans="54:58" x14ac:dyDescent="0.15">
      <c r="BB585" s="26" t="str">
        <f>IFERROR($BC$2&amp;VLOOKUP(B587,'Pay Table'!$M$3:$N$18,2,FALSE)&amp;$BB$2&amp;C587&amp;$BD$2,"")</f>
        <v/>
      </c>
      <c r="BC585" s="1" t="str">
        <f>IFERROR($BC$2&amp;VLOOKUP(D587,'Pay Table'!$M$3:$N$18,2,FALSE)&amp;$BB$2&amp;E587&amp;$BD$2,"")</f>
        <v/>
      </c>
      <c r="BD585" s="1" t="str">
        <f>IFERROR($BC$2&amp;VLOOKUP(F587,'Pay Table'!$M$3:$N$18,2,FALSE)&amp;$BB$2&amp;G587&amp;$BD$2,"")</f>
        <v/>
      </c>
      <c r="BE585" s="1" t="str">
        <f>IFERROR($BC$2&amp;VLOOKUP(H587,'Pay Table'!$M$3:$N$18,2,FALSE)&amp;$BB$2&amp;I587&amp;$BD$2,"")</f>
        <v/>
      </c>
      <c r="BF585" s="27" t="str">
        <f>IFERROR($BC$2&amp;VLOOKUP(J587,'Pay Table'!$M$3:$N$18,2,FALSE)&amp;$BB$2&amp;K587&amp;$BD$2,"")</f>
        <v/>
      </c>
    </row>
    <row r="586" spans="54:58" x14ac:dyDescent="0.15">
      <c r="BB586" s="26" t="str">
        <f>IFERROR($BC$2&amp;VLOOKUP(B588,'Pay Table'!$M$3:$N$18,2,FALSE)&amp;$BB$2&amp;C588&amp;$BD$2,"")</f>
        <v/>
      </c>
      <c r="BC586" s="1" t="str">
        <f>IFERROR($BC$2&amp;VLOOKUP(D588,'Pay Table'!$M$3:$N$18,2,FALSE)&amp;$BB$2&amp;E588&amp;$BD$2,"")</f>
        <v/>
      </c>
      <c r="BD586" s="1" t="str">
        <f>IFERROR($BC$2&amp;VLOOKUP(F588,'Pay Table'!$M$3:$N$18,2,FALSE)&amp;$BB$2&amp;G588&amp;$BD$2,"")</f>
        <v/>
      </c>
      <c r="BE586" s="1" t="str">
        <f>IFERROR($BC$2&amp;VLOOKUP(H588,'Pay Table'!$M$3:$N$18,2,FALSE)&amp;$BB$2&amp;I588&amp;$BD$2,"")</f>
        <v/>
      </c>
      <c r="BF586" s="27" t="str">
        <f>IFERROR($BC$2&amp;VLOOKUP(J588,'Pay Table'!$M$3:$N$18,2,FALSE)&amp;$BB$2&amp;K588&amp;$BD$2,"")</f>
        <v/>
      </c>
    </row>
    <row r="587" spans="54:58" x14ac:dyDescent="0.15">
      <c r="BB587" s="26" t="str">
        <f>IFERROR($BC$2&amp;VLOOKUP(B589,'Pay Table'!$M$3:$N$18,2,FALSE)&amp;$BB$2&amp;C589&amp;$BD$2,"")</f>
        <v/>
      </c>
      <c r="BC587" s="1" t="str">
        <f>IFERROR($BC$2&amp;VLOOKUP(D589,'Pay Table'!$M$3:$N$18,2,FALSE)&amp;$BB$2&amp;E589&amp;$BD$2,"")</f>
        <v/>
      </c>
      <c r="BD587" s="1" t="str">
        <f>IFERROR($BC$2&amp;VLOOKUP(F589,'Pay Table'!$M$3:$N$18,2,FALSE)&amp;$BB$2&amp;G589&amp;$BD$2,"")</f>
        <v/>
      </c>
      <c r="BE587" s="1" t="str">
        <f>IFERROR($BC$2&amp;VLOOKUP(H589,'Pay Table'!$M$3:$N$18,2,FALSE)&amp;$BB$2&amp;I589&amp;$BD$2,"")</f>
        <v/>
      </c>
      <c r="BF587" s="27" t="str">
        <f>IFERROR($BC$2&amp;VLOOKUP(J589,'Pay Table'!$M$3:$N$18,2,FALSE)&amp;$BB$2&amp;K589&amp;$BD$2,"")</f>
        <v/>
      </c>
    </row>
    <row r="588" spans="54:58" x14ac:dyDescent="0.15">
      <c r="BB588" s="26" t="str">
        <f>IFERROR($BC$2&amp;VLOOKUP(B590,'Pay Table'!$M$3:$N$18,2,FALSE)&amp;$BB$2&amp;C590&amp;$BD$2,"")</f>
        <v/>
      </c>
      <c r="BC588" s="1" t="str">
        <f>IFERROR($BC$2&amp;VLOOKUP(D590,'Pay Table'!$M$3:$N$18,2,FALSE)&amp;$BB$2&amp;E590&amp;$BD$2,"")</f>
        <v/>
      </c>
      <c r="BD588" s="1" t="str">
        <f>IFERROR($BC$2&amp;VLOOKUP(F590,'Pay Table'!$M$3:$N$18,2,FALSE)&amp;$BB$2&amp;G590&amp;$BD$2,"")</f>
        <v/>
      </c>
      <c r="BE588" s="1" t="str">
        <f>IFERROR($BC$2&amp;VLOOKUP(H590,'Pay Table'!$M$3:$N$18,2,FALSE)&amp;$BB$2&amp;I590&amp;$BD$2,"")</f>
        <v/>
      </c>
      <c r="BF588" s="27" t="str">
        <f>IFERROR($BC$2&amp;VLOOKUP(J590,'Pay Table'!$M$3:$N$18,2,FALSE)&amp;$BB$2&amp;K590&amp;$BD$2,"")</f>
        <v/>
      </c>
    </row>
    <row r="589" spans="54:58" x14ac:dyDescent="0.15">
      <c r="BB589" s="26" t="str">
        <f>IFERROR($BC$2&amp;VLOOKUP(B591,'Pay Table'!$M$3:$N$18,2,FALSE)&amp;$BB$2&amp;C591&amp;$BD$2,"")</f>
        <v/>
      </c>
      <c r="BC589" s="1" t="str">
        <f>IFERROR($BC$2&amp;VLOOKUP(D591,'Pay Table'!$M$3:$N$18,2,FALSE)&amp;$BB$2&amp;E591&amp;$BD$2,"")</f>
        <v/>
      </c>
      <c r="BD589" s="1" t="str">
        <f>IFERROR($BC$2&amp;VLOOKUP(F591,'Pay Table'!$M$3:$N$18,2,FALSE)&amp;$BB$2&amp;G591&amp;$BD$2,"")</f>
        <v/>
      </c>
      <c r="BE589" s="1" t="str">
        <f>IFERROR($BC$2&amp;VLOOKUP(H591,'Pay Table'!$M$3:$N$18,2,FALSE)&amp;$BB$2&amp;I591&amp;$BD$2,"")</f>
        <v/>
      </c>
      <c r="BF589" s="27" t="str">
        <f>IFERROR($BC$2&amp;VLOOKUP(J591,'Pay Table'!$M$3:$N$18,2,FALSE)&amp;$BB$2&amp;K591&amp;$BD$2,"")</f>
        <v/>
      </c>
    </row>
    <row r="590" spans="54:58" x14ac:dyDescent="0.15">
      <c r="BB590" s="26" t="str">
        <f>IFERROR($BC$2&amp;VLOOKUP(B592,'Pay Table'!$M$3:$N$18,2,FALSE)&amp;$BB$2&amp;C592&amp;$BD$2,"")</f>
        <v/>
      </c>
      <c r="BC590" s="1" t="str">
        <f>IFERROR($BC$2&amp;VLOOKUP(D592,'Pay Table'!$M$3:$N$18,2,FALSE)&amp;$BB$2&amp;E592&amp;$BD$2,"")</f>
        <v/>
      </c>
      <c r="BD590" s="1" t="str">
        <f>IFERROR($BC$2&amp;VLOOKUP(F592,'Pay Table'!$M$3:$N$18,2,FALSE)&amp;$BB$2&amp;G592&amp;$BD$2,"")</f>
        <v/>
      </c>
      <c r="BE590" s="1" t="str">
        <f>IFERROR($BC$2&amp;VLOOKUP(H592,'Pay Table'!$M$3:$N$18,2,FALSE)&amp;$BB$2&amp;I592&amp;$BD$2,"")</f>
        <v/>
      </c>
      <c r="BF590" s="27" t="str">
        <f>IFERROR($BC$2&amp;VLOOKUP(J592,'Pay Table'!$M$3:$N$18,2,FALSE)&amp;$BB$2&amp;K592&amp;$BD$2,"")</f>
        <v/>
      </c>
    </row>
    <row r="591" spans="54:58" x14ac:dyDescent="0.15">
      <c r="BB591" s="26" t="str">
        <f>IFERROR($BC$2&amp;VLOOKUP(B593,'Pay Table'!$M$3:$N$18,2,FALSE)&amp;$BB$2&amp;C593&amp;$BD$2,"")</f>
        <v/>
      </c>
      <c r="BC591" s="1" t="str">
        <f>IFERROR($BC$2&amp;VLOOKUP(D593,'Pay Table'!$M$3:$N$18,2,FALSE)&amp;$BB$2&amp;E593&amp;$BD$2,"")</f>
        <v/>
      </c>
      <c r="BD591" s="1" t="str">
        <f>IFERROR($BC$2&amp;VLOOKUP(F593,'Pay Table'!$M$3:$N$18,2,FALSE)&amp;$BB$2&amp;G593&amp;$BD$2,"")</f>
        <v/>
      </c>
      <c r="BE591" s="1" t="str">
        <f>IFERROR($BC$2&amp;VLOOKUP(H593,'Pay Table'!$M$3:$N$18,2,FALSE)&amp;$BB$2&amp;I593&amp;$BD$2,"")</f>
        <v/>
      </c>
      <c r="BF591" s="27" t="str">
        <f>IFERROR($BC$2&amp;VLOOKUP(J593,'Pay Table'!$M$3:$N$18,2,FALSE)&amp;$BB$2&amp;K593&amp;$BD$2,"")</f>
        <v/>
      </c>
    </row>
    <row r="592" spans="54:58" x14ac:dyDescent="0.15">
      <c r="BB592" s="26" t="str">
        <f>IFERROR($BC$2&amp;VLOOKUP(B594,'Pay Table'!$M$3:$N$18,2,FALSE)&amp;$BB$2&amp;C594&amp;$BD$2,"")</f>
        <v/>
      </c>
      <c r="BC592" s="1" t="str">
        <f>IFERROR($BC$2&amp;VLOOKUP(D594,'Pay Table'!$M$3:$N$18,2,FALSE)&amp;$BB$2&amp;E594&amp;$BD$2,"")</f>
        <v/>
      </c>
      <c r="BD592" s="1" t="str">
        <f>IFERROR($BC$2&amp;VLOOKUP(F594,'Pay Table'!$M$3:$N$18,2,FALSE)&amp;$BB$2&amp;G594&amp;$BD$2,"")</f>
        <v/>
      </c>
      <c r="BE592" s="1" t="str">
        <f>IFERROR($BC$2&amp;VLOOKUP(H594,'Pay Table'!$M$3:$N$18,2,FALSE)&amp;$BB$2&amp;I594&amp;$BD$2,"")</f>
        <v/>
      </c>
      <c r="BF592" s="27" t="str">
        <f>IFERROR($BC$2&amp;VLOOKUP(J594,'Pay Table'!$M$3:$N$18,2,FALSE)&amp;$BB$2&amp;K594&amp;$BD$2,"")</f>
        <v/>
      </c>
    </row>
    <row r="593" spans="54:58" x14ac:dyDescent="0.15">
      <c r="BB593" s="26" t="str">
        <f>IFERROR($BC$2&amp;VLOOKUP(B595,'Pay Table'!$M$3:$N$18,2,FALSE)&amp;$BB$2&amp;C595&amp;$BD$2,"")</f>
        <v/>
      </c>
      <c r="BC593" s="1" t="str">
        <f>IFERROR($BC$2&amp;VLOOKUP(D595,'Pay Table'!$M$3:$N$18,2,FALSE)&amp;$BB$2&amp;E595&amp;$BD$2,"")</f>
        <v/>
      </c>
      <c r="BD593" s="1" t="str">
        <f>IFERROR($BC$2&amp;VLOOKUP(F595,'Pay Table'!$M$3:$N$18,2,FALSE)&amp;$BB$2&amp;G595&amp;$BD$2,"")</f>
        <v/>
      </c>
      <c r="BE593" s="1" t="str">
        <f>IFERROR($BC$2&amp;VLOOKUP(H595,'Pay Table'!$M$3:$N$18,2,FALSE)&amp;$BB$2&amp;I595&amp;$BD$2,"")</f>
        <v/>
      </c>
      <c r="BF593" s="27" t="str">
        <f>IFERROR($BC$2&amp;VLOOKUP(J595,'Pay Table'!$M$3:$N$18,2,FALSE)&amp;$BB$2&amp;K595&amp;$BD$2,"")</f>
        <v/>
      </c>
    </row>
    <row r="594" spans="54:58" x14ac:dyDescent="0.15">
      <c r="BB594" s="26" t="str">
        <f>IFERROR($BC$2&amp;VLOOKUP(B596,'Pay Table'!$M$3:$N$18,2,FALSE)&amp;$BB$2&amp;C596&amp;$BD$2,"")</f>
        <v/>
      </c>
      <c r="BC594" s="1" t="str">
        <f>IFERROR($BC$2&amp;VLOOKUP(D596,'Pay Table'!$M$3:$N$18,2,FALSE)&amp;$BB$2&amp;E596&amp;$BD$2,"")</f>
        <v/>
      </c>
      <c r="BD594" s="1" t="str">
        <f>IFERROR($BC$2&amp;VLOOKUP(F596,'Pay Table'!$M$3:$N$18,2,FALSE)&amp;$BB$2&amp;G596&amp;$BD$2,"")</f>
        <v/>
      </c>
      <c r="BE594" s="1" t="str">
        <f>IFERROR($BC$2&amp;VLOOKUP(H596,'Pay Table'!$M$3:$N$18,2,FALSE)&amp;$BB$2&amp;I596&amp;$BD$2,"")</f>
        <v/>
      </c>
      <c r="BF594" s="27" t="str">
        <f>IFERROR($BC$2&amp;VLOOKUP(J596,'Pay Table'!$M$3:$N$18,2,FALSE)&amp;$BB$2&amp;K596&amp;$BD$2,"")</f>
        <v/>
      </c>
    </row>
    <row r="595" spans="54:58" x14ac:dyDescent="0.15">
      <c r="BB595" s="26" t="str">
        <f>IFERROR($BC$2&amp;VLOOKUP(B597,'Pay Table'!$M$3:$N$18,2,FALSE)&amp;$BB$2&amp;C597&amp;$BD$2,"")</f>
        <v/>
      </c>
      <c r="BC595" s="1" t="str">
        <f>IFERROR($BC$2&amp;VLOOKUP(D597,'Pay Table'!$M$3:$N$18,2,FALSE)&amp;$BB$2&amp;E597&amp;$BD$2,"")</f>
        <v/>
      </c>
      <c r="BD595" s="1" t="str">
        <f>IFERROR($BC$2&amp;VLOOKUP(F597,'Pay Table'!$M$3:$N$18,2,FALSE)&amp;$BB$2&amp;G597&amp;$BD$2,"")</f>
        <v/>
      </c>
      <c r="BE595" s="1" t="str">
        <f>IFERROR($BC$2&amp;VLOOKUP(H597,'Pay Table'!$M$3:$N$18,2,FALSE)&amp;$BB$2&amp;I597&amp;$BD$2,"")</f>
        <v/>
      </c>
      <c r="BF595" s="27" t="str">
        <f>IFERROR($BC$2&amp;VLOOKUP(J597,'Pay Table'!$M$3:$N$18,2,FALSE)&amp;$BB$2&amp;K597&amp;$BD$2,"")</f>
        <v/>
      </c>
    </row>
    <row r="596" spans="54:58" x14ac:dyDescent="0.15">
      <c r="BB596" s="26" t="str">
        <f>IFERROR($BC$2&amp;VLOOKUP(B598,'Pay Table'!$M$3:$N$18,2,FALSE)&amp;$BB$2&amp;C598&amp;$BD$2,"")</f>
        <v/>
      </c>
      <c r="BC596" s="1" t="str">
        <f>IFERROR($BC$2&amp;VLOOKUP(D598,'Pay Table'!$M$3:$N$18,2,FALSE)&amp;$BB$2&amp;E598&amp;$BD$2,"")</f>
        <v/>
      </c>
      <c r="BD596" s="1" t="str">
        <f>IFERROR($BC$2&amp;VLOOKUP(F598,'Pay Table'!$M$3:$N$18,2,FALSE)&amp;$BB$2&amp;G598&amp;$BD$2,"")</f>
        <v/>
      </c>
      <c r="BE596" s="1" t="str">
        <f>IFERROR($BC$2&amp;VLOOKUP(H598,'Pay Table'!$M$3:$N$18,2,FALSE)&amp;$BB$2&amp;I598&amp;$BD$2,"")</f>
        <v/>
      </c>
      <c r="BF596" s="27" t="str">
        <f>IFERROR($BC$2&amp;VLOOKUP(J598,'Pay Table'!$M$3:$N$18,2,FALSE)&amp;$BB$2&amp;K598&amp;$BD$2,"")</f>
        <v/>
      </c>
    </row>
    <row r="597" spans="54:58" x14ac:dyDescent="0.15">
      <c r="BB597" s="26" t="str">
        <f>IFERROR($BC$2&amp;VLOOKUP(B599,'Pay Table'!$M$3:$N$18,2,FALSE)&amp;$BB$2&amp;C599&amp;$BD$2,"")</f>
        <v/>
      </c>
      <c r="BC597" s="1" t="str">
        <f>IFERROR($BC$2&amp;VLOOKUP(D599,'Pay Table'!$M$3:$N$18,2,FALSE)&amp;$BB$2&amp;E599&amp;$BD$2,"")</f>
        <v/>
      </c>
      <c r="BD597" s="1" t="str">
        <f>IFERROR($BC$2&amp;VLOOKUP(F599,'Pay Table'!$M$3:$N$18,2,FALSE)&amp;$BB$2&amp;G599&amp;$BD$2,"")</f>
        <v/>
      </c>
      <c r="BE597" s="1" t="str">
        <f>IFERROR($BC$2&amp;VLOOKUP(H599,'Pay Table'!$M$3:$N$18,2,FALSE)&amp;$BB$2&amp;I599&amp;$BD$2,"")</f>
        <v/>
      </c>
      <c r="BF597" s="27" t="str">
        <f>IFERROR($BC$2&amp;VLOOKUP(J599,'Pay Table'!$M$3:$N$18,2,FALSE)&amp;$BB$2&amp;K599&amp;$BD$2,"")</f>
        <v/>
      </c>
    </row>
    <row r="598" spans="54:58" x14ac:dyDescent="0.15">
      <c r="BB598" s="26" t="str">
        <f>IFERROR($BC$2&amp;VLOOKUP(B600,'Pay Table'!$M$3:$N$18,2,FALSE)&amp;$BB$2&amp;C600&amp;$BD$2,"")</f>
        <v/>
      </c>
      <c r="BC598" s="1" t="str">
        <f>IFERROR($BC$2&amp;VLOOKUP(D600,'Pay Table'!$M$3:$N$18,2,FALSE)&amp;$BB$2&amp;E600&amp;$BD$2,"")</f>
        <v/>
      </c>
      <c r="BD598" s="1" t="str">
        <f>IFERROR($BC$2&amp;VLOOKUP(F600,'Pay Table'!$M$3:$N$18,2,FALSE)&amp;$BB$2&amp;G600&amp;$BD$2,"")</f>
        <v/>
      </c>
      <c r="BE598" s="1" t="str">
        <f>IFERROR($BC$2&amp;VLOOKUP(H600,'Pay Table'!$M$3:$N$18,2,FALSE)&amp;$BB$2&amp;I600&amp;$BD$2,"")</f>
        <v/>
      </c>
      <c r="BF598" s="27" t="str">
        <f>IFERROR($BC$2&amp;VLOOKUP(J600,'Pay Table'!$M$3:$N$18,2,FALSE)&amp;$BB$2&amp;K600&amp;$BD$2,"")</f>
        <v/>
      </c>
    </row>
    <row r="599" spans="54:58" x14ac:dyDescent="0.15">
      <c r="BB599" s="26" t="str">
        <f>IFERROR($BC$2&amp;VLOOKUP(B601,'Pay Table'!$M$3:$N$18,2,FALSE)&amp;$BB$2&amp;C601&amp;$BD$2,"")</f>
        <v/>
      </c>
      <c r="BC599" s="1" t="str">
        <f>IFERROR($BC$2&amp;VLOOKUP(D601,'Pay Table'!$M$3:$N$18,2,FALSE)&amp;$BB$2&amp;E601&amp;$BD$2,"")</f>
        <v/>
      </c>
      <c r="BD599" s="1" t="str">
        <f>IFERROR($BC$2&amp;VLOOKUP(F601,'Pay Table'!$M$3:$N$18,2,FALSE)&amp;$BB$2&amp;G601&amp;$BD$2,"")</f>
        <v/>
      </c>
      <c r="BE599" s="1" t="str">
        <f>IFERROR($BC$2&amp;VLOOKUP(H601,'Pay Table'!$M$3:$N$18,2,FALSE)&amp;$BB$2&amp;I601&amp;$BD$2,"")</f>
        <v/>
      </c>
      <c r="BF599" s="27" t="str">
        <f>IFERROR($BC$2&amp;VLOOKUP(J601,'Pay Table'!$M$3:$N$18,2,FALSE)&amp;$BB$2&amp;K601&amp;$BD$2,"")</f>
        <v/>
      </c>
    </row>
    <row r="600" spans="54:58" x14ac:dyDescent="0.15">
      <c r="BB600" s="26" t="str">
        <f>IFERROR($BC$2&amp;VLOOKUP(B602,'Pay Table'!$M$3:$N$18,2,FALSE)&amp;$BB$2&amp;C602&amp;$BD$2,"")</f>
        <v/>
      </c>
      <c r="BC600" s="1" t="str">
        <f>IFERROR($BC$2&amp;VLOOKUP(D602,'Pay Table'!$M$3:$N$18,2,FALSE)&amp;$BB$2&amp;E602&amp;$BD$2,"")</f>
        <v/>
      </c>
      <c r="BD600" s="1" t="str">
        <f>IFERROR($BC$2&amp;VLOOKUP(F602,'Pay Table'!$M$3:$N$18,2,FALSE)&amp;$BB$2&amp;G602&amp;$BD$2,"")</f>
        <v/>
      </c>
      <c r="BE600" s="1" t="str">
        <f>IFERROR($BC$2&amp;VLOOKUP(H602,'Pay Table'!$M$3:$N$18,2,FALSE)&amp;$BB$2&amp;I602&amp;$BD$2,"")</f>
        <v/>
      </c>
      <c r="BF600" s="27" t="str">
        <f>IFERROR($BC$2&amp;VLOOKUP(J602,'Pay Table'!$M$3:$N$18,2,FALSE)&amp;$BB$2&amp;K602&amp;$BD$2,"")</f>
        <v/>
      </c>
    </row>
    <row r="601" spans="54:58" x14ac:dyDescent="0.15">
      <c r="BB601" s="26" t="str">
        <f>IFERROR($BC$2&amp;VLOOKUP(B603,'Pay Table'!$M$3:$N$18,2,FALSE)&amp;$BB$2&amp;C603&amp;$BD$2,"")</f>
        <v/>
      </c>
      <c r="BC601" s="1" t="str">
        <f>IFERROR($BC$2&amp;VLOOKUP(D603,'Pay Table'!$M$3:$N$18,2,FALSE)&amp;$BB$2&amp;E603&amp;$BD$2,"")</f>
        <v/>
      </c>
      <c r="BD601" s="1" t="str">
        <f>IFERROR($BC$2&amp;VLOOKUP(F603,'Pay Table'!$M$3:$N$18,2,FALSE)&amp;$BB$2&amp;G603&amp;$BD$2,"")</f>
        <v/>
      </c>
      <c r="BE601" s="1" t="str">
        <f>IFERROR($BC$2&amp;VLOOKUP(H603,'Pay Table'!$M$3:$N$18,2,FALSE)&amp;$BB$2&amp;I603&amp;$BD$2,"")</f>
        <v/>
      </c>
      <c r="BF601" s="27" t="str">
        <f>IFERROR($BC$2&amp;VLOOKUP(J603,'Pay Table'!$M$3:$N$18,2,FALSE)&amp;$BB$2&amp;K603&amp;$BD$2,"")</f>
        <v/>
      </c>
    </row>
    <row r="602" spans="54:58" x14ac:dyDescent="0.15">
      <c r="BB602" s="26" t="str">
        <f>IFERROR($BC$2&amp;VLOOKUP(B604,'Pay Table'!$M$3:$N$18,2,FALSE)&amp;$BB$2&amp;C604&amp;$BD$2,"")</f>
        <v/>
      </c>
      <c r="BC602" s="1" t="str">
        <f>IFERROR($BC$2&amp;VLOOKUP(D604,'Pay Table'!$M$3:$N$18,2,FALSE)&amp;$BB$2&amp;E604&amp;$BD$2,"")</f>
        <v/>
      </c>
      <c r="BD602" s="1" t="str">
        <f>IFERROR($BC$2&amp;VLOOKUP(F604,'Pay Table'!$M$3:$N$18,2,FALSE)&amp;$BB$2&amp;G604&amp;$BD$2,"")</f>
        <v/>
      </c>
      <c r="BE602" s="1" t="str">
        <f>IFERROR($BC$2&amp;VLOOKUP(H604,'Pay Table'!$M$3:$N$18,2,FALSE)&amp;$BB$2&amp;I604&amp;$BD$2,"")</f>
        <v/>
      </c>
      <c r="BF602" s="27" t="str">
        <f>IFERROR($BC$2&amp;VLOOKUP(J604,'Pay Table'!$M$3:$N$18,2,FALSE)&amp;$BB$2&amp;K604&amp;$BD$2,"")</f>
        <v/>
      </c>
    </row>
    <row r="603" spans="54:58" x14ac:dyDescent="0.15">
      <c r="BB603" s="26" t="str">
        <f>IFERROR($BC$2&amp;VLOOKUP(B605,'Pay Table'!$M$3:$N$18,2,FALSE)&amp;$BB$2&amp;C605&amp;$BD$2,"")</f>
        <v/>
      </c>
      <c r="BC603" s="1" t="str">
        <f>IFERROR($BC$2&amp;VLOOKUP(D605,'Pay Table'!$M$3:$N$18,2,FALSE)&amp;$BB$2&amp;E605&amp;$BD$2,"")</f>
        <v/>
      </c>
      <c r="BD603" s="1" t="str">
        <f>IFERROR($BC$2&amp;VLOOKUP(F605,'Pay Table'!$M$3:$N$18,2,FALSE)&amp;$BB$2&amp;G605&amp;$BD$2,"")</f>
        <v/>
      </c>
      <c r="BE603" s="1" t="str">
        <f>IFERROR($BC$2&amp;VLOOKUP(H605,'Pay Table'!$M$3:$N$18,2,FALSE)&amp;$BB$2&amp;I605&amp;$BD$2,"")</f>
        <v/>
      </c>
      <c r="BF603" s="27" t="str">
        <f>IFERROR($BC$2&amp;VLOOKUP(J605,'Pay Table'!$M$3:$N$18,2,FALSE)&amp;$BB$2&amp;K605&amp;$BD$2,"")</f>
        <v/>
      </c>
    </row>
    <row r="604" spans="54:58" x14ac:dyDescent="0.15">
      <c r="BB604" s="26" t="str">
        <f>IFERROR($BC$2&amp;VLOOKUP(B606,'Pay Table'!$M$3:$N$18,2,FALSE)&amp;$BB$2&amp;C606&amp;$BD$2,"")</f>
        <v/>
      </c>
      <c r="BC604" s="1" t="str">
        <f>IFERROR($BC$2&amp;VLOOKUP(D606,'Pay Table'!$M$3:$N$18,2,FALSE)&amp;$BB$2&amp;E606&amp;$BD$2,"")</f>
        <v/>
      </c>
      <c r="BD604" s="1" t="str">
        <f>IFERROR($BC$2&amp;VLOOKUP(F606,'Pay Table'!$M$3:$N$18,2,FALSE)&amp;$BB$2&amp;G606&amp;$BD$2,"")</f>
        <v/>
      </c>
      <c r="BE604" s="1" t="str">
        <f>IFERROR($BC$2&amp;VLOOKUP(H606,'Pay Table'!$M$3:$N$18,2,FALSE)&amp;$BB$2&amp;I606&amp;$BD$2,"")</f>
        <v/>
      </c>
      <c r="BF604" s="27" t="str">
        <f>IFERROR($BC$2&amp;VLOOKUP(J606,'Pay Table'!$M$3:$N$18,2,FALSE)&amp;$BB$2&amp;K606&amp;$BD$2,"")</f>
        <v/>
      </c>
    </row>
    <row r="605" spans="54:58" x14ac:dyDescent="0.15">
      <c r="BB605" s="26" t="str">
        <f>IFERROR($BC$2&amp;VLOOKUP(B607,'Pay Table'!$M$3:$N$18,2,FALSE)&amp;$BB$2&amp;C607&amp;$BD$2,"")</f>
        <v/>
      </c>
      <c r="BC605" s="1" t="str">
        <f>IFERROR($BC$2&amp;VLOOKUP(D607,'Pay Table'!$M$3:$N$18,2,FALSE)&amp;$BB$2&amp;E607&amp;$BD$2,"")</f>
        <v/>
      </c>
      <c r="BD605" s="1" t="str">
        <f>IFERROR($BC$2&amp;VLOOKUP(F607,'Pay Table'!$M$3:$N$18,2,FALSE)&amp;$BB$2&amp;G607&amp;$BD$2,"")</f>
        <v/>
      </c>
      <c r="BE605" s="1" t="str">
        <f>IFERROR($BC$2&amp;VLOOKUP(H607,'Pay Table'!$M$3:$N$18,2,FALSE)&amp;$BB$2&amp;I607&amp;$BD$2,"")</f>
        <v/>
      </c>
      <c r="BF605" s="27" t="str">
        <f>IFERROR($BC$2&amp;VLOOKUP(J607,'Pay Table'!$M$3:$N$18,2,FALSE)&amp;$BB$2&amp;K607&amp;$BD$2,"")</f>
        <v/>
      </c>
    </row>
    <row r="606" spans="54:58" x14ac:dyDescent="0.15">
      <c r="BB606" s="26" t="str">
        <f>IFERROR($BC$2&amp;VLOOKUP(B608,'Pay Table'!$M$3:$N$18,2,FALSE)&amp;$BB$2&amp;C608&amp;$BD$2,"")</f>
        <v/>
      </c>
      <c r="BC606" s="1" t="str">
        <f>IFERROR($BC$2&amp;VLOOKUP(D608,'Pay Table'!$M$3:$N$18,2,FALSE)&amp;$BB$2&amp;E608&amp;$BD$2,"")</f>
        <v/>
      </c>
      <c r="BD606" s="1" t="str">
        <f>IFERROR($BC$2&amp;VLOOKUP(F608,'Pay Table'!$M$3:$N$18,2,FALSE)&amp;$BB$2&amp;G608&amp;$BD$2,"")</f>
        <v/>
      </c>
      <c r="BE606" s="1" t="str">
        <f>IFERROR($BC$2&amp;VLOOKUP(H608,'Pay Table'!$M$3:$N$18,2,FALSE)&amp;$BB$2&amp;I608&amp;$BD$2,"")</f>
        <v/>
      </c>
      <c r="BF606" s="27" t="str">
        <f>IFERROR($BC$2&amp;VLOOKUP(J608,'Pay Table'!$M$3:$N$18,2,FALSE)&amp;$BB$2&amp;K608&amp;$BD$2,"")</f>
        <v/>
      </c>
    </row>
    <row r="607" spans="54:58" x14ac:dyDescent="0.15">
      <c r="BB607" s="26" t="str">
        <f>IFERROR($BC$2&amp;VLOOKUP(B609,'Pay Table'!$M$3:$N$18,2,FALSE)&amp;$BB$2&amp;C609&amp;$BD$2,"")</f>
        <v/>
      </c>
      <c r="BC607" s="1" t="str">
        <f>IFERROR($BC$2&amp;VLOOKUP(D609,'Pay Table'!$M$3:$N$18,2,FALSE)&amp;$BB$2&amp;E609&amp;$BD$2,"")</f>
        <v/>
      </c>
      <c r="BD607" s="1" t="str">
        <f>IFERROR($BC$2&amp;VLOOKUP(F609,'Pay Table'!$M$3:$N$18,2,FALSE)&amp;$BB$2&amp;G609&amp;$BD$2,"")</f>
        <v/>
      </c>
      <c r="BE607" s="1" t="str">
        <f>IFERROR($BC$2&amp;VLOOKUP(H609,'Pay Table'!$M$3:$N$18,2,FALSE)&amp;$BB$2&amp;I609&amp;$BD$2,"")</f>
        <v/>
      </c>
      <c r="BF607" s="27" t="str">
        <f>IFERROR($BC$2&amp;VLOOKUP(J609,'Pay Table'!$M$3:$N$18,2,FALSE)&amp;$BB$2&amp;K609&amp;$BD$2,"")</f>
        <v/>
      </c>
    </row>
    <row r="608" spans="54:58" x14ac:dyDescent="0.15">
      <c r="BB608" s="26" t="str">
        <f>IFERROR($BC$2&amp;VLOOKUP(B610,'Pay Table'!$M$3:$N$18,2,FALSE)&amp;$BB$2&amp;C610&amp;$BD$2,"")</f>
        <v/>
      </c>
      <c r="BC608" s="1" t="str">
        <f>IFERROR($BC$2&amp;VLOOKUP(D610,'Pay Table'!$M$3:$N$18,2,FALSE)&amp;$BB$2&amp;E610&amp;$BD$2,"")</f>
        <v/>
      </c>
      <c r="BD608" s="1" t="str">
        <f>IFERROR($BC$2&amp;VLOOKUP(F610,'Pay Table'!$M$3:$N$18,2,FALSE)&amp;$BB$2&amp;G610&amp;$BD$2,"")</f>
        <v/>
      </c>
      <c r="BE608" s="1" t="str">
        <f>IFERROR($BC$2&amp;VLOOKUP(H610,'Pay Table'!$M$3:$N$18,2,FALSE)&amp;$BB$2&amp;I610&amp;$BD$2,"")</f>
        <v/>
      </c>
      <c r="BF608" s="27" t="str">
        <f>IFERROR($BC$2&amp;VLOOKUP(J610,'Pay Table'!$M$3:$N$18,2,FALSE)&amp;$BB$2&amp;K610&amp;$BD$2,"")</f>
        <v/>
      </c>
    </row>
    <row r="609" spans="54:58" x14ac:dyDescent="0.15">
      <c r="BB609" s="26" t="str">
        <f>IFERROR($BC$2&amp;VLOOKUP(B611,'Pay Table'!$M$3:$N$18,2,FALSE)&amp;$BB$2&amp;C611&amp;$BD$2,"")</f>
        <v/>
      </c>
      <c r="BC609" s="1" t="str">
        <f>IFERROR($BC$2&amp;VLOOKUP(D611,'Pay Table'!$M$3:$N$18,2,FALSE)&amp;$BB$2&amp;E611&amp;$BD$2,"")</f>
        <v/>
      </c>
      <c r="BD609" s="1" t="str">
        <f>IFERROR($BC$2&amp;VLOOKUP(F611,'Pay Table'!$M$3:$N$18,2,FALSE)&amp;$BB$2&amp;G611&amp;$BD$2,"")</f>
        <v/>
      </c>
      <c r="BE609" s="1" t="str">
        <f>IFERROR($BC$2&amp;VLOOKUP(H611,'Pay Table'!$M$3:$N$18,2,FALSE)&amp;$BB$2&amp;I611&amp;$BD$2,"")</f>
        <v/>
      </c>
      <c r="BF609" s="27" t="str">
        <f>IFERROR($BC$2&amp;VLOOKUP(J611,'Pay Table'!$M$3:$N$18,2,FALSE)&amp;$BB$2&amp;K611&amp;$BD$2,"")</f>
        <v/>
      </c>
    </row>
    <row r="610" spans="54:58" x14ac:dyDescent="0.15">
      <c r="BB610" s="26" t="str">
        <f>IFERROR($BC$2&amp;VLOOKUP(B612,'Pay Table'!$M$3:$N$18,2,FALSE)&amp;$BB$2&amp;C612&amp;$BD$2,"")</f>
        <v/>
      </c>
      <c r="BC610" s="1" t="str">
        <f>IFERROR($BC$2&amp;VLOOKUP(D612,'Pay Table'!$M$3:$N$18,2,FALSE)&amp;$BB$2&amp;E612&amp;$BD$2,"")</f>
        <v/>
      </c>
      <c r="BD610" s="1" t="str">
        <f>IFERROR($BC$2&amp;VLOOKUP(F612,'Pay Table'!$M$3:$N$18,2,FALSE)&amp;$BB$2&amp;G612&amp;$BD$2,"")</f>
        <v/>
      </c>
      <c r="BE610" s="1" t="str">
        <f>IFERROR($BC$2&amp;VLOOKUP(H612,'Pay Table'!$M$3:$N$18,2,FALSE)&amp;$BB$2&amp;I612&amp;$BD$2,"")</f>
        <v/>
      </c>
      <c r="BF610" s="27" t="str">
        <f>IFERROR($BC$2&amp;VLOOKUP(J612,'Pay Table'!$M$3:$N$18,2,FALSE)&amp;$BB$2&amp;K612&amp;$BD$2,"")</f>
        <v/>
      </c>
    </row>
    <row r="611" spans="54:58" x14ac:dyDescent="0.15">
      <c r="BB611" s="26" t="str">
        <f>IFERROR($BC$2&amp;VLOOKUP(B613,'Pay Table'!$M$3:$N$18,2,FALSE)&amp;$BB$2&amp;C613&amp;$BD$2,"")</f>
        <v/>
      </c>
      <c r="BC611" s="1" t="str">
        <f>IFERROR($BC$2&amp;VLOOKUP(D613,'Pay Table'!$M$3:$N$18,2,FALSE)&amp;$BB$2&amp;E613&amp;$BD$2,"")</f>
        <v/>
      </c>
      <c r="BD611" s="1" t="str">
        <f>IFERROR($BC$2&amp;VLOOKUP(F613,'Pay Table'!$M$3:$N$18,2,FALSE)&amp;$BB$2&amp;G613&amp;$BD$2,"")</f>
        <v/>
      </c>
      <c r="BE611" s="1" t="str">
        <f>IFERROR($BC$2&amp;VLOOKUP(H613,'Pay Table'!$M$3:$N$18,2,FALSE)&amp;$BB$2&amp;I613&amp;$BD$2,"")</f>
        <v/>
      </c>
      <c r="BF611" s="27" t="str">
        <f>IFERROR($BC$2&amp;VLOOKUP(J613,'Pay Table'!$M$3:$N$18,2,FALSE)&amp;$BB$2&amp;K613&amp;$BD$2,"")</f>
        <v/>
      </c>
    </row>
    <row r="612" spans="54:58" x14ac:dyDescent="0.15">
      <c r="BB612" s="26" t="str">
        <f>IFERROR($BC$2&amp;VLOOKUP(B614,'Pay Table'!$M$3:$N$18,2,FALSE)&amp;$BB$2&amp;C614&amp;$BD$2,"")</f>
        <v/>
      </c>
      <c r="BC612" s="1" t="str">
        <f>IFERROR($BC$2&amp;VLOOKUP(D614,'Pay Table'!$M$3:$N$18,2,FALSE)&amp;$BB$2&amp;E614&amp;$BD$2,"")</f>
        <v/>
      </c>
      <c r="BD612" s="1" t="str">
        <f>IFERROR($BC$2&amp;VLOOKUP(F614,'Pay Table'!$M$3:$N$18,2,FALSE)&amp;$BB$2&amp;G614&amp;$BD$2,"")</f>
        <v/>
      </c>
      <c r="BE612" s="1" t="str">
        <f>IFERROR($BC$2&amp;VLOOKUP(H614,'Pay Table'!$M$3:$N$18,2,FALSE)&amp;$BB$2&amp;I614&amp;$BD$2,"")</f>
        <v/>
      </c>
      <c r="BF612" s="27" t="str">
        <f>IFERROR($BC$2&amp;VLOOKUP(J614,'Pay Table'!$M$3:$N$18,2,FALSE)&amp;$BB$2&amp;K614&amp;$BD$2,"")</f>
        <v/>
      </c>
    </row>
    <row r="613" spans="54:58" x14ac:dyDescent="0.15">
      <c r="BB613" s="26" t="str">
        <f>IFERROR($BC$2&amp;VLOOKUP(B615,'Pay Table'!$M$3:$N$18,2,FALSE)&amp;$BB$2&amp;C615&amp;$BD$2,"")</f>
        <v/>
      </c>
      <c r="BC613" s="1" t="str">
        <f>IFERROR($BC$2&amp;VLOOKUP(D615,'Pay Table'!$M$3:$N$18,2,FALSE)&amp;$BB$2&amp;E615&amp;$BD$2,"")</f>
        <v/>
      </c>
      <c r="BD613" s="1" t="str">
        <f>IFERROR($BC$2&amp;VLOOKUP(F615,'Pay Table'!$M$3:$N$18,2,FALSE)&amp;$BB$2&amp;G615&amp;$BD$2,"")</f>
        <v/>
      </c>
      <c r="BE613" s="1" t="str">
        <f>IFERROR($BC$2&amp;VLOOKUP(H615,'Pay Table'!$M$3:$N$18,2,FALSE)&amp;$BB$2&amp;I615&amp;$BD$2,"")</f>
        <v/>
      </c>
      <c r="BF613" s="27" t="str">
        <f>IFERROR($BC$2&amp;VLOOKUP(J615,'Pay Table'!$M$3:$N$18,2,FALSE)&amp;$BB$2&amp;K615&amp;$BD$2,"")</f>
        <v/>
      </c>
    </row>
    <row r="614" spans="54:58" x14ac:dyDescent="0.15">
      <c r="BB614" s="26" t="str">
        <f>IFERROR($BC$2&amp;VLOOKUP(B616,'Pay Table'!$M$3:$N$18,2,FALSE)&amp;$BB$2&amp;C616&amp;$BD$2,"")</f>
        <v/>
      </c>
      <c r="BC614" s="1" t="str">
        <f>IFERROR($BC$2&amp;VLOOKUP(D616,'Pay Table'!$M$3:$N$18,2,FALSE)&amp;$BB$2&amp;E616&amp;$BD$2,"")</f>
        <v/>
      </c>
      <c r="BD614" s="1" t="str">
        <f>IFERROR($BC$2&amp;VLOOKUP(F616,'Pay Table'!$M$3:$N$18,2,FALSE)&amp;$BB$2&amp;G616&amp;$BD$2,"")</f>
        <v/>
      </c>
      <c r="BE614" s="1" t="str">
        <f>IFERROR($BC$2&amp;VLOOKUP(H616,'Pay Table'!$M$3:$N$18,2,FALSE)&amp;$BB$2&amp;I616&amp;$BD$2,"")</f>
        <v/>
      </c>
      <c r="BF614" s="27" t="str">
        <f>IFERROR($BC$2&amp;VLOOKUP(J616,'Pay Table'!$M$3:$N$18,2,FALSE)&amp;$BB$2&amp;K616&amp;$BD$2,"")</f>
        <v/>
      </c>
    </row>
    <row r="615" spans="54:58" x14ac:dyDescent="0.15">
      <c r="BB615" s="26" t="str">
        <f>IFERROR($BC$2&amp;VLOOKUP(B617,'Pay Table'!$M$3:$N$18,2,FALSE)&amp;$BB$2&amp;C617&amp;$BD$2,"")</f>
        <v/>
      </c>
      <c r="BC615" s="1" t="str">
        <f>IFERROR($BC$2&amp;VLOOKUP(D617,'Pay Table'!$M$3:$N$18,2,FALSE)&amp;$BB$2&amp;E617&amp;$BD$2,"")</f>
        <v/>
      </c>
      <c r="BD615" s="1" t="str">
        <f>IFERROR($BC$2&amp;VLOOKUP(F617,'Pay Table'!$M$3:$N$18,2,FALSE)&amp;$BB$2&amp;G617&amp;$BD$2,"")</f>
        <v/>
      </c>
      <c r="BE615" s="1" t="str">
        <f>IFERROR($BC$2&amp;VLOOKUP(H617,'Pay Table'!$M$3:$N$18,2,FALSE)&amp;$BB$2&amp;I617&amp;$BD$2,"")</f>
        <v/>
      </c>
      <c r="BF615" s="27" t="str">
        <f>IFERROR($BC$2&amp;VLOOKUP(J617,'Pay Table'!$M$3:$N$18,2,FALSE)&amp;$BB$2&amp;K617&amp;$BD$2,"")</f>
        <v/>
      </c>
    </row>
    <row r="616" spans="54:58" x14ac:dyDescent="0.15">
      <c r="BB616" s="26" t="str">
        <f>IFERROR($BC$2&amp;VLOOKUP(B618,'Pay Table'!$M$3:$N$18,2,FALSE)&amp;$BB$2&amp;C618&amp;$BD$2,"")</f>
        <v/>
      </c>
      <c r="BC616" s="1" t="str">
        <f>IFERROR($BC$2&amp;VLOOKUP(D618,'Pay Table'!$M$3:$N$18,2,FALSE)&amp;$BB$2&amp;E618&amp;$BD$2,"")</f>
        <v/>
      </c>
      <c r="BD616" s="1" t="str">
        <f>IFERROR($BC$2&amp;VLOOKUP(F618,'Pay Table'!$M$3:$N$18,2,FALSE)&amp;$BB$2&amp;G618&amp;$BD$2,"")</f>
        <v/>
      </c>
      <c r="BE616" s="1" t="str">
        <f>IFERROR($BC$2&amp;VLOOKUP(H618,'Pay Table'!$M$3:$N$18,2,FALSE)&amp;$BB$2&amp;I618&amp;$BD$2,"")</f>
        <v/>
      </c>
      <c r="BF616" s="27" t="str">
        <f>IFERROR($BC$2&amp;VLOOKUP(J618,'Pay Table'!$M$3:$N$18,2,FALSE)&amp;$BB$2&amp;K618&amp;$BD$2,"")</f>
        <v/>
      </c>
    </row>
    <row r="617" spans="54:58" x14ac:dyDescent="0.15">
      <c r="BB617" s="26" t="str">
        <f>IFERROR($BC$2&amp;VLOOKUP(B619,'Pay Table'!$M$3:$N$18,2,FALSE)&amp;$BB$2&amp;C619&amp;$BD$2,"")</f>
        <v/>
      </c>
      <c r="BC617" s="1" t="str">
        <f>IFERROR($BC$2&amp;VLOOKUP(D619,'Pay Table'!$M$3:$N$18,2,FALSE)&amp;$BB$2&amp;E619&amp;$BD$2,"")</f>
        <v/>
      </c>
      <c r="BD617" s="1" t="str">
        <f>IFERROR($BC$2&amp;VLOOKUP(F619,'Pay Table'!$M$3:$N$18,2,FALSE)&amp;$BB$2&amp;G619&amp;$BD$2,"")</f>
        <v/>
      </c>
      <c r="BE617" s="1" t="str">
        <f>IFERROR($BC$2&amp;VLOOKUP(H619,'Pay Table'!$M$3:$N$18,2,FALSE)&amp;$BB$2&amp;I619&amp;$BD$2,"")</f>
        <v/>
      </c>
      <c r="BF617" s="27" t="str">
        <f>IFERROR($BC$2&amp;VLOOKUP(J619,'Pay Table'!$M$3:$N$18,2,FALSE)&amp;$BB$2&amp;K619&amp;$BD$2,"")</f>
        <v/>
      </c>
    </row>
    <row r="618" spans="54:58" x14ac:dyDescent="0.15">
      <c r="BB618" s="26" t="str">
        <f>IFERROR($BC$2&amp;VLOOKUP(B620,'Pay Table'!$M$3:$N$18,2,FALSE)&amp;$BB$2&amp;C620&amp;$BD$2,"")</f>
        <v/>
      </c>
      <c r="BC618" s="1" t="str">
        <f>IFERROR($BC$2&amp;VLOOKUP(D620,'Pay Table'!$M$3:$N$18,2,FALSE)&amp;$BB$2&amp;E620&amp;$BD$2,"")</f>
        <v/>
      </c>
      <c r="BD618" s="1" t="str">
        <f>IFERROR($BC$2&amp;VLOOKUP(F620,'Pay Table'!$M$3:$N$18,2,FALSE)&amp;$BB$2&amp;G620&amp;$BD$2,"")</f>
        <v/>
      </c>
      <c r="BE618" s="1" t="str">
        <f>IFERROR($BC$2&amp;VLOOKUP(H620,'Pay Table'!$M$3:$N$18,2,FALSE)&amp;$BB$2&amp;I620&amp;$BD$2,"")</f>
        <v/>
      </c>
      <c r="BF618" s="27" t="str">
        <f>IFERROR($BC$2&amp;VLOOKUP(J620,'Pay Table'!$M$3:$N$18,2,FALSE)&amp;$BB$2&amp;K620&amp;$BD$2,"")</f>
        <v/>
      </c>
    </row>
    <row r="619" spans="54:58" x14ac:dyDescent="0.15">
      <c r="BB619" s="26" t="str">
        <f>IFERROR($BC$2&amp;VLOOKUP(B621,'Pay Table'!$M$3:$N$18,2,FALSE)&amp;$BB$2&amp;C621&amp;$BD$2,"")</f>
        <v/>
      </c>
      <c r="BC619" s="1" t="str">
        <f>IFERROR($BC$2&amp;VLOOKUP(D621,'Pay Table'!$M$3:$N$18,2,FALSE)&amp;$BB$2&amp;E621&amp;$BD$2,"")</f>
        <v/>
      </c>
      <c r="BD619" s="1" t="str">
        <f>IFERROR($BC$2&amp;VLOOKUP(F621,'Pay Table'!$M$3:$N$18,2,FALSE)&amp;$BB$2&amp;G621&amp;$BD$2,"")</f>
        <v/>
      </c>
      <c r="BE619" s="1" t="str">
        <f>IFERROR($BC$2&amp;VLOOKUP(H621,'Pay Table'!$M$3:$N$18,2,FALSE)&amp;$BB$2&amp;I621&amp;$BD$2,"")</f>
        <v/>
      </c>
      <c r="BF619" s="27" t="str">
        <f>IFERROR($BC$2&amp;VLOOKUP(J621,'Pay Table'!$M$3:$N$18,2,FALSE)&amp;$BB$2&amp;K621&amp;$BD$2,"")</f>
        <v/>
      </c>
    </row>
    <row r="620" spans="54:58" x14ac:dyDescent="0.15">
      <c r="BB620" s="26" t="str">
        <f>IFERROR($BC$2&amp;VLOOKUP(B622,'Pay Table'!$M$3:$N$18,2,FALSE)&amp;$BB$2&amp;C622&amp;$BD$2,"")</f>
        <v/>
      </c>
      <c r="BC620" s="1" t="str">
        <f>IFERROR($BC$2&amp;VLOOKUP(D622,'Pay Table'!$M$3:$N$18,2,FALSE)&amp;$BB$2&amp;E622&amp;$BD$2,"")</f>
        <v/>
      </c>
      <c r="BD620" s="1" t="str">
        <f>IFERROR($BC$2&amp;VLOOKUP(F622,'Pay Table'!$M$3:$N$18,2,FALSE)&amp;$BB$2&amp;G622&amp;$BD$2,"")</f>
        <v/>
      </c>
      <c r="BE620" s="1" t="str">
        <f>IFERROR($BC$2&amp;VLOOKUP(H622,'Pay Table'!$M$3:$N$18,2,FALSE)&amp;$BB$2&amp;I622&amp;$BD$2,"")</f>
        <v/>
      </c>
      <c r="BF620" s="27" t="str">
        <f>IFERROR($BC$2&amp;VLOOKUP(J622,'Pay Table'!$M$3:$N$18,2,FALSE)&amp;$BB$2&amp;K622&amp;$BD$2,"")</f>
        <v/>
      </c>
    </row>
    <row r="621" spans="54:58" x14ac:dyDescent="0.15">
      <c r="BB621" s="26" t="str">
        <f>IFERROR($BC$2&amp;VLOOKUP(B623,'Pay Table'!$M$3:$N$18,2,FALSE)&amp;$BB$2&amp;C623&amp;$BD$2,"")</f>
        <v/>
      </c>
      <c r="BC621" s="1" t="str">
        <f>IFERROR($BC$2&amp;VLOOKUP(D623,'Pay Table'!$M$3:$N$18,2,FALSE)&amp;$BB$2&amp;E623&amp;$BD$2,"")</f>
        <v/>
      </c>
      <c r="BD621" s="1" t="str">
        <f>IFERROR($BC$2&amp;VLOOKUP(F623,'Pay Table'!$M$3:$N$18,2,FALSE)&amp;$BB$2&amp;G623&amp;$BD$2,"")</f>
        <v/>
      </c>
      <c r="BE621" s="1" t="str">
        <f>IFERROR($BC$2&amp;VLOOKUP(H623,'Pay Table'!$M$3:$N$18,2,FALSE)&amp;$BB$2&amp;I623&amp;$BD$2,"")</f>
        <v/>
      </c>
      <c r="BF621" s="27" t="str">
        <f>IFERROR($BC$2&amp;VLOOKUP(J623,'Pay Table'!$M$3:$N$18,2,FALSE)&amp;$BB$2&amp;K623&amp;$BD$2,"")</f>
        <v/>
      </c>
    </row>
    <row r="622" spans="54:58" x14ac:dyDescent="0.15">
      <c r="BB622" s="26" t="str">
        <f>IFERROR($BC$2&amp;VLOOKUP(B624,'Pay Table'!$M$3:$N$18,2,FALSE)&amp;$BB$2&amp;C624&amp;$BD$2,"")</f>
        <v/>
      </c>
      <c r="BC622" s="1" t="str">
        <f>IFERROR($BC$2&amp;VLOOKUP(D624,'Pay Table'!$M$3:$N$18,2,FALSE)&amp;$BB$2&amp;E624&amp;$BD$2,"")</f>
        <v/>
      </c>
      <c r="BD622" s="1" t="str">
        <f>IFERROR($BC$2&amp;VLOOKUP(F624,'Pay Table'!$M$3:$N$18,2,FALSE)&amp;$BB$2&amp;G624&amp;$BD$2,"")</f>
        <v/>
      </c>
      <c r="BE622" s="1" t="str">
        <f>IFERROR($BC$2&amp;VLOOKUP(H624,'Pay Table'!$M$3:$N$18,2,FALSE)&amp;$BB$2&amp;I624&amp;$BD$2,"")</f>
        <v/>
      </c>
      <c r="BF622" s="27" t="str">
        <f>IFERROR($BC$2&amp;VLOOKUP(J624,'Pay Table'!$M$3:$N$18,2,FALSE)&amp;$BB$2&amp;K624&amp;$BD$2,"")</f>
        <v/>
      </c>
    </row>
    <row r="623" spans="54:58" x14ac:dyDescent="0.15">
      <c r="BB623" s="26" t="str">
        <f>IFERROR($BC$2&amp;VLOOKUP(B625,'Pay Table'!$M$3:$N$18,2,FALSE)&amp;$BB$2&amp;C625&amp;$BD$2,"")</f>
        <v/>
      </c>
      <c r="BC623" s="1" t="str">
        <f>IFERROR($BC$2&amp;VLOOKUP(D625,'Pay Table'!$M$3:$N$18,2,FALSE)&amp;$BB$2&amp;E625&amp;$BD$2,"")</f>
        <v/>
      </c>
      <c r="BD623" s="1" t="str">
        <f>IFERROR($BC$2&amp;VLOOKUP(F625,'Pay Table'!$M$3:$N$18,2,FALSE)&amp;$BB$2&amp;G625&amp;$BD$2,"")</f>
        <v/>
      </c>
      <c r="BE623" s="1" t="str">
        <f>IFERROR($BC$2&amp;VLOOKUP(H625,'Pay Table'!$M$3:$N$18,2,FALSE)&amp;$BB$2&amp;I625&amp;$BD$2,"")</f>
        <v/>
      </c>
      <c r="BF623" s="27" t="str">
        <f>IFERROR($BC$2&amp;VLOOKUP(J625,'Pay Table'!$M$3:$N$18,2,FALSE)&amp;$BB$2&amp;K625&amp;$BD$2,"")</f>
        <v/>
      </c>
    </row>
    <row r="624" spans="54:58" x14ac:dyDescent="0.15">
      <c r="BB624" s="26" t="str">
        <f>IFERROR($BC$2&amp;VLOOKUP(B626,'Pay Table'!$M$3:$N$18,2,FALSE)&amp;$BB$2&amp;C626&amp;$BD$2,"")</f>
        <v/>
      </c>
      <c r="BC624" s="1" t="str">
        <f>IFERROR($BC$2&amp;VLOOKUP(D626,'Pay Table'!$M$3:$N$18,2,FALSE)&amp;$BB$2&amp;E626&amp;$BD$2,"")</f>
        <v/>
      </c>
      <c r="BD624" s="1" t="str">
        <f>IFERROR($BC$2&amp;VLOOKUP(F626,'Pay Table'!$M$3:$N$18,2,FALSE)&amp;$BB$2&amp;G626&amp;$BD$2,"")</f>
        <v/>
      </c>
      <c r="BE624" s="1" t="str">
        <f>IFERROR($BC$2&amp;VLOOKUP(H626,'Pay Table'!$M$3:$N$18,2,FALSE)&amp;$BB$2&amp;I626&amp;$BD$2,"")</f>
        <v/>
      </c>
      <c r="BF624" s="27" t="str">
        <f>IFERROR($BC$2&amp;VLOOKUP(J626,'Pay Table'!$M$3:$N$18,2,FALSE)&amp;$BB$2&amp;K626&amp;$BD$2,"")</f>
        <v/>
      </c>
    </row>
    <row r="625" spans="54:58" x14ac:dyDescent="0.15">
      <c r="BB625" s="26" t="str">
        <f>IFERROR($BC$2&amp;VLOOKUP(B627,'Pay Table'!$M$3:$N$18,2,FALSE)&amp;$BB$2&amp;C627&amp;$BD$2,"")</f>
        <v/>
      </c>
      <c r="BC625" s="1" t="str">
        <f>IFERROR($BC$2&amp;VLOOKUP(D627,'Pay Table'!$M$3:$N$18,2,FALSE)&amp;$BB$2&amp;E627&amp;$BD$2,"")</f>
        <v/>
      </c>
      <c r="BD625" s="1" t="str">
        <f>IFERROR($BC$2&amp;VLOOKUP(F627,'Pay Table'!$M$3:$N$18,2,FALSE)&amp;$BB$2&amp;G627&amp;$BD$2,"")</f>
        <v/>
      </c>
      <c r="BE625" s="1" t="str">
        <f>IFERROR($BC$2&amp;VLOOKUP(H627,'Pay Table'!$M$3:$N$18,2,FALSE)&amp;$BB$2&amp;I627&amp;$BD$2,"")</f>
        <v/>
      </c>
      <c r="BF625" s="27" t="str">
        <f>IFERROR($BC$2&amp;VLOOKUP(J627,'Pay Table'!$M$3:$N$18,2,FALSE)&amp;$BB$2&amp;K627&amp;$BD$2,"")</f>
        <v/>
      </c>
    </row>
    <row r="626" spans="54:58" x14ac:dyDescent="0.15">
      <c r="BB626" s="26" t="str">
        <f>IFERROR($BC$2&amp;VLOOKUP(B628,'Pay Table'!$M$3:$N$18,2,FALSE)&amp;$BB$2&amp;C628&amp;$BD$2,"")</f>
        <v/>
      </c>
      <c r="BC626" s="1" t="str">
        <f>IFERROR($BC$2&amp;VLOOKUP(D628,'Pay Table'!$M$3:$N$18,2,FALSE)&amp;$BB$2&amp;E628&amp;$BD$2,"")</f>
        <v/>
      </c>
      <c r="BD626" s="1" t="str">
        <f>IFERROR($BC$2&amp;VLOOKUP(F628,'Pay Table'!$M$3:$N$18,2,FALSE)&amp;$BB$2&amp;G628&amp;$BD$2,"")</f>
        <v/>
      </c>
      <c r="BE626" s="1" t="str">
        <f>IFERROR($BC$2&amp;VLOOKUP(H628,'Pay Table'!$M$3:$N$18,2,FALSE)&amp;$BB$2&amp;I628&amp;$BD$2,"")</f>
        <v/>
      </c>
      <c r="BF626" s="27" t="str">
        <f>IFERROR($BC$2&amp;VLOOKUP(J628,'Pay Table'!$M$3:$N$18,2,FALSE)&amp;$BB$2&amp;K628&amp;$BD$2,"")</f>
        <v/>
      </c>
    </row>
    <row r="627" spans="54:58" x14ac:dyDescent="0.15">
      <c r="BB627" s="26" t="str">
        <f>IFERROR($BC$2&amp;VLOOKUP(B629,'Pay Table'!$M$3:$N$18,2,FALSE)&amp;$BB$2&amp;C629&amp;$BD$2,"")</f>
        <v/>
      </c>
      <c r="BC627" s="1" t="str">
        <f>IFERROR($BC$2&amp;VLOOKUP(D629,'Pay Table'!$M$3:$N$18,2,FALSE)&amp;$BB$2&amp;E629&amp;$BD$2,"")</f>
        <v/>
      </c>
      <c r="BD627" s="1" t="str">
        <f>IFERROR($BC$2&amp;VLOOKUP(F629,'Pay Table'!$M$3:$N$18,2,FALSE)&amp;$BB$2&amp;G629&amp;$BD$2,"")</f>
        <v/>
      </c>
      <c r="BE627" s="1" t="str">
        <f>IFERROR($BC$2&amp;VLOOKUP(H629,'Pay Table'!$M$3:$N$18,2,FALSE)&amp;$BB$2&amp;I629&amp;$BD$2,"")</f>
        <v/>
      </c>
      <c r="BF627" s="27" t="str">
        <f>IFERROR($BC$2&amp;VLOOKUP(J629,'Pay Table'!$M$3:$N$18,2,FALSE)&amp;$BB$2&amp;K629&amp;$BD$2,"")</f>
        <v/>
      </c>
    </row>
    <row r="628" spans="54:58" x14ac:dyDescent="0.15">
      <c r="BB628" s="26" t="str">
        <f>IFERROR($BC$2&amp;VLOOKUP(B630,'Pay Table'!$M$3:$N$18,2,FALSE)&amp;$BB$2&amp;C630&amp;$BD$2,"")</f>
        <v/>
      </c>
      <c r="BC628" s="1" t="str">
        <f>IFERROR($BC$2&amp;VLOOKUP(D630,'Pay Table'!$M$3:$N$18,2,FALSE)&amp;$BB$2&amp;E630&amp;$BD$2,"")</f>
        <v/>
      </c>
      <c r="BD628" s="1" t="str">
        <f>IFERROR($BC$2&amp;VLOOKUP(F630,'Pay Table'!$M$3:$N$18,2,FALSE)&amp;$BB$2&amp;G630&amp;$BD$2,"")</f>
        <v/>
      </c>
      <c r="BE628" s="1" t="str">
        <f>IFERROR($BC$2&amp;VLOOKUP(H630,'Pay Table'!$M$3:$N$18,2,FALSE)&amp;$BB$2&amp;I630&amp;$BD$2,"")</f>
        <v/>
      </c>
      <c r="BF628" s="27" t="str">
        <f>IFERROR($BC$2&amp;VLOOKUP(J630,'Pay Table'!$M$3:$N$18,2,FALSE)&amp;$BB$2&amp;K630&amp;$BD$2,"")</f>
        <v/>
      </c>
    </row>
    <row r="629" spans="54:58" x14ac:dyDescent="0.15">
      <c r="BB629" s="26" t="str">
        <f>IFERROR($BC$2&amp;VLOOKUP(B631,'Pay Table'!$M$3:$N$18,2,FALSE)&amp;$BB$2&amp;C631&amp;$BD$2,"")</f>
        <v/>
      </c>
      <c r="BC629" s="1" t="str">
        <f>IFERROR($BC$2&amp;VLOOKUP(D631,'Pay Table'!$M$3:$N$18,2,FALSE)&amp;$BB$2&amp;E631&amp;$BD$2,"")</f>
        <v/>
      </c>
      <c r="BD629" s="1" t="str">
        <f>IFERROR($BC$2&amp;VLOOKUP(F631,'Pay Table'!$M$3:$N$18,2,FALSE)&amp;$BB$2&amp;G631&amp;$BD$2,"")</f>
        <v/>
      </c>
      <c r="BE629" s="1" t="str">
        <f>IFERROR($BC$2&amp;VLOOKUP(H631,'Pay Table'!$M$3:$N$18,2,FALSE)&amp;$BB$2&amp;I631&amp;$BD$2,"")</f>
        <v/>
      </c>
      <c r="BF629" s="27" t="str">
        <f>IFERROR($BC$2&amp;VLOOKUP(J631,'Pay Table'!$M$3:$N$18,2,FALSE)&amp;$BB$2&amp;K631&amp;$BD$2,"")</f>
        <v/>
      </c>
    </row>
    <row r="630" spans="54:58" x14ac:dyDescent="0.15">
      <c r="BB630" s="26" t="str">
        <f>IFERROR($BC$2&amp;VLOOKUP(B632,'Pay Table'!$M$3:$N$18,2,FALSE)&amp;$BB$2&amp;C632&amp;$BD$2,"")</f>
        <v/>
      </c>
      <c r="BC630" s="1" t="str">
        <f>IFERROR($BC$2&amp;VLOOKUP(D632,'Pay Table'!$M$3:$N$18,2,FALSE)&amp;$BB$2&amp;E632&amp;$BD$2,"")</f>
        <v/>
      </c>
      <c r="BD630" s="1" t="str">
        <f>IFERROR($BC$2&amp;VLOOKUP(F632,'Pay Table'!$M$3:$N$18,2,FALSE)&amp;$BB$2&amp;G632&amp;$BD$2,"")</f>
        <v/>
      </c>
      <c r="BE630" s="1" t="str">
        <f>IFERROR($BC$2&amp;VLOOKUP(H632,'Pay Table'!$M$3:$N$18,2,FALSE)&amp;$BB$2&amp;I632&amp;$BD$2,"")</f>
        <v/>
      </c>
      <c r="BF630" s="27" t="str">
        <f>IFERROR($BC$2&amp;VLOOKUP(J632,'Pay Table'!$M$3:$N$18,2,FALSE)&amp;$BB$2&amp;K632&amp;$BD$2,"")</f>
        <v/>
      </c>
    </row>
    <row r="631" spans="54:58" x14ac:dyDescent="0.15">
      <c r="BB631" s="26" t="str">
        <f>IFERROR($BC$2&amp;VLOOKUP(B633,'Pay Table'!$M$3:$N$18,2,FALSE)&amp;$BB$2&amp;C633&amp;$BD$2,"")</f>
        <v/>
      </c>
      <c r="BC631" s="1" t="str">
        <f>IFERROR($BC$2&amp;VLOOKUP(D633,'Pay Table'!$M$3:$N$18,2,FALSE)&amp;$BB$2&amp;E633&amp;$BD$2,"")</f>
        <v/>
      </c>
      <c r="BD631" s="1" t="str">
        <f>IFERROR($BC$2&amp;VLOOKUP(F633,'Pay Table'!$M$3:$N$18,2,FALSE)&amp;$BB$2&amp;G633&amp;$BD$2,"")</f>
        <v/>
      </c>
      <c r="BE631" s="1" t="str">
        <f>IFERROR($BC$2&amp;VLOOKUP(H633,'Pay Table'!$M$3:$N$18,2,FALSE)&amp;$BB$2&amp;I633&amp;$BD$2,"")</f>
        <v/>
      </c>
      <c r="BF631" s="27" t="str">
        <f>IFERROR($BC$2&amp;VLOOKUP(J633,'Pay Table'!$M$3:$N$18,2,FALSE)&amp;$BB$2&amp;K633&amp;$BD$2,"")</f>
        <v/>
      </c>
    </row>
    <row r="632" spans="54:58" x14ac:dyDescent="0.15">
      <c r="BB632" s="26" t="str">
        <f>IFERROR($BC$2&amp;VLOOKUP(B634,'Pay Table'!$M$3:$N$18,2,FALSE)&amp;$BB$2&amp;C634&amp;$BD$2,"")</f>
        <v/>
      </c>
      <c r="BC632" s="1" t="str">
        <f>IFERROR($BC$2&amp;VLOOKUP(D634,'Pay Table'!$M$3:$N$18,2,FALSE)&amp;$BB$2&amp;E634&amp;$BD$2,"")</f>
        <v/>
      </c>
      <c r="BD632" s="1" t="str">
        <f>IFERROR($BC$2&amp;VLOOKUP(F634,'Pay Table'!$M$3:$N$18,2,FALSE)&amp;$BB$2&amp;G634&amp;$BD$2,"")</f>
        <v/>
      </c>
      <c r="BE632" s="1" t="str">
        <f>IFERROR($BC$2&amp;VLOOKUP(H634,'Pay Table'!$M$3:$N$18,2,FALSE)&amp;$BB$2&amp;I634&amp;$BD$2,"")</f>
        <v/>
      </c>
      <c r="BF632" s="27" t="str">
        <f>IFERROR($BC$2&amp;VLOOKUP(J634,'Pay Table'!$M$3:$N$18,2,FALSE)&amp;$BB$2&amp;K634&amp;$BD$2,"")</f>
        <v/>
      </c>
    </row>
    <row r="633" spans="54:58" x14ac:dyDescent="0.15">
      <c r="BB633" s="26" t="str">
        <f>IFERROR($BC$2&amp;VLOOKUP(B635,'Pay Table'!$M$3:$N$18,2,FALSE)&amp;$BB$2&amp;C635&amp;$BD$2,"")</f>
        <v/>
      </c>
      <c r="BC633" s="1" t="str">
        <f>IFERROR($BC$2&amp;VLOOKUP(D635,'Pay Table'!$M$3:$N$18,2,FALSE)&amp;$BB$2&amp;E635&amp;$BD$2,"")</f>
        <v/>
      </c>
      <c r="BD633" s="1" t="str">
        <f>IFERROR($BC$2&amp;VLOOKUP(F635,'Pay Table'!$M$3:$N$18,2,FALSE)&amp;$BB$2&amp;G635&amp;$BD$2,"")</f>
        <v/>
      </c>
      <c r="BE633" s="1" t="str">
        <f>IFERROR($BC$2&amp;VLOOKUP(H635,'Pay Table'!$M$3:$N$18,2,FALSE)&amp;$BB$2&amp;I635&amp;$BD$2,"")</f>
        <v/>
      </c>
      <c r="BF633" s="27" t="str">
        <f>IFERROR($BC$2&amp;VLOOKUP(J635,'Pay Table'!$M$3:$N$18,2,FALSE)&amp;$BB$2&amp;K635&amp;$BD$2,"")</f>
        <v/>
      </c>
    </row>
    <row r="634" spans="54:58" x14ac:dyDescent="0.15">
      <c r="BB634" s="26" t="str">
        <f>IFERROR($BC$2&amp;VLOOKUP(B636,'Pay Table'!$M$3:$N$18,2,FALSE)&amp;$BB$2&amp;C636&amp;$BD$2,"")</f>
        <v/>
      </c>
      <c r="BC634" s="1" t="str">
        <f>IFERROR($BC$2&amp;VLOOKUP(D636,'Pay Table'!$M$3:$N$18,2,FALSE)&amp;$BB$2&amp;E636&amp;$BD$2,"")</f>
        <v/>
      </c>
      <c r="BD634" s="1" t="str">
        <f>IFERROR($BC$2&amp;VLOOKUP(F636,'Pay Table'!$M$3:$N$18,2,FALSE)&amp;$BB$2&amp;G636&amp;$BD$2,"")</f>
        <v/>
      </c>
      <c r="BE634" s="1" t="str">
        <f>IFERROR($BC$2&amp;VLOOKUP(H636,'Pay Table'!$M$3:$N$18,2,FALSE)&amp;$BB$2&amp;I636&amp;$BD$2,"")</f>
        <v/>
      </c>
      <c r="BF634" s="27" t="str">
        <f>IFERROR($BC$2&amp;VLOOKUP(J636,'Pay Table'!$M$3:$N$18,2,FALSE)&amp;$BB$2&amp;K636&amp;$BD$2,"")</f>
        <v/>
      </c>
    </row>
    <row r="635" spans="54:58" x14ac:dyDescent="0.15">
      <c r="BB635" s="26" t="str">
        <f>IFERROR($BC$2&amp;VLOOKUP(B637,'Pay Table'!$M$3:$N$18,2,FALSE)&amp;$BB$2&amp;C637&amp;$BD$2,"")</f>
        <v/>
      </c>
      <c r="BC635" s="1" t="str">
        <f>IFERROR($BC$2&amp;VLOOKUP(D637,'Pay Table'!$M$3:$N$18,2,FALSE)&amp;$BB$2&amp;E637&amp;$BD$2,"")</f>
        <v/>
      </c>
      <c r="BD635" s="1" t="str">
        <f>IFERROR($BC$2&amp;VLOOKUP(F637,'Pay Table'!$M$3:$N$18,2,FALSE)&amp;$BB$2&amp;G637&amp;$BD$2,"")</f>
        <v/>
      </c>
      <c r="BE635" s="1" t="str">
        <f>IFERROR($BC$2&amp;VLOOKUP(H637,'Pay Table'!$M$3:$N$18,2,FALSE)&amp;$BB$2&amp;I637&amp;$BD$2,"")</f>
        <v/>
      </c>
      <c r="BF635" s="27" t="str">
        <f>IFERROR($BC$2&amp;VLOOKUP(J637,'Pay Table'!$M$3:$N$18,2,FALSE)&amp;$BB$2&amp;K637&amp;$BD$2,"")</f>
        <v/>
      </c>
    </row>
    <row r="636" spans="54:58" x14ac:dyDescent="0.15">
      <c r="BB636" s="26" t="str">
        <f>IFERROR($BC$2&amp;VLOOKUP(B638,'Pay Table'!$M$3:$N$18,2,FALSE)&amp;$BB$2&amp;C638&amp;$BD$2,"")</f>
        <v/>
      </c>
      <c r="BC636" s="1" t="str">
        <f>IFERROR($BC$2&amp;VLOOKUP(D638,'Pay Table'!$M$3:$N$18,2,FALSE)&amp;$BB$2&amp;E638&amp;$BD$2,"")</f>
        <v/>
      </c>
      <c r="BD636" s="1" t="str">
        <f>IFERROR($BC$2&amp;VLOOKUP(F638,'Pay Table'!$M$3:$N$18,2,FALSE)&amp;$BB$2&amp;G638&amp;$BD$2,"")</f>
        <v/>
      </c>
      <c r="BE636" s="1" t="str">
        <f>IFERROR($BC$2&amp;VLOOKUP(H638,'Pay Table'!$M$3:$N$18,2,FALSE)&amp;$BB$2&amp;I638&amp;$BD$2,"")</f>
        <v/>
      </c>
      <c r="BF636" s="27" t="str">
        <f>IFERROR($BC$2&amp;VLOOKUP(J638,'Pay Table'!$M$3:$N$18,2,FALSE)&amp;$BB$2&amp;K638&amp;$BD$2,"")</f>
        <v/>
      </c>
    </row>
    <row r="637" spans="54:58" x14ac:dyDescent="0.15">
      <c r="BB637" s="26" t="str">
        <f>IFERROR($BC$2&amp;VLOOKUP(B639,'Pay Table'!$M$3:$N$18,2,FALSE)&amp;$BB$2&amp;C639&amp;$BD$2,"")</f>
        <v/>
      </c>
      <c r="BC637" s="1" t="str">
        <f>IFERROR($BC$2&amp;VLOOKUP(D639,'Pay Table'!$M$3:$N$18,2,FALSE)&amp;$BB$2&amp;E639&amp;$BD$2,"")</f>
        <v/>
      </c>
      <c r="BD637" s="1" t="str">
        <f>IFERROR($BC$2&amp;VLOOKUP(F639,'Pay Table'!$M$3:$N$18,2,FALSE)&amp;$BB$2&amp;G639&amp;$BD$2,"")</f>
        <v/>
      </c>
      <c r="BE637" s="1" t="str">
        <f>IFERROR($BC$2&amp;VLOOKUP(H639,'Pay Table'!$M$3:$N$18,2,FALSE)&amp;$BB$2&amp;I639&amp;$BD$2,"")</f>
        <v/>
      </c>
      <c r="BF637" s="27" t="str">
        <f>IFERROR($BC$2&amp;VLOOKUP(J639,'Pay Table'!$M$3:$N$18,2,FALSE)&amp;$BB$2&amp;K639&amp;$BD$2,"")</f>
        <v/>
      </c>
    </row>
    <row r="638" spans="54:58" x14ac:dyDescent="0.15">
      <c r="BB638" s="26" t="str">
        <f>IFERROR($BC$2&amp;VLOOKUP(B640,'Pay Table'!$M$3:$N$18,2,FALSE)&amp;$BB$2&amp;C640&amp;$BD$2,"")</f>
        <v/>
      </c>
      <c r="BC638" s="1" t="str">
        <f>IFERROR($BC$2&amp;VLOOKUP(D640,'Pay Table'!$M$3:$N$18,2,FALSE)&amp;$BB$2&amp;E640&amp;$BD$2,"")</f>
        <v/>
      </c>
      <c r="BD638" s="1" t="str">
        <f>IFERROR($BC$2&amp;VLOOKUP(F640,'Pay Table'!$M$3:$N$18,2,FALSE)&amp;$BB$2&amp;G640&amp;$BD$2,"")</f>
        <v/>
      </c>
      <c r="BE638" s="1" t="str">
        <f>IFERROR($BC$2&amp;VLOOKUP(H640,'Pay Table'!$M$3:$N$18,2,FALSE)&amp;$BB$2&amp;I640&amp;$BD$2,"")</f>
        <v/>
      </c>
      <c r="BF638" s="27" t="str">
        <f>IFERROR($BC$2&amp;VLOOKUP(J640,'Pay Table'!$M$3:$N$18,2,FALSE)&amp;$BB$2&amp;K640&amp;$BD$2,"")</f>
        <v/>
      </c>
    </row>
    <row r="639" spans="54:58" x14ac:dyDescent="0.15">
      <c r="BB639" s="26" t="str">
        <f>IFERROR($BC$2&amp;VLOOKUP(B641,'Pay Table'!$M$3:$N$18,2,FALSE)&amp;$BB$2&amp;C641&amp;$BD$2,"")</f>
        <v/>
      </c>
      <c r="BC639" s="1" t="str">
        <f>IFERROR($BC$2&amp;VLOOKUP(D641,'Pay Table'!$M$3:$N$18,2,FALSE)&amp;$BB$2&amp;E641&amp;$BD$2,"")</f>
        <v/>
      </c>
      <c r="BD639" s="1" t="str">
        <f>IFERROR($BC$2&amp;VLOOKUP(F641,'Pay Table'!$M$3:$N$18,2,FALSE)&amp;$BB$2&amp;G641&amp;$BD$2,"")</f>
        <v/>
      </c>
      <c r="BE639" s="1" t="str">
        <f>IFERROR($BC$2&amp;VLOOKUP(H641,'Pay Table'!$M$3:$N$18,2,FALSE)&amp;$BB$2&amp;I641&amp;$BD$2,"")</f>
        <v/>
      </c>
      <c r="BF639" s="27" t="str">
        <f>IFERROR($BC$2&amp;VLOOKUP(J641,'Pay Table'!$M$3:$N$18,2,FALSE)&amp;$BB$2&amp;K641&amp;$BD$2,"")</f>
        <v/>
      </c>
    </row>
    <row r="640" spans="54:58" x14ac:dyDescent="0.15">
      <c r="BB640" s="26" t="str">
        <f>IFERROR($BC$2&amp;VLOOKUP(B642,'Pay Table'!$M$3:$N$18,2,FALSE)&amp;$BB$2&amp;C642&amp;$BD$2,"")</f>
        <v/>
      </c>
      <c r="BC640" s="1" t="str">
        <f>IFERROR($BC$2&amp;VLOOKUP(D642,'Pay Table'!$M$3:$N$18,2,FALSE)&amp;$BB$2&amp;E642&amp;$BD$2,"")</f>
        <v/>
      </c>
      <c r="BD640" s="1" t="str">
        <f>IFERROR($BC$2&amp;VLOOKUP(F642,'Pay Table'!$M$3:$N$18,2,FALSE)&amp;$BB$2&amp;G642&amp;$BD$2,"")</f>
        <v/>
      </c>
      <c r="BE640" s="1" t="str">
        <f>IFERROR($BC$2&amp;VLOOKUP(H642,'Pay Table'!$M$3:$N$18,2,FALSE)&amp;$BB$2&amp;I642&amp;$BD$2,"")</f>
        <v/>
      </c>
      <c r="BF640" s="27" t="str">
        <f>IFERROR($BC$2&amp;VLOOKUP(J642,'Pay Table'!$M$3:$N$18,2,FALSE)&amp;$BB$2&amp;K642&amp;$BD$2,"")</f>
        <v/>
      </c>
    </row>
    <row r="641" spans="54:58" x14ac:dyDescent="0.15">
      <c r="BB641" s="26" t="str">
        <f>IFERROR($BC$2&amp;VLOOKUP(B643,'Pay Table'!$M$3:$N$18,2,FALSE)&amp;$BB$2&amp;C643&amp;$BD$2,"")</f>
        <v/>
      </c>
      <c r="BC641" s="1" t="str">
        <f>IFERROR($BC$2&amp;VLOOKUP(D643,'Pay Table'!$M$3:$N$18,2,FALSE)&amp;$BB$2&amp;E643&amp;$BD$2,"")</f>
        <v/>
      </c>
      <c r="BD641" s="1" t="str">
        <f>IFERROR($BC$2&amp;VLOOKUP(F643,'Pay Table'!$M$3:$N$18,2,FALSE)&amp;$BB$2&amp;G643&amp;$BD$2,"")</f>
        <v/>
      </c>
      <c r="BE641" s="1" t="str">
        <f>IFERROR($BC$2&amp;VLOOKUP(H643,'Pay Table'!$M$3:$N$18,2,FALSE)&amp;$BB$2&amp;I643&amp;$BD$2,"")</f>
        <v/>
      </c>
      <c r="BF641" s="27" t="str">
        <f>IFERROR($BC$2&amp;VLOOKUP(J643,'Pay Table'!$M$3:$N$18,2,FALSE)&amp;$BB$2&amp;K643&amp;$BD$2,"")</f>
        <v/>
      </c>
    </row>
    <row r="642" spans="54:58" x14ac:dyDescent="0.15">
      <c r="BB642" s="26" t="str">
        <f>IFERROR($BC$2&amp;VLOOKUP(B644,'Pay Table'!$M$3:$N$18,2,FALSE)&amp;$BB$2&amp;C644&amp;$BD$2,"")</f>
        <v/>
      </c>
      <c r="BC642" s="1" t="str">
        <f>IFERROR($BC$2&amp;VLOOKUP(D644,'Pay Table'!$M$3:$N$18,2,FALSE)&amp;$BB$2&amp;E644&amp;$BD$2,"")</f>
        <v/>
      </c>
      <c r="BD642" s="1" t="str">
        <f>IFERROR($BC$2&amp;VLOOKUP(F644,'Pay Table'!$M$3:$N$18,2,FALSE)&amp;$BB$2&amp;G644&amp;$BD$2,"")</f>
        <v/>
      </c>
      <c r="BE642" s="1" t="str">
        <f>IFERROR($BC$2&amp;VLOOKUP(H644,'Pay Table'!$M$3:$N$18,2,FALSE)&amp;$BB$2&amp;I644&amp;$BD$2,"")</f>
        <v/>
      </c>
      <c r="BF642" s="27" t="str">
        <f>IFERROR($BC$2&amp;VLOOKUP(J644,'Pay Table'!$M$3:$N$18,2,FALSE)&amp;$BB$2&amp;K644&amp;$BD$2,"")</f>
        <v/>
      </c>
    </row>
    <row r="643" spans="54:58" x14ac:dyDescent="0.15">
      <c r="BB643" s="26" t="str">
        <f>IFERROR($BC$2&amp;VLOOKUP(B645,'Pay Table'!$M$3:$N$18,2,FALSE)&amp;$BB$2&amp;C645&amp;$BD$2,"")</f>
        <v/>
      </c>
      <c r="BC643" s="1" t="str">
        <f>IFERROR($BC$2&amp;VLOOKUP(D645,'Pay Table'!$M$3:$N$18,2,FALSE)&amp;$BB$2&amp;E645&amp;$BD$2,"")</f>
        <v/>
      </c>
      <c r="BD643" s="1" t="str">
        <f>IFERROR($BC$2&amp;VLOOKUP(F645,'Pay Table'!$M$3:$N$18,2,FALSE)&amp;$BB$2&amp;G645&amp;$BD$2,"")</f>
        <v/>
      </c>
      <c r="BE643" s="1" t="str">
        <f>IFERROR($BC$2&amp;VLOOKUP(H645,'Pay Table'!$M$3:$N$18,2,FALSE)&amp;$BB$2&amp;I645&amp;$BD$2,"")</f>
        <v/>
      </c>
      <c r="BF643" s="27" t="str">
        <f>IFERROR($BC$2&amp;VLOOKUP(J645,'Pay Table'!$M$3:$N$18,2,FALSE)&amp;$BB$2&amp;K645&amp;$BD$2,"")</f>
        <v/>
      </c>
    </row>
    <row r="644" spans="54:58" x14ac:dyDescent="0.15">
      <c r="BB644" s="26" t="str">
        <f>IFERROR($BC$2&amp;VLOOKUP(B646,'Pay Table'!$M$3:$N$18,2,FALSE)&amp;$BB$2&amp;C646&amp;$BD$2,"")</f>
        <v/>
      </c>
      <c r="BC644" s="1" t="str">
        <f>IFERROR($BC$2&amp;VLOOKUP(D646,'Pay Table'!$M$3:$N$18,2,FALSE)&amp;$BB$2&amp;E646&amp;$BD$2,"")</f>
        <v/>
      </c>
      <c r="BD644" s="1" t="str">
        <f>IFERROR($BC$2&amp;VLOOKUP(F646,'Pay Table'!$M$3:$N$18,2,FALSE)&amp;$BB$2&amp;G646&amp;$BD$2,"")</f>
        <v/>
      </c>
      <c r="BE644" s="1" t="str">
        <f>IFERROR($BC$2&amp;VLOOKUP(H646,'Pay Table'!$M$3:$N$18,2,FALSE)&amp;$BB$2&amp;I646&amp;$BD$2,"")</f>
        <v/>
      </c>
      <c r="BF644" s="27" t="str">
        <f>IFERROR($BC$2&amp;VLOOKUP(J646,'Pay Table'!$M$3:$N$18,2,FALSE)&amp;$BB$2&amp;K646&amp;$BD$2,"")</f>
        <v/>
      </c>
    </row>
    <row r="645" spans="54:58" x14ac:dyDescent="0.15">
      <c r="BB645" s="26" t="str">
        <f>IFERROR($BC$2&amp;VLOOKUP(B647,'Pay Table'!$M$3:$N$18,2,FALSE)&amp;$BB$2&amp;C647&amp;$BD$2,"")</f>
        <v/>
      </c>
      <c r="BC645" s="1" t="str">
        <f>IFERROR($BC$2&amp;VLOOKUP(D647,'Pay Table'!$M$3:$N$18,2,FALSE)&amp;$BB$2&amp;E647&amp;$BD$2,"")</f>
        <v/>
      </c>
      <c r="BD645" s="1" t="str">
        <f>IFERROR($BC$2&amp;VLOOKUP(F647,'Pay Table'!$M$3:$N$18,2,FALSE)&amp;$BB$2&amp;G647&amp;$BD$2,"")</f>
        <v/>
      </c>
      <c r="BE645" s="1" t="str">
        <f>IFERROR($BC$2&amp;VLOOKUP(H647,'Pay Table'!$M$3:$N$18,2,FALSE)&amp;$BB$2&amp;I647&amp;$BD$2,"")</f>
        <v/>
      </c>
      <c r="BF645" s="27" t="str">
        <f>IFERROR($BC$2&amp;VLOOKUP(J647,'Pay Table'!$M$3:$N$18,2,FALSE)&amp;$BB$2&amp;K647&amp;$BD$2,"")</f>
        <v/>
      </c>
    </row>
    <row r="646" spans="54:58" x14ac:dyDescent="0.15">
      <c r="BB646" s="26" t="str">
        <f>IFERROR($BC$2&amp;VLOOKUP(B648,'Pay Table'!$M$3:$N$18,2,FALSE)&amp;$BB$2&amp;C648&amp;$BD$2,"")</f>
        <v/>
      </c>
      <c r="BC646" s="1" t="str">
        <f>IFERROR($BC$2&amp;VLOOKUP(D648,'Pay Table'!$M$3:$N$18,2,FALSE)&amp;$BB$2&amp;E648&amp;$BD$2,"")</f>
        <v/>
      </c>
      <c r="BD646" s="1" t="str">
        <f>IFERROR($BC$2&amp;VLOOKUP(F648,'Pay Table'!$M$3:$N$18,2,FALSE)&amp;$BB$2&amp;G648&amp;$BD$2,"")</f>
        <v/>
      </c>
      <c r="BE646" s="1" t="str">
        <f>IFERROR($BC$2&amp;VLOOKUP(H648,'Pay Table'!$M$3:$N$18,2,FALSE)&amp;$BB$2&amp;I648&amp;$BD$2,"")</f>
        <v/>
      </c>
      <c r="BF646" s="27" t="str">
        <f>IFERROR($BC$2&amp;VLOOKUP(J648,'Pay Table'!$M$3:$N$18,2,FALSE)&amp;$BB$2&amp;K648&amp;$BD$2,"")</f>
        <v/>
      </c>
    </row>
    <row r="647" spans="54:58" x14ac:dyDescent="0.15">
      <c r="BB647" s="26" t="str">
        <f>IFERROR($BC$2&amp;VLOOKUP(B649,'Pay Table'!$M$3:$N$18,2,FALSE)&amp;$BB$2&amp;C649&amp;$BD$2,"")</f>
        <v/>
      </c>
      <c r="BC647" s="1" t="str">
        <f>IFERROR($BC$2&amp;VLOOKUP(D649,'Pay Table'!$M$3:$N$18,2,FALSE)&amp;$BB$2&amp;E649&amp;$BD$2,"")</f>
        <v/>
      </c>
      <c r="BD647" s="1" t="str">
        <f>IFERROR($BC$2&amp;VLOOKUP(F649,'Pay Table'!$M$3:$N$18,2,FALSE)&amp;$BB$2&amp;G649&amp;$BD$2,"")</f>
        <v/>
      </c>
      <c r="BE647" s="1" t="str">
        <f>IFERROR($BC$2&amp;VLOOKUP(H649,'Pay Table'!$M$3:$N$18,2,FALSE)&amp;$BB$2&amp;I649&amp;$BD$2,"")</f>
        <v/>
      </c>
      <c r="BF647" s="27" t="str">
        <f>IFERROR($BC$2&amp;VLOOKUP(J649,'Pay Table'!$M$3:$N$18,2,FALSE)&amp;$BB$2&amp;K649&amp;$BD$2,"")</f>
        <v/>
      </c>
    </row>
    <row r="648" spans="54:58" x14ac:dyDescent="0.15">
      <c r="BB648" s="26" t="str">
        <f>IFERROR($BC$2&amp;VLOOKUP(B650,'Pay Table'!$M$3:$N$18,2,FALSE)&amp;$BB$2&amp;C650&amp;$BD$2,"")</f>
        <v/>
      </c>
      <c r="BC648" s="1" t="str">
        <f>IFERROR($BC$2&amp;VLOOKUP(D650,'Pay Table'!$M$3:$N$18,2,FALSE)&amp;$BB$2&amp;E650&amp;$BD$2,"")</f>
        <v/>
      </c>
      <c r="BD648" s="1" t="str">
        <f>IFERROR($BC$2&amp;VLOOKUP(F650,'Pay Table'!$M$3:$N$18,2,FALSE)&amp;$BB$2&amp;G650&amp;$BD$2,"")</f>
        <v/>
      </c>
      <c r="BE648" s="1" t="str">
        <f>IFERROR($BC$2&amp;VLOOKUP(H650,'Pay Table'!$M$3:$N$18,2,FALSE)&amp;$BB$2&amp;I650&amp;$BD$2,"")</f>
        <v/>
      </c>
      <c r="BF648" s="27" t="str">
        <f>IFERROR($BC$2&amp;VLOOKUP(J650,'Pay Table'!$M$3:$N$18,2,FALSE)&amp;$BB$2&amp;K650&amp;$BD$2,"")</f>
        <v/>
      </c>
    </row>
    <row r="649" spans="54:58" x14ac:dyDescent="0.15">
      <c r="BB649" s="26" t="str">
        <f>IFERROR($BC$2&amp;VLOOKUP(B651,'Pay Table'!$M$3:$N$18,2,FALSE)&amp;$BB$2&amp;C651&amp;$BD$2,"")</f>
        <v/>
      </c>
      <c r="BC649" s="1" t="str">
        <f>IFERROR($BC$2&amp;VLOOKUP(D651,'Pay Table'!$M$3:$N$18,2,FALSE)&amp;$BB$2&amp;E651&amp;$BD$2,"")</f>
        <v/>
      </c>
      <c r="BD649" s="1" t="str">
        <f>IFERROR($BC$2&amp;VLOOKUP(F651,'Pay Table'!$M$3:$N$18,2,FALSE)&amp;$BB$2&amp;G651&amp;$BD$2,"")</f>
        <v/>
      </c>
      <c r="BE649" s="1" t="str">
        <f>IFERROR($BC$2&amp;VLOOKUP(H651,'Pay Table'!$M$3:$N$18,2,FALSE)&amp;$BB$2&amp;I651&amp;$BD$2,"")</f>
        <v/>
      </c>
      <c r="BF649" s="27" t="str">
        <f>IFERROR($BC$2&amp;VLOOKUP(J651,'Pay Table'!$M$3:$N$18,2,FALSE)&amp;$BB$2&amp;K651&amp;$BD$2,"")</f>
        <v/>
      </c>
    </row>
    <row r="650" spans="54:58" x14ac:dyDescent="0.15">
      <c r="BB650" s="26" t="str">
        <f>IFERROR($BC$2&amp;VLOOKUP(B652,'Pay Table'!$M$3:$N$18,2,FALSE)&amp;$BB$2&amp;C652&amp;$BD$2,"")</f>
        <v/>
      </c>
      <c r="BC650" s="1" t="str">
        <f>IFERROR($BC$2&amp;VLOOKUP(D652,'Pay Table'!$M$3:$N$18,2,FALSE)&amp;$BB$2&amp;E652&amp;$BD$2,"")</f>
        <v/>
      </c>
      <c r="BD650" s="1" t="str">
        <f>IFERROR($BC$2&amp;VLOOKUP(F652,'Pay Table'!$M$3:$N$18,2,FALSE)&amp;$BB$2&amp;G652&amp;$BD$2,"")</f>
        <v/>
      </c>
      <c r="BE650" s="1" t="str">
        <f>IFERROR($BC$2&amp;VLOOKUP(H652,'Pay Table'!$M$3:$N$18,2,FALSE)&amp;$BB$2&amp;I652&amp;$BD$2,"")</f>
        <v/>
      </c>
      <c r="BF650" s="27" t="str">
        <f>IFERROR($BC$2&amp;VLOOKUP(J652,'Pay Table'!$M$3:$N$18,2,FALSE)&amp;$BB$2&amp;K652&amp;$BD$2,"")</f>
        <v/>
      </c>
    </row>
    <row r="651" spans="54:58" x14ac:dyDescent="0.15">
      <c r="BB651" s="26" t="str">
        <f>IFERROR($BC$2&amp;VLOOKUP(B653,'Pay Table'!$M$3:$N$18,2,FALSE)&amp;$BB$2&amp;C653&amp;$BD$2,"")</f>
        <v/>
      </c>
      <c r="BC651" s="1" t="str">
        <f>IFERROR($BC$2&amp;VLOOKUP(D653,'Pay Table'!$M$3:$N$18,2,FALSE)&amp;$BB$2&amp;E653&amp;$BD$2,"")</f>
        <v/>
      </c>
      <c r="BD651" s="1" t="str">
        <f>IFERROR($BC$2&amp;VLOOKUP(F653,'Pay Table'!$M$3:$N$18,2,FALSE)&amp;$BB$2&amp;G653&amp;$BD$2,"")</f>
        <v/>
      </c>
      <c r="BE651" s="1" t="str">
        <f>IFERROR($BC$2&amp;VLOOKUP(H653,'Pay Table'!$M$3:$N$18,2,FALSE)&amp;$BB$2&amp;I653&amp;$BD$2,"")</f>
        <v/>
      </c>
      <c r="BF651" s="27" t="str">
        <f>IFERROR($BC$2&amp;VLOOKUP(J653,'Pay Table'!$M$3:$N$18,2,FALSE)&amp;$BB$2&amp;K653&amp;$BD$2,"")</f>
        <v/>
      </c>
    </row>
    <row r="652" spans="54:58" x14ac:dyDescent="0.15">
      <c r="BB652" s="26" t="str">
        <f>IFERROR($BC$2&amp;VLOOKUP(B654,'Pay Table'!$M$3:$N$18,2,FALSE)&amp;$BB$2&amp;C654&amp;$BD$2,"")</f>
        <v/>
      </c>
      <c r="BC652" s="1" t="str">
        <f>IFERROR($BC$2&amp;VLOOKUP(D654,'Pay Table'!$M$3:$N$18,2,FALSE)&amp;$BB$2&amp;E654&amp;$BD$2,"")</f>
        <v/>
      </c>
      <c r="BD652" s="1" t="str">
        <f>IFERROR($BC$2&amp;VLOOKUP(F654,'Pay Table'!$M$3:$N$18,2,FALSE)&amp;$BB$2&amp;G654&amp;$BD$2,"")</f>
        <v/>
      </c>
      <c r="BE652" s="1" t="str">
        <f>IFERROR($BC$2&amp;VLOOKUP(H654,'Pay Table'!$M$3:$N$18,2,FALSE)&amp;$BB$2&amp;I654&amp;$BD$2,"")</f>
        <v/>
      </c>
      <c r="BF652" s="27" t="str">
        <f>IFERROR($BC$2&amp;VLOOKUP(J654,'Pay Table'!$M$3:$N$18,2,FALSE)&amp;$BB$2&amp;K654&amp;$BD$2,"")</f>
        <v/>
      </c>
    </row>
    <row r="653" spans="54:58" x14ac:dyDescent="0.15">
      <c r="BB653" s="26" t="str">
        <f>IFERROR($BC$2&amp;VLOOKUP(B655,'Pay Table'!$M$3:$N$18,2,FALSE)&amp;$BB$2&amp;C655&amp;$BD$2,"")</f>
        <v/>
      </c>
      <c r="BC653" s="1" t="str">
        <f>IFERROR($BC$2&amp;VLOOKUP(D655,'Pay Table'!$M$3:$N$18,2,FALSE)&amp;$BB$2&amp;E655&amp;$BD$2,"")</f>
        <v/>
      </c>
      <c r="BD653" s="1" t="str">
        <f>IFERROR($BC$2&amp;VLOOKUP(F655,'Pay Table'!$M$3:$N$18,2,FALSE)&amp;$BB$2&amp;G655&amp;$BD$2,"")</f>
        <v/>
      </c>
      <c r="BE653" s="1" t="str">
        <f>IFERROR($BC$2&amp;VLOOKUP(H655,'Pay Table'!$M$3:$N$18,2,FALSE)&amp;$BB$2&amp;I655&amp;$BD$2,"")</f>
        <v/>
      </c>
      <c r="BF653" s="27" t="str">
        <f>IFERROR($BC$2&amp;VLOOKUP(J655,'Pay Table'!$M$3:$N$18,2,FALSE)&amp;$BB$2&amp;K655&amp;$BD$2,"")</f>
        <v/>
      </c>
    </row>
    <row r="654" spans="54:58" x14ac:dyDescent="0.15">
      <c r="BB654" s="26" t="str">
        <f>IFERROR($BC$2&amp;VLOOKUP(B656,'Pay Table'!$M$3:$N$18,2,FALSE)&amp;$BB$2&amp;C656&amp;$BD$2,"")</f>
        <v/>
      </c>
      <c r="BC654" s="1" t="str">
        <f>IFERROR($BC$2&amp;VLOOKUP(D656,'Pay Table'!$M$3:$N$18,2,FALSE)&amp;$BB$2&amp;E656&amp;$BD$2,"")</f>
        <v/>
      </c>
      <c r="BD654" s="1" t="str">
        <f>IFERROR($BC$2&amp;VLOOKUP(F656,'Pay Table'!$M$3:$N$18,2,FALSE)&amp;$BB$2&amp;G656&amp;$BD$2,"")</f>
        <v/>
      </c>
      <c r="BE654" s="1" t="str">
        <f>IFERROR($BC$2&amp;VLOOKUP(H656,'Pay Table'!$M$3:$N$18,2,FALSE)&amp;$BB$2&amp;I656&amp;$BD$2,"")</f>
        <v/>
      </c>
      <c r="BF654" s="27" t="str">
        <f>IFERROR($BC$2&amp;VLOOKUP(J656,'Pay Table'!$M$3:$N$18,2,FALSE)&amp;$BB$2&amp;K656&amp;$BD$2,"")</f>
        <v/>
      </c>
    </row>
    <row r="655" spans="54:58" x14ac:dyDescent="0.15">
      <c r="BB655" s="26" t="str">
        <f>IFERROR($BC$2&amp;VLOOKUP(B657,'Pay Table'!$M$3:$N$18,2,FALSE)&amp;$BB$2&amp;C657&amp;$BD$2,"")</f>
        <v/>
      </c>
      <c r="BC655" s="1" t="str">
        <f>IFERROR($BC$2&amp;VLOOKUP(D657,'Pay Table'!$M$3:$N$18,2,FALSE)&amp;$BB$2&amp;E657&amp;$BD$2,"")</f>
        <v/>
      </c>
      <c r="BD655" s="1" t="str">
        <f>IFERROR($BC$2&amp;VLOOKUP(F657,'Pay Table'!$M$3:$N$18,2,FALSE)&amp;$BB$2&amp;G657&amp;$BD$2,"")</f>
        <v/>
      </c>
      <c r="BE655" s="1" t="str">
        <f>IFERROR($BC$2&amp;VLOOKUP(H657,'Pay Table'!$M$3:$N$18,2,FALSE)&amp;$BB$2&amp;I657&amp;$BD$2,"")</f>
        <v/>
      </c>
      <c r="BF655" s="27" t="str">
        <f>IFERROR($BC$2&amp;VLOOKUP(J657,'Pay Table'!$M$3:$N$18,2,FALSE)&amp;$BB$2&amp;K657&amp;$BD$2,"")</f>
        <v/>
      </c>
    </row>
    <row r="656" spans="54:58" x14ac:dyDescent="0.15">
      <c r="BB656" s="26" t="str">
        <f>IFERROR($BC$2&amp;VLOOKUP(B658,'Pay Table'!$M$3:$N$18,2,FALSE)&amp;$BB$2&amp;C658&amp;$BD$2,"")</f>
        <v/>
      </c>
      <c r="BC656" s="1" t="str">
        <f>IFERROR($BC$2&amp;VLOOKUP(D658,'Pay Table'!$M$3:$N$18,2,FALSE)&amp;$BB$2&amp;E658&amp;$BD$2,"")</f>
        <v/>
      </c>
      <c r="BD656" s="1" t="str">
        <f>IFERROR($BC$2&amp;VLOOKUP(F658,'Pay Table'!$M$3:$N$18,2,FALSE)&amp;$BB$2&amp;G658&amp;$BD$2,"")</f>
        <v/>
      </c>
      <c r="BE656" s="1" t="str">
        <f>IFERROR($BC$2&amp;VLOOKUP(H658,'Pay Table'!$M$3:$N$18,2,FALSE)&amp;$BB$2&amp;I658&amp;$BD$2,"")</f>
        <v/>
      </c>
      <c r="BF656" s="27" t="str">
        <f>IFERROR($BC$2&amp;VLOOKUP(J658,'Pay Table'!$M$3:$N$18,2,FALSE)&amp;$BB$2&amp;K658&amp;$BD$2,"")</f>
        <v/>
      </c>
    </row>
    <row r="657" spans="54:58" x14ac:dyDescent="0.15">
      <c r="BB657" s="26" t="str">
        <f>IFERROR($BC$2&amp;VLOOKUP(B659,'Pay Table'!$M$3:$N$18,2,FALSE)&amp;$BB$2&amp;C659&amp;$BD$2,"")</f>
        <v/>
      </c>
      <c r="BC657" s="1" t="str">
        <f>IFERROR($BC$2&amp;VLOOKUP(D659,'Pay Table'!$M$3:$N$18,2,FALSE)&amp;$BB$2&amp;E659&amp;$BD$2,"")</f>
        <v/>
      </c>
      <c r="BD657" s="1" t="str">
        <f>IFERROR($BC$2&amp;VLOOKUP(F659,'Pay Table'!$M$3:$N$18,2,FALSE)&amp;$BB$2&amp;G659&amp;$BD$2,"")</f>
        <v/>
      </c>
      <c r="BE657" s="1" t="str">
        <f>IFERROR($BC$2&amp;VLOOKUP(H659,'Pay Table'!$M$3:$N$18,2,FALSE)&amp;$BB$2&amp;I659&amp;$BD$2,"")</f>
        <v/>
      </c>
      <c r="BF657" s="27" t="str">
        <f>IFERROR($BC$2&amp;VLOOKUP(J659,'Pay Table'!$M$3:$N$18,2,FALSE)&amp;$BB$2&amp;K659&amp;$BD$2,"")</f>
        <v/>
      </c>
    </row>
    <row r="658" spans="54:58" x14ac:dyDescent="0.15">
      <c r="BB658" s="26" t="str">
        <f>IFERROR($BC$2&amp;VLOOKUP(B660,'Pay Table'!$M$3:$N$18,2,FALSE)&amp;$BB$2&amp;C660&amp;$BD$2,"")</f>
        <v/>
      </c>
      <c r="BC658" s="1" t="str">
        <f>IFERROR($BC$2&amp;VLOOKUP(D660,'Pay Table'!$M$3:$N$18,2,FALSE)&amp;$BB$2&amp;E660&amp;$BD$2,"")</f>
        <v/>
      </c>
      <c r="BD658" s="1" t="str">
        <f>IFERROR($BC$2&amp;VLOOKUP(F660,'Pay Table'!$M$3:$N$18,2,FALSE)&amp;$BB$2&amp;G660&amp;$BD$2,"")</f>
        <v/>
      </c>
      <c r="BE658" s="1" t="str">
        <f>IFERROR($BC$2&amp;VLOOKUP(H660,'Pay Table'!$M$3:$N$18,2,FALSE)&amp;$BB$2&amp;I660&amp;$BD$2,"")</f>
        <v/>
      </c>
      <c r="BF658" s="27" t="str">
        <f>IFERROR($BC$2&amp;VLOOKUP(J660,'Pay Table'!$M$3:$N$18,2,FALSE)&amp;$BB$2&amp;K660&amp;$BD$2,"")</f>
        <v/>
      </c>
    </row>
    <row r="659" spans="54:58" x14ac:dyDescent="0.15">
      <c r="BB659" s="26" t="str">
        <f>IFERROR($BC$2&amp;VLOOKUP(B661,'Pay Table'!$M$3:$N$18,2,FALSE)&amp;$BB$2&amp;C661&amp;$BD$2,"")</f>
        <v/>
      </c>
      <c r="BC659" s="1" t="str">
        <f>IFERROR($BC$2&amp;VLOOKUP(D661,'Pay Table'!$M$3:$N$18,2,FALSE)&amp;$BB$2&amp;E661&amp;$BD$2,"")</f>
        <v/>
      </c>
      <c r="BD659" s="1" t="str">
        <f>IFERROR($BC$2&amp;VLOOKUP(F661,'Pay Table'!$M$3:$N$18,2,FALSE)&amp;$BB$2&amp;G661&amp;$BD$2,"")</f>
        <v/>
      </c>
      <c r="BE659" s="1" t="str">
        <f>IFERROR($BC$2&amp;VLOOKUP(H661,'Pay Table'!$M$3:$N$18,2,FALSE)&amp;$BB$2&amp;I661&amp;$BD$2,"")</f>
        <v/>
      </c>
      <c r="BF659" s="27" t="str">
        <f>IFERROR($BC$2&amp;VLOOKUP(J661,'Pay Table'!$M$3:$N$18,2,FALSE)&amp;$BB$2&amp;K661&amp;$BD$2,"")</f>
        <v/>
      </c>
    </row>
    <row r="660" spans="54:58" x14ac:dyDescent="0.15">
      <c r="BB660" s="26" t="str">
        <f>IFERROR($BC$2&amp;VLOOKUP(B662,'Pay Table'!$M$3:$N$18,2,FALSE)&amp;$BB$2&amp;C662&amp;$BD$2,"")</f>
        <v/>
      </c>
      <c r="BC660" s="1" t="str">
        <f>IFERROR($BC$2&amp;VLOOKUP(D662,'Pay Table'!$M$3:$N$18,2,FALSE)&amp;$BB$2&amp;E662&amp;$BD$2,"")</f>
        <v/>
      </c>
      <c r="BD660" s="1" t="str">
        <f>IFERROR($BC$2&amp;VLOOKUP(F662,'Pay Table'!$M$3:$N$18,2,FALSE)&amp;$BB$2&amp;G662&amp;$BD$2,"")</f>
        <v/>
      </c>
      <c r="BE660" s="1" t="str">
        <f>IFERROR($BC$2&amp;VLOOKUP(H662,'Pay Table'!$M$3:$N$18,2,FALSE)&amp;$BB$2&amp;I662&amp;$BD$2,"")</f>
        <v/>
      </c>
      <c r="BF660" s="27" t="str">
        <f>IFERROR($BC$2&amp;VLOOKUP(J662,'Pay Table'!$M$3:$N$18,2,FALSE)&amp;$BB$2&amp;K662&amp;$BD$2,"")</f>
        <v/>
      </c>
    </row>
    <row r="661" spans="54:58" x14ac:dyDescent="0.15">
      <c r="BB661" s="26" t="str">
        <f>IFERROR($BC$2&amp;VLOOKUP(B663,'Pay Table'!$M$3:$N$18,2,FALSE)&amp;$BB$2&amp;C663&amp;$BD$2,"")</f>
        <v/>
      </c>
      <c r="BC661" s="1" t="str">
        <f>IFERROR($BC$2&amp;VLOOKUP(D663,'Pay Table'!$M$3:$N$18,2,FALSE)&amp;$BB$2&amp;E663&amp;$BD$2,"")</f>
        <v/>
      </c>
      <c r="BD661" s="1" t="str">
        <f>IFERROR($BC$2&amp;VLOOKUP(F663,'Pay Table'!$M$3:$N$18,2,FALSE)&amp;$BB$2&amp;G663&amp;$BD$2,"")</f>
        <v/>
      </c>
      <c r="BE661" s="1" t="str">
        <f>IFERROR($BC$2&amp;VLOOKUP(H663,'Pay Table'!$M$3:$N$18,2,FALSE)&amp;$BB$2&amp;I663&amp;$BD$2,"")</f>
        <v/>
      </c>
      <c r="BF661" s="27" t="str">
        <f>IFERROR($BC$2&amp;VLOOKUP(J663,'Pay Table'!$M$3:$N$18,2,FALSE)&amp;$BB$2&amp;K663&amp;$BD$2,"")</f>
        <v/>
      </c>
    </row>
    <row r="662" spans="54:58" x14ac:dyDescent="0.15">
      <c r="BB662" s="26" t="str">
        <f>IFERROR($BC$2&amp;VLOOKUP(B664,'Pay Table'!$M$3:$N$18,2,FALSE)&amp;$BB$2&amp;C664&amp;$BD$2,"")</f>
        <v/>
      </c>
      <c r="BC662" s="1" t="str">
        <f>IFERROR($BC$2&amp;VLOOKUP(D664,'Pay Table'!$M$3:$N$18,2,FALSE)&amp;$BB$2&amp;E664&amp;$BD$2,"")</f>
        <v/>
      </c>
      <c r="BD662" s="1" t="str">
        <f>IFERROR($BC$2&amp;VLOOKUP(F664,'Pay Table'!$M$3:$N$18,2,FALSE)&amp;$BB$2&amp;G664&amp;$BD$2,"")</f>
        <v/>
      </c>
      <c r="BE662" s="1" t="str">
        <f>IFERROR($BC$2&amp;VLOOKUP(H664,'Pay Table'!$M$3:$N$18,2,FALSE)&amp;$BB$2&amp;I664&amp;$BD$2,"")</f>
        <v/>
      </c>
      <c r="BF662" s="27" t="str">
        <f>IFERROR($BC$2&amp;VLOOKUP(J664,'Pay Table'!$M$3:$N$18,2,FALSE)&amp;$BB$2&amp;K664&amp;$BD$2,"")</f>
        <v/>
      </c>
    </row>
    <row r="663" spans="54:58" x14ac:dyDescent="0.15">
      <c r="BB663" s="26" t="str">
        <f>IFERROR($BC$2&amp;VLOOKUP(B665,'Pay Table'!$M$3:$N$18,2,FALSE)&amp;$BB$2&amp;C665&amp;$BD$2,"")</f>
        <v/>
      </c>
      <c r="BC663" s="1" t="str">
        <f>IFERROR($BC$2&amp;VLOOKUP(D665,'Pay Table'!$M$3:$N$18,2,FALSE)&amp;$BB$2&amp;E665&amp;$BD$2,"")</f>
        <v/>
      </c>
      <c r="BD663" s="1" t="str">
        <f>IFERROR($BC$2&amp;VLOOKUP(F665,'Pay Table'!$M$3:$N$18,2,FALSE)&amp;$BB$2&amp;G665&amp;$BD$2,"")</f>
        <v/>
      </c>
      <c r="BE663" s="1" t="str">
        <f>IFERROR($BC$2&amp;VLOOKUP(H665,'Pay Table'!$M$3:$N$18,2,FALSE)&amp;$BB$2&amp;I665&amp;$BD$2,"")</f>
        <v/>
      </c>
      <c r="BF663" s="27" t="str">
        <f>IFERROR($BC$2&amp;VLOOKUP(J665,'Pay Table'!$M$3:$N$18,2,FALSE)&amp;$BB$2&amp;K665&amp;$BD$2,"")</f>
        <v/>
      </c>
    </row>
    <row r="664" spans="54:58" x14ac:dyDescent="0.15">
      <c r="BB664" s="26" t="str">
        <f>IFERROR($BC$2&amp;VLOOKUP(B666,'Pay Table'!$M$3:$N$18,2,FALSE)&amp;$BB$2&amp;C666&amp;$BD$2,"")</f>
        <v/>
      </c>
      <c r="BC664" s="1" t="str">
        <f>IFERROR($BC$2&amp;VLOOKUP(D666,'Pay Table'!$M$3:$N$18,2,FALSE)&amp;$BB$2&amp;E666&amp;$BD$2,"")</f>
        <v/>
      </c>
      <c r="BD664" s="1" t="str">
        <f>IFERROR($BC$2&amp;VLOOKUP(F666,'Pay Table'!$M$3:$N$18,2,FALSE)&amp;$BB$2&amp;G666&amp;$BD$2,"")</f>
        <v/>
      </c>
      <c r="BE664" s="1" t="str">
        <f>IFERROR($BC$2&amp;VLOOKUP(H666,'Pay Table'!$M$3:$N$18,2,FALSE)&amp;$BB$2&amp;I666&amp;$BD$2,"")</f>
        <v/>
      </c>
      <c r="BF664" s="27" t="str">
        <f>IFERROR($BC$2&amp;VLOOKUP(J666,'Pay Table'!$M$3:$N$18,2,FALSE)&amp;$BB$2&amp;K666&amp;$BD$2,"")</f>
        <v/>
      </c>
    </row>
    <row r="665" spans="54:58" x14ac:dyDescent="0.15">
      <c r="BB665" s="26" t="str">
        <f>IFERROR($BC$2&amp;VLOOKUP(B667,'Pay Table'!$M$3:$N$18,2,FALSE)&amp;$BB$2&amp;C667&amp;$BD$2,"")</f>
        <v/>
      </c>
      <c r="BC665" s="1" t="str">
        <f>IFERROR($BC$2&amp;VLOOKUP(D667,'Pay Table'!$M$3:$N$18,2,FALSE)&amp;$BB$2&amp;E667&amp;$BD$2,"")</f>
        <v/>
      </c>
      <c r="BD665" s="1" t="str">
        <f>IFERROR($BC$2&amp;VLOOKUP(F667,'Pay Table'!$M$3:$N$18,2,FALSE)&amp;$BB$2&amp;G667&amp;$BD$2,"")</f>
        <v/>
      </c>
      <c r="BE665" s="1" t="str">
        <f>IFERROR($BC$2&amp;VLOOKUP(H667,'Pay Table'!$M$3:$N$18,2,FALSE)&amp;$BB$2&amp;I667&amp;$BD$2,"")</f>
        <v/>
      </c>
      <c r="BF665" s="27" t="str">
        <f>IFERROR($BC$2&amp;VLOOKUP(J667,'Pay Table'!$M$3:$N$18,2,FALSE)&amp;$BB$2&amp;K667&amp;$BD$2,"")</f>
        <v/>
      </c>
    </row>
    <row r="666" spans="54:58" x14ac:dyDescent="0.15">
      <c r="BB666" s="26" t="str">
        <f>IFERROR($BC$2&amp;VLOOKUP(B668,'Pay Table'!$M$3:$N$18,2,FALSE)&amp;$BB$2&amp;C668&amp;$BD$2,"")</f>
        <v/>
      </c>
      <c r="BC666" s="1" t="str">
        <f>IFERROR($BC$2&amp;VLOOKUP(D668,'Pay Table'!$M$3:$N$18,2,FALSE)&amp;$BB$2&amp;E668&amp;$BD$2,"")</f>
        <v/>
      </c>
      <c r="BD666" s="1" t="str">
        <f>IFERROR($BC$2&amp;VLOOKUP(F668,'Pay Table'!$M$3:$N$18,2,FALSE)&amp;$BB$2&amp;G668&amp;$BD$2,"")</f>
        <v/>
      </c>
      <c r="BE666" s="1" t="str">
        <f>IFERROR($BC$2&amp;VLOOKUP(H668,'Pay Table'!$M$3:$N$18,2,FALSE)&amp;$BB$2&amp;I668&amp;$BD$2,"")</f>
        <v/>
      </c>
      <c r="BF666" s="27" t="str">
        <f>IFERROR($BC$2&amp;VLOOKUP(J668,'Pay Table'!$M$3:$N$18,2,FALSE)&amp;$BB$2&amp;K668&amp;$BD$2,"")</f>
        <v/>
      </c>
    </row>
    <row r="667" spans="54:58" x14ac:dyDescent="0.15">
      <c r="BB667" s="26" t="str">
        <f>IFERROR($BC$2&amp;VLOOKUP(B669,'Pay Table'!$M$3:$N$18,2,FALSE)&amp;$BB$2&amp;C669&amp;$BD$2,"")</f>
        <v/>
      </c>
      <c r="BC667" s="1" t="str">
        <f>IFERROR($BC$2&amp;VLOOKUP(D669,'Pay Table'!$M$3:$N$18,2,FALSE)&amp;$BB$2&amp;E669&amp;$BD$2,"")</f>
        <v/>
      </c>
      <c r="BD667" s="1" t="str">
        <f>IFERROR($BC$2&amp;VLOOKUP(F669,'Pay Table'!$M$3:$N$18,2,FALSE)&amp;$BB$2&amp;G669&amp;$BD$2,"")</f>
        <v/>
      </c>
      <c r="BE667" s="1" t="str">
        <f>IFERROR($BC$2&amp;VLOOKUP(H669,'Pay Table'!$M$3:$N$18,2,FALSE)&amp;$BB$2&amp;I669&amp;$BD$2,"")</f>
        <v/>
      </c>
      <c r="BF667" s="27" t="str">
        <f>IFERROR($BC$2&amp;VLOOKUP(J669,'Pay Table'!$M$3:$N$18,2,FALSE)&amp;$BB$2&amp;K669&amp;$BD$2,"")</f>
        <v/>
      </c>
    </row>
    <row r="668" spans="54:58" x14ac:dyDescent="0.15">
      <c r="BB668" s="26" t="str">
        <f>IFERROR($BC$2&amp;VLOOKUP(B670,'Pay Table'!$M$3:$N$18,2,FALSE)&amp;$BB$2&amp;C670&amp;$BD$2,"")</f>
        <v/>
      </c>
      <c r="BC668" s="1" t="str">
        <f>IFERROR($BC$2&amp;VLOOKUP(D670,'Pay Table'!$M$3:$N$18,2,FALSE)&amp;$BB$2&amp;E670&amp;$BD$2,"")</f>
        <v/>
      </c>
      <c r="BD668" s="1" t="str">
        <f>IFERROR($BC$2&amp;VLOOKUP(F670,'Pay Table'!$M$3:$N$18,2,FALSE)&amp;$BB$2&amp;G670&amp;$BD$2,"")</f>
        <v/>
      </c>
      <c r="BE668" s="1" t="str">
        <f>IFERROR($BC$2&amp;VLOOKUP(H670,'Pay Table'!$M$3:$N$18,2,FALSE)&amp;$BB$2&amp;I670&amp;$BD$2,"")</f>
        <v/>
      </c>
      <c r="BF668" s="27" t="str">
        <f>IFERROR($BC$2&amp;VLOOKUP(J670,'Pay Table'!$M$3:$N$18,2,FALSE)&amp;$BB$2&amp;K670&amp;$BD$2,"")</f>
        <v/>
      </c>
    </row>
    <row r="669" spans="54:58" x14ac:dyDescent="0.15">
      <c r="BB669" s="26" t="str">
        <f>IFERROR($BC$2&amp;VLOOKUP(B671,'Pay Table'!$M$3:$N$18,2,FALSE)&amp;$BB$2&amp;C671&amp;$BD$2,"")</f>
        <v/>
      </c>
      <c r="BC669" s="1" t="str">
        <f>IFERROR($BC$2&amp;VLOOKUP(D671,'Pay Table'!$M$3:$N$18,2,FALSE)&amp;$BB$2&amp;E671&amp;$BD$2,"")</f>
        <v/>
      </c>
      <c r="BD669" s="1" t="str">
        <f>IFERROR($BC$2&amp;VLOOKUP(F671,'Pay Table'!$M$3:$N$18,2,FALSE)&amp;$BB$2&amp;G671&amp;$BD$2,"")</f>
        <v/>
      </c>
      <c r="BE669" s="1" t="str">
        <f>IFERROR($BC$2&amp;VLOOKUP(H671,'Pay Table'!$M$3:$N$18,2,FALSE)&amp;$BB$2&amp;I671&amp;$BD$2,"")</f>
        <v/>
      </c>
      <c r="BF669" s="27" t="str">
        <f>IFERROR($BC$2&amp;VLOOKUP(J671,'Pay Table'!$M$3:$N$18,2,FALSE)&amp;$BB$2&amp;K671&amp;$BD$2,"")</f>
        <v/>
      </c>
    </row>
    <row r="670" spans="54:58" x14ac:dyDescent="0.15">
      <c r="BB670" s="26" t="str">
        <f>IFERROR($BC$2&amp;VLOOKUP(B672,'Pay Table'!$M$3:$N$18,2,FALSE)&amp;$BB$2&amp;C672&amp;$BD$2,"")</f>
        <v/>
      </c>
      <c r="BC670" s="1" t="str">
        <f>IFERROR($BC$2&amp;VLOOKUP(D672,'Pay Table'!$M$3:$N$18,2,FALSE)&amp;$BB$2&amp;E672&amp;$BD$2,"")</f>
        <v/>
      </c>
      <c r="BD670" s="1" t="str">
        <f>IFERROR($BC$2&amp;VLOOKUP(F672,'Pay Table'!$M$3:$N$18,2,FALSE)&amp;$BB$2&amp;G672&amp;$BD$2,"")</f>
        <v/>
      </c>
      <c r="BE670" s="1" t="str">
        <f>IFERROR($BC$2&amp;VLOOKUP(H672,'Pay Table'!$M$3:$N$18,2,FALSE)&amp;$BB$2&amp;I672&amp;$BD$2,"")</f>
        <v/>
      </c>
      <c r="BF670" s="27" t="str">
        <f>IFERROR($BC$2&amp;VLOOKUP(J672,'Pay Table'!$M$3:$N$18,2,FALSE)&amp;$BB$2&amp;K672&amp;$BD$2,"")</f>
        <v/>
      </c>
    </row>
    <row r="671" spans="54:58" x14ac:dyDescent="0.15">
      <c r="BB671" s="26" t="str">
        <f>IFERROR($BC$2&amp;VLOOKUP(B673,'Pay Table'!$M$3:$N$18,2,FALSE)&amp;$BB$2&amp;C673&amp;$BD$2,"")</f>
        <v/>
      </c>
      <c r="BC671" s="1" t="str">
        <f>IFERROR($BC$2&amp;VLOOKUP(D673,'Pay Table'!$M$3:$N$18,2,FALSE)&amp;$BB$2&amp;E673&amp;$BD$2,"")</f>
        <v/>
      </c>
      <c r="BD671" s="1" t="str">
        <f>IFERROR($BC$2&amp;VLOOKUP(F673,'Pay Table'!$M$3:$N$18,2,FALSE)&amp;$BB$2&amp;G673&amp;$BD$2,"")</f>
        <v/>
      </c>
      <c r="BE671" s="1" t="str">
        <f>IFERROR($BC$2&amp;VLOOKUP(H673,'Pay Table'!$M$3:$N$18,2,FALSE)&amp;$BB$2&amp;I673&amp;$BD$2,"")</f>
        <v/>
      </c>
      <c r="BF671" s="27" t="str">
        <f>IFERROR($BC$2&amp;VLOOKUP(J673,'Pay Table'!$M$3:$N$18,2,FALSE)&amp;$BB$2&amp;K673&amp;$BD$2,"")</f>
        <v/>
      </c>
    </row>
    <row r="672" spans="54:58" x14ac:dyDescent="0.15">
      <c r="BB672" s="26" t="str">
        <f>IFERROR($BC$2&amp;VLOOKUP(B674,'Pay Table'!$M$3:$N$18,2,FALSE)&amp;$BB$2&amp;C674&amp;$BD$2,"")</f>
        <v/>
      </c>
      <c r="BC672" s="1" t="str">
        <f>IFERROR($BC$2&amp;VLOOKUP(D674,'Pay Table'!$M$3:$N$18,2,FALSE)&amp;$BB$2&amp;E674&amp;$BD$2,"")</f>
        <v/>
      </c>
      <c r="BD672" s="1" t="str">
        <f>IFERROR($BC$2&amp;VLOOKUP(F674,'Pay Table'!$M$3:$N$18,2,FALSE)&amp;$BB$2&amp;G674&amp;$BD$2,"")</f>
        <v/>
      </c>
      <c r="BE672" s="1" t="str">
        <f>IFERROR($BC$2&amp;VLOOKUP(H674,'Pay Table'!$M$3:$N$18,2,FALSE)&amp;$BB$2&amp;I674&amp;$BD$2,"")</f>
        <v/>
      </c>
      <c r="BF672" s="27" t="str">
        <f>IFERROR($BC$2&amp;VLOOKUP(J674,'Pay Table'!$M$3:$N$18,2,FALSE)&amp;$BB$2&amp;K674&amp;$BD$2,"")</f>
        <v/>
      </c>
    </row>
    <row r="673" spans="54:58" x14ac:dyDescent="0.15">
      <c r="BB673" s="26" t="str">
        <f>IFERROR($BC$2&amp;VLOOKUP(B675,'Pay Table'!$M$3:$N$18,2,FALSE)&amp;$BB$2&amp;C675&amp;$BD$2,"")</f>
        <v/>
      </c>
      <c r="BC673" s="1" t="str">
        <f>IFERROR($BC$2&amp;VLOOKUP(D675,'Pay Table'!$M$3:$N$18,2,FALSE)&amp;$BB$2&amp;E675&amp;$BD$2,"")</f>
        <v/>
      </c>
      <c r="BD673" s="1" t="str">
        <f>IFERROR($BC$2&amp;VLOOKUP(F675,'Pay Table'!$M$3:$N$18,2,FALSE)&amp;$BB$2&amp;G675&amp;$BD$2,"")</f>
        <v/>
      </c>
      <c r="BE673" s="1" t="str">
        <f>IFERROR($BC$2&amp;VLOOKUP(H675,'Pay Table'!$M$3:$N$18,2,FALSE)&amp;$BB$2&amp;I675&amp;$BD$2,"")</f>
        <v/>
      </c>
      <c r="BF673" s="27" t="str">
        <f>IFERROR($BC$2&amp;VLOOKUP(J675,'Pay Table'!$M$3:$N$18,2,FALSE)&amp;$BB$2&amp;K675&amp;$BD$2,"")</f>
        <v/>
      </c>
    </row>
    <row r="674" spans="54:58" x14ac:dyDescent="0.15">
      <c r="BB674" s="26" t="str">
        <f>IFERROR($BC$2&amp;VLOOKUP(B676,'Pay Table'!$M$3:$N$18,2,FALSE)&amp;$BB$2&amp;C676&amp;$BD$2,"")</f>
        <v/>
      </c>
      <c r="BC674" s="1" t="str">
        <f>IFERROR($BC$2&amp;VLOOKUP(D676,'Pay Table'!$M$3:$N$18,2,FALSE)&amp;$BB$2&amp;E676&amp;$BD$2,"")</f>
        <v/>
      </c>
      <c r="BD674" s="1" t="str">
        <f>IFERROR($BC$2&amp;VLOOKUP(F676,'Pay Table'!$M$3:$N$18,2,FALSE)&amp;$BB$2&amp;G676&amp;$BD$2,"")</f>
        <v/>
      </c>
      <c r="BE674" s="1" t="str">
        <f>IFERROR($BC$2&amp;VLOOKUP(H676,'Pay Table'!$M$3:$N$18,2,FALSE)&amp;$BB$2&amp;I676&amp;$BD$2,"")</f>
        <v/>
      </c>
      <c r="BF674" s="27" t="str">
        <f>IFERROR($BC$2&amp;VLOOKUP(J676,'Pay Table'!$M$3:$N$18,2,FALSE)&amp;$BB$2&amp;K676&amp;$BD$2,"")</f>
        <v/>
      </c>
    </row>
    <row r="675" spans="54:58" x14ac:dyDescent="0.15">
      <c r="BB675" s="26" t="str">
        <f>IFERROR($BC$2&amp;VLOOKUP(B677,'Pay Table'!$M$3:$N$18,2,FALSE)&amp;$BB$2&amp;C677&amp;$BD$2,"")</f>
        <v/>
      </c>
      <c r="BC675" s="1" t="str">
        <f>IFERROR($BC$2&amp;VLOOKUP(D677,'Pay Table'!$M$3:$N$18,2,FALSE)&amp;$BB$2&amp;E677&amp;$BD$2,"")</f>
        <v/>
      </c>
      <c r="BD675" s="1" t="str">
        <f>IFERROR($BC$2&amp;VLOOKUP(F677,'Pay Table'!$M$3:$N$18,2,FALSE)&amp;$BB$2&amp;G677&amp;$BD$2,"")</f>
        <v/>
      </c>
      <c r="BE675" s="1" t="str">
        <f>IFERROR($BC$2&amp;VLOOKUP(H677,'Pay Table'!$M$3:$N$18,2,FALSE)&amp;$BB$2&amp;I677&amp;$BD$2,"")</f>
        <v/>
      </c>
      <c r="BF675" s="27" t="str">
        <f>IFERROR($BC$2&amp;VLOOKUP(J677,'Pay Table'!$M$3:$N$18,2,FALSE)&amp;$BB$2&amp;K677&amp;$BD$2,"")</f>
        <v/>
      </c>
    </row>
    <row r="676" spans="54:58" x14ac:dyDescent="0.15">
      <c r="BB676" s="26" t="str">
        <f>IFERROR($BC$2&amp;VLOOKUP(B678,'Pay Table'!$M$3:$N$18,2,FALSE)&amp;$BB$2&amp;C678&amp;$BD$2,"")</f>
        <v/>
      </c>
      <c r="BC676" s="1" t="str">
        <f>IFERROR($BC$2&amp;VLOOKUP(D678,'Pay Table'!$M$3:$N$18,2,FALSE)&amp;$BB$2&amp;E678&amp;$BD$2,"")</f>
        <v/>
      </c>
      <c r="BD676" s="1" t="str">
        <f>IFERROR($BC$2&amp;VLOOKUP(F678,'Pay Table'!$M$3:$N$18,2,FALSE)&amp;$BB$2&amp;G678&amp;$BD$2,"")</f>
        <v/>
      </c>
      <c r="BE676" s="1" t="str">
        <f>IFERROR($BC$2&amp;VLOOKUP(H678,'Pay Table'!$M$3:$N$18,2,FALSE)&amp;$BB$2&amp;I678&amp;$BD$2,"")</f>
        <v/>
      </c>
      <c r="BF676" s="27" t="str">
        <f>IFERROR($BC$2&amp;VLOOKUP(J678,'Pay Table'!$M$3:$N$18,2,FALSE)&amp;$BB$2&amp;K678&amp;$BD$2,"")</f>
        <v/>
      </c>
    </row>
    <row r="677" spans="54:58" x14ac:dyDescent="0.15">
      <c r="BB677" s="26" t="str">
        <f>IFERROR($BC$2&amp;VLOOKUP(B679,'Pay Table'!$M$3:$N$18,2,FALSE)&amp;$BB$2&amp;C679&amp;$BD$2,"")</f>
        <v/>
      </c>
      <c r="BC677" s="1" t="str">
        <f>IFERROR($BC$2&amp;VLOOKUP(D679,'Pay Table'!$M$3:$N$18,2,FALSE)&amp;$BB$2&amp;E679&amp;$BD$2,"")</f>
        <v/>
      </c>
      <c r="BD677" s="1" t="str">
        <f>IFERROR($BC$2&amp;VLOOKUP(F679,'Pay Table'!$M$3:$N$18,2,FALSE)&amp;$BB$2&amp;G679&amp;$BD$2,"")</f>
        <v/>
      </c>
      <c r="BE677" s="1" t="str">
        <f>IFERROR($BC$2&amp;VLOOKUP(H679,'Pay Table'!$M$3:$N$18,2,FALSE)&amp;$BB$2&amp;I679&amp;$BD$2,"")</f>
        <v/>
      </c>
      <c r="BF677" s="27" t="str">
        <f>IFERROR($BC$2&amp;VLOOKUP(J679,'Pay Table'!$M$3:$N$18,2,FALSE)&amp;$BB$2&amp;K679&amp;$BD$2,"")</f>
        <v/>
      </c>
    </row>
    <row r="678" spans="54:58" x14ac:dyDescent="0.15">
      <c r="BB678" s="26" t="str">
        <f>IFERROR($BC$2&amp;VLOOKUP(B680,'Pay Table'!$M$3:$N$18,2,FALSE)&amp;$BB$2&amp;C680&amp;$BD$2,"")</f>
        <v/>
      </c>
      <c r="BC678" s="1" t="str">
        <f>IFERROR($BC$2&amp;VLOOKUP(D680,'Pay Table'!$M$3:$N$18,2,FALSE)&amp;$BB$2&amp;E680&amp;$BD$2,"")</f>
        <v/>
      </c>
      <c r="BD678" s="1" t="str">
        <f>IFERROR($BC$2&amp;VLOOKUP(F680,'Pay Table'!$M$3:$N$18,2,FALSE)&amp;$BB$2&amp;G680&amp;$BD$2,"")</f>
        <v/>
      </c>
      <c r="BE678" s="1" t="str">
        <f>IFERROR($BC$2&amp;VLOOKUP(H680,'Pay Table'!$M$3:$N$18,2,FALSE)&amp;$BB$2&amp;I680&amp;$BD$2,"")</f>
        <v/>
      </c>
      <c r="BF678" s="27" t="str">
        <f>IFERROR($BC$2&amp;VLOOKUP(J680,'Pay Table'!$M$3:$N$18,2,FALSE)&amp;$BB$2&amp;K680&amp;$BD$2,"")</f>
        <v/>
      </c>
    </row>
    <row r="679" spans="54:58" x14ac:dyDescent="0.15">
      <c r="BB679" s="26" t="str">
        <f>IFERROR($BC$2&amp;VLOOKUP(B681,'Pay Table'!$M$3:$N$18,2,FALSE)&amp;$BB$2&amp;C681&amp;$BD$2,"")</f>
        <v/>
      </c>
      <c r="BC679" s="1" t="str">
        <f>IFERROR($BC$2&amp;VLOOKUP(D681,'Pay Table'!$M$3:$N$18,2,FALSE)&amp;$BB$2&amp;E681&amp;$BD$2,"")</f>
        <v/>
      </c>
      <c r="BD679" s="1" t="str">
        <f>IFERROR($BC$2&amp;VLOOKUP(F681,'Pay Table'!$M$3:$N$18,2,FALSE)&amp;$BB$2&amp;G681&amp;$BD$2,"")</f>
        <v/>
      </c>
      <c r="BE679" s="1" t="str">
        <f>IFERROR($BC$2&amp;VLOOKUP(H681,'Pay Table'!$M$3:$N$18,2,FALSE)&amp;$BB$2&amp;I681&amp;$BD$2,"")</f>
        <v/>
      </c>
      <c r="BF679" s="27" t="str">
        <f>IFERROR($BC$2&amp;VLOOKUP(J681,'Pay Table'!$M$3:$N$18,2,FALSE)&amp;$BB$2&amp;K681&amp;$BD$2,"")</f>
        <v/>
      </c>
    </row>
    <row r="680" spans="54:58" x14ac:dyDescent="0.15">
      <c r="BB680" s="26" t="str">
        <f>IFERROR($BC$2&amp;VLOOKUP(B682,'Pay Table'!$M$3:$N$18,2,FALSE)&amp;$BB$2&amp;C682&amp;$BD$2,"")</f>
        <v/>
      </c>
      <c r="BC680" s="1" t="str">
        <f>IFERROR($BC$2&amp;VLOOKUP(D682,'Pay Table'!$M$3:$N$18,2,FALSE)&amp;$BB$2&amp;E682&amp;$BD$2,"")</f>
        <v/>
      </c>
      <c r="BD680" s="1" t="str">
        <f>IFERROR($BC$2&amp;VLOOKUP(F682,'Pay Table'!$M$3:$N$18,2,FALSE)&amp;$BB$2&amp;G682&amp;$BD$2,"")</f>
        <v/>
      </c>
      <c r="BE680" s="1" t="str">
        <f>IFERROR($BC$2&amp;VLOOKUP(H682,'Pay Table'!$M$3:$N$18,2,FALSE)&amp;$BB$2&amp;I682&amp;$BD$2,"")</f>
        <v/>
      </c>
      <c r="BF680" s="27" t="str">
        <f>IFERROR($BC$2&amp;VLOOKUP(J682,'Pay Table'!$M$3:$N$18,2,FALSE)&amp;$BB$2&amp;K682&amp;$BD$2,"")</f>
        <v/>
      </c>
    </row>
    <row r="681" spans="54:58" x14ac:dyDescent="0.15">
      <c r="BB681" s="26" t="str">
        <f>IFERROR($BC$2&amp;VLOOKUP(B683,'Pay Table'!$M$3:$N$18,2,FALSE)&amp;$BB$2&amp;C683&amp;$BD$2,"")</f>
        <v/>
      </c>
      <c r="BC681" s="1" t="str">
        <f>IFERROR($BC$2&amp;VLOOKUP(D683,'Pay Table'!$M$3:$N$18,2,FALSE)&amp;$BB$2&amp;E683&amp;$BD$2,"")</f>
        <v/>
      </c>
      <c r="BD681" s="1" t="str">
        <f>IFERROR($BC$2&amp;VLOOKUP(F683,'Pay Table'!$M$3:$N$18,2,FALSE)&amp;$BB$2&amp;G683&amp;$BD$2,"")</f>
        <v/>
      </c>
      <c r="BE681" s="1" t="str">
        <f>IFERROR($BC$2&amp;VLOOKUP(H683,'Pay Table'!$M$3:$N$18,2,FALSE)&amp;$BB$2&amp;I683&amp;$BD$2,"")</f>
        <v/>
      </c>
      <c r="BF681" s="27" t="str">
        <f>IFERROR($BC$2&amp;VLOOKUP(J683,'Pay Table'!$M$3:$N$18,2,FALSE)&amp;$BB$2&amp;K683&amp;$BD$2,"")</f>
        <v/>
      </c>
    </row>
    <row r="682" spans="54:58" x14ac:dyDescent="0.15">
      <c r="BB682" s="26" t="str">
        <f>IFERROR($BC$2&amp;VLOOKUP(B684,'Pay Table'!$M$3:$N$18,2,FALSE)&amp;$BB$2&amp;C684&amp;$BD$2,"")</f>
        <v/>
      </c>
      <c r="BC682" s="1" t="str">
        <f>IFERROR($BC$2&amp;VLOOKUP(D684,'Pay Table'!$M$3:$N$18,2,FALSE)&amp;$BB$2&amp;E684&amp;$BD$2,"")</f>
        <v/>
      </c>
      <c r="BD682" s="1" t="str">
        <f>IFERROR($BC$2&amp;VLOOKUP(F684,'Pay Table'!$M$3:$N$18,2,FALSE)&amp;$BB$2&amp;G684&amp;$BD$2,"")</f>
        <v/>
      </c>
      <c r="BE682" s="1" t="str">
        <f>IFERROR($BC$2&amp;VLOOKUP(H684,'Pay Table'!$M$3:$N$18,2,FALSE)&amp;$BB$2&amp;I684&amp;$BD$2,"")</f>
        <v/>
      </c>
      <c r="BF682" s="27" t="str">
        <f>IFERROR($BC$2&amp;VLOOKUP(J684,'Pay Table'!$M$3:$N$18,2,FALSE)&amp;$BB$2&amp;K684&amp;$BD$2,"")</f>
        <v/>
      </c>
    </row>
    <row r="683" spans="54:58" ht="15.75" thickBot="1" x14ac:dyDescent="0.2">
      <c r="BB683" s="29" t="str">
        <f>IFERROR($BC$2&amp;VLOOKUP(B685,'Pay Table'!$M$3:$N$18,2,FALSE)&amp;$BB$2&amp;C685&amp;$BD$2,"")</f>
        <v/>
      </c>
      <c r="BC683" s="34" t="str">
        <f>IFERROR($BC$2&amp;VLOOKUP(D685,'Pay Table'!$M$3:$N$18,2,FALSE)&amp;$BB$2&amp;E685&amp;$BD$2,"")</f>
        <v/>
      </c>
      <c r="BD683" s="34" t="str">
        <f>IFERROR($BC$2&amp;VLOOKUP(F685,'Pay Table'!$M$3:$N$18,2,FALSE)&amp;$BB$2&amp;G685&amp;$BD$2,"")</f>
        <v/>
      </c>
      <c r="BE683" s="34" t="str">
        <f>IFERROR($BC$2&amp;VLOOKUP(H685,'Pay Table'!$M$3:$N$18,2,FALSE)&amp;$BB$2&amp;I685&amp;$BD$2,"")</f>
        <v/>
      </c>
      <c r="BF683" s="28" t="str">
        <f>IFERROR($BC$2&amp;VLOOKUP(J685,'Pay Table'!$M$3:$N$18,2,FALSE)&amp;$BB$2&amp;K685&amp;$BD$2,"")</f>
        <v/>
      </c>
    </row>
  </sheetData>
  <phoneticPr fontId="8" type="noConversion"/>
  <conditionalFormatting sqref="A1:A222">
    <cfRule type="cellIs" dxfId="312" priority="272" operator="equal">
      <formula>"NONE"</formula>
    </cfRule>
  </conditionalFormatting>
  <conditionalFormatting sqref="A2:A49">
    <cfRule type="cellIs" dxfId="311" priority="271" operator="equal">
      <formula>"COIN"</formula>
    </cfRule>
  </conditionalFormatting>
  <conditionalFormatting sqref="B6:B66">
    <cfRule type="cellIs" dxfId="310" priority="51" operator="equal">
      <formula>"SCATTER"</formula>
    </cfRule>
    <cfRule type="cellIs" dxfId="309" priority="52" operator="equal">
      <formula>"WILD"</formula>
    </cfRule>
  </conditionalFormatting>
  <conditionalFormatting sqref="B128:F137">
    <cfRule type="cellIs" dxfId="308" priority="79" operator="equal">
      <formula>"pear"</formula>
    </cfRule>
  </conditionalFormatting>
  <conditionalFormatting sqref="B141:J207">
    <cfRule type="cellIs" dxfId="307" priority="84" operator="equal">
      <formula>"link"</formula>
    </cfRule>
    <cfRule type="cellIs" dxfId="306" priority="85" operator="equal">
      <formula>"scatter"</formula>
    </cfRule>
    <cfRule type="cellIs" dxfId="305" priority="86" operator="equal">
      <formula>"scatter"</formula>
    </cfRule>
    <cfRule type="cellIs" dxfId="304" priority="87" operator="equal">
      <formula>"wild"</formula>
    </cfRule>
  </conditionalFormatting>
  <conditionalFormatting sqref="B1:K1048576">
    <cfRule type="cellIs" dxfId="303" priority="50" operator="equal">
      <formula>"LINK"</formula>
    </cfRule>
  </conditionalFormatting>
  <conditionalFormatting sqref="B2:K3 K4:K5">
    <cfRule type="cellIs" dxfId="302" priority="117" operator="equal">
      <formula>"WILD"</formula>
    </cfRule>
  </conditionalFormatting>
  <conditionalFormatting sqref="B2:K5 B128:K1048576">
    <cfRule type="cellIs" dxfId="301" priority="69" operator="equal">
      <formula>"link"</formula>
    </cfRule>
    <cfRule type="cellIs" dxfId="300" priority="70" operator="equal">
      <formula>"scatter"</formula>
    </cfRule>
    <cfRule type="cellIs" dxfId="299" priority="71" operator="equal">
      <formula>"wild"</formula>
    </cfRule>
    <cfRule type="cellIs" dxfId="298" priority="72" operator="equal">
      <formula>"scatter"</formula>
    </cfRule>
  </conditionalFormatting>
  <conditionalFormatting sqref="B2:K5 C87:G115 I87:K115 C116:K121 B122:K1048576">
    <cfRule type="cellIs" dxfId="297" priority="67" operator="equal">
      <formula>"WILD"</formula>
    </cfRule>
    <cfRule type="cellIs" dxfId="296" priority="68" operator="equal">
      <formula>"SCATTER"</formula>
    </cfRule>
  </conditionalFormatting>
  <conditionalFormatting sqref="B2:K5">
    <cfRule type="cellIs" dxfId="295" priority="116" operator="equal">
      <formula>"NONE"</formula>
    </cfRule>
  </conditionalFormatting>
  <conditionalFormatting sqref="B3:K5">
    <cfRule type="cellIs" dxfId="294" priority="115" operator="equal">
      <formula>"COIN"</formula>
    </cfRule>
  </conditionalFormatting>
  <conditionalFormatting sqref="B128:K141">
    <cfRule type="cellIs" dxfId="293" priority="75" operator="equal">
      <formula>"SCATTER"</formula>
    </cfRule>
  </conditionalFormatting>
  <conditionalFormatting sqref="B128:K221">
    <cfRule type="cellIs" dxfId="292" priority="74" operator="equal">
      <formula>"WILD"</formula>
    </cfRule>
  </conditionalFormatting>
  <conditionalFormatting sqref="B128:K1048576 B2:K5">
    <cfRule type="cellIs" dxfId="291" priority="73" operator="equal">
      <formula>"MAGIC"</formula>
    </cfRule>
  </conditionalFormatting>
  <conditionalFormatting sqref="B138:K140">
    <cfRule type="cellIs" dxfId="290" priority="83" operator="equal">
      <formula>"pear"</formula>
    </cfRule>
  </conditionalFormatting>
  <conditionalFormatting sqref="B208:K210">
    <cfRule type="cellIs" dxfId="289" priority="112" operator="equal">
      <formula>"SCATTER"</formula>
    </cfRule>
  </conditionalFormatting>
  <conditionalFormatting sqref="B208:K221">
    <cfRule type="cellIs" dxfId="288" priority="108" operator="equal">
      <formula>"WILD"</formula>
    </cfRule>
    <cfRule type="cellIs" dxfId="287" priority="109" operator="equal">
      <formula>"SCATTER"</formula>
    </cfRule>
    <cfRule type="cellIs" dxfId="286" priority="110" operator="equal">
      <formula>"LINK_2"</formula>
    </cfRule>
    <cfRule type="cellIs" dxfId="285" priority="111" operator="equal">
      <formula>"LINK_1"</formula>
    </cfRule>
  </conditionalFormatting>
  <conditionalFormatting sqref="B208:K1048576">
    <cfRule type="cellIs" dxfId="284" priority="113" operator="equal">
      <formula>"WILD"</formula>
    </cfRule>
  </conditionalFormatting>
  <conditionalFormatting sqref="B220:K223">
    <cfRule type="cellIs" dxfId="283" priority="114" operator="equal">
      <formula>"NONE"</formula>
    </cfRule>
  </conditionalFormatting>
  <conditionalFormatting sqref="D28:G63 C28:C66 D64:D66 F64:G66 D67:G67 C68:G85 C6:G27">
    <cfRule type="cellIs" dxfId="282" priority="58" operator="equal">
      <formula>"LINK"</formula>
    </cfRule>
  </conditionalFormatting>
  <conditionalFormatting sqref="I6:K85 C64:D66 F64:G66 C67:G85 C6:G63">
    <cfRule type="cellIs" dxfId="281" priority="57" operator="equal">
      <formula>"WILD"</formula>
    </cfRule>
  </conditionalFormatting>
  <conditionalFormatting sqref="C87:G115 I87:K115 C116:K121 B122:K132">
    <cfRule type="cellIs" dxfId="280" priority="65" operator="equal">
      <formula>"MAGIC"</formula>
    </cfRule>
  </conditionalFormatting>
  <conditionalFormatting sqref="C86:H115">
    <cfRule type="cellIs" dxfId="279" priority="63" operator="equal">
      <formula>"LINK"</formula>
    </cfRule>
  </conditionalFormatting>
  <conditionalFormatting sqref="D49">
    <cfRule type="cellIs" dxfId="278" priority="12" operator="equal">
      <formula>"SCATTER"</formula>
    </cfRule>
    <cfRule type="cellIs" dxfId="277" priority="13" operator="equal">
      <formula>"WILD"</formula>
    </cfRule>
  </conditionalFormatting>
  <conditionalFormatting sqref="F37">
    <cfRule type="cellIs" dxfId="276" priority="10" operator="equal">
      <formula>"SCATTER"</formula>
    </cfRule>
    <cfRule type="cellIs" dxfId="275" priority="11" operator="equal">
      <formula>"WILD"</formula>
    </cfRule>
  </conditionalFormatting>
  <conditionalFormatting sqref="F128:K140">
    <cfRule type="cellIs" dxfId="274" priority="80" operator="equal">
      <formula>"MIGHTCASH"</formula>
    </cfRule>
  </conditionalFormatting>
  <conditionalFormatting sqref="G128:G140">
    <cfRule type="cellIs" dxfId="273" priority="78" operator="equal">
      <formula>"pear"</formula>
    </cfRule>
  </conditionalFormatting>
  <conditionalFormatting sqref="H6:H115">
    <cfRule type="cellIs" dxfId="272" priority="1" operator="equal">
      <formula>"SCATTER"</formula>
    </cfRule>
    <cfRule type="cellIs" dxfId="271" priority="2" operator="equal">
      <formula>"WILD"</formula>
    </cfRule>
  </conditionalFormatting>
  <conditionalFormatting sqref="H12">
    <cfRule type="cellIs" dxfId="270" priority="21" operator="equal">
      <formula>"LINK"</formula>
    </cfRule>
  </conditionalFormatting>
  <conditionalFormatting sqref="H14">
    <cfRule type="cellIs" dxfId="269" priority="18" operator="equal">
      <formula>"LINK"</formula>
    </cfRule>
  </conditionalFormatting>
  <conditionalFormatting sqref="H62">
    <cfRule type="cellIs" dxfId="268" priority="3" operator="equal">
      <formula>"LINK"</formula>
    </cfRule>
  </conditionalFormatting>
  <conditionalFormatting sqref="H128:H137">
    <cfRule type="cellIs" dxfId="267" priority="82" operator="equal">
      <formula>"pear"</formula>
    </cfRule>
  </conditionalFormatting>
  <conditionalFormatting sqref="H66:I66">
    <cfRule type="cellIs" dxfId="266" priority="26" operator="equal">
      <formula>"LINK"</formula>
    </cfRule>
  </conditionalFormatting>
  <conditionalFormatting sqref="H6:K85">
    <cfRule type="cellIs" dxfId="265" priority="55" operator="equal">
      <formula>"LINK"</formula>
    </cfRule>
  </conditionalFormatting>
  <conditionalFormatting sqref="I5:I8 B6:K85">
    <cfRule type="cellIs" dxfId="264" priority="48" operator="equal">
      <formula>"M2"</formula>
    </cfRule>
    <cfRule type="cellIs" dxfId="263" priority="49" operator="equal">
      <formula>"M1"</formula>
    </cfRule>
  </conditionalFormatting>
  <conditionalFormatting sqref="I5:I8 I6:K85 C64:D66 F64:G66 C67:G85 C6:G63">
    <cfRule type="cellIs" dxfId="262" priority="56" operator="equal">
      <formula>"SCATTER"</formula>
    </cfRule>
  </conditionalFormatting>
  <conditionalFormatting sqref="I5:I8">
    <cfRule type="cellIs" dxfId="261" priority="33" operator="equal">
      <formula>"WILD"</formula>
    </cfRule>
    <cfRule type="cellIs" dxfId="260" priority="45" operator="equal">
      <formula>"LINK"</formula>
    </cfRule>
  </conditionalFormatting>
  <conditionalFormatting sqref="I6:I8">
    <cfRule type="cellIs" dxfId="259" priority="32" operator="equal">
      <formula>"LINK"</formula>
    </cfRule>
    <cfRule type="cellIs" dxfId="258" priority="34" operator="equal">
      <formula>"SCATTER"</formula>
    </cfRule>
    <cfRule type="cellIs" dxfId="257" priority="35" operator="equal">
      <formula>"link"</formula>
    </cfRule>
    <cfRule type="cellIs" dxfId="256" priority="36" operator="equal">
      <formula>"scatter"</formula>
    </cfRule>
    <cfRule type="cellIs" dxfId="255" priority="37" operator="equal">
      <formula>"wild"</formula>
    </cfRule>
    <cfRule type="cellIs" dxfId="254" priority="38" operator="equal">
      <formula>"scatter"</formula>
    </cfRule>
    <cfRule type="cellIs" dxfId="253" priority="39" operator="equal">
      <formula>"MAGIC"</formula>
    </cfRule>
    <cfRule type="cellIs" dxfId="252" priority="40" operator="equal">
      <formula>"COIN"</formula>
    </cfRule>
    <cfRule type="cellIs" dxfId="251" priority="41" operator="equal">
      <formula>"NONE"</formula>
    </cfRule>
  </conditionalFormatting>
  <conditionalFormatting sqref="I13">
    <cfRule type="cellIs" dxfId="250" priority="31" operator="equal">
      <formula>"LINK"</formula>
    </cfRule>
  </conditionalFormatting>
  <conditionalFormatting sqref="I25">
    <cfRule type="cellIs" dxfId="249" priority="30" operator="equal">
      <formula>"LINK"</formula>
    </cfRule>
  </conditionalFormatting>
  <conditionalFormatting sqref="I42:I44">
    <cfRule type="cellIs" dxfId="248" priority="5" operator="equal">
      <formula>"LINK"</formula>
    </cfRule>
  </conditionalFormatting>
  <conditionalFormatting sqref="I56:I58">
    <cfRule type="cellIs" dxfId="247" priority="42" operator="equal">
      <formula>"LINK"</formula>
    </cfRule>
  </conditionalFormatting>
  <conditionalFormatting sqref="I128:I140">
    <cfRule type="cellIs" dxfId="246" priority="77" operator="equal">
      <formula>"pear"</formula>
    </cfRule>
  </conditionalFormatting>
  <conditionalFormatting sqref="J25">
    <cfRule type="cellIs" dxfId="245" priority="6" operator="equal">
      <formula>"SCATTER"</formula>
    </cfRule>
    <cfRule type="cellIs" dxfId="244" priority="7" operator="equal">
      <formula>"WILD"</formula>
    </cfRule>
  </conditionalFormatting>
  <conditionalFormatting sqref="J31:J32">
    <cfRule type="cellIs" dxfId="243" priority="14" operator="equal">
      <formula>"LINK"</formula>
    </cfRule>
  </conditionalFormatting>
  <conditionalFormatting sqref="J128:J137">
    <cfRule type="cellIs" dxfId="242" priority="81" operator="equal">
      <formula>"pear"</formula>
    </cfRule>
  </conditionalFormatting>
  <conditionalFormatting sqref="J49:K49">
    <cfRule type="cellIs" dxfId="241" priority="23" operator="equal">
      <formula>"LINK"</formula>
    </cfRule>
  </conditionalFormatting>
  <conditionalFormatting sqref="J69:K69">
    <cfRule type="cellIs" dxfId="240" priority="22" operator="equal">
      <formula>"LINK"</formula>
    </cfRule>
  </conditionalFormatting>
  <conditionalFormatting sqref="J86:K86 I87:K115 C116:K121">
    <cfRule type="cellIs" dxfId="239" priority="64" operator="equal">
      <formula>"LINK"</formula>
    </cfRule>
  </conditionalFormatting>
  <conditionalFormatting sqref="K7:K9">
    <cfRule type="cellIs" dxfId="238" priority="43" operator="equal">
      <formula>"LINK"</formula>
    </cfRule>
  </conditionalFormatting>
  <conditionalFormatting sqref="K25:K27">
    <cfRule type="cellIs" dxfId="237" priority="4" operator="equal">
      <formula>"LINK"</formula>
    </cfRule>
  </conditionalFormatting>
  <conditionalFormatting sqref="K42:K44">
    <cfRule type="cellIs" dxfId="236" priority="44" operator="equal">
      <formula>"LINK"</formula>
    </cfRule>
  </conditionalFormatting>
  <conditionalFormatting sqref="K77:K85">
    <cfRule type="cellIs" dxfId="235" priority="60" operator="equal">
      <formula>"LINK"</formula>
    </cfRule>
  </conditionalFormatting>
  <conditionalFormatting sqref="K77:K86">
    <cfRule type="cellIs" dxfId="234" priority="59" operator="equal">
      <formula>"MAGIC"</formula>
    </cfRule>
    <cfRule type="cellIs" dxfId="233" priority="61" operator="equal">
      <formula>"WILD"</formula>
    </cfRule>
    <cfRule type="cellIs" dxfId="232" priority="62" operator="equal">
      <formula>"SCATTER"</formula>
    </cfRule>
  </conditionalFormatting>
  <conditionalFormatting sqref="K86 I87:K115 C116:K121 C87:G115 B2:K5 B122:K1048576">
    <cfRule type="cellIs" dxfId="231" priority="66" operator="equal">
      <formula>"LINK"</formula>
    </cfRule>
  </conditionalFormatting>
  <conditionalFormatting sqref="K128:K140">
    <cfRule type="cellIs" dxfId="230" priority="76" operator="equal">
      <formula>"pear"</formula>
    </cfRule>
  </conditionalFormatting>
  <conditionalFormatting sqref="K141:K165">
    <cfRule type="cellIs" dxfId="229" priority="88" operator="equal">
      <formula>"LINK"</formula>
    </cfRule>
    <cfRule type="cellIs" dxfId="228" priority="93" operator="equal">
      <formula>"BONUS"</formula>
    </cfRule>
  </conditionalFormatting>
  <conditionalFormatting sqref="K141:K170">
    <cfRule type="cellIs" dxfId="227" priority="95" operator="equal">
      <formula>"BONUS"</formula>
    </cfRule>
    <cfRule type="cellIs" dxfId="226" priority="96" operator="equal">
      <formula>"LINK"</formula>
    </cfRule>
    <cfRule type="cellIs" dxfId="225" priority="97" operator="equal">
      <formula>"S2"</formula>
    </cfRule>
    <cfRule type="cellIs" dxfId="224" priority="98" operator="equal">
      <formula>"S1"</formula>
    </cfRule>
    <cfRule type="cellIs" dxfId="223" priority="99" operator="equal">
      <formula>"MYSTIC"</formula>
    </cfRule>
    <cfRule type="cellIs" dxfId="222" priority="100" operator="equal">
      <formula>"s2"</formula>
    </cfRule>
    <cfRule type="cellIs" dxfId="221" priority="101" operator="equal">
      <formula>"s1"</formula>
    </cfRule>
    <cfRule type="cellIs" dxfId="220" priority="102" operator="equal">
      <formula>"m1"</formula>
    </cfRule>
    <cfRule type="cellIs" dxfId="219" priority="103" operator="equal">
      <formula>"scatter"</formula>
    </cfRule>
    <cfRule type="cellIs" dxfId="218" priority="104" operator="equal">
      <formula>"M"</formula>
    </cfRule>
    <cfRule type="cellIs" dxfId="217" priority="105" operator="equal">
      <formula>"wild"</formula>
    </cfRule>
    <cfRule type="cellIs" dxfId="216" priority="106" operator="equal">
      <formula>"link"</formula>
    </cfRule>
  </conditionalFormatting>
  <conditionalFormatting sqref="K141:K207">
    <cfRule type="cellIs" dxfId="215" priority="89" operator="equal">
      <formula>"WILD"</formula>
    </cfRule>
    <cfRule type="cellIs" dxfId="214" priority="90" operator="equal">
      <formula>"SCATTER"</formula>
    </cfRule>
    <cfRule type="cellIs" dxfId="213" priority="91" operator="equal">
      <formula>"LINK_2"</formula>
    </cfRule>
    <cfRule type="cellIs" dxfId="212" priority="92" operator="equal">
      <formula>"LINK_1"</formula>
    </cfRule>
    <cfRule type="cellIs" dxfId="211" priority="94" operator="equal">
      <formula>"WILD"</formula>
    </cfRule>
    <cfRule type="cellIs" dxfId="210" priority="107" operator="equal">
      <formula>"SCATTER"</formula>
    </cfRule>
  </conditionalFormatting>
  <conditionalFormatting sqref="L3:L15">
    <cfRule type="cellIs" dxfId="209" priority="274" operator="equal">
      <formula>$L$7</formula>
    </cfRule>
    <cfRule type="cellIs" dxfId="208" priority="275" operator="equal">
      <formula>$L$6</formula>
    </cfRule>
    <cfRule type="cellIs" dxfId="207" priority="276" operator="equal">
      <formula>$L$5</formula>
    </cfRule>
    <cfRule type="cellIs" dxfId="206" priority="277" operator="equal">
      <formula>$L$4</formula>
    </cfRule>
    <cfRule type="cellIs" dxfId="205" priority="278" operator="equal">
      <formula>$L$3</formula>
    </cfRule>
  </conditionalFormatting>
  <conditionalFormatting sqref="BB2:BF2 BB3:BE3 BB4:BF98 BC99:BF141 BB99:BB151">
    <cfRule type="cellIs" dxfId="204" priority="279" operator="equal">
      <formula>#REF!</formula>
    </cfRule>
    <cfRule type="cellIs" dxfId="203" priority="280" operator="equal">
      <formula>#REF!</formula>
    </cfRule>
    <cfRule type="cellIs" dxfId="202" priority="281" operator="equal">
      <formula>#REF!</formula>
    </cfRule>
    <cfRule type="cellIs" dxfId="201" priority="282" operator="equal">
      <formula>#REF!</formula>
    </cfRule>
    <cfRule type="cellIs" dxfId="200" priority="283" operator="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BE34-16D4-48D4-98CB-D84115149FC6}">
  <dimension ref="A1:BK249"/>
  <sheetViews>
    <sheetView topLeftCell="F64" zoomScaleNormal="100" workbookViewId="0">
      <selection activeCell="S73" sqref="S73"/>
    </sheetView>
  </sheetViews>
  <sheetFormatPr defaultColWidth="15.625" defaultRowHeight="15" x14ac:dyDescent="0.15"/>
  <cols>
    <col min="1" max="1" width="15.625" style="113"/>
    <col min="2" max="2" width="14.125" style="113" customWidth="1"/>
    <col min="3" max="3" width="10.875" style="113" customWidth="1"/>
    <col min="4" max="4" width="11.25" style="113" bestFit="1" customWidth="1"/>
    <col min="5" max="5" width="13.375" style="113" customWidth="1"/>
    <col min="6" max="6" width="13.875" style="113" bestFit="1" customWidth="1"/>
    <col min="7" max="7" width="8.625" style="113" customWidth="1"/>
    <col min="8" max="8" width="16.375" style="113" customWidth="1"/>
    <col min="9" max="9" width="12" style="113" bestFit="1" customWidth="1"/>
    <col min="10" max="10" width="12" style="113" customWidth="1"/>
    <col min="11" max="11" width="15.875" style="113" bestFit="1" customWidth="1"/>
    <col min="12" max="12" width="14.375" style="113" bestFit="1" customWidth="1"/>
    <col min="13" max="13" width="8.625" style="113" customWidth="1"/>
    <col min="14" max="14" width="15.625" style="113"/>
    <col min="15" max="15" width="11.375" style="113" customWidth="1"/>
    <col min="16" max="16" width="16" style="1" bestFit="1" customWidth="1"/>
    <col min="17" max="17" width="9.5" style="113" bestFit="1" customWidth="1"/>
    <col min="18" max="18" width="7.875" style="113" customWidth="1"/>
    <col min="19" max="19" width="7.125" style="113" bestFit="1" customWidth="1"/>
    <col min="20" max="20" width="15.875" style="113" bestFit="1" customWidth="1"/>
    <col min="21" max="21" width="7.125" style="113" customWidth="1"/>
    <col min="22" max="22" width="7.125" style="113" bestFit="1" customWidth="1"/>
    <col min="23" max="23" width="8.875" style="113" bestFit="1" customWidth="1"/>
    <col min="24" max="24" width="7.125" style="113" bestFit="1" customWidth="1"/>
    <col min="25" max="25" width="12" style="113" bestFit="1" customWidth="1"/>
    <col min="26" max="26" width="7.875" style="113" bestFit="1" customWidth="1"/>
    <col min="27" max="30" width="7.125" style="113" bestFit="1" customWidth="1"/>
    <col min="31" max="45" width="7.125" style="113" customWidth="1"/>
    <col min="46" max="72" width="7.375" style="113" customWidth="1"/>
    <col min="73" max="16384" width="15.625" style="113"/>
  </cols>
  <sheetData>
    <row r="1" spans="2:48" ht="15.75" thickBot="1" x14ac:dyDescent="0.2"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 t="s">
        <v>181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P1" s="1"/>
      <c r="AQ1" s="1"/>
      <c r="AR1" s="1"/>
      <c r="AS1" s="1"/>
      <c r="AT1" s="1"/>
    </row>
    <row r="2" spans="2:48" ht="22.5" thickBot="1" x14ac:dyDescent="0.2">
      <c r="O2" s="114" t="s">
        <v>182</v>
      </c>
      <c r="P2" s="115">
        <v>0</v>
      </c>
      <c r="Q2" s="116">
        <v>1</v>
      </c>
      <c r="R2" s="116">
        <v>2</v>
      </c>
      <c r="S2" s="116">
        <v>3</v>
      </c>
      <c r="T2" s="116">
        <v>4</v>
      </c>
      <c r="U2" s="116">
        <v>5</v>
      </c>
      <c r="V2" s="116">
        <v>6</v>
      </c>
      <c r="W2" s="116">
        <v>7</v>
      </c>
      <c r="X2" s="116">
        <v>8</v>
      </c>
      <c r="Y2" s="116">
        <v>9</v>
      </c>
      <c r="Z2" s="116">
        <v>10</v>
      </c>
      <c r="AA2" s="116">
        <v>11</v>
      </c>
      <c r="AB2" s="116">
        <v>12</v>
      </c>
      <c r="AC2" s="116">
        <v>13</v>
      </c>
      <c r="AD2" s="116">
        <v>14</v>
      </c>
      <c r="AE2" s="116">
        <v>15</v>
      </c>
      <c r="AF2" s="117" t="s">
        <v>183</v>
      </c>
      <c r="AG2" s="116" t="s">
        <v>184</v>
      </c>
      <c r="AH2" s="116" t="s">
        <v>185</v>
      </c>
      <c r="AI2" s="116" t="s">
        <v>186</v>
      </c>
      <c r="AJ2" s="116" t="s">
        <v>187</v>
      </c>
      <c r="AK2" s="116" t="s">
        <v>188</v>
      </c>
      <c r="AL2" s="116" t="s">
        <v>189</v>
      </c>
      <c r="AM2" s="116" t="s">
        <v>190</v>
      </c>
      <c r="AN2" s="116" t="s">
        <v>191</v>
      </c>
      <c r="AO2" s="116" t="s">
        <v>192</v>
      </c>
      <c r="AP2" s="116" t="s">
        <v>193</v>
      </c>
      <c r="AQ2" s="116" t="s">
        <v>194</v>
      </c>
      <c r="AR2" s="116" t="s">
        <v>195</v>
      </c>
      <c r="AS2" s="116" t="s">
        <v>196</v>
      </c>
      <c r="AT2" s="116" t="s">
        <v>197</v>
      </c>
      <c r="AU2" s="118" t="s">
        <v>198</v>
      </c>
      <c r="AV2" s="1"/>
    </row>
    <row r="3" spans="2:48" x14ac:dyDescent="0.15">
      <c r="B3" s="127" t="s">
        <v>199</v>
      </c>
      <c r="C3" s="128" t="s">
        <v>19</v>
      </c>
      <c r="D3" s="111"/>
      <c r="E3" s="127" t="s">
        <v>200</v>
      </c>
      <c r="F3" s="128" t="s">
        <v>19</v>
      </c>
      <c r="G3" s="111"/>
      <c r="H3" s="127" t="s">
        <v>201</v>
      </c>
      <c r="I3" s="128" t="s">
        <v>19</v>
      </c>
      <c r="J3" s="111"/>
      <c r="K3" s="1"/>
      <c r="L3" s="113">
        <v>1</v>
      </c>
      <c r="O3" s="121">
        <v>0</v>
      </c>
      <c r="P3" s="122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  <c r="AR3" s="33">
        <v>0</v>
      </c>
      <c r="AS3" s="33">
        <v>0</v>
      </c>
      <c r="AT3" s="33">
        <v>0</v>
      </c>
      <c r="AU3" s="25">
        <v>0</v>
      </c>
      <c r="AV3" s="1"/>
    </row>
    <row r="4" spans="2:48" ht="13.5" customHeight="1" x14ac:dyDescent="0.15">
      <c r="B4" s="95">
        <v>0</v>
      </c>
      <c r="C4" s="96">
        <v>0.1</v>
      </c>
      <c r="D4" s="129"/>
      <c r="E4" s="95">
        <v>0</v>
      </c>
      <c r="F4" s="96">
        <v>0.1</v>
      </c>
      <c r="G4" s="129"/>
      <c r="H4" s="95">
        <v>0</v>
      </c>
      <c r="I4" s="96">
        <v>0.11</v>
      </c>
      <c r="J4" s="297"/>
      <c r="K4" s="1"/>
      <c r="L4" s="1">
        <v>2</v>
      </c>
      <c r="M4" s="1"/>
      <c r="O4" s="125">
        <v>1</v>
      </c>
      <c r="P4" s="26">
        <f t="array" ref="P4">IFERROR(BINOMDIST($O4-P$2,15-P$2,VLOOKUP(P$2,$B$3:$C$18,2,FALSE),FALSE)+
BINOMDIST(0,15-P$2,VLOOKUP(P$2,$B$3:$C$18,2,FALSE),FALSE)*BINOMDIST($O4-P$2,15-P$2,VLOOKUP(P$2,$E$3:$F$18,2,FALSE),FALSE)+
BINOMDIST(0,15-P$2,VLOOKUP(P$2,$B$3:$C$18,2,FALSE),FALSE)*BINOMDIST(0,15-P$2,VLOOKUP(P$2,$E$3:$F$18,2,FALSE),FALSE)*BINOMDIST($O4-P$2,15-P$2,VLOOKUP(P$2,$H$3:$I$18,2,FALSE),FALSE),0)</f>
        <v>0.42748801436780637</v>
      </c>
      <c r="Q4" s="126">
        <v>0</v>
      </c>
      <c r="R4" s="1">
        <v>0</v>
      </c>
      <c r="S4" s="1">
        <v>0</v>
      </c>
      <c r="T4" s="1">
        <v>0</v>
      </c>
      <c r="U4" s="1">
        <v>0</v>
      </c>
      <c r="V4" s="1">
        <f t="shared" ref="V4:X8" si="0">IFERROR(BINOMDIST($O4-V$2,15-V$2,$D$5,FALSE)+
BINOMDIST(0,15-V$2,$D$5,FALSE)*BINOMDIST($O4-V$2,15-V$2,$D$5,FALSE)+
BINOMDIST(0,15-V$2,$D$5,FALSE)*BINOMDIST(0,15-V$2,$D$5,FALSE)*BINOMDIST($O4-V$2,15-V$2,$D$5,FALSE),0)</f>
        <v>0</v>
      </c>
      <c r="W4" s="1">
        <f t="shared" si="0"/>
        <v>0</v>
      </c>
      <c r="X4" s="1">
        <f t="shared" si="0"/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27">
        <v>0</v>
      </c>
      <c r="AV4" s="1"/>
    </row>
    <row r="5" spans="2:48" ht="13.5" customHeight="1" x14ac:dyDescent="0.15">
      <c r="B5" s="95">
        <v>1</v>
      </c>
      <c r="C5" s="96">
        <v>0.1</v>
      </c>
      <c r="D5" s="129"/>
      <c r="E5" s="95">
        <v>1</v>
      </c>
      <c r="F5" s="96">
        <v>0.1</v>
      </c>
      <c r="G5" s="129"/>
      <c r="H5" s="95">
        <v>1</v>
      </c>
      <c r="I5" s="96">
        <v>0.11</v>
      </c>
      <c r="J5" s="297"/>
      <c r="K5" s="1"/>
      <c r="L5" s="1">
        <v>3</v>
      </c>
      <c r="O5" s="125">
        <v>2</v>
      </c>
      <c r="P5" s="26">
        <f t="array" ref="P5">IFERROR(BINOMDIST($O5-P$2,15-P$2,VLOOKUP(P$2,$B$3:$C$18,2,FALSE),FALSE)+
BINOMDIST(0,15-P$2,VLOOKUP(P$2,$B$3:$C$18,2,FALSE),FALSE)*BINOMDIST($O5-P$2,15-P$2,VLOOKUP(P$2,$E$3:$F$18,2,FALSE),FALSE)+
BINOMDIST(0,15-P$2,VLOOKUP(P$2,$B$3:$C$18,2,FALSE),FALSE)*BINOMDIST(0,15-P$2,VLOOKUP(P$2,$E$3:$F$18,2,FALSE),FALSE)*BINOMDIST($O5-P$2,15-P$2,VLOOKUP(P$2,$H$3:$I$18,2,FALSE),FALSE),0)</f>
        <v>0.33368655024603278</v>
      </c>
      <c r="Q5" s="1">
        <f t="array" ref="Q5">IFERROR(BINOMDIST($O5-Q$2,15-Q$2,VLOOKUP(Q$2,$B$3:$C$18,2,FALSE),FALSE)+
BINOMDIST(0,15-Q$2,VLOOKUP(Q$2,$B$3:$C$18,2,FALSE),FALSE)*BINOMDIST($O5-Q$2,15-Q$2,VLOOKUP(Q$2,$E$3:$F$18,2,FALSE),FALSE)+
BINOMDIST(0,15-Q$2,VLOOKUP(Q$2,$B$3:$C$18,2,FALSE),FALSE)*BINOMDIST(0,15-Q$2,VLOOKUP(Q$2,$E$3:$F$18,2,FALSE),FALSE)*BINOMDIST($O5-Q$2,15-Q$2,VLOOKUP(Q$2,$H$3:$I$18,2,FALSE),FALSE),0)</f>
        <v>0.45498747598373146</v>
      </c>
      <c r="R5" s="126">
        <v>0</v>
      </c>
      <c r="S5" s="1">
        <v>0</v>
      </c>
      <c r="T5" s="1">
        <v>0</v>
      </c>
      <c r="U5" s="1">
        <v>0</v>
      </c>
      <c r="V5" s="1">
        <f t="shared" si="0"/>
        <v>0</v>
      </c>
      <c r="W5" s="1">
        <f t="shared" si="0"/>
        <v>0</v>
      </c>
      <c r="X5" s="1">
        <f t="shared" si="0"/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27">
        <v>0</v>
      </c>
      <c r="AV5" s="1"/>
    </row>
    <row r="6" spans="2:48" ht="13.5" customHeight="1" x14ac:dyDescent="0.15">
      <c r="B6" s="95">
        <v>2</v>
      </c>
      <c r="C6" s="96">
        <v>0.1</v>
      </c>
      <c r="D6" s="129"/>
      <c r="E6" s="95">
        <v>2</v>
      </c>
      <c r="F6" s="96">
        <v>0.1</v>
      </c>
      <c r="G6" s="129"/>
      <c r="H6" s="95">
        <v>2</v>
      </c>
      <c r="I6" s="96">
        <v>0.11</v>
      </c>
      <c r="J6" s="297"/>
      <c r="K6" s="1"/>
      <c r="L6" s="1"/>
      <c r="M6" s="1"/>
      <c r="O6" s="125">
        <v>3</v>
      </c>
      <c r="P6" s="26">
        <f t="array" ref="P6">IFERROR(BINOMDIST($O6-P$2,15-P$2,VLOOKUP(P$2,$B$3:$C$18,2,FALSE),FALSE)+
BINOMDIST(0,15-P$2,VLOOKUP(P$2,$B$3:$C$18,2,FALSE),FALSE)*BINOMDIST($O6-P$2,15-P$2,VLOOKUP(P$2,$E$3:$F$18,2,FALSE),FALSE)+
BINOMDIST(0,15-P$2,VLOOKUP(P$2,$B$3:$C$18,2,FALSE),FALSE)*BINOMDIST(0,15-P$2,VLOOKUP(P$2,$E$3:$F$18,2,FALSE),FALSE)*BINOMDIST($O6-P$2,15-P$2,VLOOKUP(P$2,$H$3:$I$18,2,FALSE),FALSE),0)</f>
        <v>0.16130438053230539</v>
      </c>
      <c r="Q6" s="1">
        <f t="array" ref="Q6">IFERROR(BINOMDIST($O6-Q$2,15-Q$2,VLOOKUP(Q$2,$B$3:$C$18,2,FALSE),FALSE)+
BINOMDIST(0,15-Q$2,VLOOKUP(Q$2,$B$3:$C$18,2,FALSE),FALSE)*BINOMDIST($O6-Q$2,15-Q$2,VLOOKUP(Q$2,$E$3:$F$18,2,FALSE),FALSE)+
BINOMDIST(0,15-Q$2,VLOOKUP(Q$2,$B$3:$C$18,2,FALSE),FALSE)*BINOMDIST(0,15-Q$2,VLOOKUP(Q$2,$E$3:$F$18,2,FALSE),FALSE)*BINOMDIST($O6-Q$2,15-Q$2,VLOOKUP(Q$2,$H$3:$I$18,2,FALSE),FALSE),0)</f>
        <v>0.33003974493191102</v>
      </c>
      <c r="R6" s="1">
        <f t="array" ref="R6">IFERROR(BINOMDIST($O6-R$2,15-R$2,VLOOKUP(R$2,$B$3:$C$18,2,FALSE),FALSE)+
BINOMDIST(0,15-R$2,VLOOKUP(R$2,$B$3:$C$18,2,FALSE),FALSE)*BINOMDIST($O6-R$2,15-R$2,VLOOKUP(R$2,$E$3:$F$18,2,FALSE),FALSE)+
BINOMDIST(0,15-R$2,VLOOKUP(R$2,$B$3:$C$18,2,FALSE),FALSE)*BINOMDIST(0,15-R$2,VLOOKUP(R$2,$E$3:$F$18,2,FALSE),FALSE)*BINOMDIST($O6-R$2,15-R$2,VLOOKUP(R$2,$H$3:$I$18,2,FALSE),FALSE),0)</f>
        <v>0.48330543651826352</v>
      </c>
      <c r="S6" s="126">
        <v>0</v>
      </c>
      <c r="T6" s="1">
        <v>0</v>
      </c>
      <c r="U6" s="1">
        <v>0</v>
      </c>
      <c r="V6" s="1">
        <f t="shared" si="0"/>
        <v>0</v>
      </c>
      <c r="W6" s="1">
        <f t="shared" si="0"/>
        <v>0</v>
      </c>
      <c r="X6" s="1">
        <f t="shared" si="0"/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27">
        <v>0</v>
      </c>
      <c r="AV6" s="1"/>
    </row>
    <row r="7" spans="2:48" ht="13.5" customHeight="1" x14ac:dyDescent="0.15">
      <c r="B7" s="95">
        <v>3</v>
      </c>
      <c r="C7" s="96">
        <v>0.1</v>
      </c>
      <c r="D7" s="129"/>
      <c r="E7" s="95">
        <v>3</v>
      </c>
      <c r="F7" s="96">
        <v>0.1</v>
      </c>
      <c r="G7" s="129"/>
      <c r="H7" s="95">
        <v>3</v>
      </c>
      <c r="I7" s="96">
        <v>0.11</v>
      </c>
      <c r="J7" s="297"/>
      <c r="K7" s="129"/>
      <c r="L7" s="1"/>
      <c r="M7" s="1"/>
      <c r="O7" s="125">
        <v>4</v>
      </c>
      <c r="P7" s="26">
        <f t="array" ref="P7">IFERROR(BINOMDIST($O7-P$2,15-P$2,VLOOKUP(P$2,$B$3:$C$18,2,FALSE),FALSE)+
BINOMDIST(0,15-P$2,VLOOKUP(P$2,$B$3:$C$18,2,FALSE),FALSE)*BINOMDIST($O7-P$2,15-P$2,VLOOKUP(P$2,$E$3:$F$18,2,FALSE),FALSE)+
BINOMDIST(0,15-P$2,VLOOKUP(P$2,$B$3:$C$18,2,FALSE),FALSE)*BINOMDIST(0,15-P$2,VLOOKUP(P$2,$E$3:$F$18,2,FALSE),FALSE)*BINOMDIST($O7-P$2,15-P$2,VLOOKUP(P$2,$H$3:$I$18,2,FALSE),FALSE),0)</f>
        <v>5.4005610405789696E-2</v>
      </c>
      <c r="Q7" s="1">
        <f t="array" ref="Q7">IFERROR(BINOMDIST($O7-Q$2,15-Q$2,VLOOKUP(Q$2,$B$3:$C$18,2,FALSE),FALSE)+
BINOMDIST(0,15-Q$2,VLOOKUP(Q$2,$B$3:$C$18,2,FALSE),FALSE)*BINOMDIST($O7-Q$2,15-Q$2,VLOOKUP(Q$2,$E$3:$F$18,2,FALSE),FALSE)+
BINOMDIST(0,15-Q$2,VLOOKUP(Q$2,$B$3:$C$18,2,FALSE),FALSE)*BINOMDIST(0,15-Q$2,VLOOKUP(Q$2,$E$3:$F$18,2,FALSE),FALSE)*BINOMDIST($O7-Q$2,15-Q$2,VLOOKUP(Q$2,$H$3:$I$18,2,FALSE),FALSE),0)</f>
        <v>0.1473950937046814</v>
      </c>
      <c r="R7" s="1">
        <f t="array" ref="R7">IFERROR(BINOMDIST($O7-R$2,15-R$2,VLOOKUP(R$2,$B$3:$C$18,2,FALSE),FALSE)+
BINOMDIST(0,15-R$2,VLOOKUP(R$2,$B$3:$C$18,2,FALSE),FALSE)*BINOMDIST($O7-R$2,15-R$2,VLOOKUP(R$2,$E$3:$F$18,2,FALSE),FALSE)+
BINOMDIST(0,15-R$2,VLOOKUP(R$2,$B$3:$C$18,2,FALSE),FALSE)*BINOMDIST(0,15-R$2,VLOOKUP(R$2,$E$3:$F$18,2,FALSE),FALSE)*BINOMDIST($O7-R$2,15-R$2,VLOOKUP(R$2,$H$3:$I$18,2,FALSE),FALSE),0)</f>
        <v>0.32391301016521112</v>
      </c>
      <c r="S7" s="1">
        <f t="array" ref="S7">IFERROR(BINOMDIST($O7-S$2,15-S$2,VLOOKUP(S$2,$B$3:$C$18,2,FALSE),FALSE)+
BINOMDIST(0,15-S$2,VLOOKUP(S$2,$B$3:$C$18,2,FALSE),FALSE)*BINOMDIST($O7-S$2,15-S$2,VLOOKUP(S$2,$E$3:$F$18,2,FALSE),FALSE)+
BINOMDIST(0,15-S$2,VLOOKUP(S$2,$B$3:$C$18,2,FALSE),FALSE)*BINOMDIST(0,15-S$2,VLOOKUP(S$2,$E$3:$F$18,2,FALSE),FALSE)*BINOMDIST($O7-S$2,15-S$2,VLOOKUP(S$2,$H$3:$I$18,2,FALSE),FALSE),0)</f>
        <v>0.51214824316608776</v>
      </c>
      <c r="T7" s="126">
        <v>0</v>
      </c>
      <c r="U7" s="1">
        <v>0</v>
      </c>
      <c r="V7" s="1">
        <f t="shared" si="0"/>
        <v>0</v>
      </c>
      <c r="W7" s="1">
        <f t="shared" si="0"/>
        <v>0</v>
      </c>
      <c r="X7" s="1">
        <f t="shared" si="0"/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27">
        <v>0</v>
      </c>
      <c r="AV7" s="1"/>
    </row>
    <row r="8" spans="2:48" ht="13.5" customHeight="1" x14ac:dyDescent="0.15">
      <c r="B8" s="95">
        <v>4</v>
      </c>
      <c r="C8" s="96">
        <v>0.1</v>
      </c>
      <c r="D8" s="129"/>
      <c r="E8" s="95">
        <v>4</v>
      </c>
      <c r="F8" s="96">
        <v>0.1</v>
      </c>
      <c r="G8" s="129"/>
      <c r="H8" s="95">
        <v>4</v>
      </c>
      <c r="I8" s="96">
        <v>0.11</v>
      </c>
      <c r="J8" s="297"/>
      <c r="K8" s="129"/>
      <c r="L8" s="1"/>
      <c r="M8" s="1"/>
      <c r="O8" s="125">
        <v>5</v>
      </c>
      <c r="P8" s="26">
        <f t="array" ref="P8">IFERROR(BINOMDIST($O8-P$2,15-P$2,VLOOKUP(P$2,$B$3:$C$18,2,FALSE),FALSE)+
BINOMDIST(0,15-P$2,VLOOKUP(P$2,$B$3:$C$18,2,FALSE),FALSE)*BINOMDIST($O8-P$2,15-P$2,VLOOKUP(P$2,$E$3:$F$18,2,FALSE),FALSE)+
BINOMDIST(0,15-P$2,VLOOKUP(P$2,$B$3:$C$18,2,FALSE),FALSE)*BINOMDIST(0,15-P$2,VLOOKUP(P$2,$E$3:$F$18,2,FALSE),FALSE)*BINOMDIST($O8-P$2,15-P$2,VLOOKUP(P$2,$H$3:$I$18,2,FALSE),FALSE),0)</f>
        <v>1.3265945614468463E-2</v>
      </c>
      <c r="Q8" s="1">
        <f t="array" ref="Q8">IFERROR(BINOMDIST($O8-Q$2,15-Q$2,VLOOKUP(Q$2,$B$3:$C$18,2,FALSE),FALSE)+
BINOMDIST(0,15-Q$2,VLOOKUP(Q$2,$B$3:$C$18,2,FALSE),FALSE)*BINOMDIST($O8-Q$2,15-Q$2,VLOOKUP(Q$2,$E$3:$F$18,2,FALSE),FALSE)+
BINOMDIST(0,15-Q$2,VLOOKUP(Q$2,$B$3:$C$18,2,FALSE),FALSE)*BINOMDIST(0,15-Q$2,VLOOKUP(Q$2,$E$3:$F$18,2,FALSE),FALSE)*BINOMDIST($O8-Q$2,15-Q$2,VLOOKUP(Q$2,$H$3:$I$18,2,FALSE),FALSE),0)</f>
        <v>4.5278969174231055E-2</v>
      </c>
      <c r="R8" s="1">
        <f t="array" ref="R8">IFERROR(BINOMDIST($O8-R$2,15-R$2,VLOOKUP(R$2,$B$3:$C$18,2,FALSE),FALSE)+
BINOMDIST(0,15-R$2,VLOOKUP(R$2,$B$3:$C$18,2,FALSE),FALSE)*BINOMDIST($O8-R$2,15-R$2,VLOOKUP(R$2,$E$3:$F$18,2,FALSE),FALSE)+
BINOMDIST(0,15-R$2,VLOOKUP(R$2,$B$3:$C$18,2,FALSE),FALSE)*BINOMDIST(0,15-R$2,VLOOKUP(R$2,$E$3:$F$18,2,FALSE),FALSE)*BINOMDIST($O8-R$2,15-R$2,VLOOKUP(R$2,$H$3:$I$18,2,FALSE),FALSE),0)</f>
        <v>0.13273922518077294</v>
      </c>
      <c r="S8" s="1">
        <f t="array" ref="S8">IFERROR(BINOMDIST($O8-S$2,15-S$2,VLOOKUP(S$2,$B$3:$C$18,2,FALSE),FALSE)+
BINOMDIST(0,15-S$2,VLOOKUP(S$2,$B$3:$C$18,2,FALSE),FALSE)*BINOMDIST($O8-S$2,15-S$2,VLOOKUP(S$2,$E$3:$F$18,2,FALSE),FALSE)+
BINOMDIST(0,15-S$2,VLOOKUP(S$2,$B$3:$C$18,2,FALSE),FALSE)*BINOMDIST(0,15-S$2,VLOOKUP(S$2,$E$3:$F$18,2,FALSE),FALSE)*BINOMDIST($O8-S$2,15-S$2,VLOOKUP(S$2,$H$3:$I$18,2,FALSE),FALSE),0)</f>
        <v>0.31498586754434971</v>
      </c>
      <c r="T8" s="1">
        <f t="array" ref="T8">IFERROR(BINOMDIST($O8-T$2,15-T$2,VLOOKUP(T$2,$B$3:$C$18,2,FALSE),FALSE)+
BINOMDIST(0,15-T$2,VLOOKUP(T$2,$B$3:$C$18,2,FALSE),FALSE)*BINOMDIST($O8-T$2,15-T$2,VLOOKUP(T$2,$E$3:$F$18,2,FALSE),FALSE)+
BINOMDIST(0,15-T$2,VLOOKUP(T$2,$B$3:$C$18,2,FALSE),FALSE)*BINOMDIST(0,15-T$2,VLOOKUP(T$2,$E$3:$F$18,2,FALSE),FALSE)*BINOMDIST($O8-T$2,15-T$2,VLOOKUP(T$2,$H$3:$I$18,2,FALSE),FALSE),0)</f>
        <v>0.5410624612198176</v>
      </c>
      <c r="U8" s="126">
        <v>0</v>
      </c>
      <c r="V8" s="1">
        <f t="shared" si="0"/>
        <v>0</v>
      </c>
      <c r="W8" s="1">
        <f t="shared" si="0"/>
        <v>0</v>
      </c>
      <c r="X8" s="1">
        <f t="shared" si="0"/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27">
        <v>0</v>
      </c>
      <c r="AV8" s="1"/>
    </row>
    <row r="9" spans="2:48" ht="14.25" customHeight="1" x14ac:dyDescent="0.15">
      <c r="B9" s="95">
        <v>5</v>
      </c>
      <c r="C9" s="96">
        <v>0.1</v>
      </c>
      <c r="D9" s="129"/>
      <c r="E9" s="95">
        <v>5</v>
      </c>
      <c r="F9" s="96">
        <v>0.1</v>
      </c>
      <c r="G9" s="129"/>
      <c r="H9" s="95">
        <v>5</v>
      </c>
      <c r="I9" s="96">
        <v>0.11</v>
      </c>
      <c r="J9" s="297"/>
      <c r="K9" s="129"/>
      <c r="L9" s="1"/>
      <c r="M9" s="1"/>
      <c r="O9" s="125">
        <v>6</v>
      </c>
      <c r="P9" s="26">
        <f t="array" ref="P9">IFERROR(BINOMDIST($O9-P$2,15-P$2,VLOOKUP(P$2,$B$3:$C$18,2,FALSE),FALSE)+
BINOMDIST(0,15-P$2,VLOOKUP(P$2,$B$3:$C$18,2,FALSE),FALSE)*BINOMDIST($O9-P$2,15-P$2,VLOOKUP(P$2,$E$3:$F$18,2,FALSE),FALSE)+
BINOMDIST(0,15-P$2,VLOOKUP(P$2,$B$3:$C$18,2,FALSE),FALSE)*BINOMDIST(0,15-P$2,VLOOKUP(P$2,$E$3:$F$18,2,FALSE),FALSE)*BINOMDIST($O9-P$2,15-P$2,VLOOKUP(P$2,$H$3:$I$18,2,FALSE),FALSE),0)</f>
        <v>2.4699583930502776E-3</v>
      </c>
      <c r="Q9" s="1">
        <f t="array" ref="Q9">IFERROR(BINOMDIST($O9-Q$2,15-Q$2,VLOOKUP(Q$2,$B$3:$C$18,2,FALSE),FALSE)+
BINOMDIST(0,15-Q$2,VLOOKUP(Q$2,$B$3:$C$18,2,FALSE),FALSE)*BINOMDIST($O9-Q$2,15-Q$2,VLOOKUP(Q$2,$E$3:$F$18,2,FALSE),FALSE)+
BINOMDIST(0,15-Q$2,VLOOKUP(Q$2,$B$3:$C$18,2,FALSE),FALSE)*BINOMDIST(0,15-Q$2,VLOOKUP(Q$2,$E$3:$F$18,2,FALSE),FALSE)*BINOMDIST($O9-Q$2,15-Q$2,VLOOKUP(Q$2,$H$3:$I$18,2,FALSE),FALSE),0)</f>
        <v>1.0121709413704941E-2</v>
      </c>
      <c r="R9" s="1">
        <f t="array" ref="R9">IFERROR(BINOMDIST($O9-R$2,15-R$2,VLOOKUP(R$2,$B$3:$C$18,2,FALSE),FALSE)+
BINOMDIST(0,15-R$2,VLOOKUP(R$2,$B$3:$C$18,2,FALSE),FALSE)*BINOMDIST($O9-R$2,15-R$2,VLOOKUP(R$2,$E$3:$F$18,2,FALSE),FALSE)+
BINOMDIST(0,15-R$2,VLOOKUP(R$2,$B$3:$C$18,2,FALSE),FALSE)*BINOMDIST(0,15-R$2,VLOOKUP(R$2,$E$3:$F$18,2,FALSE),FALSE)*BINOMDIST($O9-R$2,15-R$2,VLOOKUP(R$2,$H$3:$I$18,2,FALSE),FALSE),0)</f>
        <v>3.7111369925057591E-2</v>
      </c>
      <c r="S9" s="1">
        <f t="array" ref="S9">IFERROR(BINOMDIST($O9-S$2,15-S$2,VLOOKUP(S$2,$B$3:$C$18,2,FALSE),FALSE)+
BINOMDIST(0,15-S$2,VLOOKUP(S$2,$B$3:$C$18,2,FALSE),FALSE)*BINOMDIST($O9-S$2,15-S$2,VLOOKUP(S$2,$E$3:$F$18,2,FALSE),FALSE)+
BINOMDIST(0,15-S$2,VLOOKUP(S$2,$B$3:$C$18,2,FALSE),FALSE)*BINOMDIST(0,15-S$2,VLOOKUP(S$2,$E$3:$F$18,2,FALSE),FALSE)*BINOMDIST($O9-S$2,15-S$2,VLOOKUP(S$2,$H$3:$I$18,2,FALSE),FALSE),0)</f>
        <v>0.11748803323674342</v>
      </c>
      <c r="T9" s="1">
        <f t="array" ref="T9">IFERROR(BINOMDIST($O9-T$2,15-T$2,VLOOKUP(T$2,$B$3:$C$18,2,FALSE),FALSE)+
BINOMDIST(0,15-T$2,VLOOKUP(T$2,$B$3:$C$18,2,FALSE),FALSE)*BINOMDIST($O9-T$2,15-T$2,VLOOKUP(T$2,$E$3:$F$18,2,FALSE),FALSE)+
BINOMDIST(0,15-T$2,VLOOKUP(T$2,$B$3:$C$18,2,FALSE),FALSE)*BINOMDIST(0,15-T$2,VLOOKUP(T$2,$E$3:$F$18,2,FALSE),FALSE)*BINOMDIST($O9-T$2,15-T$2,VLOOKUP(T$2,$H$3:$I$18,2,FALSE),FALSE),0)</f>
        <v>0.30290956266676222</v>
      </c>
      <c r="U9" s="1">
        <f t="array" ref="U9">IFERROR(BINOMDIST($O9-U$2,15-U$2,VLOOKUP(U$2,$B$3:$C$18,2,FALSE),FALSE)+
BINOMDIST(0,15-U$2,VLOOKUP(U$2,$B$3:$C$18,2,FALSE),FALSE)*BINOMDIST($O9-U$2,15-U$2,VLOOKUP(U$2,$E$3:$F$18,2,FALSE),FALSE)+
BINOMDIST(0,15-U$2,VLOOKUP(U$2,$B$3:$C$18,2,FALSE),FALSE)*BINOMDIST(0,15-U$2,VLOOKUP(U$2,$E$3:$F$18,2,FALSE),FALSE)*BINOMDIST($O9-U$2,15-U$2,VLOOKUP(U$2,$H$3:$I$18,2,FALSE),FALSE),0)</f>
        <v>0.56936033619215198</v>
      </c>
      <c r="V9" s="126">
        <v>0</v>
      </c>
      <c r="W9" s="1">
        <f>IFERROR(BINOMDIST($O9-W$2,15-W$2,$D$5,FALSE)+
BINOMDIST(0,15-W$2,$D$5,FALSE)*BINOMDIST($O9-W$2,15-W$2,$D$5,FALSE)+
BINOMDIST(0,15-W$2,$D$5,FALSE)*BINOMDIST(0,15-W$2,$D$5,FALSE)*BINOMDIST($O9-W$2,15-W$2,$D$5,FALSE),0)</f>
        <v>0</v>
      </c>
      <c r="X9" s="1">
        <f>IFERROR(BINOMDIST($O9-X$2,15-X$2,$D$5,FALSE)+
BINOMDIST(0,15-X$2,$D$5,FALSE)*BINOMDIST($O9-X$2,15-X$2,$D$5,FALSE)+
BINOMDIST(0,15-X$2,$D$5,FALSE)*BINOMDIST(0,15-X$2,$D$5,FALSE)*BINOMDIST($O9-X$2,15-X$2,$D$5,FALSE),0)</f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27">
        <v>0</v>
      </c>
      <c r="AV9" s="1"/>
    </row>
    <row r="10" spans="2:48" ht="13.5" customHeight="1" x14ac:dyDescent="0.15">
      <c r="B10" s="95">
        <v>6</v>
      </c>
      <c r="C10" s="96">
        <v>0.15</v>
      </c>
      <c r="D10" s="129"/>
      <c r="E10" s="95">
        <v>6</v>
      </c>
      <c r="F10" s="96">
        <v>0.15</v>
      </c>
      <c r="G10" s="129"/>
      <c r="H10" s="95">
        <v>6</v>
      </c>
      <c r="I10" s="96">
        <v>0.18</v>
      </c>
      <c r="J10" s="297"/>
      <c r="K10" s="129"/>
      <c r="L10" s="1"/>
      <c r="M10" s="1"/>
      <c r="O10" s="125">
        <v>7</v>
      </c>
      <c r="P10" s="26">
        <f t="array" ref="P10">IFERROR(BINOMDIST($O10-P$2,15-P$2,VLOOKUP(P$2,$B$3:$C$18,2,FALSE),FALSE)+
BINOMDIST(0,15-P$2,VLOOKUP(P$2,$B$3:$C$18,2,FALSE),FALSE)*BINOMDIST($O10-P$2,15-P$2,VLOOKUP(P$2,$E$3:$F$18,2,FALSE),FALSE)+
BINOMDIST(0,15-P$2,VLOOKUP(P$2,$B$3:$C$18,2,FALSE),FALSE)*BINOMDIST(0,15-P$2,VLOOKUP(P$2,$E$3:$F$18,2,FALSE),FALSE)*BINOMDIST($O10-P$2,15-P$2,VLOOKUP(P$2,$H$3:$I$18,2,FALSE),FALSE),0)</f>
        <v>3.5496496783552156E-4</v>
      </c>
      <c r="Q10" s="1">
        <f t="array" ref="Q10">IFERROR(BINOMDIST($O10-Q$2,15-Q$2,VLOOKUP(Q$2,$B$3:$C$18,2,FALSE),FALSE)+
BINOMDIST(0,15-Q$2,VLOOKUP(Q$2,$B$3:$C$18,2,FALSE),FALSE)*BINOMDIST($O10-Q$2,15-Q$2,VLOOKUP(Q$2,$E$3:$F$18,2,FALSE),FALSE)+
BINOMDIST(0,15-Q$2,VLOOKUP(Q$2,$B$3:$C$18,2,FALSE),FALSE)*BINOMDIST(0,15-Q$2,VLOOKUP(Q$2,$E$3:$F$18,2,FALSE),FALSE)*BINOMDIST($O10-Q$2,15-Q$2,VLOOKUP(Q$2,$H$3:$I$18,2,FALSE),FALSE),0)</f>
        <v>1.6980225616918462E-3</v>
      </c>
      <c r="R10" s="1">
        <f t="array" ref="R10">IFERROR(BINOMDIST($O10-R$2,15-R$2,VLOOKUP(R$2,$B$3:$C$18,2,FALSE),FALSE)+
BINOMDIST(0,15-R$2,VLOOKUP(R$2,$B$3:$C$18,2,FALSE),FALSE)*BINOMDIST($O10-R$2,15-R$2,VLOOKUP(R$2,$E$3:$F$18,2,FALSE),FALSE)+
BINOMDIST(0,15-R$2,VLOOKUP(R$2,$B$3:$C$18,2,FALSE),FALSE)*BINOMDIST(0,15-R$2,VLOOKUP(R$2,$E$3:$F$18,2,FALSE),FALSE)*BINOMDIST($O10-R$2,15-R$2,VLOOKUP(R$2,$H$3:$I$18,2,FALSE),FALSE),0)</f>
        <v>7.4755255133473622E-3</v>
      </c>
      <c r="S10" s="1">
        <f t="array" ref="S10">IFERROR(BINOMDIST($O10-S$2,15-S$2,VLOOKUP(S$2,$B$3:$C$18,2,FALSE),FALSE)+
BINOMDIST(0,15-S$2,VLOOKUP(S$2,$B$3:$C$18,2,FALSE),FALSE)*BINOMDIST($O10-S$2,15-S$2,VLOOKUP(S$2,$E$3:$F$18,2,FALSE),FALSE)+
BINOMDIST(0,15-S$2,VLOOKUP(S$2,$B$3:$C$18,2,FALSE),FALSE)*BINOMDIST(0,15-S$2,VLOOKUP(S$2,$E$3:$F$18,2,FALSE),FALSE)*BINOMDIST($O10-S$2,15-S$2,VLOOKUP(S$2,$H$3:$I$18,2,FALSE),FALSE),0)</f>
        <v>2.9601877636371555E-2</v>
      </c>
      <c r="T10" s="1">
        <f t="array" ref="T10">IFERROR(BINOMDIST($O10-T$2,15-T$2,VLOOKUP(T$2,$B$3:$C$18,2,FALSE),FALSE)+
BINOMDIST(0,15-T$2,VLOOKUP(T$2,$B$3:$C$18,2,FALSE),FALSE)*BINOMDIST($O10-T$2,15-T$2,VLOOKUP(T$2,$E$3:$F$18,2,FALSE),FALSE)+
BINOMDIST(0,15-T$2,VLOOKUP(T$2,$B$3:$C$18,2,FALSE),FALSE)*BINOMDIST(0,15-T$2,VLOOKUP(T$2,$E$3:$F$18,2,FALSE),FALSE)*BINOMDIST($O10-T$2,15-T$2,VLOOKUP(T$2,$H$3:$I$18,2,FALSE),FALSE),0)</f>
        <v>0.10182982177625964</v>
      </c>
      <c r="U10" s="1">
        <f t="array" ref="U10">IFERROR(BINOMDIST($O10-U$2,15-U$2,VLOOKUP(U$2,$B$3:$C$18,2,FALSE),FALSE)+
BINOMDIST(0,15-U$2,VLOOKUP(U$2,$B$3:$C$18,2,FALSE),FALSE)*BINOMDIST($O10-U$2,15-U$2,VLOOKUP(U$2,$E$3:$F$18,2,FALSE),FALSE)+
BINOMDIST(0,15-U$2,VLOOKUP(U$2,$B$3:$C$18,2,FALSE),FALSE)*BINOMDIST(0,15-U$2,VLOOKUP(U$2,$E$3:$F$18,2,FALSE),FALSE)*BINOMDIST($O10-U$2,15-U$2,VLOOKUP(U$2,$H$3:$I$18,2,FALSE),FALSE),0)</f>
        <v>0.28731245323230381</v>
      </c>
      <c r="V10" s="1">
        <f t="array" ref="V10">IFERROR(BINOMDIST($O10-V$2,15-V$2,VLOOKUP(V$2,$B$3:$C$18,2,FALSE),FALSE)+
BINOMDIST(0,15-V$2,VLOOKUP(V$2,$B$3:$C$18,2,FALSE),FALSE)*BINOMDIST($O10-V$2,15-V$2,VLOOKUP(V$2,$E$3:$F$18,2,FALSE),FALSE)+
BINOMDIST(0,15-V$2,VLOOKUP(V$2,$B$3:$C$18,2,FALSE),FALSE)*BINOMDIST(0,15-V$2,VLOOKUP(V$2,$E$3:$F$18,2,FALSE),FALSE)*BINOMDIST($O10-V$2,15-V$2,VLOOKUP(V$2,$H$3:$I$18,2,FALSE),FALSE),0)</f>
        <v>0.47083038280761508</v>
      </c>
      <c r="W10" s="126">
        <v>0</v>
      </c>
      <c r="X10" s="1">
        <f>IFERROR(BINOMDIST($O10-X$2,15-X$2,$D$5,FALSE)+
BINOMDIST(0,15-X$2,$D$5,FALSE)*BINOMDIST($O10-X$2,15-X$2,$D$5,FALSE)+
BINOMDIST(0,15-X$2,$D$5,FALSE)*BINOMDIST(0,15-X$2,$D$5,FALSE)*BINOMDIST($O10-X$2,15-X$2,$D$5,FALSE),0)</f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27">
        <v>0</v>
      </c>
      <c r="AV10" s="1"/>
    </row>
    <row r="11" spans="2:48" ht="13.5" customHeight="1" x14ac:dyDescent="0.15">
      <c r="B11" s="95">
        <v>7</v>
      </c>
      <c r="C11" s="96">
        <v>0.13</v>
      </c>
      <c r="D11" s="129"/>
      <c r="E11" s="95">
        <v>7</v>
      </c>
      <c r="F11" s="96">
        <v>0.13</v>
      </c>
      <c r="G11" s="129"/>
      <c r="H11" s="95">
        <v>7</v>
      </c>
      <c r="I11" s="96">
        <v>0.15</v>
      </c>
      <c r="J11" s="297"/>
      <c r="K11" s="129"/>
      <c r="L11" s="1"/>
      <c r="M11" s="1"/>
      <c r="O11" s="125">
        <v>8</v>
      </c>
      <c r="P11" s="26">
        <f t="array" ref="P11">IFERROR(BINOMDIST($O11-P$2,15-P$2,VLOOKUP(P$2,$B$3:$C$18,2,FALSE),FALSE)+
BINOMDIST(0,15-P$2,VLOOKUP(P$2,$B$3:$C$18,2,FALSE),FALSE)*BINOMDIST($O11-P$2,15-P$2,VLOOKUP(P$2,$E$3:$F$18,2,FALSE),FALSE)+
BINOMDIST(0,15-P$2,VLOOKUP(P$2,$B$3:$C$18,2,FALSE),FALSE)*BINOMDIST(0,15-P$2,VLOOKUP(P$2,$E$3:$F$18,2,FALSE),FALSE)*BINOMDIST($O11-P$2,15-P$2,VLOOKUP(P$2,$H$3:$I$18,2,FALSE),FALSE),0)</f>
        <v>3.9701804308822742E-5</v>
      </c>
      <c r="Q11" s="1">
        <f t="array" ref="Q11">IFERROR(BINOMDIST($O11-Q$2,15-Q$2,VLOOKUP(Q$2,$B$3:$C$18,2,FALSE),FALSE)+
BINOMDIST(0,15-Q$2,VLOOKUP(Q$2,$B$3:$C$18,2,FALSE),FALSE)*BINOMDIST($O11-Q$2,15-Q$2,VLOOKUP(Q$2,$E$3:$F$18,2,FALSE),FALSE)+
BINOMDIST(0,15-Q$2,VLOOKUP(Q$2,$B$3:$C$18,2,FALSE),FALSE)*BINOMDIST(0,15-Q$2,VLOOKUP(Q$2,$E$3:$F$18,2,FALSE),FALSE)*BINOMDIST($O11-Q$2,15-Q$2,VLOOKUP(Q$2,$H$3:$I$18,2,FALSE),FALSE),0)</f>
        <v>2.1718571253352611E-4</v>
      </c>
      <c r="R11" s="1">
        <f t="array" ref="R11">IFERROR(BINOMDIST($O11-R$2,15-R$2,VLOOKUP(R$2,$B$3:$C$18,2,FALSE),FALSE)+
BINOMDIST(0,15-R$2,VLOOKUP(R$2,$B$3:$C$18,2,FALSE),FALSE)*BINOMDIST($O11-R$2,15-R$2,VLOOKUP(R$2,$E$3:$F$18,2,FALSE),FALSE)+
BINOMDIST(0,15-R$2,VLOOKUP(R$2,$B$3:$C$18,2,FALSE),FALSE)*BINOMDIST(0,15-R$2,VLOOKUP(R$2,$E$3:$F$18,2,FALSE),FALSE)*BINOMDIST($O11-R$2,15-R$2,VLOOKUP(R$2,$H$3:$I$18,2,FALSE),FALSE),0)</f>
        <v>1.1162607939961097E-3</v>
      </c>
      <c r="S11" s="1">
        <f t="array" ref="S11">IFERROR(BINOMDIST($O11-S$2,15-S$2,VLOOKUP(S$2,$B$3:$C$18,2,FALSE),FALSE)+
BINOMDIST(0,15-S$2,VLOOKUP(S$2,$B$3:$C$18,2,FALSE),FALSE)*BINOMDIST($O11-S$2,15-S$2,VLOOKUP(S$2,$E$3:$F$18,2,FALSE),FALSE)+
BINOMDIST(0,15-S$2,VLOOKUP(S$2,$B$3:$C$18,2,FALSE),FALSE)*BINOMDIST(0,15-S$2,VLOOKUP(S$2,$E$3:$F$18,2,FALSE),FALSE)*BINOMDIST($O11-S$2,15-S$2,VLOOKUP(S$2,$H$3:$I$18,2,FALSE),FALSE),0)</f>
        <v>5.3080133293951616E-3</v>
      </c>
      <c r="T11" s="1">
        <f t="array" ref="T11">IFERROR(BINOMDIST($O11-T$2,15-T$2,VLOOKUP(T$2,$B$3:$C$18,2,FALSE),FALSE)+
BINOMDIST(0,15-T$2,VLOOKUP(T$2,$B$3:$C$18,2,FALSE),FALSE)*BINOMDIST($O11-T$2,15-T$2,VLOOKUP(T$2,$E$3:$F$18,2,FALSE),FALSE)+
BINOMDIST(0,15-T$2,VLOOKUP(T$2,$B$3:$C$18,2,FALSE),FALSE)*BINOMDIST(0,15-T$2,VLOOKUP(T$2,$E$3:$F$18,2,FALSE),FALSE)*BINOMDIST($O11-T$2,15-T$2,VLOOKUP(T$2,$H$3:$I$18,2,FALSE),FALSE),0)</f>
        <v>2.284142553291801E-2</v>
      </c>
      <c r="U11" s="1">
        <f t="array" ref="U11">IFERROR(BINOMDIST($O11-U$2,15-U$2,VLOOKUP(U$2,$B$3:$C$18,2,FALSE),FALSE)+
BINOMDIST(0,15-U$2,VLOOKUP(U$2,$B$3:$C$18,2,FALSE),FALSE)*BINOMDIST($O11-U$2,15-U$2,VLOOKUP(U$2,$E$3:$F$18,2,FALSE),FALSE)+
BINOMDIST(0,15-U$2,VLOOKUP(U$2,$B$3:$C$18,2,FALSE),FALSE)*BINOMDIST(0,15-U$2,VLOOKUP(U$2,$E$3:$F$18,2,FALSE),FALSE)*BINOMDIST($O11-U$2,15-U$2,VLOOKUP(U$2,$H$3:$I$18,2,FALSE),FALSE),0)</f>
        <v>8.5997185405448415E-2</v>
      </c>
      <c r="V11" s="1">
        <f t="array" ref="V11">IFERROR(BINOMDIST($O11-V$2,15-V$2,VLOOKUP(V$2,$B$3:$C$18,2,FALSE),FALSE)+
BINOMDIST(0,15-V$2,VLOOKUP(V$2,$B$3:$C$18,2,FALSE),FALSE)*BINOMDIST($O11-V$2,15-V$2,VLOOKUP(V$2,$E$3:$F$18,2,FALSE),FALSE)+
BINOMDIST(0,15-V$2,VLOOKUP(V$2,$B$3:$C$18,2,FALSE),FALSE)*BINOMDIST(0,15-V$2,VLOOKUP(V$2,$E$3:$F$18,2,FALSE),FALSE)*BINOMDIST($O11-V$2,15-V$2,VLOOKUP(V$2,$H$3:$I$18,2,FALSE),FALSE),0)</f>
        <v>0.33540940408497322</v>
      </c>
      <c r="W11" s="1">
        <f t="array" ref="W11">IFERROR(BINOMDIST($O11-W$2,15-W$2,VLOOKUP(W$2,$B$3:$C$18,2,FALSE),FALSE)+
BINOMDIST(0,15-W$2,VLOOKUP(W$2,$B$3:$C$18,2,FALSE),FALSE)*BINOMDIST($O11-W$2,15-W$2,VLOOKUP(W$2,$E$3:$F$18,2,FALSE),FALSE)+
BINOMDIST(0,15-W$2,VLOOKUP(W$2,$B$3:$C$18,2,FALSE),FALSE)*BINOMDIST(0,15-W$2,VLOOKUP(W$2,$E$3:$F$18,2,FALSE),FALSE)*BINOMDIST($O11-W$2,15-W$2,VLOOKUP(W$2,$H$3:$I$18,2,FALSE),FALSE),0)</f>
        <v>0.56255738343305295</v>
      </c>
      <c r="X11" s="126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27">
        <v>0</v>
      </c>
      <c r="AV11" s="1"/>
    </row>
    <row r="12" spans="2:48" ht="13.5" customHeight="1" x14ac:dyDescent="0.15">
      <c r="B12" s="95">
        <v>8</v>
      </c>
      <c r="C12" s="96">
        <v>7.0000000000000007E-2</v>
      </c>
      <c r="D12" s="129"/>
      <c r="E12" s="95">
        <v>8</v>
      </c>
      <c r="F12" s="96">
        <v>7.0000000000000007E-2</v>
      </c>
      <c r="G12" s="129"/>
      <c r="H12" s="95">
        <v>8</v>
      </c>
      <c r="I12" s="96">
        <v>7.0000000000000007E-2</v>
      </c>
      <c r="J12" s="297"/>
      <c r="K12" s="129"/>
      <c r="L12" s="1"/>
      <c r="M12" s="1"/>
      <c r="O12" s="125">
        <v>9</v>
      </c>
      <c r="P12" s="26">
        <f t="array" ref="P12">IFERROR(BINOMDIST($O12-P$2,15-P$2,VLOOKUP(P$2,$B$3:$C$18,2,FALSE),FALSE)+
BINOMDIST(0,15-P$2,VLOOKUP(P$2,$B$3:$C$18,2,FALSE),FALSE)*BINOMDIST($O12-P$2,15-P$2,VLOOKUP(P$2,$E$3:$F$18,2,FALSE),FALSE)+
BINOMDIST(0,15-P$2,VLOOKUP(P$2,$B$3:$C$18,2,FALSE),FALSE)*BINOMDIST(0,15-P$2,VLOOKUP(P$2,$E$3:$F$18,2,FALSE),FALSE)*BINOMDIST($O12-P$2,15-P$2,VLOOKUP(P$2,$H$3:$I$18,2,FALSE),FALSE),0)</f>
        <v>3.4561342692572481E-6</v>
      </c>
      <c r="Q12" s="1">
        <f t="array" ref="Q12">IFERROR(BINOMDIST($O12-Q$2,15-Q$2,VLOOKUP(Q$2,$B$3:$C$18,2,FALSE),FALSE)+
BINOMDIST(0,15-Q$2,VLOOKUP(Q$2,$B$3:$C$18,2,FALSE),FALSE)*BINOMDIST($O12-Q$2,15-Q$2,VLOOKUP(Q$2,$E$3:$F$18,2,FALSE),FALSE)+
BINOMDIST(0,15-Q$2,VLOOKUP(Q$2,$B$3:$C$18,2,FALSE),FALSE)*BINOMDIST(0,15-Q$2,VLOOKUP(Q$2,$E$3:$F$18,2,FALSE),FALSE)*BINOMDIST($O12-Q$2,15-Q$2,VLOOKUP(Q$2,$H$3:$I$18,2,FALSE),FALSE),0)</f>
        <v>2.1284396420917344E-5</v>
      </c>
      <c r="R12" s="1">
        <f t="array" ref="R12">IFERROR(BINOMDIST($O12-R$2,15-R$2,VLOOKUP(R$2,$B$3:$C$18,2,FALSE),FALSE)+
BINOMDIST(0,15-R$2,VLOOKUP(R$2,$B$3:$C$18,2,FALSE),FALSE)*BINOMDIST($O12-R$2,15-R$2,VLOOKUP(R$2,$E$3:$F$18,2,FALSE),FALSE)+
BINOMDIST(0,15-R$2,VLOOKUP(R$2,$B$3:$C$18,2,FALSE),FALSE)*BINOMDIST(0,15-R$2,VLOOKUP(R$2,$E$3:$F$18,2,FALSE),FALSE)*BINOMDIST($O12-R$2,15-R$2,VLOOKUP(R$2,$H$3:$I$18,2,FALSE),FALSE),0)</f>
        <v>1.2511359351915195E-4</v>
      </c>
      <c r="S12" s="1">
        <f t="array" ref="S12">IFERROR(BINOMDIST($O12-S$2,15-S$2,VLOOKUP(S$2,$B$3:$C$18,2,FALSE),FALSE)+
BINOMDIST(0,15-S$2,VLOOKUP(S$2,$B$3:$C$18,2,FALSE),FALSE)*BINOMDIST($O12-S$2,15-S$2,VLOOKUP(S$2,$E$3:$F$18,2,FALSE),FALSE)+
BINOMDIST(0,15-S$2,VLOOKUP(S$2,$B$3:$C$18,2,FALSE),FALSE)*BINOMDIST(0,15-S$2,VLOOKUP(S$2,$E$3:$F$18,2,FALSE),FALSE)*BINOMDIST($O12-S$2,15-S$2,VLOOKUP(S$2,$H$3:$I$18,2,FALSE),FALSE),0)</f>
        <v>6.946305070085428E-4</v>
      </c>
      <c r="T12" s="1">
        <f t="array" ref="T12">IFERROR(BINOMDIST($O12-T$2,15-T$2,VLOOKUP(T$2,$B$3:$C$18,2,FALSE),FALSE)+
BINOMDIST(0,15-T$2,VLOOKUP(T$2,$B$3:$C$18,2,FALSE),FALSE)*BINOMDIST($O12-T$2,15-T$2,VLOOKUP(T$2,$E$3:$F$18,2,FALSE),FALSE)+
BINOMDIST(0,15-T$2,VLOOKUP(T$2,$B$3:$C$18,2,FALSE),FALSE)*BINOMDIST(0,15-T$2,VLOOKUP(T$2,$E$3:$F$18,2,FALSE),FALSE)*BINOMDIST($O12-T$2,15-T$2,VLOOKUP(T$2,$H$3:$I$18,2,FALSE),FALSE),0)</f>
        <v>3.5898934950751847E-3</v>
      </c>
      <c r="U12" s="1">
        <f t="array" ref="U12">IFERROR(BINOMDIST($O12-U$2,15-U$2,VLOOKUP(U$2,$B$3:$C$18,2,FALSE),FALSE)+
BINOMDIST(0,15-U$2,VLOOKUP(U$2,$B$3:$C$18,2,FALSE),FALSE)*BINOMDIST($O12-U$2,15-U$2,VLOOKUP(U$2,$E$3:$F$18,2,FALSE),FALSE)+
BINOMDIST(0,15-U$2,VLOOKUP(U$2,$B$3:$C$18,2,FALSE),FALSE)*BINOMDIST(0,15-U$2,VLOOKUP(U$2,$E$3:$F$18,2,FALSE),FALSE)*BINOMDIST($O12-U$2,15-U$2,VLOOKUP(U$2,$H$3:$I$18,2,FALSE),FALSE),0)</f>
        <v>1.6909323427966225E-2</v>
      </c>
      <c r="V12" s="1">
        <f t="array" ref="V12">IFERROR(BINOMDIST($O12-V$2,15-V$2,VLOOKUP(V$2,$B$3:$C$18,2,FALSE),FALSE)+
BINOMDIST(0,15-V$2,VLOOKUP(V$2,$B$3:$C$18,2,FALSE),FALSE)*BINOMDIST($O12-V$2,15-V$2,VLOOKUP(V$2,$E$3:$F$18,2,FALSE),FALSE)+
BINOMDIST(0,15-V$2,VLOOKUP(V$2,$B$3:$C$18,2,FALSE),FALSE)*BINOMDIST(0,15-V$2,VLOOKUP(V$2,$E$3:$F$18,2,FALSE),FALSE)*BINOMDIST($O12-V$2,15-V$2,VLOOKUP(V$2,$H$3:$I$18,2,FALSE),FALSE),0)</f>
        <v>0.1396763267764759</v>
      </c>
      <c r="W12" s="1">
        <f t="array" ref="W12">IFERROR(BINOMDIST($O12-W$2,15-W$2,VLOOKUP(W$2,$B$3:$C$18,2,FALSE),FALSE)+
BINOMDIST(0,15-W$2,VLOOKUP(W$2,$B$3:$C$18,2,FALSE),FALSE)*BINOMDIST($O12-W$2,15-W$2,VLOOKUP(W$2,$E$3:$F$18,2,FALSE),FALSE)+
BINOMDIST(0,15-W$2,VLOOKUP(W$2,$B$3:$C$18,2,FALSE),FALSE)*BINOMDIST(0,15-W$2,VLOOKUP(W$2,$E$3:$F$18,2,FALSE),FALSE)*BINOMDIST($O12-W$2,15-W$2,VLOOKUP(W$2,$H$3:$I$18,2,FALSE),FALSE),0)</f>
        <v>0.29813371405422645</v>
      </c>
      <c r="X12" s="1">
        <f t="array" ref="X12">IFERROR(BINOMDIST($O12-X$2,15-X$2,VLOOKUP(X$2,$B$3:$C$18,2,FALSE),FALSE)+
BINOMDIST(0,15-X$2,VLOOKUP(X$2,$B$3:$C$18,2,FALSE),FALSE)*BINOMDIST($O12-X$2,15-X$2,VLOOKUP(X$2,$E$3:$F$18,2,FALSE),FALSE)+
BINOMDIST(0,15-X$2,VLOOKUP(X$2,$B$3:$C$18,2,FALSE),FALSE)*BINOMDIST(0,15-X$2,VLOOKUP(X$2,$E$3:$F$18,2,FALSE),FALSE)*BINOMDIST($O12-X$2,15-X$2,VLOOKUP(X$2,$H$3:$I$18,2,FALSE),FALSE),0)</f>
        <v>0.62255657074602921</v>
      </c>
      <c r="Y12" s="126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27">
        <v>0</v>
      </c>
      <c r="AV12" s="1"/>
    </row>
    <row r="13" spans="2:48" ht="13.5" customHeight="1" x14ac:dyDescent="0.15">
      <c r="B13" s="95">
        <v>9</v>
      </c>
      <c r="C13" s="96">
        <v>7.0000000000000007E-2</v>
      </c>
      <c r="D13" s="129"/>
      <c r="E13" s="95">
        <v>9</v>
      </c>
      <c r="F13" s="96">
        <v>7.0000000000000007E-2</v>
      </c>
      <c r="G13" s="129"/>
      <c r="H13" s="95">
        <v>9</v>
      </c>
      <c r="I13" s="96">
        <v>7.0000000000000007E-2</v>
      </c>
      <c r="J13" s="297"/>
      <c r="K13" s="129"/>
      <c r="L13" s="1"/>
      <c r="M13" s="1"/>
      <c r="O13" s="125">
        <v>10</v>
      </c>
      <c r="P13" s="26">
        <f t="array" ref="P13">IFERROR(BINOMDIST($O13-P$2,15-P$2,VLOOKUP(P$2,$B$3:$C$18,2,FALSE),FALSE)+
BINOMDIST(0,15-P$2,VLOOKUP(P$2,$B$3:$C$18,2,FALSE),FALSE)*BINOMDIST($O13-P$2,15-P$2,VLOOKUP(P$2,$E$3:$F$18,2,FALSE),FALSE)+
BINOMDIST(0,15-P$2,VLOOKUP(P$2,$B$3:$C$18,2,FALSE),FALSE)*BINOMDIST(0,15-P$2,VLOOKUP(P$2,$E$3:$F$18,2,FALSE),FALSE)*BINOMDIST($O13-P$2,15-P$2,VLOOKUP(P$2,$H$3:$I$18,2,FALSE),FALSE),0)</f>
        <v>2.3227134846474572E-7</v>
      </c>
      <c r="Q13" s="1">
        <f t="array" ref="Q13">IFERROR(BINOMDIST($O13-Q$2,15-Q$2,VLOOKUP(Q$2,$B$3:$C$18,2,FALSE),FALSE)+
BINOMDIST(0,15-Q$2,VLOOKUP(Q$2,$B$3:$C$18,2,FALSE),FALSE)*BINOMDIST($O13-Q$2,15-Q$2,VLOOKUP(Q$2,$E$3:$F$18,2,FALSE),FALSE)+
BINOMDIST(0,15-Q$2,VLOOKUP(Q$2,$B$3:$C$18,2,FALSE),FALSE)*BINOMDIST(0,15-Q$2,VLOOKUP(Q$2,$E$3:$F$18,2,FALSE),FALSE)*BINOMDIST($O13-Q$2,15-Q$2,VLOOKUP(Q$2,$H$3:$I$18,2,FALSE),FALSE),0)</f>
        <v>1.5905568406136214E-6</v>
      </c>
      <c r="R13" s="1">
        <f t="array" ref="R13">IFERROR(BINOMDIST($O13-R$2,15-R$2,VLOOKUP(R$2,$B$3:$C$18,2,FALSE),FALSE)+
BINOMDIST(0,15-R$2,VLOOKUP(R$2,$B$3:$C$18,2,FALSE),FALSE)*BINOMDIST($O13-R$2,15-R$2,VLOOKUP(R$2,$E$3:$F$18,2,FALSE),FALSE)+
BINOMDIST(0,15-R$2,VLOOKUP(R$2,$B$3:$C$18,2,FALSE),FALSE)*BINOMDIST(0,15-R$2,VLOOKUP(R$2,$E$3:$F$18,2,FALSE),FALSE)*BINOMDIST($O13-R$2,15-R$2,VLOOKUP(R$2,$H$3:$I$18,2,FALSE),FALSE),0)</f>
        <v>1.0526673078317747E-5</v>
      </c>
      <c r="S13" s="1">
        <f t="array" ref="S13">IFERROR(BINOMDIST($O13-S$2,15-S$2,VLOOKUP(S$2,$B$3:$C$18,2,FALSE),FALSE)+
BINOMDIST(0,15-S$2,VLOOKUP(S$2,$B$3:$C$18,2,FALSE),FALSE)*BINOMDIST($O13-S$2,15-S$2,VLOOKUP(S$2,$E$3:$F$18,2,FALSE),FALSE)+
BINOMDIST(0,15-S$2,VLOOKUP(S$2,$B$3:$C$18,2,FALSE),FALSE)*BINOMDIST(0,15-S$2,VLOOKUP(S$2,$E$3:$F$18,2,FALSE),FALSE)*BINOMDIST($O13-S$2,15-S$2,VLOOKUP(S$2,$H$3:$I$18,2,FALSE),FALSE),0)</f>
        <v>6.6849685311612048E-5</v>
      </c>
      <c r="T13" s="1">
        <f t="array" ref="T13">IFERROR(BINOMDIST($O13-T$2,15-T$2,VLOOKUP(T$2,$B$3:$C$18,2,FALSE),FALSE)+
BINOMDIST(0,15-T$2,VLOOKUP(T$2,$B$3:$C$18,2,FALSE),FALSE)*BINOMDIST($O13-T$2,15-T$2,VLOOKUP(T$2,$E$3:$F$18,2,FALSE),FALSE)+
BINOMDIST(0,15-T$2,VLOOKUP(T$2,$B$3:$C$18,2,FALSE),FALSE)*BINOMDIST(0,15-T$2,VLOOKUP(T$2,$E$3:$F$18,2,FALSE),FALSE)*BINOMDIST($O13-T$2,15-T$2,VLOOKUP(T$2,$H$3:$I$18,2,FALSE),FALSE),0)</f>
        <v>4.0342325077053382E-4</v>
      </c>
      <c r="U13" s="1">
        <f t="array" ref="U13">IFERROR(BINOMDIST($O13-U$2,15-U$2,VLOOKUP(U$2,$B$3:$C$18,2,FALSE),FALSE)+
BINOMDIST(0,15-U$2,VLOOKUP(U$2,$B$3:$C$18,2,FALSE),FALSE)*BINOMDIST($O13-U$2,15-U$2,VLOOKUP(U$2,$E$3:$F$18,2,FALSE),FALSE)+
BINOMDIST(0,15-U$2,VLOOKUP(U$2,$B$3:$C$18,2,FALSE),FALSE)*BINOMDIST(0,15-U$2,VLOOKUP(U$2,$E$3:$F$18,2,FALSE),FALSE)*BINOMDIST($O13-U$2,15-U$2,VLOOKUP(U$2,$H$3:$I$18,2,FALSE),FALSE),0)</f>
        <v>2.2824074687681902E-3</v>
      </c>
      <c r="V13" s="1">
        <f t="array" ref="V13">IFERROR(BINOMDIST($O13-V$2,15-V$2,VLOOKUP(V$2,$B$3:$C$18,2,FALSE),FALSE)+
BINOMDIST(0,15-V$2,VLOOKUP(V$2,$B$3:$C$18,2,FALSE),FALSE)*BINOMDIST($O13-V$2,15-V$2,VLOOKUP(V$2,$E$3:$F$18,2,FALSE),FALSE)+
BINOMDIST(0,15-V$2,VLOOKUP(V$2,$B$3:$C$18,2,FALSE),FALSE)*BINOMDIST(0,15-V$2,VLOOKUP(V$2,$E$3:$F$18,2,FALSE),FALSE)*BINOMDIST($O13-V$2,15-V$2,VLOOKUP(V$2,$H$3:$I$18,2,FALSE),FALSE),0)</f>
        <v>3.7488967861450638E-2</v>
      </c>
      <c r="W13" s="1">
        <f t="array" ref="W13">IFERROR(BINOMDIST($O13-W$2,15-W$2,VLOOKUP(W$2,$B$3:$C$18,2,FALSE),FALSE)+
BINOMDIST(0,15-W$2,VLOOKUP(W$2,$B$3:$C$18,2,FALSE),FALSE)*BINOMDIST($O13-W$2,15-W$2,VLOOKUP(W$2,$E$3:$F$18,2,FALSE),FALSE)+
BINOMDIST(0,15-W$2,VLOOKUP(W$2,$B$3:$C$18,2,FALSE),FALSE)*BINOMDIST(0,15-W$2,VLOOKUP(W$2,$E$3:$F$18,2,FALSE),FALSE)*BINOMDIST($O13-W$2,15-W$2,VLOOKUP(W$2,$H$3:$I$18,2,FALSE),FALSE),0)</f>
        <v>9.0481903090636043E-2</v>
      </c>
      <c r="X13" s="1">
        <f t="array" ref="X13">IFERROR(BINOMDIST($O13-X$2,15-X$2,VLOOKUP(X$2,$B$3:$C$18,2,FALSE),FALSE)+
BINOMDIST(0,15-X$2,VLOOKUP(X$2,$B$3:$C$18,2,FALSE),FALSE)*BINOMDIST($O13-X$2,15-X$2,VLOOKUP(X$2,$E$3:$F$18,2,FALSE),FALSE)+
BINOMDIST(0,15-X$2,VLOOKUP(X$2,$B$3:$C$18,2,FALSE),FALSE)*BINOMDIST(0,15-X$2,VLOOKUP(X$2,$E$3:$F$18,2,FALSE),FALSE)*BINOMDIST($O13-X$2,15-X$2,VLOOKUP(X$2,$H$3:$I$18,2,FALSE),FALSE),0)</f>
        <v>0.14057729016845827</v>
      </c>
      <c r="Y13" s="1">
        <f t="array" ref="Y13">IFERROR(BINOMDIST($O13-Y$2,15-Y$2,VLOOKUP(Y$2,$B$3:$C$18,2,FALSE),FALSE)+
BINOMDIST(0,15-Y$2,VLOOKUP(Y$2,$B$3:$C$18,2,FALSE),FALSE)*BINOMDIST($O13-Y$2,15-Y$2,VLOOKUP(Y$2,$E$3:$F$18,2,FALSE),FALSE)+
BINOMDIST(0,15-Y$2,VLOOKUP(Y$2,$B$3:$C$18,2,FALSE),FALSE)*BINOMDIST(0,15-Y$2,VLOOKUP(Y$2,$E$3:$F$18,2,FALSE),FALSE)*BINOMDIST($O13-Y$2,15-Y$2,VLOOKUP(Y$2,$H$3:$I$18,2,FALSE),FALSE),0)</f>
        <v>0.60354188603737724</v>
      </c>
      <c r="Z13" s="126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27">
        <v>0</v>
      </c>
      <c r="AV13" s="1"/>
    </row>
    <row r="14" spans="2:48" ht="13.5" customHeight="1" x14ac:dyDescent="0.15">
      <c r="B14" s="95">
        <v>10</v>
      </c>
      <c r="C14" s="96">
        <v>6.5000000000000002E-2</v>
      </c>
      <c r="D14" s="129"/>
      <c r="E14" s="95">
        <v>10</v>
      </c>
      <c r="F14" s="96">
        <v>6.5000000000000002E-2</v>
      </c>
      <c r="G14" s="129"/>
      <c r="H14" s="95">
        <v>10</v>
      </c>
      <c r="I14" s="96">
        <v>6.5000000000000002E-2</v>
      </c>
      <c r="J14" s="297"/>
      <c r="K14" s="129"/>
      <c r="L14" s="1"/>
      <c r="M14" s="1"/>
      <c r="O14" s="125">
        <v>11</v>
      </c>
      <c r="P14" s="26">
        <f t="array" ref="P14">IFERROR(BINOMDIST($O14-P$2,15-P$2,VLOOKUP(P$2,$B$3:$C$18,2,FALSE),FALSE)+
BINOMDIST(0,15-P$2,VLOOKUP(P$2,$B$3:$C$18,2,FALSE),FALSE)*BINOMDIST($O14-P$2,15-P$2,VLOOKUP(P$2,$E$3:$F$18,2,FALSE),FALSE)+
BINOMDIST(0,15-P$2,VLOOKUP(P$2,$B$3:$C$18,2,FALSE),FALSE)*BINOMDIST(0,15-P$2,VLOOKUP(P$2,$E$3:$F$18,2,FALSE),FALSE)*BINOMDIST($O14-P$2,15-P$2,VLOOKUP(P$2,$H$3:$I$18,2,FALSE),FALSE),0)</f>
        <v>1.1835505240196579E-8</v>
      </c>
      <c r="Q14" s="1">
        <f t="array" ref="Q14">IFERROR(BINOMDIST($O14-Q$2,15-Q$2,VLOOKUP(Q$2,$B$3:$C$18,2,FALSE),FALSE)+
BINOMDIST(0,15-Q$2,VLOOKUP(Q$2,$B$3:$C$18,2,FALSE),FALSE)*BINOMDIST($O14-Q$2,15-Q$2,VLOOKUP(Q$2,$E$3:$F$18,2,FALSE),FALSE)+
BINOMDIST(0,15-Q$2,VLOOKUP(Q$2,$B$3:$C$18,2,FALSE),FALSE)*BINOMDIST(0,15-Q$2,VLOOKUP(Q$2,$E$3:$F$18,2,FALSE),FALSE)*BINOMDIST($O14-Q$2,15-Q$2,VLOOKUP(Q$2,$H$3:$I$18,2,FALSE),FALSE),0)</f>
        <v>8.9225413409467833E-8</v>
      </c>
      <c r="R14" s="1">
        <f t="array" ref="R14">IFERROR(BINOMDIST($O14-R$2,15-R$2,VLOOKUP(R$2,$B$3:$C$18,2,FALSE),FALSE)+
BINOMDIST(0,15-R$2,VLOOKUP(R$2,$B$3:$C$18,2,FALSE),FALSE)*BINOMDIST($O14-R$2,15-R$2,VLOOKUP(R$2,$E$3:$F$18,2,FALSE),FALSE)+
BINOMDIST(0,15-R$2,VLOOKUP(R$2,$B$3:$C$18,2,FALSE),FALSE)*BINOMDIST(0,15-R$2,VLOOKUP(R$2,$E$3:$F$18,2,FALSE),FALSE)*BINOMDIST($O14-R$2,15-R$2,VLOOKUP(R$2,$H$3:$I$18,2,FALSE),FALSE),0)</f>
        <v>6.5669814966759151E-7</v>
      </c>
      <c r="S14" s="1">
        <f t="array" ref="S14">IFERROR(BINOMDIST($O14-S$2,15-S$2,VLOOKUP(S$2,$B$3:$C$18,2,FALSE),FALSE)+
BINOMDIST(0,15-S$2,VLOOKUP(S$2,$B$3:$C$18,2,FALSE),FALSE)*BINOMDIST($O14-S$2,15-S$2,VLOOKUP(S$2,$E$3:$F$18,2,FALSE),FALSE)+
BINOMDIST(0,15-S$2,VLOOKUP(S$2,$B$3:$C$18,2,FALSE),FALSE)*BINOMDIST(0,15-S$2,VLOOKUP(S$2,$E$3:$F$18,2,FALSE),FALSE)*BINOMDIST($O14-S$2,15-S$2,VLOOKUP(S$2,$H$3:$I$18,2,FALSE),FALSE),0)</f>
        <v>4.695979624522656E-6</v>
      </c>
      <c r="T14" s="1">
        <f t="array" ref="T14">IFERROR(BINOMDIST($O14-T$2,15-T$2,VLOOKUP(T$2,$B$3:$C$18,2,FALSE),FALSE)+
BINOMDIST(0,15-T$2,VLOOKUP(T$2,$B$3:$C$18,2,FALSE),FALSE)*BINOMDIST($O14-T$2,15-T$2,VLOOKUP(T$2,$E$3:$F$18,2,FALSE),FALSE)+
BINOMDIST(0,15-T$2,VLOOKUP(T$2,$B$3:$C$18,2,FALSE),FALSE)*BINOMDIST(0,15-T$2,VLOOKUP(T$2,$E$3:$F$18,2,FALSE),FALSE)*BINOMDIST($O14-T$2,15-T$2,VLOOKUP(T$2,$H$3:$I$18,2,FALSE),FALSE),0)</f>
        <v>3.2419067860739471E-5</v>
      </c>
      <c r="U14" s="1">
        <f t="array" ref="U14">IFERROR(BINOMDIST($O14-U$2,15-U$2,VLOOKUP(U$2,$B$3:$C$18,2,FALSE),FALSE)+
BINOMDIST(0,15-U$2,VLOOKUP(U$2,$B$3:$C$18,2,FALSE),FALSE)*BINOMDIST($O14-U$2,15-U$2,VLOOKUP(U$2,$E$3:$F$18,2,FALSE),FALSE)+
BINOMDIST(0,15-U$2,VLOOKUP(U$2,$B$3:$C$18,2,FALSE),FALSE)*BINOMDIST(0,15-U$2,VLOOKUP(U$2,$E$3:$F$18,2,FALSE),FALSE)*BINOMDIST($O14-U$2,15-U$2,VLOOKUP(U$2,$H$3:$I$18,2,FALSE),FALSE),0)</f>
        <v>2.1420051485566537E-4</v>
      </c>
      <c r="V14" s="1">
        <f t="array" ref="V14">IFERROR(BINOMDIST($O14-V$2,15-V$2,VLOOKUP(V$2,$B$3:$C$18,2,FALSE),FALSE)+
BINOMDIST(0,15-V$2,VLOOKUP(V$2,$B$3:$C$18,2,FALSE),FALSE)*BINOMDIST($O14-V$2,15-V$2,VLOOKUP(V$2,$E$3:$F$18,2,FALSE),FALSE)+
BINOMDIST(0,15-V$2,VLOOKUP(V$2,$B$3:$C$18,2,FALSE),FALSE)*BINOMDIST(0,15-V$2,VLOOKUP(V$2,$E$3:$F$18,2,FALSE),FALSE)*BINOMDIST($O14-V$2,15-V$2,VLOOKUP(V$2,$H$3:$I$18,2,FALSE),FALSE),0)</f>
        <v>6.7289295485123204E-3</v>
      </c>
      <c r="W14" s="1">
        <f t="array" ref="W14">IFERROR(BINOMDIST($O14-W$2,15-W$2,VLOOKUP(W$2,$B$3:$C$18,2,FALSE),FALSE)+
BINOMDIST(0,15-W$2,VLOOKUP(W$2,$B$3:$C$18,2,FALSE),FALSE)*BINOMDIST($O14-W$2,15-W$2,VLOOKUP(W$2,$E$3:$F$18,2,FALSE),FALSE)+
BINOMDIST(0,15-W$2,VLOOKUP(W$2,$B$3:$C$18,2,FALSE),FALSE)*BINOMDIST(0,15-W$2,VLOOKUP(W$2,$E$3:$F$18,2,FALSE),FALSE)*BINOMDIST($O14-W$2,15-W$2,VLOOKUP(W$2,$H$3:$I$18,2,FALSE),FALSE),0)</f>
        <v>1.7205753544165769E-2</v>
      </c>
      <c r="X14" s="1">
        <f t="array" ref="X14">IFERROR(BINOMDIST($O14-X$2,15-X$2,VLOOKUP(X$2,$B$3:$C$18,2,FALSE),FALSE)+
BINOMDIST(0,15-X$2,VLOOKUP(X$2,$B$3:$C$18,2,FALSE),FALSE)*BINOMDIST($O14-X$2,15-X$2,VLOOKUP(X$2,$E$3:$F$18,2,FALSE),FALSE)+
BINOMDIST(0,15-X$2,VLOOKUP(X$2,$B$3:$C$18,2,FALSE),FALSE)*BINOMDIST(0,15-X$2,VLOOKUP(X$2,$E$3:$F$18,2,FALSE),FALSE)*BINOMDIST($O14-X$2,15-X$2,VLOOKUP(X$2,$H$3:$I$18,2,FALSE),FALSE),0)</f>
        <v>1.7635143927942763E-2</v>
      </c>
      <c r="Y14" s="1">
        <f t="array" ref="Y14">IFERROR(BINOMDIST($O14-Y$2,15-Y$2,VLOOKUP(Y$2,$B$3:$C$18,2,FALSE),FALSE)+
BINOMDIST(0,15-Y$2,VLOOKUP(Y$2,$B$3:$C$18,2,FALSE),FALSE)*BINOMDIST($O14-Y$2,15-Y$2,VLOOKUP(Y$2,$E$3:$F$18,2,FALSE),FALSE)+
BINOMDIST(0,15-Y$2,VLOOKUP(Y$2,$B$3:$C$18,2,FALSE),FALSE)*BINOMDIST(0,15-Y$2,VLOOKUP(Y$2,$E$3:$F$18,2,FALSE),FALSE)*BINOMDIST($O14-Y$2,15-Y$2,VLOOKUP(Y$2,$H$3:$I$18,2,FALSE),FALSE),0)</f>
        <v>0.11356970973821613</v>
      </c>
      <c r="Z14" s="1">
        <f t="array" ref="Z14">IFERROR(BINOMDIST($O14-Z$2,15-Z$2,VLOOKUP(Z$2,$B$3:$C$18,2,FALSE),FALSE)+
BINOMDIST(0,15-Z$2,VLOOKUP(Z$2,$B$3:$C$18,2,FALSE),FALSE)*BINOMDIST($O14-Z$2,15-Z$2,VLOOKUP(Z$2,$E$3:$F$18,2,FALSE),FALSE)+
BINOMDIST(0,15-Z$2,VLOOKUP(Z$2,$B$3:$C$18,2,FALSE),FALSE)*BINOMDIST(0,15-Z$2,VLOOKUP(Z$2,$E$3:$F$18,2,FALSE),FALSE)*BINOMDIST($O14-Z$2,15-Z$2,VLOOKUP(Z$2,$H$3:$I$18,2,FALSE),FALSE),0)</f>
        <v>0.55272023408144733</v>
      </c>
      <c r="AA14" s="126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27">
        <v>0</v>
      </c>
      <c r="AV14" s="1"/>
    </row>
    <row r="15" spans="2:48" ht="13.5" customHeight="1" x14ac:dyDescent="0.15">
      <c r="B15" s="95">
        <v>11</v>
      </c>
      <c r="C15" s="96">
        <v>0.06</v>
      </c>
      <c r="D15" s="129"/>
      <c r="E15" s="95">
        <v>11</v>
      </c>
      <c r="F15" s="96">
        <v>0.06</v>
      </c>
      <c r="G15" s="129"/>
      <c r="H15" s="95">
        <v>11</v>
      </c>
      <c r="I15" s="96">
        <v>0.06</v>
      </c>
      <c r="J15" s="297"/>
      <c r="K15" s="129"/>
      <c r="L15" s="1"/>
      <c r="M15" s="1"/>
      <c r="O15" s="125">
        <v>12</v>
      </c>
      <c r="P15" s="26">
        <f t="array" ref="P15">IFERROR(BINOMDIST($O15-P$2,15-P$2,VLOOKUP(P$2,$B$3:$C$18,2,FALSE),FALSE)+
BINOMDIST(0,15-P$2,VLOOKUP(P$2,$B$3:$C$18,2,FALSE),FALSE)*BINOMDIST($O15-P$2,15-P$2,VLOOKUP(P$2,$E$3:$F$18,2,FALSE),FALSE)+
BINOMDIST(0,15-P$2,VLOOKUP(P$2,$B$3:$C$18,2,FALSE),FALSE)*BINOMDIST(0,15-P$2,VLOOKUP(P$2,$E$3:$F$18,2,FALSE),FALSE)*BINOMDIST($O15-P$2,15-P$2,VLOOKUP(P$2,$H$3:$I$18,2,FALSE),FALSE),0)</f>
        <v>4.4266260625602493E-10</v>
      </c>
      <c r="Q15" s="1">
        <f t="array" ref="Q15">IFERROR(BINOMDIST($O15-Q$2,15-Q$2,VLOOKUP(Q$2,$B$3:$C$18,2,FALSE),FALSE)+
BINOMDIST(0,15-Q$2,VLOOKUP(Q$2,$B$3:$C$18,2,FALSE),FALSE)*BINOMDIST($O15-Q$2,15-Q$2,VLOOKUP(Q$2,$E$3:$F$18,2,FALSE),FALSE)+
BINOMDIST(0,15-Q$2,VLOOKUP(Q$2,$B$3:$C$18,2,FALSE),FALSE)*BINOMDIST(0,15-Q$2,VLOOKUP(Q$2,$E$3:$F$18,2,FALSE),FALSE)*BINOMDIST($O15-Q$2,15-Q$2,VLOOKUP(Q$2,$H$3:$I$18,2,FALSE),FALSE),0)</f>
        <v>3.6437703314515797E-9</v>
      </c>
      <c r="R15" s="1">
        <f t="array" ref="R15">IFERROR(BINOMDIST($O15-R$2,15-R$2,VLOOKUP(R$2,$B$3:$C$18,2,FALSE),FALSE)+
BINOMDIST(0,15-R$2,VLOOKUP(R$2,$B$3:$C$18,2,FALSE),FALSE)*BINOMDIST($O15-R$2,15-R$2,VLOOKUP(R$2,$E$3:$F$18,2,FALSE),FALSE)+
BINOMDIST(0,15-R$2,VLOOKUP(R$2,$B$3:$C$18,2,FALSE),FALSE)*BINOMDIST(0,15-R$2,VLOOKUP(R$2,$E$3:$F$18,2,FALSE),FALSE)*BINOMDIST($O15-R$2,15-R$2,VLOOKUP(R$2,$H$3:$I$18,2,FALSE),FALSE),0)</f>
        <v>2.9527881810519593E-8</v>
      </c>
      <c r="S15" s="1">
        <f t="array" ref="S15">IFERROR(BINOMDIST($O15-S$2,15-S$2,VLOOKUP(S$2,$B$3:$C$18,2,FALSE),FALSE)+
BINOMDIST(0,15-S$2,VLOOKUP(S$2,$B$3:$C$18,2,FALSE),FALSE)*BINOMDIST($O15-S$2,15-S$2,VLOOKUP(S$2,$E$3:$F$18,2,FALSE),FALSE)+
BINOMDIST(0,15-S$2,VLOOKUP(S$2,$B$3:$C$18,2,FALSE),FALSE)*BINOMDIST(0,15-S$2,VLOOKUP(S$2,$E$3:$F$18,2,FALSE),FALSE)*BINOMDIST($O15-S$2,15-S$2,VLOOKUP(S$2,$H$3:$I$18,2,FALSE),FALSE),0)</f>
        <v>2.3484676537268786E-7</v>
      </c>
      <c r="T15" s="1">
        <f t="array" ref="T15">IFERROR(BINOMDIST($O15-T$2,15-T$2,VLOOKUP(T$2,$B$3:$C$18,2,FALSE),FALSE)+
BINOMDIST(0,15-T$2,VLOOKUP(T$2,$B$3:$C$18,2,FALSE),FALSE)*BINOMDIST($O15-T$2,15-T$2,VLOOKUP(T$2,$E$3:$F$18,2,FALSE),FALSE)+
BINOMDIST(0,15-T$2,VLOOKUP(T$2,$B$3:$C$18,2,FALSE),FALSE)*BINOMDIST(0,15-T$2,VLOOKUP(T$2,$E$3:$F$18,2,FALSE),FALSE)*BINOMDIST($O15-T$2,15-T$2,VLOOKUP(T$2,$H$3:$I$18,2,FALSE),FALSE),0)</f>
        <v>1.8258618256067306E-6</v>
      </c>
      <c r="U15" s="1">
        <f t="array" ref="U15">IFERROR(BINOMDIST($O15-U$2,15-U$2,VLOOKUP(U$2,$B$3:$C$18,2,FALSE),FALSE)+
BINOMDIST(0,15-U$2,VLOOKUP(U$2,$B$3:$C$18,2,FALSE),FALSE)*BINOMDIST($O15-U$2,15-U$2,VLOOKUP(U$2,$E$3:$F$18,2,FALSE),FALSE)+
BINOMDIST(0,15-U$2,VLOOKUP(U$2,$B$3:$C$18,2,FALSE),FALSE)*BINOMDIST(0,15-U$2,VLOOKUP(U$2,$E$3:$F$18,2,FALSE),FALSE)*BINOMDIST($O15-U$2,15-U$2,VLOOKUP(U$2,$H$3:$I$18,2,FALSE),FALSE),0)</f>
        <v>1.3802481419052412E-5</v>
      </c>
      <c r="V15" s="1">
        <f t="array" ref="V15">IFERROR(BINOMDIST($O15-V$2,15-V$2,VLOOKUP(V$2,$B$3:$C$18,2,FALSE),FALSE)+
BINOMDIST(0,15-V$2,VLOOKUP(V$2,$B$3:$C$18,2,FALSE),FALSE)*BINOMDIST($O15-V$2,15-V$2,VLOOKUP(V$2,$E$3:$F$18,2,FALSE),FALSE)+
BINOMDIST(0,15-V$2,VLOOKUP(V$2,$B$3:$C$18,2,FALSE),FALSE)*BINOMDIST(0,15-V$2,VLOOKUP(V$2,$E$3:$F$18,2,FALSE),FALSE)*BINOMDIST($O15-V$2,15-V$2,VLOOKUP(V$2,$H$3:$I$18,2,FALSE),FALSE),0)</f>
        <v>8.0820891738903359E-4</v>
      </c>
      <c r="W15" s="1">
        <f t="array" ref="W15">IFERROR(BINOMDIST($O15-W$2,15-W$2,VLOOKUP(W$2,$B$3:$C$18,2,FALSE),FALSE)+
BINOMDIST(0,15-W$2,VLOOKUP(W$2,$B$3:$C$18,2,FALSE),FALSE)*BINOMDIST($O15-W$2,15-W$2,VLOOKUP(W$2,$E$3:$F$18,2,FALSE),FALSE)+
BINOMDIST(0,15-W$2,VLOOKUP(W$2,$B$3:$C$18,2,FALSE),FALSE)*BINOMDIST(0,15-W$2,VLOOKUP(W$2,$E$3:$F$18,2,FALSE),FALSE)*BINOMDIST($O15-W$2,15-W$2,VLOOKUP(W$2,$H$3:$I$18,2,FALSE),FALSE),0)</f>
        <v>2.0998947573330029E-3</v>
      </c>
      <c r="X15" s="1">
        <f t="array" ref="X15">IFERROR(BINOMDIST($O15-X$2,15-X$2,VLOOKUP(X$2,$B$3:$C$18,2,FALSE),FALSE)+
BINOMDIST(0,15-X$2,VLOOKUP(X$2,$B$3:$C$18,2,FALSE),FALSE)*BINOMDIST($O15-X$2,15-X$2,VLOOKUP(X$2,$E$3:$F$18,2,FALSE),FALSE)+
BINOMDIST(0,15-X$2,VLOOKUP(X$2,$B$3:$C$18,2,FALSE),FALSE)*BINOMDIST(0,15-X$2,VLOOKUP(X$2,$E$3:$F$18,2,FALSE),FALSE)*BINOMDIST($O15-X$2,15-X$2,VLOOKUP(X$2,$H$3:$I$18,2,FALSE),FALSE),0)</f>
        <v>1.3273764246838661E-3</v>
      </c>
      <c r="Y15" s="1">
        <f t="array" ref="Y15">IFERROR(BINOMDIST($O15-Y$2,15-Y$2,VLOOKUP(Y$2,$B$3:$C$18,2,FALSE),FALSE)+
BINOMDIST(0,15-Y$2,VLOOKUP(Y$2,$B$3:$C$18,2,FALSE),FALSE)*BINOMDIST($O15-Y$2,15-Y$2,VLOOKUP(Y$2,$E$3:$F$18,2,FALSE),FALSE)+
BINOMDIST(0,15-Y$2,VLOOKUP(Y$2,$B$3:$C$18,2,FALSE),FALSE)*BINOMDIST(0,15-Y$2,VLOOKUP(Y$2,$E$3:$F$18,2,FALSE),FALSE)*BINOMDIST($O15-Y$2,15-Y$2,VLOOKUP(Y$2,$H$3:$I$18,2,FALSE),FALSE),0)</f>
        <v>1.1397676962975107E-2</v>
      </c>
      <c r="Z15" s="1">
        <f t="array" ref="Z15">IFERROR(BINOMDIST($O15-Z$2,15-Z$2,VLOOKUP(Z$2,$B$3:$C$18,2,FALSE),FALSE)+
BINOMDIST(0,15-Z$2,VLOOKUP(Z$2,$B$3:$C$18,2,FALSE),FALSE)*BINOMDIST($O15-Z$2,15-Z$2,VLOOKUP(Z$2,$E$3:$F$18,2,FALSE),FALSE)+
BINOMDIST(0,15-Z$2,VLOOKUP(Z$2,$B$3:$C$18,2,FALSE),FALSE)*BINOMDIST(0,15-Z$2,VLOOKUP(Z$2,$E$3:$F$18,2,FALSE),FALSE)*BINOMDIST($O15-Z$2,15-Z$2,VLOOKUP(Z$2,$H$3:$I$18,2,FALSE),FALSE),0)</f>
        <v>7.6848802599559535E-2</v>
      </c>
      <c r="AA15" s="1">
        <f t="array" ref="AA15">IFERROR(BINOMDIST($O15-AA$2,15-AA$2,VLOOKUP(AA$2,$B$3:$C$18,2,FALSE),FALSE)+
BINOMDIST(0,15-AA$2,VLOOKUP(AA$2,$B$3:$C$18,2,FALSE),FALSE)*BINOMDIST($O15-AA$2,15-AA$2,VLOOKUP(AA$2,$E$3:$F$18,2,FALSE),FALSE)+
BINOMDIST(0,15-AA$2,VLOOKUP(AA$2,$B$3:$C$18,2,FALSE),FALSE)*BINOMDIST(0,15-AA$2,VLOOKUP(AA$2,$E$3:$F$18,2,FALSE),FALSE)*BINOMDIST($O15-AA$2,15-AA$2,VLOOKUP(AA$2,$H$3:$I$18,2,FALSE),FALSE),0)</f>
        <v>0.47648635234604292</v>
      </c>
      <c r="AB15" s="126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27">
        <v>0</v>
      </c>
      <c r="AV15" s="1"/>
    </row>
    <row r="16" spans="2:48" ht="13.5" customHeight="1" x14ac:dyDescent="0.15">
      <c r="B16" s="95">
        <v>12</v>
      </c>
      <c r="C16" s="96">
        <v>0.05</v>
      </c>
      <c r="D16" s="129"/>
      <c r="E16" s="95">
        <v>12</v>
      </c>
      <c r="F16" s="96">
        <v>0.05</v>
      </c>
      <c r="G16" s="129"/>
      <c r="H16" s="95">
        <v>12</v>
      </c>
      <c r="I16" s="96">
        <v>5.5E-2</v>
      </c>
      <c r="J16" s="297"/>
      <c r="K16" s="129"/>
      <c r="L16" s="1"/>
      <c r="M16" s="1"/>
      <c r="O16" s="125">
        <v>13</v>
      </c>
      <c r="P16" s="26">
        <f t="array" ref="P16">IFERROR(BINOMDIST($O16-P$2,15-P$2,VLOOKUP(P$2,$B$3:$C$18,2,FALSE),FALSE)+
BINOMDIST(0,15-P$2,VLOOKUP(P$2,$B$3:$C$18,2,FALSE),FALSE)*BINOMDIST($O16-P$2,15-P$2,VLOOKUP(P$2,$E$3:$F$18,2,FALSE),FALSE)+
BINOMDIST(0,15-P$2,VLOOKUP(P$2,$B$3:$C$18,2,FALSE),FALSE)*BINOMDIST(0,15-P$2,VLOOKUP(P$2,$E$3:$F$18,2,FALSE),FALSE)*BINOMDIST($O16-P$2,15-P$2,VLOOKUP(P$2,$H$3:$I$18,2,FALSE),FALSE),0)</f>
        <v>1.1473269210240566E-11</v>
      </c>
      <c r="Q16" s="1">
        <f t="array" ref="Q16">IFERROR(BINOMDIST($O16-Q$2,15-Q$2,VLOOKUP(Q$2,$B$3:$C$18,2,FALSE),FALSE)+
BINOMDIST(0,15-Q$2,VLOOKUP(Q$2,$B$3:$C$18,2,FALSE),FALSE)*BINOMDIST($O16-Q$2,15-Q$2,VLOOKUP(Q$2,$E$3:$F$18,2,FALSE),FALSE)+
BINOMDIST(0,15-Q$2,VLOOKUP(Q$2,$B$3:$C$18,2,FALSE),FALSE)*BINOMDIST(0,15-Q$2,VLOOKUP(Q$2,$E$3:$F$18,2,FALSE),FALSE)*BINOMDIST($O16-Q$2,15-Q$2,VLOOKUP(Q$2,$H$3:$I$18,2,FALSE),FALSE),0)</f>
        <v>1.0241172555400427E-10</v>
      </c>
      <c r="R16" s="1">
        <f t="array" ref="R16">IFERROR(BINOMDIST($O16-R$2,15-R$2,VLOOKUP(R$2,$B$3:$C$18,2,FALSE),FALSE)+
BINOMDIST(0,15-R$2,VLOOKUP(R$2,$B$3:$C$18,2,FALSE),FALSE)*BINOMDIST($O16-R$2,15-R$2,VLOOKUP(R$2,$E$3:$F$18,2,FALSE),FALSE)+
BINOMDIST(0,15-R$2,VLOOKUP(R$2,$B$3:$C$18,2,FALSE),FALSE)*BINOMDIST(0,15-R$2,VLOOKUP(R$2,$E$3:$F$18,2,FALSE),FALSE)*BINOMDIST($O16-R$2,15-R$2,VLOOKUP(R$2,$H$3:$I$18,2,FALSE),FALSE),0)</f>
        <v>9.0628870338449786E-10</v>
      </c>
      <c r="S16" s="1">
        <f t="array" ref="S16">IFERROR(BINOMDIST($O16-S$2,15-S$2,VLOOKUP(S$2,$B$3:$C$18,2,FALSE),FALSE)+
BINOMDIST(0,15-S$2,VLOOKUP(S$2,$B$3:$C$18,2,FALSE),FALSE)*BINOMDIST($O16-S$2,15-S$2,VLOOKUP(S$2,$E$3:$F$18,2,FALSE),FALSE)+
BINOMDIST(0,15-S$2,VLOOKUP(S$2,$B$3:$C$18,2,FALSE),FALSE)*BINOMDIST(0,15-S$2,VLOOKUP(S$2,$E$3:$F$18,2,FALSE),FALSE)*BINOMDIST($O16-S$2,15-S$2,VLOOKUP(S$2,$H$3:$I$18,2,FALSE),FALSE),0)</f>
        <v>7.9374791315684472E-9</v>
      </c>
      <c r="T16" s="1">
        <f t="array" ref="T16">IFERROR(BINOMDIST($O16-T$2,15-T$2,VLOOKUP(T$2,$B$3:$C$18,2,FALSE),FALSE)+
BINOMDIST(0,15-T$2,VLOOKUP(T$2,$B$3:$C$18,2,FALSE),FALSE)*BINOMDIST($O16-T$2,15-T$2,VLOOKUP(T$2,$E$3:$F$18,2,FALSE),FALSE)+
BINOMDIST(0,15-T$2,VLOOKUP(T$2,$B$3:$C$18,2,FALSE),FALSE)*BINOMDIST(0,15-T$2,VLOOKUP(T$2,$E$3:$F$18,2,FALSE),FALSE)*BINOMDIST($O16-T$2,15-T$2,VLOOKUP(T$2,$H$3:$I$18,2,FALSE),FALSE),0)</f>
        <v>6.8646337902620804E-8</v>
      </c>
      <c r="U16" s="1">
        <f t="array" ref="U16">IFERROR(BINOMDIST($O16-U$2,15-U$2,VLOOKUP(U$2,$B$3:$C$18,2,FALSE),FALSE)+
BINOMDIST(0,15-U$2,VLOOKUP(U$2,$B$3:$C$18,2,FALSE),FALSE)*BINOMDIST($O16-U$2,15-U$2,VLOOKUP(U$2,$E$3:$F$18,2,FALSE),FALSE)+
BINOMDIST(0,15-U$2,VLOOKUP(U$2,$B$3:$C$18,2,FALSE),FALSE)*BINOMDIST(0,15-U$2,VLOOKUP(U$2,$E$3:$F$18,2,FALSE),FALSE)*BINOMDIST($O16-U$2,15-U$2,VLOOKUP(U$2,$H$3:$I$18,2,FALSE),FALSE),0)</f>
        <v>5.8448654988119939E-7</v>
      </c>
      <c r="V16" s="1">
        <f t="array" ref="V16">IFERROR(BINOMDIST($O16-V$2,15-V$2,VLOOKUP(V$2,$B$3:$C$18,2,FALSE),FALSE)+
BINOMDIST(0,15-V$2,VLOOKUP(V$2,$B$3:$C$18,2,FALSE),FALSE)*BINOMDIST($O16-V$2,15-V$2,VLOOKUP(V$2,$E$3:$F$18,2,FALSE),FALSE)+
BINOMDIST(0,15-V$2,VLOOKUP(V$2,$B$3:$C$18,2,FALSE),FALSE)*BINOMDIST(0,15-V$2,VLOOKUP(V$2,$E$3:$F$18,2,FALSE),FALSE)*BINOMDIST($O16-V$2,15-V$2,VLOOKUP(V$2,$H$3:$I$18,2,FALSE),FALSE),0)</f>
        <v>6.2683908173489329E-5</v>
      </c>
      <c r="W16" s="1">
        <f t="array" ref="W16">IFERROR(BINOMDIST($O16-W$2,15-W$2,VLOOKUP(W$2,$B$3:$C$18,2,FALSE),FALSE)+
BINOMDIST(0,15-W$2,VLOOKUP(W$2,$B$3:$C$18,2,FALSE),FALSE)*BINOMDIST($O16-W$2,15-W$2,VLOOKUP(W$2,$E$3:$F$18,2,FALSE),FALSE)+
BINOMDIST(0,15-W$2,VLOOKUP(W$2,$B$3:$C$18,2,FALSE),FALSE)*BINOMDIST(0,15-W$2,VLOOKUP(W$2,$E$3:$F$18,2,FALSE),FALSE)*BINOMDIST($O16-W$2,15-W$2,VLOOKUP(W$2,$H$3:$I$18,2,FALSE),FALSE),0)</f>
        <v>1.606929555295931E-4</v>
      </c>
      <c r="X16" s="1">
        <f t="array" ref="X16">IFERROR(BINOMDIST($O16-X$2,15-X$2,VLOOKUP(X$2,$B$3:$C$18,2,FALSE),FALSE)+
BINOMDIST(0,15-X$2,VLOOKUP(X$2,$B$3:$C$18,2,FALSE),FALSE)*BINOMDIST($O16-X$2,15-X$2,VLOOKUP(X$2,$E$3:$F$18,2,FALSE),FALSE)+
BINOMDIST(0,15-X$2,VLOOKUP(X$2,$B$3:$C$18,2,FALSE),FALSE)*BINOMDIST(0,15-X$2,VLOOKUP(X$2,$E$3:$F$18,2,FALSE),FALSE)*BINOMDIST($O16-X$2,15-X$2,VLOOKUP(X$2,$H$3:$I$18,2,FALSE),FALSE),0)</f>
        <v>5.994603208249718E-5</v>
      </c>
      <c r="Y16" s="1">
        <f t="array" ref="Y16">IFERROR(BINOMDIST($O16-Y$2,15-Y$2,VLOOKUP(Y$2,$B$3:$C$18,2,FALSE),FALSE)+
BINOMDIST(0,15-Y$2,VLOOKUP(Y$2,$B$3:$C$18,2,FALSE),FALSE)*BINOMDIST($O16-Y$2,15-Y$2,VLOOKUP(Y$2,$E$3:$F$18,2,FALSE),FALSE)+
BINOMDIST(0,15-Y$2,VLOOKUP(Y$2,$B$3:$C$18,2,FALSE),FALSE)*BINOMDIST(0,15-Y$2,VLOOKUP(Y$2,$E$3:$F$18,2,FALSE),FALSE)*BINOMDIST($O16-Y$2,15-Y$2,VLOOKUP(Y$2,$H$3:$I$18,2,FALSE),FALSE),0)</f>
        <v>6.4341724790988421E-4</v>
      </c>
      <c r="Z16" s="1">
        <f t="array" ref="Z16">IFERROR(BINOMDIST($O16-Z$2,15-Z$2,VLOOKUP(Z$2,$B$3:$C$18,2,FALSE),FALSE)+
BINOMDIST(0,15-Z$2,VLOOKUP(Z$2,$B$3:$C$18,2,FALSE),FALSE)*BINOMDIST($O16-Z$2,15-Z$2,VLOOKUP(Z$2,$E$3:$F$18,2,FALSE),FALSE)+
BINOMDIST(0,15-Z$2,VLOOKUP(Z$2,$B$3:$C$18,2,FALSE),FALSE)*BINOMDIST(0,15-Z$2,VLOOKUP(Z$2,$E$3:$F$18,2,FALSE),FALSE)*BINOMDIST($O16-Z$2,15-Z$2,VLOOKUP(Z$2,$H$3:$I$18,2,FALSE),FALSE),0)</f>
        <v>5.3424301272421036E-3</v>
      </c>
      <c r="AA16" s="1">
        <f t="array" ref="AA16">IFERROR(BINOMDIST($O16-AA$2,15-AA$2,VLOOKUP(AA$2,$B$3:$C$18,2,FALSE),FALSE)+
BINOMDIST(0,15-AA$2,VLOOKUP(AA$2,$B$3:$C$18,2,FALSE),FALSE)*BINOMDIST($O16-AA$2,15-AA$2,VLOOKUP(AA$2,$E$3:$F$18,2,FALSE),FALSE)+
BINOMDIST(0,15-AA$2,VLOOKUP(AA$2,$B$3:$C$18,2,FALSE),FALSE)*BINOMDIST(0,15-AA$2,VLOOKUP(AA$2,$E$3:$F$18,2,FALSE),FALSE)*BINOMDIST($O16-AA$2,15-AA$2,VLOOKUP(AA$2,$H$3:$I$18,2,FALSE),FALSE),0)</f>
        <v>4.5621033735259435E-2</v>
      </c>
      <c r="AB16" s="1">
        <f t="array" ref="AB16">IFERROR(BINOMDIST($O16-AB$2,15-AB$2,VLOOKUP(AB$2,$B$3:$C$18,2,FALSE),FALSE)+
BINOMDIST(0,15-AB$2,VLOOKUP(AB$2,$B$3:$C$18,2,FALSE),FALSE)*BINOMDIST($O16-AB$2,15-AB$2,VLOOKUP(AB$2,$E$3:$F$18,2,FALSE),FALSE)+
BINOMDIST(0,15-AB$2,VLOOKUP(AB$2,$B$3:$C$18,2,FALSE),FALSE)*BINOMDIST(0,15-AB$2,VLOOKUP(AB$2,$E$3:$F$18,2,FALSE),FALSE)*BINOMDIST($O16-AB$2,15-AB$2,VLOOKUP(AB$2,$H$3:$I$18,2,FALSE),FALSE),0)</f>
        <v>0.35975728750318947</v>
      </c>
      <c r="AC16" s="126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27">
        <v>0</v>
      </c>
      <c r="AV16" s="1"/>
    </row>
    <row r="17" spans="2:63" ht="13.5" customHeight="1" x14ac:dyDescent="0.15">
      <c r="B17" s="95">
        <v>13</v>
      </c>
      <c r="C17" s="96">
        <v>0.01</v>
      </c>
      <c r="D17" s="129"/>
      <c r="E17" s="95">
        <v>13</v>
      </c>
      <c r="F17" s="96">
        <v>0.01</v>
      </c>
      <c r="G17" s="129"/>
      <c r="H17" s="95">
        <v>13</v>
      </c>
      <c r="I17" s="96">
        <v>0.02</v>
      </c>
      <c r="J17" s="297"/>
      <c r="K17" s="129"/>
      <c r="L17" s="1"/>
      <c r="M17" s="1"/>
      <c r="O17" s="125">
        <v>14</v>
      </c>
      <c r="P17" s="26">
        <f t="array" ref="P17">IFERROR(BINOMDIST($O17-P$2,15-P$2,VLOOKUP(P$2,$B$3:$C$18,2,FALSE),FALSE)+
BINOMDIST(0,15-P$2,VLOOKUP(P$2,$B$3:$C$18,2,FALSE),FALSE)*BINOMDIST($O17-P$2,15-P$2,VLOOKUP(P$2,$E$3:$F$18,2,FALSE),FALSE)+
BINOMDIST(0,15-P$2,VLOOKUP(P$2,$B$3:$C$18,2,FALSE),FALSE)*BINOMDIST(0,15-P$2,VLOOKUP(P$2,$E$3:$F$18,2,FALSE),FALSE)*BINOMDIST($O17-P$2,15-P$2,VLOOKUP(P$2,$H$3:$I$18,2,FALSE),FALSE),0)</f>
        <v>1.8428617995883115E-13</v>
      </c>
      <c r="Q17" s="1">
        <f t="array" ref="Q17">IFERROR(BINOMDIST($O17-Q$2,15-Q$2,VLOOKUP(Q$2,$B$3:$C$18,2,FALSE),FALSE)+
BINOMDIST(0,15-Q$2,VLOOKUP(Q$2,$B$3:$C$18,2,FALSE),FALSE)*BINOMDIST($O17-Q$2,15-Q$2,VLOOKUP(Q$2,$E$3:$F$18,2,FALSE),FALSE)+
BINOMDIST(0,15-Q$2,VLOOKUP(Q$2,$B$3:$C$18,2,FALSE),FALSE)*BINOMDIST(0,15-Q$2,VLOOKUP(Q$2,$E$3:$F$18,2,FALSE),FALSE)*BINOMDIST($O17-Q$2,15-Q$2,VLOOKUP(Q$2,$H$3:$I$18,2,FALSE),FALSE),0)</f>
        <v>1.773367135822706E-12</v>
      </c>
      <c r="R17" s="1">
        <f t="array" ref="R17">IFERROR(BINOMDIST($O17-R$2,15-R$2,VLOOKUP(R$2,$B$3:$C$18,2,FALSE),FALSE)+
BINOMDIST(0,15-R$2,VLOOKUP(R$2,$B$3:$C$18,2,FALSE),FALSE)*BINOMDIST($O17-R$2,15-R$2,VLOOKUP(R$2,$E$3:$F$18,2,FALSE),FALSE)+
BINOMDIST(0,15-R$2,VLOOKUP(R$2,$B$3:$C$18,2,FALSE),FALSE)*BINOMDIST(0,15-R$2,VLOOKUP(R$2,$E$3:$F$18,2,FALSE),FALSE)*BINOMDIST($O17-R$2,15-R$2,VLOOKUP(R$2,$H$3:$I$18,2,FALSE),FALSE),0)</f>
        <v>1.7020106284795431E-11</v>
      </c>
      <c r="S17" s="1">
        <f t="array" ref="S17">IFERROR(BINOMDIST($O17-S$2,15-S$2,VLOOKUP(S$2,$B$3:$C$18,2,FALSE),FALSE)+
BINOMDIST(0,15-S$2,VLOOKUP(S$2,$B$3:$C$18,2,FALSE),FALSE)*BINOMDIST($O17-S$2,15-S$2,VLOOKUP(S$2,$E$3:$F$18,2,FALSE),FALSE)+
BINOMDIST(0,15-S$2,VLOOKUP(S$2,$B$3:$C$18,2,FALSE),FALSE)*BINOMDIST(0,15-S$2,VLOOKUP(S$2,$E$3:$F$18,2,FALSE),FALSE)*BINOMDIST($O17-S$2,15-S$2,VLOOKUP(S$2,$H$3:$I$18,2,FALSE),FALSE),0)</f>
        <v>1.628082512779489E-10</v>
      </c>
      <c r="T17" s="1">
        <f t="array" ref="T17">IFERROR(BINOMDIST($O17-T$2,15-T$2,VLOOKUP(T$2,$B$3:$C$18,2,FALSE),FALSE)+
BINOMDIST(0,15-T$2,VLOOKUP(T$2,$B$3:$C$18,2,FALSE),FALSE)*BINOMDIST($O17-T$2,15-T$2,VLOOKUP(T$2,$E$3:$F$18,2,FALSE),FALSE)+
BINOMDIST(0,15-T$2,VLOOKUP(T$2,$B$3:$C$18,2,FALSE),FALSE)*BINOMDIST(0,15-T$2,VLOOKUP(T$2,$E$3:$F$18,2,FALSE),FALSE)*BINOMDIST($O17-T$2,15-T$2,VLOOKUP(T$2,$H$3:$I$18,2,FALSE),FALSE),0)</f>
        <v>1.5507327919603873E-9</v>
      </c>
      <c r="U17" s="1">
        <f t="array" ref="U17">IFERROR(BINOMDIST($O17-U$2,15-U$2,VLOOKUP(U$2,$B$3:$C$18,2,FALSE),FALSE)+
BINOMDIST(0,15-U$2,VLOOKUP(U$2,$B$3:$C$18,2,FALSE),FALSE)*BINOMDIST($O17-U$2,15-U$2,VLOOKUP(U$2,$E$3:$F$18,2,FALSE),FALSE)+
BINOMDIST(0,15-U$2,VLOOKUP(U$2,$B$3:$C$18,2,FALSE),FALSE)*BINOMDIST(0,15-U$2,VLOOKUP(U$2,$E$3:$F$18,2,FALSE),FALSE)*BINOMDIST($O17-U$2,15-U$2,VLOOKUP(U$2,$H$3:$I$18,2,FALSE),FALSE),0)</f>
        <v>1.4689481349444909E-8</v>
      </c>
      <c r="V17" s="1">
        <f t="array" ref="V17">IFERROR(BINOMDIST($O17-V$2,15-V$2,VLOOKUP(V$2,$B$3:$C$18,2,FALSE),FALSE)+
BINOMDIST(0,15-V$2,VLOOKUP(V$2,$B$3:$C$18,2,FALSE),FALSE)*BINOMDIST($O17-V$2,15-V$2,VLOOKUP(V$2,$E$3:$F$18,2,FALSE),FALSE)+
BINOMDIST(0,15-V$2,VLOOKUP(V$2,$B$3:$C$18,2,FALSE),FALSE)*BINOMDIST(0,15-V$2,VLOOKUP(V$2,$E$3:$F$18,2,FALSE),FALSE)*BINOMDIST($O17-V$2,15-V$2,VLOOKUP(V$2,$H$3:$I$18,2,FALSE),FALSE),0)</f>
        <v>2.8510139517662292E-6</v>
      </c>
      <c r="W17" s="1">
        <f t="array" ref="W17">IFERROR(BINOMDIST($O17-W$2,15-W$2,VLOOKUP(W$2,$B$3:$C$18,2,FALSE),FALSE)+
BINOMDIST(0,15-W$2,VLOOKUP(W$2,$B$3:$C$18,2,FALSE),FALSE)*BINOMDIST($O17-W$2,15-W$2,VLOOKUP(W$2,$E$3:$F$18,2,FALSE),FALSE)+
BINOMDIST(0,15-W$2,VLOOKUP(W$2,$B$3:$C$18,2,FALSE),FALSE)*BINOMDIST(0,15-W$2,VLOOKUP(W$2,$E$3:$F$18,2,FALSE),FALSE)*BINOMDIST($O17-W$2,15-W$2,VLOOKUP(W$2,$H$3:$I$18,2,FALSE),FALSE),0)</f>
        <v>7.052266357050163E-6</v>
      </c>
      <c r="X17" s="1">
        <f t="array" ref="X17">IFERROR(BINOMDIST($O17-X$2,15-X$2,VLOOKUP(X$2,$B$3:$C$18,2,FALSE),FALSE)+
BINOMDIST(0,15-X$2,VLOOKUP(X$2,$B$3:$C$18,2,FALSE),FALSE)*BINOMDIST($O17-X$2,15-X$2,VLOOKUP(X$2,$E$3:$F$18,2,FALSE),FALSE)+
BINOMDIST(0,15-X$2,VLOOKUP(X$2,$B$3:$C$18,2,FALSE),FALSE)*BINOMDIST(0,15-X$2,VLOOKUP(X$2,$E$3:$F$18,2,FALSE),FALSE)*BINOMDIST($O17-X$2,15-X$2,VLOOKUP(X$2,$H$3:$I$18,2,FALSE),FALSE),0)</f>
        <v>1.5040223103135459E-6</v>
      </c>
      <c r="Y17" s="1">
        <f t="array" ref="Y17">IFERROR(BINOMDIST($O17-Y$2,15-Y$2,VLOOKUP(Y$2,$B$3:$C$18,2,FALSE),FALSE)+
BINOMDIST(0,15-Y$2,VLOOKUP(Y$2,$B$3:$C$18,2,FALSE),FALSE)*BINOMDIST($O17-Y$2,15-Y$2,VLOOKUP(Y$2,$E$3:$F$18,2,FALSE),FALSE)+
BINOMDIST(0,15-Y$2,VLOOKUP(Y$2,$B$3:$C$18,2,FALSE),FALSE)*BINOMDIST(0,15-Y$2,VLOOKUP(Y$2,$E$3:$F$18,2,FALSE),FALSE)*BINOMDIST($O17-Y$2,15-Y$2,VLOOKUP(Y$2,$H$3:$I$18,2,FALSE),FALSE),0)</f>
        <v>1.9371702087609439E-5</v>
      </c>
      <c r="Z17" s="1">
        <f t="array" ref="Z17">IFERROR(BINOMDIST($O17-Z$2,15-Z$2,VLOOKUP(Z$2,$B$3:$C$18,2,FALSE),FALSE)+
BINOMDIST(0,15-Z$2,VLOOKUP(Z$2,$B$3:$C$18,2,FALSE),FALSE)*BINOMDIST($O17-Z$2,15-Z$2,VLOOKUP(Z$2,$E$3:$F$18,2,FALSE),FALSE)+
BINOMDIST(0,15-Z$2,VLOOKUP(Z$2,$B$3:$C$18,2,FALSE),FALSE)*BINOMDIST(0,15-Z$2,VLOOKUP(Z$2,$E$3:$F$18,2,FALSE),FALSE)*BINOMDIST($O17-Z$2,15-Z$2,VLOOKUP(Z$2,$H$3:$I$18,2,FALSE),FALSE),0)</f>
        <v>1.8569944292552758E-4</v>
      </c>
      <c r="AA17" s="1">
        <f t="array" ref="AA17">IFERROR(BINOMDIST($O17-AA$2,15-AA$2,VLOOKUP(AA$2,$B$3:$C$18,2,FALSE),FALSE)+
BINOMDIST(0,15-AA$2,VLOOKUP(AA$2,$B$3:$C$18,2,FALSE),FALSE)*BINOMDIST($O17-AA$2,15-AA$2,VLOOKUP(AA$2,$E$3:$F$18,2,FALSE),FALSE)+
BINOMDIST(0,15-AA$2,VLOOKUP(AA$2,$B$3:$C$18,2,FALSE),FALSE)*BINOMDIST(0,15-AA$2,VLOOKUP(AA$2,$E$3:$F$18,2,FALSE),FALSE)*BINOMDIST($O17-AA$2,15-AA$2,VLOOKUP(AA$2,$H$3:$I$18,2,FALSE),FALSE),0)</f>
        <v>1.941320584479124E-3</v>
      </c>
      <c r="AB17" s="1">
        <f t="array" ref="AB17">IFERROR(BINOMDIST($O17-AB$2,15-AB$2,VLOOKUP(AB$2,$B$3:$C$18,2,FALSE),FALSE)+
BINOMDIST(0,15-AB$2,VLOOKUP(AB$2,$B$3:$C$18,2,FALSE),FALSE)*BINOMDIST($O17-AB$2,15-AB$2,VLOOKUP(AB$2,$E$3:$F$18,2,FALSE),FALSE)+
BINOMDIST(0,15-AB$2,VLOOKUP(AB$2,$B$3:$C$18,2,FALSE),FALSE)*BINOMDIST(0,15-AB$2,VLOOKUP(AB$2,$E$3:$F$18,2,FALSE),FALSE)*BINOMDIST($O17-AB$2,15-AB$2,VLOOKUP(AB$2,$H$3:$I$18,2,FALSE),FALSE),0)</f>
        <v>1.9537853042513667E-2</v>
      </c>
      <c r="AC17" s="1">
        <f t="array" ref="AC17">IFERROR(BINOMDIST($O17-AC$2,15-AC$2,VLOOKUP(AC$2,$B$3:$C$18,2,FALSE),FALSE)+
BINOMDIST(0,15-AC$2,VLOOKUP(AC$2,$B$3:$C$18,2,FALSE),FALSE)*BINOMDIST($O17-AC$2,15-AC$2,VLOOKUP(AC$2,$E$3:$F$18,2,FALSE),FALSE)+
BINOMDIST(0,15-AC$2,VLOOKUP(AC$2,$B$3:$C$18,2,FALSE),FALSE)*BINOMDIST(0,15-AC$2,VLOOKUP(AC$2,$E$3:$F$18,2,FALSE),FALSE)*BINOMDIST($O17-AC$2,15-AC$2,VLOOKUP(AC$2,$H$3:$I$18,2,FALSE),FALSE),0)</f>
        <v>7.6861343591999975E-2</v>
      </c>
      <c r="AD17" s="126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27">
        <v>0</v>
      </c>
      <c r="AV17" s="1"/>
      <c r="AY17" s="1"/>
      <c r="AZ17" s="1"/>
      <c r="BA17" s="1"/>
    </row>
    <row r="18" spans="2:63" ht="13.5" customHeight="1" x14ac:dyDescent="0.15">
      <c r="B18" s="95">
        <v>14</v>
      </c>
      <c r="C18" s="96">
        <v>1E-3</v>
      </c>
      <c r="D18" s="129"/>
      <c r="E18" s="95">
        <v>14</v>
      </c>
      <c r="F18" s="96">
        <v>1E-3</v>
      </c>
      <c r="G18" s="129"/>
      <c r="H18" s="95">
        <v>14</v>
      </c>
      <c r="I18" s="96">
        <v>1E-3</v>
      </c>
      <c r="J18" s="297"/>
      <c r="K18" s="129"/>
      <c r="L18" s="1"/>
      <c r="M18" s="1"/>
      <c r="O18" s="125">
        <v>15</v>
      </c>
      <c r="P18" s="26">
        <f t="array" ref="P18">IFERROR(BINOMDIST($O18-P$2,15-P$2,VLOOKUP(P$2,$B$3:$C$18,2,FALSE),FALSE)+
BINOMDIST(0,15-P$2,VLOOKUP(P$2,$B$3:$C$18,2,FALSE),FALSE)*BINOMDIST($O18-P$2,15-P$2,VLOOKUP(P$2,$E$3:$F$18,2,FALSE),FALSE)+
BINOMDIST(0,15-P$2,VLOOKUP(P$2,$B$3:$C$18,2,FALSE),FALSE)*BINOMDIST(0,15-P$2,VLOOKUP(P$2,$E$3:$F$18,2,FALSE),FALSE)*BINOMDIST($O18-P$2,15-P$2,VLOOKUP(P$2,$H$3:$I$18,2,FALSE),FALSE),0)</f>
        <v>1.382969520399207E-15</v>
      </c>
      <c r="Q18" s="1">
        <f t="array" ref="Q18">IFERROR(BINOMDIST($O18-Q$2,15-Q$2,VLOOKUP(Q$2,$B$3:$C$18,2,FALSE),FALSE)+
BINOMDIST(0,15-Q$2,VLOOKUP(Q$2,$B$3:$C$18,2,FALSE),FALSE)*BINOMDIST($O18-Q$2,15-Q$2,VLOOKUP(Q$2,$E$3:$F$18,2,FALSE),FALSE)+
BINOMDIST(0,15-Q$2,VLOOKUP(Q$2,$B$3:$C$18,2,FALSE),FALSE)*BINOMDIST(0,15-Q$2,VLOOKUP(Q$2,$E$3:$F$18,2,FALSE),FALSE)*BINOMDIST($O18-Q$2,15-Q$2,VLOOKUP(Q$2,$H$3:$I$18,2,FALSE),FALSE),0)</f>
        <v>1.4275091010979411E-14</v>
      </c>
      <c r="R18" s="1">
        <f t="array" ref="R18">IFERROR(BINOMDIST($O18-R$2,15-R$2,VLOOKUP(R$2,$B$3:$C$18,2,FALSE),FALSE)+
BINOMDIST(0,15-R$2,VLOOKUP(R$2,$B$3:$C$18,2,FALSE),FALSE)*BINOMDIST($O18-R$2,15-R$2,VLOOKUP(R$2,$E$3:$F$18,2,FALSE),FALSE)+
BINOMDIST(0,15-R$2,VLOOKUP(R$2,$B$3:$C$18,2,FALSE),FALSE)*BINOMDIST(0,15-R$2,VLOOKUP(R$2,$E$3:$F$18,2,FALSE),FALSE)*BINOMDIST($O18-R$2,15-R$2,VLOOKUP(R$2,$H$3:$I$18,2,FALSE),FALSE),0)</f>
        <v>1.4772406530330434E-13</v>
      </c>
      <c r="S18" s="1">
        <f t="array" ref="S18">IFERROR(BINOMDIST($O18-S$2,15-S$2,VLOOKUP(S$2,$B$3:$C$18,2,FALSE),FALSE)+
BINOMDIST(0,15-S$2,VLOOKUP(S$2,$B$3:$C$18,2,FALSE),FALSE)*BINOMDIST($O18-S$2,15-S$2,VLOOKUP(S$2,$E$3:$F$18,2,FALSE),FALSE)+
BINOMDIST(0,15-S$2,VLOOKUP(S$2,$B$3:$C$18,2,FALSE),FALSE)*BINOMDIST(0,15-S$2,VLOOKUP(S$2,$E$3:$F$18,2,FALSE),FALSE)*BINOMDIST($O18-S$2,15-S$2,VLOOKUP(S$2,$H$3:$I$18,2,FALSE),FALSE),0)</f>
        <v>1.5327708049435591E-12</v>
      </c>
      <c r="T18" s="1">
        <f t="array" ref="T18">IFERROR(BINOMDIST($O18-T$2,15-T$2,VLOOKUP(T$2,$B$3:$C$18,2,FALSE),FALSE)+
BINOMDIST(0,15-T$2,VLOOKUP(T$2,$B$3:$C$18,2,FALSE),FALSE)*BINOMDIST($O18-T$2,15-T$2,VLOOKUP(T$2,$E$3:$F$18,2,FALSE),FALSE)+
BINOMDIST(0,15-T$2,VLOOKUP(T$2,$B$3:$C$18,2,FALSE),FALSE)*BINOMDIST(0,15-T$2,VLOOKUP(T$2,$E$3:$F$18,2,FALSE),FALSE)*BINOMDIST($O18-T$2,15-T$2,VLOOKUP(T$2,$H$3:$I$18,2,FALSE),FALSE),0)</f>
        <v>1.5947772273611104E-11</v>
      </c>
      <c r="U18" s="1">
        <f t="array" ref="U18">IFERROR(BINOMDIST($O18-U$2,15-U$2,VLOOKUP(U$2,$B$3:$C$18,2,FALSE),FALSE)+
BINOMDIST(0,15-U$2,VLOOKUP(U$2,$B$3:$C$18,2,FALSE),FALSE)*BINOMDIST($O18-U$2,15-U$2,VLOOKUP(U$2,$E$3:$F$18,2,FALSE),FALSE)+
BINOMDIST(0,15-U$2,VLOOKUP(U$2,$B$3:$C$18,2,FALSE),FALSE)*BINOMDIST(0,15-U$2,VLOOKUP(U$2,$E$3:$F$18,2,FALSE),FALSE)*BINOMDIST($O18-U$2,15-U$2,VLOOKUP(U$2,$H$3:$I$18,2,FALSE),FALSE),0)</f>
        <v>1.6640169712684753E-10</v>
      </c>
      <c r="V18" s="1">
        <f t="array" ref="V18">IFERROR(BINOMDIST($O18-V$2,15-V$2,VLOOKUP(V$2,$B$3:$C$18,2,FALSE),FALSE)+
BINOMDIST(0,15-V$2,VLOOKUP(V$2,$B$3:$C$18,2,FALSE),FALSE)*BINOMDIST($O18-V$2,15-V$2,VLOOKUP(V$2,$E$3:$F$18,2,FALSE),FALSE)+
BINOMDIST(0,15-V$2,VLOOKUP(V$2,$B$3:$C$18,2,FALSE),FALSE)*BINOMDIST(0,15-V$2,VLOOKUP(V$2,$E$3:$F$18,2,FALSE),FALSE)*BINOMDIST($O18-V$2,15-V$2,VLOOKUP(V$2,$H$3:$I$18,2,FALSE),FALSE),0)</f>
        <v>5.7988756658126229E-8</v>
      </c>
      <c r="W18" s="1">
        <f t="array" ref="W18">IFERROR(BINOMDIST($O18-W$2,15-W$2,VLOOKUP(W$2,$B$3:$C$18,2,FALSE),FALSE)+
BINOMDIST(0,15-W$2,VLOOKUP(W$2,$B$3:$C$18,2,FALSE),FALSE)*BINOMDIST($O18-W$2,15-W$2,VLOOKUP(W$2,$E$3:$F$18,2,FALSE),FALSE)+
BINOMDIST(0,15-W$2,VLOOKUP(W$2,$B$3:$C$18,2,FALSE),FALSE)*BINOMDIST(0,15-W$2,VLOOKUP(W$2,$E$3:$F$18,2,FALSE),FALSE)*BINOMDIST($O18-W$2,15-W$2,VLOOKUP(W$2,$H$3:$I$18,2,FALSE),FALSE),0)</f>
        <v>1.3595450784046912E-7</v>
      </c>
      <c r="X18" s="1">
        <f t="array" ref="X18">IFERROR(BINOMDIST($O18-X$2,15-X$2,VLOOKUP(X$2,$B$3:$C$18,2,FALSE),FALSE)+
BINOMDIST(0,15-X$2,VLOOKUP(X$2,$B$3:$C$18,2,FALSE),FALSE)*BINOMDIST($O18-X$2,15-X$2,VLOOKUP(X$2,$E$3:$F$18,2,FALSE),FALSE)+
BINOMDIST(0,15-X$2,VLOOKUP(X$2,$B$3:$C$18,2,FALSE),FALSE)*BINOMDIST(0,15-X$2,VLOOKUP(X$2,$E$3:$F$18,2,FALSE),FALSE)*BINOMDIST($O18-X$2,15-X$2,VLOOKUP(X$2,$H$3:$I$18,2,FALSE),FALSE),0)</f>
        <v>1.6172282906597321E-8</v>
      </c>
      <c r="Y18" s="1">
        <f t="array" ref="Y18">IFERROR(BINOMDIST($O18-Y$2,15-Y$2,VLOOKUP(Y$2,$B$3:$C$18,2,FALSE),FALSE)+
BINOMDIST(0,15-Y$2,VLOOKUP(Y$2,$B$3:$C$18,2,FALSE),FALSE)*BINOMDIST($O18-Y$2,15-Y$2,VLOOKUP(Y$2,$E$3:$F$18,2,FALSE),FALSE)+
BINOMDIST(0,15-Y$2,VLOOKUP(Y$2,$B$3:$C$18,2,FALSE),FALSE)*BINOMDIST(0,15-Y$2,VLOOKUP(Y$2,$E$3:$F$18,2,FALSE),FALSE)*BINOMDIST($O18-Y$2,15-Y$2,VLOOKUP(Y$2,$H$3:$I$18,2,FALSE),FALSE),0)</f>
        <v>2.4301418389474233E-7</v>
      </c>
      <c r="Z18" s="1">
        <f t="array" ref="Z18">IFERROR(BINOMDIST($O18-Z$2,15-Z$2,VLOOKUP(Z$2,$B$3:$C$18,2,FALSE),FALSE)+
BINOMDIST(0,15-Z$2,VLOOKUP(Z$2,$B$3:$C$18,2,FALSE),FALSE)*BINOMDIST($O18-Z$2,15-Z$2,VLOOKUP(Z$2,$E$3:$F$18,2,FALSE),FALSE)+
BINOMDIST(0,15-Z$2,VLOOKUP(Z$2,$B$3:$C$18,2,FALSE),FALSE)*BINOMDIST(0,15-Z$2,VLOOKUP(Z$2,$E$3:$F$18,2,FALSE),FALSE)*BINOMDIST($O18-Z$2,15-Z$2,VLOOKUP(Z$2,$H$3:$I$18,2,FALSE),FALSE),0)</f>
        <v>2.5819173882693664E-6</v>
      </c>
      <c r="AA18" s="1">
        <f t="array" ref="AA18">IFERROR(BINOMDIST($O18-AA$2,15-AA$2,VLOOKUP(AA$2,$B$3:$C$18,2,FALSE),FALSE)+
BINOMDIST(0,15-AA$2,VLOOKUP(AA$2,$B$3:$C$18,2,FALSE),FALSE)*BINOMDIST($O18-AA$2,15-AA$2,VLOOKUP(AA$2,$E$3:$F$18,2,FALSE),FALSE)+
BINOMDIST(0,15-AA$2,VLOOKUP(AA$2,$B$3:$C$18,2,FALSE),FALSE)*BINOMDIST(0,15-AA$2,VLOOKUP(AA$2,$E$3:$F$18,2,FALSE),FALSE)*BINOMDIST($O18-AA$2,15-AA$2,VLOOKUP(AA$2,$H$3:$I$18,2,FALSE),FALSE),0)</f>
        <v>3.0978519965092413E-5</v>
      </c>
      <c r="AB18" s="1">
        <f t="array" ref="AB18">IFERROR(BINOMDIST($O18-AB$2,15-AB$2,VLOOKUP(AB$2,$B$3:$C$18,2,FALSE),FALSE)+
BINOMDIST(0,15-AB$2,VLOOKUP(AB$2,$B$3:$C$18,2,FALSE),FALSE)*BINOMDIST($O18-AB$2,15-AB$2,VLOOKUP(AB$2,$E$3:$F$18,2,FALSE),FALSE)+
BINOMDIST(0,15-AB$2,VLOOKUP(AB$2,$B$3:$C$18,2,FALSE),FALSE)*BINOMDIST(0,15-AB$2,VLOOKUP(AB$2,$E$3:$F$18,2,FALSE),FALSE)*BINOMDIST($O18-AB$2,15-AB$2,VLOOKUP(AB$2,$H$3:$I$18,2,FALSE),FALSE),0)</f>
        <v>3.5447278830273449E-4</v>
      </c>
      <c r="AC18" s="1">
        <f t="array" ref="AC18">IFERROR(BINOMDIST($O18-AC$2,15-AC$2,VLOOKUP(AC$2,$B$3:$C$18,2,FALSE),FALSE)+
BINOMDIST(0,15-AC$2,VLOOKUP(AC$2,$B$3:$C$18,2,FALSE),FALSE)*BINOMDIST($O18-AC$2,15-AC$2,VLOOKUP(AC$2,$E$3:$F$18,2,FALSE),FALSE)+
BINOMDIST(0,15-AC$2,VLOOKUP(AC$2,$B$3:$C$18,2,FALSE),FALSE)*BINOMDIST(0,15-AC$2,VLOOKUP(AC$2,$E$3:$F$18,2,FALSE),FALSE)*BINOMDIST($O18-AC$2,15-AC$2,VLOOKUP(AC$2,$H$3:$I$18,2,FALSE),FALSE),0)</f>
        <v>5.8224840400000017E-4</v>
      </c>
      <c r="AD18" s="1">
        <f t="array" ref="AD18">IFERROR(BINOMDIST($O18-AD$2,15-AD$2,VLOOKUP(AD$2,$B$3:$C$18,2,FALSE),FALSE)+
BINOMDIST(0,15-AD$2,VLOOKUP(AD$2,$B$3:$C$18,2,FALSE),FALSE)*BINOMDIST($O18-AD$2,15-AD$2,VLOOKUP(AD$2,$E$3:$F$18,2,FALSE),FALSE)+
BINOMDIST(0,15-AD$2,VLOOKUP(AD$2,$B$3:$C$18,2,FALSE),FALSE)*BINOMDIST(0,15-AD$2,VLOOKUP(AD$2,$E$3:$F$18,2,FALSE),FALSE)*BINOMDIST($O18-AD$2,15-AD$2,VLOOKUP(AD$2,$H$3:$I$18,2,FALSE),FALSE),0)</f>
        <v>2.9970010000000009E-3</v>
      </c>
      <c r="AE18" s="126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27">
        <v>0</v>
      </c>
      <c r="AV18" s="1"/>
      <c r="AY18" s="1"/>
      <c r="AZ18" s="1"/>
      <c r="BA18" s="1"/>
    </row>
    <row r="19" spans="2:63" ht="15.75" thickBot="1" x14ac:dyDescent="0.2">
      <c r="B19" s="97">
        <v>15</v>
      </c>
      <c r="C19" s="98">
        <v>0</v>
      </c>
      <c r="D19" s="129"/>
      <c r="E19" s="97">
        <v>15</v>
      </c>
      <c r="F19" s="98">
        <v>0</v>
      </c>
      <c r="G19" s="129"/>
      <c r="H19" s="97">
        <v>15</v>
      </c>
      <c r="I19" s="98">
        <v>0</v>
      </c>
      <c r="J19" s="297"/>
      <c r="K19" s="129"/>
      <c r="L19" s="1"/>
      <c r="M19" s="1"/>
      <c r="O19" s="131" t="s">
        <v>183</v>
      </c>
      <c r="P19" s="316">
        <f t="array" ref="P19">IFERROR(BINOMDIST($O3-P$2,15-P$2,VLOOKUP(P$2,$E$3:$F$19,2,FALSE),FALSE)*BINOMDIST($O3-P$2,15-P$2,VLOOKUP(P$2,$H$3:$I$19,2,FALSE),FALSE)*BINOMDIST($O3-P$2,15-P$2,VLOOKUP(P$2,$B$3:$C$19,2,FALSE),FALSE),0)</f>
        <v>7.3811729729581672E-3</v>
      </c>
      <c r="Q19" s="132">
        <f t="array" ref="Q19">IFERROR(BINOMDIST($O3-Q$2,15-Q$2,VLOOKUP(Q$2,$E$3:$F$19,2,FALSE),FALSE)*BINOMDIST($O3-Q$2,15-Q$2,VLOOKUP(Q$2,$H$3:$I$19,2,FALSE),FALSE)*BINOMDIST($O3-Q$2,15-Q$2,VLOOKUP(Q$2,$B$3:$C$19,2,FALSE),FALSE),0)</f>
        <v>0</v>
      </c>
      <c r="R19" s="132">
        <f t="array" ref="R19">IFERROR(BINOMDIST($O3-R$2,15-R$2,VLOOKUP(R$2,$E$3:$F$19,2,FALSE),FALSE)*BINOMDIST($O3-R$2,15-R$2,VLOOKUP(R$2,$H$3:$I$19,2,FALSE),FALSE)*BINOMDIST($O3-R$2,15-R$2,VLOOKUP(R$2,$B$3:$C$19,2,FALSE),FALSE),0)</f>
        <v>0</v>
      </c>
      <c r="S19" s="132">
        <f t="array" ref="S19">IFERROR(BINOMDIST($O3-S$2,15-S$2,VLOOKUP(S$2,$E$3:$F$19,2,FALSE),FALSE)*BINOMDIST($O3-S$2,15-S$2,VLOOKUP(S$2,$H$3:$I$19,2,FALSE),FALSE)*BINOMDIST($O3-S$2,15-S$2,VLOOKUP(S$2,$B$3:$C$19,2,FALSE),FALSE),0)</f>
        <v>0</v>
      </c>
      <c r="T19" s="132">
        <f t="array" ref="T19">IFERROR(BINOMDIST($O3-T$2,15-T$2,VLOOKUP(T$2,$E$3:$F$19,2,FALSE),FALSE)*BINOMDIST($O3-T$2,15-T$2,VLOOKUP(T$2,$H$3:$I$19,2,FALSE),FALSE)*BINOMDIST($O3-T$2,15-T$2,VLOOKUP(T$2,$B$3:$C$19,2,FALSE),FALSE),0)</f>
        <v>0</v>
      </c>
      <c r="U19" s="132">
        <f t="array" ref="U19">IFERROR(BINOMDIST($O3-U$2,15-U$2,VLOOKUP(U$2,$E$3:$F$19,2,FALSE),FALSE)*BINOMDIST($O3-U$2,15-U$2,VLOOKUP(U$2,$H$3:$I$19,2,FALSE),FALSE)*BINOMDIST($O3-U$2,15-U$2,VLOOKUP(U$2,$B$3:$C$19,2,FALSE),FALSE),0)</f>
        <v>0</v>
      </c>
      <c r="V19" s="132">
        <f t="array" ref="V19">IFERROR(BINOMDIST($O3-V$2,15-V$2,VLOOKUP(V$2,$E$3:$F$19,2,FALSE),FALSE)*BINOMDIST($O3-V$2,15-V$2,VLOOKUP(V$2,$H$3:$I$19,2,FALSE),FALSE)*BINOMDIST($O3-V$2,15-V$2,VLOOKUP(V$2,$B$3:$C$19,2,FALSE),FALSE),0)</f>
        <v>0</v>
      </c>
      <c r="W19" s="132">
        <f t="array" ref="W19">IFERROR(BINOMDIST($O3-W$2,15-W$2,VLOOKUP(W$2,$E$3:$F$19,2,FALSE),FALSE)*BINOMDIST($O3-W$2,15-W$2,VLOOKUP(W$2,$H$3:$I$19,2,FALSE),FALSE)*BINOMDIST($O3-W$2,15-W$2,VLOOKUP(W$2,$B$3:$C$19,2,FALSE),FALSE),0)</f>
        <v>0</v>
      </c>
      <c r="X19" s="132">
        <f t="array" ref="X19">IFERROR(BINOMDIST($O3-X$2,15-X$2,VLOOKUP(X$2,$E$3:$F$19,2,FALSE),FALSE)*BINOMDIST($O3-X$2,15-X$2,VLOOKUP(X$2,$H$3:$I$19,2,FALSE),FALSE)*BINOMDIST($O3-X$2,15-X$2,VLOOKUP(X$2,$B$3:$C$19,2,FALSE),FALSE),0)</f>
        <v>0</v>
      </c>
      <c r="Y19" s="132">
        <f t="array" ref="Y19">IFERROR(BINOMDIST($O3-Y$2,15-Y$2,VLOOKUP(Y$2,$E$3:$F$19,2,FALSE),FALSE)*BINOMDIST($O3-Y$2,15-Y$2,VLOOKUP(Y$2,$H$3:$I$19,2,FALSE),FALSE)*BINOMDIST($O3-Y$2,15-Y$2,VLOOKUP(Y$2,$B$3:$C$19,2,FALSE),FALSE),0)</f>
        <v>0</v>
      </c>
      <c r="Z19" s="132">
        <f t="array" ref="Z19">IFERROR(BINOMDIST($O3-Z$2,15-Z$2,VLOOKUP(Z$2,$E$3:$F$19,2,FALSE),FALSE)*BINOMDIST($O3-Z$2,15-Z$2,VLOOKUP(Z$2,$H$3:$I$19,2,FALSE),FALSE)*BINOMDIST($O3-Z$2,15-Z$2,VLOOKUP(Z$2,$B$3:$C$19,2,FALSE),FALSE),0)</f>
        <v>0</v>
      </c>
      <c r="AA19" s="132">
        <f t="array" ref="AA19">IFERROR(BINOMDIST($O3-AA$2,15-AA$2,VLOOKUP(AA$2,$E$3:$F$19,2,FALSE),FALSE)*BINOMDIST($O3-AA$2,15-AA$2,VLOOKUP(AA$2,$H$3:$I$19,2,FALSE),FALSE)*BINOMDIST($O3-AA$2,15-AA$2,VLOOKUP(AA$2,$B$3:$C$19,2,FALSE),FALSE),0)</f>
        <v>0</v>
      </c>
      <c r="AB19" s="132">
        <f t="array" ref="AB19">IFERROR(BINOMDIST($O3-AB$2,15-AB$2,VLOOKUP(AB$2,$E$3:$F$19,2,FALSE),FALSE)*BINOMDIST($O3-AB$2,15-AB$2,VLOOKUP(AB$2,$H$3:$I$19,2,FALSE),FALSE)*BINOMDIST($O3-AB$2,15-AB$2,VLOOKUP(AB$2,$B$3:$C$19,2,FALSE),FALSE),0)</f>
        <v>0</v>
      </c>
      <c r="AC19" s="132">
        <f t="array" ref="AC19">IFERROR(BINOMDIST($O3-AC$2,15-AC$2,VLOOKUP(AC$2,$E$3:$F$19,2,FALSE),FALSE)*BINOMDIST($O3-AC$2,15-AC$2,VLOOKUP(AC$2,$H$3:$I$19,2,FALSE),FALSE)*BINOMDIST($O3-AC$2,15-AC$2,VLOOKUP(AC$2,$B$3:$C$19,2,FALSE),FALSE),0)</f>
        <v>0</v>
      </c>
      <c r="AD19" s="132">
        <f t="array" ref="AD19">IFERROR(BINOMDIST($O3-AD$2,15-AD$2,VLOOKUP(AD$2,$E$3:$F$19,2,FALSE),FALSE)*BINOMDIST($O3-AD$2,15-AD$2,VLOOKUP(AD$2,$H$3:$I$19,2,FALSE),FALSE)*BINOMDIST($O3-AD$2,15-AD$2,VLOOKUP(AD$2,$B$3:$C$19,2,FALSE),FALSE),0)</f>
        <v>0</v>
      </c>
      <c r="AE19" s="132">
        <f t="array" ref="AE19">IFERROR(BINOMDIST($O3-AE$2,15-AE$2,VLOOKUP(AE$2,$E$3:$F$19,2,FALSE),FALSE)*BINOMDIST($O3-AE$2,15-AE$2,VLOOKUP(AE$2,$H$3:$I$19,2,FALSE),FALSE)*BINOMDIST($O3-AE$2,15-AE$2,VLOOKUP(AE$2,$B$3:$C$19,2,FALSE),FALSE),0)</f>
        <v>0</v>
      </c>
      <c r="AF19" s="132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27">
        <v>0</v>
      </c>
      <c r="AV19" s="1"/>
      <c r="AY19" s="1"/>
      <c r="AZ19" s="1"/>
      <c r="BA19" s="1"/>
    </row>
    <row r="20" spans="2:63" ht="15.75" thickBot="1" x14ac:dyDescent="0.2">
      <c r="K20" s="129"/>
      <c r="L20" s="1"/>
      <c r="M20" s="1"/>
      <c r="O20" s="125" t="s">
        <v>184</v>
      </c>
      <c r="P20" s="26">
        <v>0</v>
      </c>
      <c r="Q20" s="315">
        <f t="array" ref="Q20">IFERROR(BINOMDIST($O4-Q$2,15-Q$2,VLOOKUP(Q$2,$E$3:$F$19,2,FALSE),FALSE)*BINOMDIST($O4-Q$2,15-Q$2,VLOOKUP(Q$2,$H$3:$I$19,2,FALSE),FALSE)*BINOMDIST($O4-Q$2,15-Q$2,VLOOKUP(Q$2,$B$3:$C$19,2,FALSE),FALSE),0)</f>
        <v>1.0238830590869977E-2</v>
      </c>
      <c r="R20" s="132">
        <f t="array" ref="R20">IFERROR(BINOMDIST($O4-R$2,15-R$2,VLOOKUP(R$2,$E$3:$F$19,2,FALSE),FALSE)*BINOMDIST($O4-R$2,15-R$2,VLOOKUP(R$2,$H$3:$I$19,2,FALSE),FALSE)*BINOMDIST($O4-R$2,15-R$2,VLOOKUP(R$2,$B$3:$C$19,2,FALSE),FALSE),0)</f>
        <v>0</v>
      </c>
      <c r="S20" s="132">
        <f t="array" ref="S20">IFERROR(BINOMDIST($O4-S$2,15-S$2,VLOOKUP(S$2,$E$3:$F$19,2,FALSE),FALSE)*BINOMDIST($O4-S$2,15-S$2,VLOOKUP(S$2,$H$3:$I$19,2,FALSE),FALSE)*BINOMDIST($O4-S$2,15-S$2,VLOOKUP(S$2,$B$3:$C$19,2,FALSE),FALSE),0)</f>
        <v>0</v>
      </c>
      <c r="T20" s="132">
        <f t="array" ref="T20">IFERROR(BINOMDIST($O4-T$2,15-T$2,VLOOKUP(T$2,$E$3:$F$19,2,FALSE),FALSE)*BINOMDIST($O4-T$2,15-T$2,VLOOKUP(T$2,$H$3:$I$19,2,FALSE),FALSE)*BINOMDIST($O4-T$2,15-T$2,VLOOKUP(T$2,$B$3:$C$19,2,FALSE),FALSE),0)</f>
        <v>0</v>
      </c>
      <c r="U20" s="132">
        <f t="array" ref="U20">IFERROR(BINOMDIST($O4-U$2,15-U$2,VLOOKUP(U$2,$E$3:$F$19,2,FALSE),FALSE)*BINOMDIST($O4-U$2,15-U$2,VLOOKUP(U$2,$H$3:$I$19,2,FALSE),FALSE)*BINOMDIST($O4-U$2,15-U$2,VLOOKUP(U$2,$B$3:$C$19,2,FALSE),FALSE),0)</f>
        <v>0</v>
      </c>
      <c r="V20" s="132">
        <f t="array" ref="V20">IFERROR(BINOMDIST($O4-V$2,15-V$2,VLOOKUP(V$2,$E$3:$F$19,2,FALSE),FALSE)*BINOMDIST($O4-V$2,15-V$2,VLOOKUP(V$2,$H$3:$I$19,2,FALSE),FALSE)*BINOMDIST($O4-V$2,15-V$2,VLOOKUP(V$2,$B$3:$C$19,2,FALSE),FALSE),0)</f>
        <v>0</v>
      </c>
      <c r="W20" s="132">
        <f t="array" ref="W20">IFERROR(BINOMDIST($O4-W$2,15-W$2,VLOOKUP(W$2,$E$3:$F$19,2,FALSE),FALSE)*BINOMDIST($O4-W$2,15-W$2,VLOOKUP(W$2,$H$3:$I$19,2,FALSE),FALSE)*BINOMDIST($O4-W$2,15-W$2,VLOOKUP(W$2,$B$3:$C$19,2,FALSE),FALSE),0)</f>
        <v>0</v>
      </c>
      <c r="X20" s="132">
        <f t="array" ref="X20">IFERROR(BINOMDIST($O4-X$2,15-X$2,VLOOKUP(X$2,$E$3:$F$19,2,FALSE),FALSE)*BINOMDIST($O4-X$2,15-X$2,VLOOKUP(X$2,$H$3:$I$19,2,FALSE),FALSE)*BINOMDIST($O4-X$2,15-X$2,VLOOKUP(X$2,$B$3:$C$19,2,FALSE),FALSE),0)</f>
        <v>0</v>
      </c>
      <c r="Y20" s="132">
        <f t="array" ref="Y20">IFERROR(BINOMDIST($O4-Y$2,15-Y$2,VLOOKUP(Y$2,$E$3:$F$19,2,FALSE),FALSE)*BINOMDIST($O4-Y$2,15-Y$2,VLOOKUP(Y$2,$H$3:$I$19,2,FALSE),FALSE)*BINOMDIST($O4-Y$2,15-Y$2,VLOOKUP(Y$2,$B$3:$C$19,2,FALSE),FALSE),0)</f>
        <v>0</v>
      </c>
      <c r="Z20" s="132">
        <f t="array" ref="Z20">IFERROR(BINOMDIST($O4-Z$2,15-Z$2,VLOOKUP(Z$2,$E$3:$F$19,2,FALSE),FALSE)*BINOMDIST($O4-Z$2,15-Z$2,VLOOKUP(Z$2,$H$3:$I$19,2,FALSE),FALSE)*BINOMDIST($O4-Z$2,15-Z$2,VLOOKUP(Z$2,$B$3:$C$19,2,FALSE),FALSE),0)</f>
        <v>0</v>
      </c>
      <c r="AA20" s="132">
        <f t="array" ref="AA20">IFERROR(BINOMDIST($O4-AA$2,15-AA$2,VLOOKUP(AA$2,$E$3:$F$19,2,FALSE),FALSE)*BINOMDIST($O4-AA$2,15-AA$2,VLOOKUP(AA$2,$H$3:$I$19,2,FALSE),FALSE)*BINOMDIST($O4-AA$2,15-AA$2,VLOOKUP(AA$2,$B$3:$C$19,2,FALSE),FALSE),0)</f>
        <v>0</v>
      </c>
      <c r="AB20" s="132">
        <f t="array" ref="AB20">IFERROR(BINOMDIST($O4-AB$2,15-AB$2,VLOOKUP(AB$2,$E$3:$F$19,2,FALSE),FALSE)*BINOMDIST($O4-AB$2,15-AB$2,VLOOKUP(AB$2,$H$3:$I$19,2,FALSE),FALSE)*BINOMDIST($O4-AB$2,15-AB$2,VLOOKUP(AB$2,$B$3:$C$19,2,FALSE),FALSE),0)</f>
        <v>0</v>
      </c>
      <c r="AC20" s="132">
        <f t="array" ref="AC20">IFERROR(BINOMDIST($O4-AC$2,15-AC$2,VLOOKUP(AC$2,$E$3:$F$19,2,FALSE),FALSE)*BINOMDIST($O4-AC$2,15-AC$2,VLOOKUP(AC$2,$H$3:$I$19,2,FALSE),FALSE)*BINOMDIST($O4-AC$2,15-AC$2,VLOOKUP(AC$2,$B$3:$C$19,2,FALSE),FALSE),0)</f>
        <v>0</v>
      </c>
      <c r="AD20" s="132">
        <f t="array" ref="AD20">IFERROR(BINOMDIST($O4-AD$2,15-AD$2,VLOOKUP(AD$2,$E$3:$F$19,2,FALSE),FALSE)*BINOMDIST($O4-AD$2,15-AD$2,VLOOKUP(AD$2,$H$3:$I$19,2,FALSE),FALSE)*BINOMDIST($O4-AD$2,15-AD$2,VLOOKUP(AD$2,$B$3:$C$19,2,FALSE),FALSE),0)</f>
        <v>0</v>
      </c>
      <c r="AE20" s="132">
        <f t="array" ref="AE20">IFERROR(BINOMDIST($O4-AE$2,15-AE$2,VLOOKUP(AE$2,$E$3:$F$19,2,FALSE),FALSE)*BINOMDIST($O4-AE$2,15-AE$2,VLOOKUP(AE$2,$H$3:$I$19,2,FALSE),FALSE)*BINOMDIST($O4-AE$2,15-AE$2,VLOOKUP(AE$2,$B$3:$C$19,2,FALSE),FALSE),0)</f>
        <v>0</v>
      </c>
      <c r="AF20" s="113">
        <f t="array" ref="AF20">IFERROR(BINOMDIST($O4-AF$2,15-AF$2,VLOOKUP(AF$2,$E$3:$F$19,2,FALSE),FALSE)*BINOMDIST($O4-AF$2,15-AF$2,VLOOKUP(AF$2,$H$3:$I$19,2,FALSE),FALSE)*BINOMDIST($O4-AF$2,15-AF$2,VLOOKUP(AF$2,$B$3:$C$19,2,FALSE),FALSE),0)</f>
        <v>0</v>
      </c>
      <c r="AG20" s="126">
        <v>1</v>
      </c>
      <c r="AH20" s="1">
        <f t="array" ref="AH20">IFERROR(BINOMDIST($O4-AH$2,15-AH$2,VLOOKUP(AH$2,$E$3:$F$19,2,FALSE),FALSE)*BINOMDIST($O4-AH$2,15-AH$2,VLOOKUP(AH$2,$H$3:$I$19,2,FALSE),FALSE)*BINOMDIST($O4-AH$2,15-AH$2,VLOOKUP(AH$2,$B$3:$C$19,2,FALSE),FALSE),0)</f>
        <v>0</v>
      </c>
      <c r="AI20" s="1">
        <f t="array" ref="AI20">IFERROR(BINOMDIST($O4-AI$2,15-AI$2,VLOOKUP(AI$2,$E$3:$F$19,2,FALSE),FALSE)*BINOMDIST($O4-AI$2,15-AI$2,VLOOKUP(AI$2,$H$3:$I$19,2,FALSE),FALSE)*BINOMDIST($O4-AI$2,15-AI$2,VLOOKUP(AI$2,$B$3:$C$19,2,FALSE),FALSE),0)</f>
        <v>0</v>
      </c>
      <c r="AJ20" s="1">
        <f t="array" ref="AJ20">IFERROR(BINOMDIST($O4-AJ$2,15-AJ$2,VLOOKUP(AJ$2,$E$3:$F$19,2,FALSE),FALSE)*BINOMDIST($O4-AJ$2,15-AJ$2,VLOOKUP(AJ$2,$H$3:$I$19,2,FALSE),FALSE)*BINOMDIST($O4-AJ$2,15-AJ$2,VLOOKUP(AJ$2,$B$3:$C$19,2,FALSE),FALSE),0)</f>
        <v>0</v>
      </c>
      <c r="AK20" s="1">
        <f t="array" ref="AK20">IFERROR(BINOMDIST($O4-AK$2,15-AK$2,VLOOKUP(AK$2,$E$3:$F$19,2,FALSE),FALSE)*BINOMDIST($O4-AK$2,15-AK$2,VLOOKUP(AK$2,$H$3:$I$19,2,FALSE),FALSE)*BINOMDIST($O4-AK$2,15-AK$2,VLOOKUP(AK$2,$B$3:$C$19,2,FALSE),FALSE),0)</f>
        <v>0</v>
      </c>
      <c r="AL20" s="1">
        <f t="array" ref="AL20">IFERROR(BINOMDIST($O4-AL$2,15-AL$2,VLOOKUP(AL$2,$E$3:$F$19,2,FALSE),FALSE)*BINOMDIST($O4-AL$2,15-AL$2,VLOOKUP(AL$2,$H$3:$I$19,2,FALSE),FALSE)*BINOMDIST($O4-AL$2,15-AL$2,VLOOKUP(AL$2,$B$3:$C$19,2,FALSE),FALSE),0)</f>
        <v>0</v>
      </c>
      <c r="AM20" s="1">
        <f t="array" ref="AM20">IFERROR(BINOMDIST($O4-AM$2,15-AM$2,VLOOKUP(AM$2,$E$3:$F$19,2,FALSE),FALSE)*BINOMDIST($O4-AM$2,15-AM$2,VLOOKUP(AM$2,$H$3:$I$19,2,FALSE),FALSE)*BINOMDIST($O4-AM$2,15-AM$2,VLOOKUP(AM$2,$B$3:$C$19,2,FALSE),FALSE),0)</f>
        <v>0</v>
      </c>
      <c r="AN20" s="1">
        <f t="array" ref="AN20">IFERROR(BINOMDIST($O4-AN$2,15-AN$2,VLOOKUP(AN$2,$E$3:$F$19,2,FALSE),FALSE)*BINOMDIST($O4-AN$2,15-AN$2,VLOOKUP(AN$2,$H$3:$I$19,2,FALSE),FALSE)*BINOMDIST($O4-AN$2,15-AN$2,VLOOKUP(AN$2,$B$3:$C$19,2,FALSE),FALSE),0)</f>
        <v>0</v>
      </c>
      <c r="AO20" s="1">
        <f t="array" ref="AO20">IFERROR(BINOMDIST($O4-AO$2,15-AO$2,VLOOKUP(AO$2,$E$3:$F$19,2,FALSE),FALSE)*BINOMDIST($O4-AO$2,15-AO$2,VLOOKUP(AO$2,$H$3:$I$19,2,FALSE),FALSE)*BINOMDIST($O4-AO$2,15-AO$2,VLOOKUP(AO$2,$B$3:$C$19,2,FALSE),FALSE),0)</f>
        <v>0</v>
      </c>
      <c r="AP20" s="1">
        <f t="array" ref="AP20">IFERROR(BINOMDIST($O4-AP$2,15-AP$2,VLOOKUP(AP$2,$E$3:$F$19,2,FALSE),FALSE)*BINOMDIST($O4-AP$2,15-AP$2,VLOOKUP(AP$2,$H$3:$I$19,2,FALSE),FALSE)*BINOMDIST($O4-AP$2,15-AP$2,VLOOKUP(AP$2,$B$3:$C$19,2,FALSE),FALSE),0)</f>
        <v>0</v>
      </c>
      <c r="AQ20" s="1">
        <v>0</v>
      </c>
      <c r="AR20" s="1">
        <v>0</v>
      </c>
      <c r="AS20" s="1">
        <v>0</v>
      </c>
      <c r="AT20" s="1">
        <v>0</v>
      </c>
      <c r="AU20" s="27">
        <v>0</v>
      </c>
      <c r="AV20" s="1"/>
      <c r="AY20" s="1"/>
      <c r="AZ20" s="1"/>
      <c r="BA20" s="1"/>
    </row>
    <row r="21" spans="2:63" x14ac:dyDescent="0.25">
      <c r="B21" s="24" t="s">
        <v>251</v>
      </c>
      <c r="C21" s="89" t="s">
        <v>19</v>
      </c>
      <c r="D21" s="89" t="s">
        <v>20</v>
      </c>
      <c r="E21" s="89" t="s">
        <v>22</v>
      </c>
      <c r="F21" s="46" t="s">
        <v>21</v>
      </c>
      <c r="L21" s="159"/>
      <c r="O21" s="125" t="s">
        <v>185</v>
      </c>
      <c r="P21" s="26">
        <f t="shared" ref="P21:P34" si="1">IFERROR(BINOMDIST($O21-P$2,15-P$2,$D$5,FALSE)+
BINOMDIST(0,15-P$2,$D$5,FALSE)*BINOMDIST($O21-P$2,15-P$2,$D$5,FALSE)+
BINOMDIST(0,15-P$2,$D$5,FALSE)*BINOMDIST(0,15-P$2,$D$5,FALSE)*BINOMDIST($O21-P$2,15-P$2,$D$5,FALSE),0)</f>
        <v>0</v>
      </c>
      <c r="Q21" s="1">
        <v>0</v>
      </c>
      <c r="R21" s="315">
        <f t="array" ref="R21">IFERROR(BINOMDIST($O5-R$2,15-R$2,VLOOKUP(R$2,$E$3:$F$19,2,FALSE),FALSE)*BINOMDIST($O5-R$2,15-R$2,VLOOKUP(R$2,$H$3:$I$19,2,FALSE),FALSE)*BINOMDIST($O5-R$2,15-R$2,VLOOKUP(R$2,$B$3:$C$19,2,FALSE),FALSE),0)</f>
        <v>1.4202844487265893E-2</v>
      </c>
      <c r="S21" s="132">
        <f t="array" ref="S21">IFERROR(BINOMDIST($O5-S$2,15-S$2,VLOOKUP(S$2,$E$3:$F$19,2,FALSE),FALSE)*BINOMDIST($O5-S$2,15-S$2,VLOOKUP(S$2,$H$3:$I$19,2,FALSE),FALSE)*BINOMDIST($O5-S$2,15-S$2,VLOOKUP(S$2,$B$3:$C$19,2,FALSE),FALSE),0)</f>
        <v>0</v>
      </c>
      <c r="T21" s="132">
        <f t="array" ref="T21">IFERROR(BINOMDIST($O5-T$2,15-T$2,VLOOKUP(T$2,$E$3:$F$19,2,FALSE),FALSE)*BINOMDIST($O5-T$2,15-T$2,VLOOKUP(T$2,$H$3:$I$19,2,FALSE),FALSE)*BINOMDIST($O5-T$2,15-T$2,VLOOKUP(T$2,$B$3:$C$19,2,FALSE),FALSE),0)</f>
        <v>0</v>
      </c>
      <c r="U21" s="132">
        <f t="array" ref="U21">IFERROR(BINOMDIST($O5-U$2,15-U$2,VLOOKUP(U$2,$E$3:$F$19,2,FALSE),FALSE)*BINOMDIST($O5-U$2,15-U$2,VLOOKUP(U$2,$H$3:$I$19,2,FALSE),FALSE)*BINOMDIST($O5-U$2,15-U$2,VLOOKUP(U$2,$B$3:$C$19,2,FALSE),FALSE),0)</f>
        <v>0</v>
      </c>
      <c r="V21" s="132">
        <f t="array" ref="V21">IFERROR(BINOMDIST($O5-V$2,15-V$2,VLOOKUP(V$2,$E$3:$F$19,2,FALSE),FALSE)*BINOMDIST($O5-V$2,15-V$2,VLOOKUP(V$2,$H$3:$I$19,2,FALSE),FALSE)*BINOMDIST($O5-V$2,15-V$2,VLOOKUP(V$2,$B$3:$C$19,2,FALSE),FALSE),0)</f>
        <v>0</v>
      </c>
      <c r="W21" s="132">
        <f t="array" ref="W21">IFERROR(BINOMDIST($O5-W$2,15-W$2,VLOOKUP(W$2,$E$3:$F$19,2,FALSE),FALSE)*BINOMDIST($O5-W$2,15-W$2,VLOOKUP(W$2,$H$3:$I$19,2,FALSE),FALSE)*BINOMDIST($O5-W$2,15-W$2,VLOOKUP(W$2,$B$3:$C$19,2,FALSE),FALSE),0)</f>
        <v>0</v>
      </c>
      <c r="X21" s="132">
        <f t="array" ref="X21">IFERROR(BINOMDIST($O5-X$2,15-X$2,VLOOKUP(X$2,$E$3:$F$19,2,FALSE),FALSE)*BINOMDIST($O5-X$2,15-X$2,VLOOKUP(X$2,$H$3:$I$19,2,FALSE),FALSE)*BINOMDIST($O5-X$2,15-X$2,VLOOKUP(X$2,$B$3:$C$19,2,FALSE),FALSE),0)</f>
        <v>0</v>
      </c>
      <c r="Y21" s="132">
        <f t="array" ref="Y21">IFERROR(BINOMDIST($O5-Y$2,15-Y$2,VLOOKUP(Y$2,$E$3:$F$19,2,FALSE),FALSE)*BINOMDIST($O5-Y$2,15-Y$2,VLOOKUP(Y$2,$H$3:$I$19,2,FALSE),FALSE)*BINOMDIST($O5-Y$2,15-Y$2,VLOOKUP(Y$2,$B$3:$C$19,2,FALSE),FALSE),0)</f>
        <v>0</v>
      </c>
      <c r="Z21" s="132">
        <f t="array" ref="Z21">IFERROR(BINOMDIST($O5-Z$2,15-Z$2,VLOOKUP(Z$2,$E$3:$F$19,2,FALSE),FALSE)*BINOMDIST($O5-Z$2,15-Z$2,VLOOKUP(Z$2,$H$3:$I$19,2,FALSE),FALSE)*BINOMDIST($O5-Z$2,15-Z$2,VLOOKUP(Z$2,$B$3:$C$19,2,FALSE),FALSE),0)</f>
        <v>0</v>
      </c>
      <c r="AA21" s="132">
        <f t="array" ref="AA21">IFERROR(BINOMDIST($O5-AA$2,15-AA$2,VLOOKUP(AA$2,$E$3:$F$19,2,FALSE),FALSE)*BINOMDIST($O5-AA$2,15-AA$2,VLOOKUP(AA$2,$H$3:$I$19,2,FALSE),FALSE)*BINOMDIST($O5-AA$2,15-AA$2,VLOOKUP(AA$2,$B$3:$C$19,2,FALSE),FALSE),0)</f>
        <v>0</v>
      </c>
      <c r="AB21" s="132">
        <f t="array" ref="AB21">IFERROR(BINOMDIST($O5-AB$2,15-AB$2,VLOOKUP(AB$2,$E$3:$F$19,2,FALSE),FALSE)*BINOMDIST($O5-AB$2,15-AB$2,VLOOKUP(AB$2,$H$3:$I$19,2,FALSE),FALSE)*BINOMDIST($O5-AB$2,15-AB$2,VLOOKUP(AB$2,$B$3:$C$19,2,FALSE),FALSE),0)</f>
        <v>0</v>
      </c>
      <c r="AC21" s="132">
        <f t="array" ref="AC21">IFERROR(BINOMDIST($O5-AC$2,15-AC$2,VLOOKUP(AC$2,$E$3:$F$19,2,FALSE),FALSE)*BINOMDIST($O5-AC$2,15-AC$2,VLOOKUP(AC$2,$H$3:$I$19,2,FALSE),FALSE)*BINOMDIST($O5-AC$2,15-AC$2,VLOOKUP(AC$2,$B$3:$C$19,2,FALSE),FALSE),0)</f>
        <v>0</v>
      </c>
      <c r="AD21" s="132">
        <f t="array" ref="AD21">IFERROR(BINOMDIST($O5-AD$2,15-AD$2,VLOOKUP(AD$2,$E$3:$F$19,2,FALSE),FALSE)*BINOMDIST($O5-AD$2,15-AD$2,VLOOKUP(AD$2,$H$3:$I$19,2,FALSE),FALSE)*BINOMDIST($O5-AD$2,15-AD$2,VLOOKUP(AD$2,$B$3:$C$19,2,FALSE),FALSE),0)</f>
        <v>0</v>
      </c>
      <c r="AE21" s="132">
        <f t="array" ref="AE21">IFERROR(BINOMDIST($O5-AE$2,15-AE$2,VLOOKUP(AE$2,$E$3:$F$19,2,FALSE),FALSE)*BINOMDIST($O5-AE$2,15-AE$2,VLOOKUP(AE$2,$H$3:$I$19,2,FALSE),FALSE)*BINOMDIST($O5-AE$2,15-AE$2,VLOOKUP(AE$2,$B$3:$C$19,2,FALSE),FALSE),0)</f>
        <v>0</v>
      </c>
      <c r="AF21" s="113">
        <f t="array" ref="AF21">IFERROR(BINOMDIST($O5-AF$2,15-AF$2,VLOOKUP(AF$2,$E$3:$F$19,2,FALSE),FALSE)*BINOMDIST($O5-AF$2,15-AF$2,VLOOKUP(AF$2,$H$3:$I$19,2,FALSE),FALSE)*BINOMDIST($O5-AF$2,15-AF$2,VLOOKUP(AF$2,$B$3:$C$19,2,FALSE),FALSE),0)</f>
        <v>0</v>
      </c>
      <c r="AG21" s="113">
        <f t="array" ref="AG21">IFERROR(BINOMDIST($O5-AG$2,15-AG$2,VLOOKUP(AG$2,$E$3:$F$19,2,FALSE),FALSE)*BINOMDIST($O5-AG$2,15-AG$2,VLOOKUP(AG$2,$H$3:$I$19,2,FALSE),FALSE)*BINOMDIST($O5-AG$2,15-AG$2,VLOOKUP(AG$2,$B$3:$C$19,2,FALSE),FALSE),0)</f>
        <v>0</v>
      </c>
      <c r="AH21" s="126">
        <v>1</v>
      </c>
      <c r="AI21" s="113">
        <f t="array" ref="AI21">IFERROR(BINOMDIST($O5-AI$2,15-AI$2,VLOOKUP(AI$2,$E$3:$F$19,2,FALSE),FALSE)*BINOMDIST($O5-AI$2,15-AI$2,VLOOKUP(AI$2,$H$3:$I$19,2,FALSE),FALSE)*BINOMDIST($O5-AI$2,15-AI$2,VLOOKUP(AI$2,$B$3:$C$19,2,FALSE),FALSE),0)</f>
        <v>0</v>
      </c>
      <c r="AJ21" s="113">
        <f t="array" ref="AJ21">IFERROR(BINOMDIST($O5-AJ$2,15-AJ$2,VLOOKUP(AJ$2,$E$3:$F$19,2,FALSE),FALSE)*BINOMDIST($O5-AJ$2,15-AJ$2,VLOOKUP(AJ$2,$H$3:$I$19,2,FALSE),FALSE)*BINOMDIST($O5-AJ$2,15-AJ$2,VLOOKUP(AJ$2,$B$3:$C$19,2,FALSE),FALSE),0)</f>
        <v>0</v>
      </c>
      <c r="AK21" s="113">
        <f t="array" ref="AK21">IFERROR(BINOMDIST($O5-AK$2,15-AK$2,VLOOKUP(AK$2,$E$3:$F$19,2,FALSE),FALSE)*BINOMDIST($O5-AK$2,15-AK$2,VLOOKUP(AK$2,$H$3:$I$19,2,FALSE),FALSE)*BINOMDIST($O5-AK$2,15-AK$2,VLOOKUP(AK$2,$B$3:$C$19,2,FALSE),FALSE),0)</f>
        <v>0</v>
      </c>
      <c r="AL21" s="113">
        <f t="array" ref="AL21">IFERROR(BINOMDIST($O5-AL$2,15-AL$2,VLOOKUP(AL$2,$E$3:$F$19,2,FALSE),FALSE)*BINOMDIST($O5-AL$2,15-AL$2,VLOOKUP(AL$2,$H$3:$I$19,2,FALSE),FALSE)*BINOMDIST($O5-AL$2,15-AL$2,VLOOKUP(AL$2,$B$3:$C$19,2,FALSE),FALSE),0)</f>
        <v>0</v>
      </c>
      <c r="AM21" s="113">
        <f t="array" ref="AM21">IFERROR(BINOMDIST($O5-AM$2,15-AM$2,VLOOKUP(AM$2,$E$3:$F$19,2,FALSE),FALSE)*BINOMDIST($O5-AM$2,15-AM$2,VLOOKUP(AM$2,$H$3:$I$19,2,FALSE),FALSE)*BINOMDIST($O5-AM$2,15-AM$2,VLOOKUP(AM$2,$B$3:$C$19,2,FALSE),FALSE),0)</f>
        <v>0</v>
      </c>
      <c r="AN21" s="113">
        <f t="array" ref="AN21">IFERROR(BINOMDIST($O5-AN$2,15-AN$2,VLOOKUP(AN$2,$E$3:$F$19,2,FALSE),FALSE)*BINOMDIST($O5-AN$2,15-AN$2,VLOOKUP(AN$2,$H$3:$I$19,2,FALSE),FALSE)*BINOMDIST($O5-AN$2,15-AN$2,VLOOKUP(AN$2,$B$3:$C$19,2,FALSE),FALSE),0)</f>
        <v>0</v>
      </c>
      <c r="AO21" s="113">
        <f t="array" ref="AO21">IFERROR(BINOMDIST($O5-AO$2,15-AO$2,VLOOKUP(AO$2,$E$3:$F$19,2,FALSE),FALSE)*BINOMDIST($O5-AO$2,15-AO$2,VLOOKUP(AO$2,$H$3:$I$19,2,FALSE),FALSE)*BINOMDIST($O5-AO$2,15-AO$2,VLOOKUP(AO$2,$B$3:$C$19,2,FALSE),FALSE),0)</f>
        <v>0</v>
      </c>
      <c r="AP21" s="113">
        <f t="array" ref="AP21">IFERROR(BINOMDIST($O5-AP$2,15-AP$2,VLOOKUP(AP$2,$E$3:$F$19,2,FALSE),FALSE)*BINOMDIST($O5-AP$2,15-AP$2,VLOOKUP(AP$2,$H$3:$I$19,2,FALSE),FALSE)*BINOMDIST($O5-AP$2,15-AP$2,VLOOKUP(AP$2,$B$3:$C$19,2,FALSE),FALSE),0)</f>
        <v>0</v>
      </c>
      <c r="AQ21" s="113">
        <v>0</v>
      </c>
      <c r="AR21" s="113">
        <v>0</v>
      </c>
      <c r="AS21" s="113">
        <v>0</v>
      </c>
      <c r="AT21" s="113">
        <v>0</v>
      </c>
      <c r="AU21" s="130">
        <v>0</v>
      </c>
      <c r="AY21" s="1"/>
      <c r="AZ21" s="1"/>
      <c r="BA21" s="1"/>
      <c r="BB21" s="1"/>
    </row>
    <row r="22" spans="2:63" x14ac:dyDescent="0.15">
      <c r="B22" s="47" t="s">
        <v>23</v>
      </c>
      <c r="C22" s="107">
        <v>0</v>
      </c>
      <c r="D22" s="108">
        <f t="shared" ref="D22:D34" si="2">C22/$C$35</f>
        <v>0</v>
      </c>
      <c r="E22" s="107">
        <f>'#&lt;prize&gt;'!I2</f>
        <v>550</v>
      </c>
      <c r="F22" s="90">
        <f t="shared" ref="F22:F34" si="3">E22*D22</f>
        <v>0</v>
      </c>
      <c r="G22" s="159">
        <f>F22/$F$35</f>
        <v>0</v>
      </c>
      <c r="I22" s="1"/>
      <c r="J22" s="1"/>
      <c r="O22" s="125" t="s">
        <v>186</v>
      </c>
      <c r="P22" s="26">
        <f t="shared" si="1"/>
        <v>0</v>
      </c>
      <c r="Q22" s="1">
        <v>0</v>
      </c>
      <c r="R22" s="1">
        <v>0</v>
      </c>
      <c r="S22" s="315">
        <f t="array" ref="S22">IFERROR(BINOMDIST($O6-S$2,15-S$2,VLOOKUP(S$2,$E$3:$F$19,2,FALSE),FALSE)*BINOMDIST($O6-S$2,15-S$2,VLOOKUP(S$2,$H$3:$I$19,2,FALSE),FALSE)*BINOMDIST($O6-S$2,15-S$2,VLOOKUP(S$2,$B$3:$C$19,2,FALSE),FALSE),0)</f>
        <v>1.9701545966522249E-2</v>
      </c>
      <c r="T22" s="132">
        <f t="array" ref="T22">IFERROR(BINOMDIST($O6-T$2,15-T$2,VLOOKUP(T$2,$E$3:$F$19,2,FALSE),FALSE)*BINOMDIST($O6-T$2,15-T$2,VLOOKUP(T$2,$H$3:$I$19,2,FALSE),FALSE)*BINOMDIST($O6-T$2,15-T$2,VLOOKUP(T$2,$B$3:$C$19,2,FALSE),FALSE),0)</f>
        <v>0</v>
      </c>
      <c r="U22" s="132">
        <f t="array" ref="U22">IFERROR(BINOMDIST($O6-U$2,15-U$2,VLOOKUP(U$2,$E$3:$F$19,2,FALSE),FALSE)*BINOMDIST($O6-U$2,15-U$2,VLOOKUP(U$2,$H$3:$I$19,2,FALSE),FALSE)*BINOMDIST($O6-U$2,15-U$2,VLOOKUP(U$2,$B$3:$C$19,2,FALSE),FALSE),0)</f>
        <v>0</v>
      </c>
      <c r="V22" s="132">
        <f t="array" ref="V22">IFERROR(BINOMDIST($O6-V$2,15-V$2,VLOOKUP(V$2,$E$3:$F$19,2,FALSE),FALSE)*BINOMDIST($O6-V$2,15-V$2,VLOOKUP(V$2,$H$3:$I$19,2,FALSE),FALSE)*BINOMDIST($O6-V$2,15-V$2,VLOOKUP(V$2,$B$3:$C$19,2,FALSE),FALSE),0)</f>
        <v>0</v>
      </c>
      <c r="W22" s="132">
        <f t="array" ref="W22">IFERROR(BINOMDIST($O6-W$2,15-W$2,VLOOKUP(W$2,$E$3:$F$19,2,FALSE),FALSE)*BINOMDIST($O6-W$2,15-W$2,VLOOKUP(W$2,$H$3:$I$19,2,FALSE),FALSE)*BINOMDIST($O6-W$2,15-W$2,VLOOKUP(W$2,$B$3:$C$19,2,FALSE),FALSE),0)</f>
        <v>0</v>
      </c>
      <c r="X22" s="132">
        <f t="array" ref="X22">IFERROR(BINOMDIST($O6-X$2,15-X$2,VLOOKUP(X$2,$E$3:$F$19,2,FALSE),FALSE)*BINOMDIST($O6-X$2,15-X$2,VLOOKUP(X$2,$H$3:$I$19,2,FALSE),FALSE)*BINOMDIST($O6-X$2,15-X$2,VLOOKUP(X$2,$B$3:$C$19,2,FALSE),FALSE),0)</f>
        <v>0</v>
      </c>
      <c r="Y22" s="132">
        <f t="array" ref="Y22">IFERROR(BINOMDIST($O6-Y$2,15-Y$2,VLOOKUP(Y$2,$E$3:$F$19,2,FALSE),FALSE)*BINOMDIST($O6-Y$2,15-Y$2,VLOOKUP(Y$2,$H$3:$I$19,2,FALSE),FALSE)*BINOMDIST($O6-Y$2,15-Y$2,VLOOKUP(Y$2,$B$3:$C$19,2,FALSE),FALSE),0)</f>
        <v>0</v>
      </c>
      <c r="Z22" s="132">
        <f t="array" ref="Z22">IFERROR(BINOMDIST($O6-Z$2,15-Z$2,VLOOKUP(Z$2,$E$3:$F$19,2,FALSE),FALSE)*BINOMDIST($O6-Z$2,15-Z$2,VLOOKUP(Z$2,$H$3:$I$19,2,FALSE),FALSE)*BINOMDIST($O6-Z$2,15-Z$2,VLOOKUP(Z$2,$B$3:$C$19,2,FALSE),FALSE),0)</f>
        <v>0</v>
      </c>
      <c r="AA22" s="132">
        <f t="array" ref="AA22">IFERROR(BINOMDIST($O6-AA$2,15-AA$2,VLOOKUP(AA$2,$E$3:$F$19,2,FALSE),FALSE)*BINOMDIST($O6-AA$2,15-AA$2,VLOOKUP(AA$2,$H$3:$I$19,2,FALSE),FALSE)*BINOMDIST($O6-AA$2,15-AA$2,VLOOKUP(AA$2,$B$3:$C$19,2,FALSE),FALSE),0)</f>
        <v>0</v>
      </c>
      <c r="AB22" s="132">
        <f t="array" ref="AB22">IFERROR(BINOMDIST($O6-AB$2,15-AB$2,VLOOKUP(AB$2,$E$3:$F$19,2,FALSE),FALSE)*BINOMDIST($O6-AB$2,15-AB$2,VLOOKUP(AB$2,$H$3:$I$19,2,FALSE),FALSE)*BINOMDIST($O6-AB$2,15-AB$2,VLOOKUP(AB$2,$B$3:$C$19,2,FALSE),FALSE),0)</f>
        <v>0</v>
      </c>
      <c r="AC22" s="132">
        <f t="array" ref="AC22">IFERROR(BINOMDIST($O6-AC$2,15-AC$2,VLOOKUP(AC$2,$E$3:$F$19,2,FALSE),FALSE)*BINOMDIST($O6-AC$2,15-AC$2,VLOOKUP(AC$2,$H$3:$I$19,2,FALSE),FALSE)*BINOMDIST($O6-AC$2,15-AC$2,VLOOKUP(AC$2,$B$3:$C$19,2,FALSE),FALSE),0)</f>
        <v>0</v>
      </c>
      <c r="AD22" s="132">
        <f t="array" ref="AD22">IFERROR(BINOMDIST($O6-AD$2,15-AD$2,VLOOKUP(AD$2,$E$3:$F$19,2,FALSE),FALSE)*BINOMDIST($O6-AD$2,15-AD$2,VLOOKUP(AD$2,$H$3:$I$19,2,FALSE),FALSE)*BINOMDIST($O6-AD$2,15-AD$2,VLOOKUP(AD$2,$B$3:$C$19,2,FALSE),FALSE),0)</f>
        <v>0</v>
      </c>
      <c r="AE22" s="132">
        <f t="array" ref="AE22">IFERROR(BINOMDIST($O6-AE$2,15-AE$2,VLOOKUP(AE$2,$E$3:$F$19,2,FALSE),FALSE)*BINOMDIST($O6-AE$2,15-AE$2,VLOOKUP(AE$2,$H$3:$I$19,2,FALSE),FALSE)*BINOMDIST($O6-AE$2,15-AE$2,VLOOKUP(AE$2,$B$3:$C$19,2,FALSE),FALSE),0)</f>
        <v>0</v>
      </c>
      <c r="AF22" s="113">
        <f t="array" ref="AF22">IFERROR(BINOMDIST($O6-AF$2,15-AF$2,VLOOKUP(AF$2,$E$3:$F$19,2,FALSE),FALSE)*BINOMDIST($O6-AF$2,15-AF$2,VLOOKUP(AF$2,$H$3:$I$19,2,FALSE),FALSE)*BINOMDIST($O6-AF$2,15-AF$2,VLOOKUP(AF$2,$B$3:$C$19,2,FALSE),FALSE),0)</f>
        <v>0</v>
      </c>
      <c r="AG22" s="113">
        <f t="array" ref="AG22">IFERROR(BINOMDIST($O6-AG$2,15-AG$2,VLOOKUP(AG$2,$E$3:$F$19,2,FALSE),FALSE)*BINOMDIST($O6-AG$2,15-AG$2,VLOOKUP(AG$2,$H$3:$I$19,2,FALSE),FALSE)*BINOMDIST($O6-AG$2,15-AG$2,VLOOKUP(AG$2,$B$3:$C$19,2,FALSE),FALSE),0)</f>
        <v>0</v>
      </c>
      <c r="AH22" s="113">
        <f t="array" ref="AH22">IFERROR(BINOMDIST($O6-AH$2,15-AH$2,VLOOKUP(AH$2,$E$3:$F$19,2,FALSE),FALSE)*BINOMDIST($O6-AH$2,15-AH$2,VLOOKUP(AH$2,$H$3:$I$19,2,FALSE),FALSE)*BINOMDIST($O6-AH$2,15-AH$2,VLOOKUP(AH$2,$B$3:$C$19,2,FALSE),FALSE),0)</f>
        <v>0</v>
      </c>
      <c r="AI22" s="126">
        <v>1</v>
      </c>
      <c r="AJ22" s="113">
        <f t="array" ref="AJ22">IFERROR(BINOMDIST($O6-AJ$2,15-AJ$2,VLOOKUP(AJ$2,$E$3:$F$19,2,FALSE),FALSE)*BINOMDIST($O6-AJ$2,15-AJ$2,VLOOKUP(AJ$2,$H$3:$I$19,2,FALSE),FALSE)*BINOMDIST($O6-AJ$2,15-AJ$2,VLOOKUP(AJ$2,$B$3:$C$19,2,FALSE),FALSE),0)</f>
        <v>0</v>
      </c>
      <c r="AK22" s="113">
        <f t="array" ref="AK22">IFERROR(BINOMDIST($O6-AK$2,15-AK$2,VLOOKUP(AK$2,$E$3:$F$19,2,FALSE),FALSE)*BINOMDIST($O6-AK$2,15-AK$2,VLOOKUP(AK$2,$H$3:$I$19,2,FALSE),FALSE)*BINOMDIST($O6-AK$2,15-AK$2,VLOOKUP(AK$2,$B$3:$C$19,2,FALSE),FALSE),0)</f>
        <v>0</v>
      </c>
      <c r="AL22" s="113">
        <f t="array" ref="AL22">IFERROR(BINOMDIST($O6-AL$2,15-AL$2,VLOOKUP(AL$2,$E$3:$F$19,2,FALSE),FALSE)*BINOMDIST($O6-AL$2,15-AL$2,VLOOKUP(AL$2,$H$3:$I$19,2,FALSE),FALSE)*BINOMDIST($O6-AL$2,15-AL$2,VLOOKUP(AL$2,$B$3:$C$19,2,FALSE),FALSE),0)</f>
        <v>0</v>
      </c>
      <c r="AM22" s="113">
        <f t="array" ref="AM22">IFERROR(BINOMDIST($O6-AM$2,15-AM$2,VLOOKUP(AM$2,$E$3:$F$19,2,FALSE),FALSE)*BINOMDIST($O6-AM$2,15-AM$2,VLOOKUP(AM$2,$H$3:$I$19,2,FALSE),FALSE)*BINOMDIST($O6-AM$2,15-AM$2,VLOOKUP(AM$2,$B$3:$C$19,2,FALSE),FALSE),0)</f>
        <v>0</v>
      </c>
      <c r="AN22" s="113">
        <f t="array" ref="AN22">IFERROR(BINOMDIST($O6-AN$2,15-AN$2,VLOOKUP(AN$2,$E$3:$F$19,2,FALSE),FALSE)*BINOMDIST($O6-AN$2,15-AN$2,VLOOKUP(AN$2,$H$3:$I$19,2,FALSE),FALSE)*BINOMDIST($O6-AN$2,15-AN$2,VLOOKUP(AN$2,$B$3:$C$19,2,FALSE),FALSE),0)</f>
        <v>0</v>
      </c>
      <c r="AO22" s="113">
        <f t="array" ref="AO22">IFERROR(BINOMDIST($O6-AO$2,15-AO$2,VLOOKUP(AO$2,$E$3:$F$19,2,FALSE),FALSE)*BINOMDIST($O6-AO$2,15-AO$2,VLOOKUP(AO$2,$H$3:$I$19,2,FALSE),FALSE)*BINOMDIST($O6-AO$2,15-AO$2,VLOOKUP(AO$2,$B$3:$C$19,2,FALSE),FALSE),0)</f>
        <v>0</v>
      </c>
      <c r="AP22" s="113">
        <f t="array" ref="AP22">IFERROR(BINOMDIST($O6-AP$2,15-AP$2,VLOOKUP(AP$2,$E$3:$F$19,2,FALSE),FALSE)*BINOMDIST($O6-AP$2,15-AP$2,VLOOKUP(AP$2,$H$3:$I$19,2,FALSE),FALSE)*BINOMDIST($O6-AP$2,15-AP$2,VLOOKUP(AP$2,$B$3:$C$19,2,FALSE),FALSE),0)</f>
        <v>0</v>
      </c>
      <c r="AQ22" s="113">
        <v>0</v>
      </c>
      <c r="AR22" s="113">
        <v>0</v>
      </c>
      <c r="AS22" s="113">
        <v>0</v>
      </c>
      <c r="AT22" s="113">
        <v>0</v>
      </c>
      <c r="AU22" s="130">
        <v>0</v>
      </c>
      <c r="AY22" s="1"/>
      <c r="AZ22" s="1"/>
      <c r="BA22" s="1"/>
      <c r="BB22" s="1"/>
    </row>
    <row r="23" spans="2:63" x14ac:dyDescent="0.15">
      <c r="B23" s="47" t="s">
        <v>24</v>
      </c>
      <c r="C23" s="107">
        <v>2</v>
      </c>
      <c r="D23" s="108">
        <f t="shared" si="2"/>
        <v>2.4875621890547262E-4</v>
      </c>
      <c r="E23" s="107">
        <f>'#&lt;prize&gt;'!I3</f>
        <v>110.00000000000001</v>
      </c>
      <c r="F23" s="91">
        <f t="shared" si="3"/>
        <v>2.736318407960199E-2</v>
      </c>
      <c r="G23" s="159">
        <f t="shared" ref="G23:G34" si="4">F23/$F$35</f>
        <v>1.3895907023749368E-2</v>
      </c>
      <c r="I23" s="1"/>
      <c r="J23" s="1"/>
      <c r="O23" s="125" t="s">
        <v>187</v>
      </c>
      <c r="P23" s="26">
        <f t="shared" si="1"/>
        <v>0</v>
      </c>
      <c r="Q23" s="1">
        <v>0</v>
      </c>
      <c r="R23" s="1">
        <v>0</v>
      </c>
      <c r="S23" s="1">
        <v>0</v>
      </c>
      <c r="T23" s="315">
        <f t="array" ref="T23">IFERROR(BINOMDIST($O7-T$2,15-T$2,VLOOKUP(T$2,$E$3:$F$19,2,FALSE),FALSE)*BINOMDIST($O7-T$2,15-T$2,VLOOKUP(T$2,$H$3:$I$19,2,FALSE),FALSE)*BINOMDIST($O7-T$2,15-T$2,VLOOKUP(T$2,$B$3:$C$19,2,FALSE),FALSE),0)</f>
        <v>2.7329096915691832E-2</v>
      </c>
      <c r="U23" s="132">
        <f t="array" ref="U23">IFERROR(BINOMDIST($O7-U$2,15-U$2,VLOOKUP(U$2,$E$3:$F$19,2,FALSE),FALSE)*BINOMDIST($O7-U$2,15-U$2,VLOOKUP(U$2,$H$3:$I$19,2,FALSE),FALSE)*BINOMDIST($O7-U$2,15-U$2,VLOOKUP(U$2,$B$3:$C$19,2,FALSE),FALSE),0)</f>
        <v>0</v>
      </c>
      <c r="V23" s="132">
        <f t="array" ref="V23">IFERROR(BINOMDIST($O7-V$2,15-V$2,VLOOKUP(V$2,$E$3:$F$19,2,FALSE),FALSE)*BINOMDIST($O7-V$2,15-V$2,VLOOKUP(V$2,$H$3:$I$19,2,FALSE),FALSE)*BINOMDIST($O7-V$2,15-V$2,VLOOKUP(V$2,$B$3:$C$19,2,FALSE),FALSE),0)</f>
        <v>0</v>
      </c>
      <c r="W23" s="132">
        <f t="array" ref="W23">IFERROR(BINOMDIST($O7-W$2,15-W$2,VLOOKUP(W$2,$E$3:$F$19,2,FALSE),FALSE)*BINOMDIST($O7-W$2,15-W$2,VLOOKUP(W$2,$H$3:$I$19,2,FALSE),FALSE)*BINOMDIST($O7-W$2,15-W$2,VLOOKUP(W$2,$B$3:$C$19,2,FALSE),FALSE),0)</f>
        <v>0</v>
      </c>
      <c r="X23" s="132">
        <f t="array" ref="X23">IFERROR(BINOMDIST($O7-X$2,15-X$2,VLOOKUP(X$2,$E$3:$F$19,2,FALSE),FALSE)*BINOMDIST($O7-X$2,15-X$2,VLOOKUP(X$2,$H$3:$I$19,2,FALSE),FALSE)*BINOMDIST($O7-X$2,15-X$2,VLOOKUP(X$2,$B$3:$C$19,2,FALSE),FALSE),0)</f>
        <v>0</v>
      </c>
      <c r="Y23" s="132">
        <f t="array" ref="Y23">IFERROR(BINOMDIST($O7-Y$2,15-Y$2,VLOOKUP(Y$2,$E$3:$F$19,2,FALSE),FALSE)*BINOMDIST($O7-Y$2,15-Y$2,VLOOKUP(Y$2,$H$3:$I$19,2,FALSE),FALSE)*BINOMDIST($O7-Y$2,15-Y$2,VLOOKUP(Y$2,$B$3:$C$19,2,FALSE),FALSE),0)</f>
        <v>0</v>
      </c>
      <c r="Z23" s="132">
        <f t="array" ref="Z23">IFERROR(BINOMDIST($O7-Z$2,15-Z$2,VLOOKUP(Z$2,$E$3:$F$19,2,FALSE),FALSE)*BINOMDIST($O7-Z$2,15-Z$2,VLOOKUP(Z$2,$H$3:$I$19,2,FALSE),FALSE)*BINOMDIST($O7-Z$2,15-Z$2,VLOOKUP(Z$2,$B$3:$C$19,2,FALSE),FALSE),0)</f>
        <v>0</v>
      </c>
      <c r="AA23" s="132">
        <f t="array" ref="AA23">IFERROR(BINOMDIST($O7-AA$2,15-AA$2,VLOOKUP(AA$2,$E$3:$F$19,2,FALSE),FALSE)*BINOMDIST($O7-AA$2,15-AA$2,VLOOKUP(AA$2,$H$3:$I$19,2,FALSE),FALSE)*BINOMDIST($O7-AA$2,15-AA$2,VLOOKUP(AA$2,$B$3:$C$19,2,FALSE),FALSE),0)</f>
        <v>0</v>
      </c>
      <c r="AB23" s="132">
        <f t="array" ref="AB23">IFERROR(BINOMDIST($O7-AB$2,15-AB$2,VLOOKUP(AB$2,$E$3:$F$19,2,FALSE),FALSE)*BINOMDIST($O7-AB$2,15-AB$2,VLOOKUP(AB$2,$H$3:$I$19,2,FALSE),FALSE)*BINOMDIST($O7-AB$2,15-AB$2,VLOOKUP(AB$2,$B$3:$C$19,2,FALSE),FALSE),0)</f>
        <v>0</v>
      </c>
      <c r="AC23" s="132">
        <f t="array" ref="AC23">IFERROR(BINOMDIST($O7-AC$2,15-AC$2,VLOOKUP(AC$2,$E$3:$F$19,2,FALSE),FALSE)*BINOMDIST($O7-AC$2,15-AC$2,VLOOKUP(AC$2,$H$3:$I$19,2,FALSE),FALSE)*BINOMDIST($O7-AC$2,15-AC$2,VLOOKUP(AC$2,$B$3:$C$19,2,FALSE),FALSE),0)</f>
        <v>0</v>
      </c>
      <c r="AD23" s="132">
        <f t="array" ref="AD23">IFERROR(BINOMDIST($O7-AD$2,15-AD$2,VLOOKUP(AD$2,$E$3:$F$19,2,FALSE),FALSE)*BINOMDIST($O7-AD$2,15-AD$2,VLOOKUP(AD$2,$H$3:$I$19,2,FALSE),FALSE)*BINOMDIST($O7-AD$2,15-AD$2,VLOOKUP(AD$2,$B$3:$C$19,2,FALSE),FALSE),0)</f>
        <v>0</v>
      </c>
      <c r="AE23" s="132">
        <f t="array" ref="AE23">IFERROR(BINOMDIST($O7-AE$2,15-AE$2,VLOOKUP(AE$2,$E$3:$F$19,2,FALSE),FALSE)*BINOMDIST($O7-AE$2,15-AE$2,VLOOKUP(AE$2,$H$3:$I$19,2,FALSE),FALSE)*BINOMDIST($O7-AE$2,15-AE$2,VLOOKUP(AE$2,$B$3:$C$19,2,FALSE),FALSE),0)</f>
        <v>0</v>
      </c>
      <c r="AF23" s="113">
        <f t="array" ref="AF23">IFERROR(BINOMDIST($O7-AF$2,15-AF$2,VLOOKUP(AF$2,$E$3:$F$19,2,FALSE),FALSE)*BINOMDIST($O7-AF$2,15-AF$2,VLOOKUP(AF$2,$H$3:$I$19,2,FALSE),FALSE)*BINOMDIST($O7-AF$2,15-AF$2,VLOOKUP(AF$2,$B$3:$C$19,2,FALSE),FALSE),0)</f>
        <v>0</v>
      </c>
      <c r="AG23" s="113">
        <f t="array" ref="AG23">IFERROR(BINOMDIST($O7-AG$2,15-AG$2,VLOOKUP(AG$2,$E$3:$F$19,2,FALSE),FALSE)*BINOMDIST($O7-AG$2,15-AG$2,VLOOKUP(AG$2,$H$3:$I$19,2,FALSE),FALSE)*BINOMDIST($O7-AG$2,15-AG$2,VLOOKUP(AG$2,$B$3:$C$19,2,FALSE),FALSE),0)</f>
        <v>0</v>
      </c>
      <c r="AH23" s="113">
        <f t="array" ref="AH23">IFERROR(BINOMDIST($O7-AH$2,15-AH$2,VLOOKUP(AH$2,$E$3:$F$19,2,FALSE),FALSE)*BINOMDIST($O7-AH$2,15-AH$2,VLOOKUP(AH$2,$H$3:$I$19,2,FALSE),FALSE)*BINOMDIST($O7-AH$2,15-AH$2,VLOOKUP(AH$2,$B$3:$C$19,2,FALSE),FALSE),0)</f>
        <v>0</v>
      </c>
      <c r="AI23" s="1">
        <f t="array" ref="AI23">IFERROR(BINOMDIST($O7-AI$2,15-AI$2,VLOOKUP(AI$2,$E$3:$F$19,2,FALSE),FALSE)*BINOMDIST($O7-AI$2,15-AI$2,VLOOKUP(AI$2,$H$3:$I$19,2,FALSE),FALSE)*BINOMDIST($O7-AI$2,15-AI$2,VLOOKUP(AI$2,$B$3:$C$19,2,FALSE),FALSE),0)</f>
        <v>0</v>
      </c>
      <c r="AJ23" s="126">
        <v>1</v>
      </c>
      <c r="AK23" s="113">
        <f t="array" ref="AK23">IFERROR(BINOMDIST($O7-AK$2,15-AK$2,VLOOKUP(AK$2,$E$3:$F$19,2,FALSE),FALSE)*BINOMDIST($O7-AK$2,15-AK$2,VLOOKUP(AK$2,$H$3:$I$19,2,FALSE),FALSE)*BINOMDIST($O7-AK$2,15-AK$2,VLOOKUP(AK$2,$B$3:$C$19,2,FALSE),FALSE),0)</f>
        <v>0</v>
      </c>
      <c r="AL23" s="113">
        <f t="array" ref="AL23">IFERROR(BINOMDIST($O7-AL$2,15-AL$2,VLOOKUP(AL$2,$E$3:$F$19,2,FALSE),FALSE)*BINOMDIST($O7-AL$2,15-AL$2,VLOOKUP(AL$2,$H$3:$I$19,2,FALSE),FALSE)*BINOMDIST($O7-AL$2,15-AL$2,VLOOKUP(AL$2,$B$3:$C$19,2,FALSE),FALSE),0)</f>
        <v>0</v>
      </c>
      <c r="AM23" s="113">
        <f t="array" ref="AM23">IFERROR(BINOMDIST($O7-AM$2,15-AM$2,VLOOKUP(AM$2,$E$3:$F$19,2,FALSE),FALSE)*BINOMDIST($O7-AM$2,15-AM$2,VLOOKUP(AM$2,$H$3:$I$19,2,FALSE),FALSE)*BINOMDIST($O7-AM$2,15-AM$2,VLOOKUP(AM$2,$B$3:$C$19,2,FALSE),FALSE),0)</f>
        <v>0</v>
      </c>
      <c r="AN23" s="113">
        <f t="array" ref="AN23">IFERROR(BINOMDIST($O7-AN$2,15-AN$2,VLOOKUP(AN$2,$E$3:$F$19,2,FALSE),FALSE)*BINOMDIST($O7-AN$2,15-AN$2,VLOOKUP(AN$2,$H$3:$I$19,2,FALSE),FALSE)*BINOMDIST($O7-AN$2,15-AN$2,VLOOKUP(AN$2,$B$3:$C$19,2,FALSE),FALSE),0)</f>
        <v>0</v>
      </c>
      <c r="AO23" s="113">
        <f t="array" ref="AO23">IFERROR(BINOMDIST($O7-AO$2,15-AO$2,VLOOKUP(AO$2,$E$3:$F$19,2,FALSE),FALSE)*BINOMDIST($O7-AO$2,15-AO$2,VLOOKUP(AO$2,$H$3:$I$19,2,FALSE),FALSE)*BINOMDIST($O7-AO$2,15-AO$2,VLOOKUP(AO$2,$B$3:$C$19,2,FALSE),FALSE),0)</f>
        <v>0</v>
      </c>
      <c r="AP23" s="113">
        <f t="array" ref="AP23">IFERROR(BINOMDIST($O7-AP$2,15-AP$2,VLOOKUP(AP$2,$E$3:$F$19,2,FALSE),FALSE)*BINOMDIST($O7-AP$2,15-AP$2,VLOOKUP(AP$2,$H$3:$I$19,2,FALSE),FALSE)*BINOMDIST($O7-AP$2,15-AP$2,VLOOKUP(AP$2,$B$3:$C$19,2,FALSE),FALSE),0)</f>
        <v>0</v>
      </c>
      <c r="AQ23" s="113">
        <v>0</v>
      </c>
      <c r="AR23" s="113">
        <v>0</v>
      </c>
      <c r="AS23" s="113">
        <v>0</v>
      </c>
      <c r="AT23" s="113">
        <v>0</v>
      </c>
      <c r="AU23" s="130">
        <v>0</v>
      </c>
      <c r="AY23" s="1"/>
      <c r="AZ23" s="1"/>
      <c r="BA23" s="1"/>
      <c r="BB23" s="1"/>
    </row>
    <row r="24" spans="2:63" x14ac:dyDescent="0.15">
      <c r="B24" s="47" t="s">
        <v>25</v>
      </c>
      <c r="C24" s="107">
        <v>46</v>
      </c>
      <c r="D24" s="108">
        <f t="shared" si="2"/>
        <v>5.7213930348258705E-3</v>
      </c>
      <c r="E24" s="107">
        <f>'#&lt;prize&gt;'!I4</f>
        <v>22</v>
      </c>
      <c r="F24" s="91">
        <f t="shared" si="3"/>
        <v>0.12587064676616916</v>
      </c>
      <c r="G24" s="159">
        <f t="shared" si="4"/>
        <v>6.3921172309247085E-2</v>
      </c>
      <c r="I24" s="1"/>
      <c r="J24" s="23"/>
      <c r="O24" s="125" t="s">
        <v>188</v>
      </c>
      <c r="P24" s="26">
        <f t="shared" si="1"/>
        <v>0</v>
      </c>
      <c r="Q24" s="1">
        <v>0</v>
      </c>
      <c r="R24" s="1">
        <v>0</v>
      </c>
      <c r="S24" s="1">
        <v>0</v>
      </c>
      <c r="T24" s="1">
        <v>0</v>
      </c>
      <c r="U24" s="315">
        <f t="array" ref="U24">IFERROR(BINOMDIST($O8-U$2,15-U$2,VLOOKUP(U$2,$E$3:$F$19,2,FALSE),FALSE)*BINOMDIST($O8-U$2,15-U$2,VLOOKUP(U$2,$H$3:$I$19,2,FALSE),FALSE)*BINOMDIST($O8-U$2,15-U$2,VLOOKUP(U$2,$B$3:$C$19,2,FALSE),FALSE),0)</f>
        <v>3.7909691934653669E-2</v>
      </c>
      <c r="V24" s="132">
        <f t="array" ref="V24">IFERROR(BINOMDIST($O8-V$2,15-V$2,VLOOKUP(V$2,$E$3:$F$19,2,FALSE),FALSE)*BINOMDIST($O8-V$2,15-V$2,VLOOKUP(V$2,$H$3:$I$19,2,FALSE),FALSE)*BINOMDIST($O8-V$2,15-V$2,VLOOKUP(V$2,$B$3:$C$19,2,FALSE),FALSE),0)</f>
        <v>0</v>
      </c>
      <c r="W24" s="132">
        <f t="array" ref="W24">IFERROR(BINOMDIST($O8-W$2,15-W$2,VLOOKUP(W$2,$E$3:$F$19,2,FALSE),FALSE)*BINOMDIST($O8-W$2,15-W$2,VLOOKUP(W$2,$H$3:$I$19,2,FALSE),FALSE)*BINOMDIST($O8-W$2,15-W$2,VLOOKUP(W$2,$B$3:$C$19,2,FALSE),FALSE),0)</f>
        <v>0</v>
      </c>
      <c r="X24" s="132">
        <f t="array" ref="X24">IFERROR(BINOMDIST($O8-X$2,15-X$2,VLOOKUP(X$2,$E$3:$F$19,2,FALSE),FALSE)*BINOMDIST($O8-X$2,15-X$2,VLOOKUP(X$2,$H$3:$I$19,2,FALSE),FALSE)*BINOMDIST($O8-X$2,15-X$2,VLOOKUP(X$2,$B$3:$C$19,2,FALSE),FALSE),0)</f>
        <v>0</v>
      </c>
      <c r="Y24" s="132">
        <f t="array" ref="Y24">IFERROR(BINOMDIST($O8-Y$2,15-Y$2,VLOOKUP(Y$2,$E$3:$F$19,2,FALSE),FALSE)*BINOMDIST($O8-Y$2,15-Y$2,VLOOKUP(Y$2,$H$3:$I$19,2,FALSE),FALSE)*BINOMDIST($O8-Y$2,15-Y$2,VLOOKUP(Y$2,$B$3:$C$19,2,FALSE),FALSE),0)</f>
        <v>0</v>
      </c>
      <c r="Z24" s="132">
        <f t="array" ref="Z24">IFERROR(BINOMDIST($O8-Z$2,15-Z$2,VLOOKUP(Z$2,$E$3:$F$19,2,FALSE),FALSE)*BINOMDIST($O8-Z$2,15-Z$2,VLOOKUP(Z$2,$H$3:$I$19,2,FALSE),FALSE)*BINOMDIST($O8-Z$2,15-Z$2,VLOOKUP(Z$2,$B$3:$C$19,2,FALSE),FALSE),0)</f>
        <v>0</v>
      </c>
      <c r="AA24" s="132">
        <f t="array" ref="AA24">IFERROR(BINOMDIST($O8-AA$2,15-AA$2,VLOOKUP(AA$2,$E$3:$F$19,2,FALSE),FALSE)*BINOMDIST($O8-AA$2,15-AA$2,VLOOKUP(AA$2,$H$3:$I$19,2,FALSE),FALSE)*BINOMDIST($O8-AA$2,15-AA$2,VLOOKUP(AA$2,$B$3:$C$19,2,FALSE),FALSE),0)</f>
        <v>0</v>
      </c>
      <c r="AB24" s="132">
        <f t="array" ref="AB24">IFERROR(BINOMDIST($O8-AB$2,15-AB$2,VLOOKUP(AB$2,$E$3:$F$19,2,FALSE),FALSE)*BINOMDIST($O8-AB$2,15-AB$2,VLOOKUP(AB$2,$H$3:$I$19,2,FALSE),FALSE)*BINOMDIST($O8-AB$2,15-AB$2,VLOOKUP(AB$2,$B$3:$C$19,2,FALSE),FALSE),0)</f>
        <v>0</v>
      </c>
      <c r="AC24" s="132">
        <f t="array" ref="AC24">IFERROR(BINOMDIST($O8-AC$2,15-AC$2,VLOOKUP(AC$2,$E$3:$F$19,2,FALSE),FALSE)*BINOMDIST($O8-AC$2,15-AC$2,VLOOKUP(AC$2,$H$3:$I$19,2,FALSE),FALSE)*BINOMDIST($O8-AC$2,15-AC$2,VLOOKUP(AC$2,$B$3:$C$19,2,FALSE),FALSE),0)</f>
        <v>0</v>
      </c>
      <c r="AD24" s="132">
        <f t="array" ref="AD24">IFERROR(BINOMDIST($O8-AD$2,15-AD$2,VLOOKUP(AD$2,$E$3:$F$19,2,FALSE),FALSE)*BINOMDIST($O8-AD$2,15-AD$2,VLOOKUP(AD$2,$H$3:$I$19,2,FALSE),FALSE)*BINOMDIST($O8-AD$2,15-AD$2,VLOOKUP(AD$2,$B$3:$C$19,2,FALSE),FALSE),0)</f>
        <v>0</v>
      </c>
      <c r="AE24" s="132">
        <f t="array" ref="AE24">IFERROR(BINOMDIST($O8-AE$2,15-AE$2,VLOOKUP(AE$2,$E$3:$F$19,2,FALSE),FALSE)*BINOMDIST($O8-AE$2,15-AE$2,VLOOKUP(AE$2,$H$3:$I$19,2,FALSE),FALSE)*BINOMDIST($O8-AE$2,15-AE$2,VLOOKUP(AE$2,$B$3:$C$19,2,FALSE),FALSE),0)</f>
        <v>0</v>
      </c>
      <c r="AF24" s="113">
        <f t="array" ref="AF24">IFERROR(BINOMDIST($O8-AF$2,15-AF$2,VLOOKUP(AF$2,$E$3:$F$19,2,FALSE),FALSE)*BINOMDIST($O8-AF$2,15-AF$2,VLOOKUP(AF$2,$H$3:$I$19,2,FALSE),FALSE)*BINOMDIST($O8-AF$2,15-AF$2,VLOOKUP(AF$2,$B$3:$C$19,2,FALSE),FALSE),0)</f>
        <v>0</v>
      </c>
      <c r="AG24" s="113">
        <f t="array" ref="AG24">IFERROR(BINOMDIST($O8-AG$2,15-AG$2,VLOOKUP(AG$2,$E$3:$F$19,2,FALSE),FALSE)*BINOMDIST($O8-AG$2,15-AG$2,VLOOKUP(AG$2,$H$3:$I$19,2,FALSE),FALSE)*BINOMDIST($O8-AG$2,15-AG$2,VLOOKUP(AG$2,$B$3:$C$19,2,FALSE),FALSE),0)</f>
        <v>0</v>
      </c>
      <c r="AH24" s="113">
        <f t="array" ref="AH24">IFERROR(BINOMDIST($O8-AH$2,15-AH$2,VLOOKUP(AH$2,$E$3:$F$19,2,FALSE),FALSE)*BINOMDIST($O8-AH$2,15-AH$2,VLOOKUP(AH$2,$H$3:$I$19,2,FALSE),FALSE)*BINOMDIST($O8-AH$2,15-AH$2,VLOOKUP(AH$2,$B$3:$C$19,2,FALSE),FALSE),0)</f>
        <v>0</v>
      </c>
      <c r="AI24" s="1">
        <f t="array" ref="AI24">IFERROR(BINOMDIST($O8-AI$2,15-AI$2,VLOOKUP(AI$2,$E$3:$F$19,2,FALSE),FALSE)*BINOMDIST($O8-AI$2,15-AI$2,VLOOKUP(AI$2,$H$3:$I$19,2,FALSE),FALSE)*BINOMDIST($O8-AI$2,15-AI$2,VLOOKUP(AI$2,$B$3:$C$19,2,FALSE),FALSE),0)</f>
        <v>0</v>
      </c>
      <c r="AJ24" s="113">
        <f t="array" ref="AJ24">IFERROR(BINOMDIST($O8-AJ$2,15-AJ$2,VLOOKUP(AJ$2,$E$3:$F$19,2,FALSE),FALSE)*BINOMDIST($O8-AJ$2,15-AJ$2,VLOOKUP(AJ$2,$H$3:$I$19,2,FALSE),FALSE)*BINOMDIST($O8-AJ$2,15-AJ$2,VLOOKUP(AJ$2,$B$3:$C$19,2,FALSE),FALSE),0)</f>
        <v>0</v>
      </c>
      <c r="AK24" s="126">
        <v>1</v>
      </c>
      <c r="AL24" s="113">
        <f t="array" ref="AL24">IFERROR(BINOMDIST($O8-AL$2,15-AL$2,VLOOKUP(AL$2,$E$3:$F$19,2,FALSE),FALSE)*BINOMDIST($O8-AL$2,15-AL$2,VLOOKUP(AL$2,$H$3:$I$19,2,FALSE),FALSE)*BINOMDIST($O8-AL$2,15-AL$2,VLOOKUP(AL$2,$B$3:$C$19,2,FALSE),FALSE),0)</f>
        <v>0</v>
      </c>
      <c r="AM24" s="113">
        <f t="array" ref="AM24">IFERROR(BINOMDIST($O8-AM$2,15-AM$2,VLOOKUP(AM$2,$E$3:$F$19,2,FALSE),FALSE)*BINOMDIST($O8-AM$2,15-AM$2,VLOOKUP(AM$2,$H$3:$I$19,2,FALSE),FALSE)*BINOMDIST($O8-AM$2,15-AM$2,VLOOKUP(AM$2,$B$3:$C$19,2,FALSE),FALSE),0)</f>
        <v>0</v>
      </c>
      <c r="AN24" s="113">
        <f t="array" ref="AN24">IFERROR(BINOMDIST($O8-AN$2,15-AN$2,VLOOKUP(AN$2,$E$3:$F$19,2,FALSE),FALSE)*BINOMDIST($O8-AN$2,15-AN$2,VLOOKUP(AN$2,$H$3:$I$19,2,FALSE),FALSE)*BINOMDIST($O8-AN$2,15-AN$2,VLOOKUP(AN$2,$B$3:$C$19,2,FALSE),FALSE),0)</f>
        <v>0</v>
      </c>
      <c r="AO24" s="113">
        <f t="array" ref="AO24">IFERROR(BINOMDIST($O8-AO$2,15-AO$2,VLOOKUP(AO$2,$E$3:$F$19,2,FALSE),FALSE)*BINOMDIST($O8-AO$2,15-AO$2,VLOOKUP(AO$2,$H$3:$I$19,2,FALSE),FALSE)*BINOMDIST($O8-AO$2,15-AO$2,VLOOKUP(AO$2,$B$3:$C$19,2,FALSE),FALSE),0)</f>
        <v>0</v>
      </c>
      <c r="AP24" s="113">
        <f t="array" ref="AP24">IFERROR(BINOMDIST($O8-AP$2,15-AP$2,VLOOKUP(AP$2,$E$3:$F$19,2,FALSE),FALSE)*BINOMDIST($O8-AP$2,15-AP$2,VLOOKUP(AP$2,$H$3:$I$19,2,FALSE),FALSE)*BINOMDIST($O8-AP$2,15-AP$2,VLOOKUP(AP$2,$B$3:$C$19,2,FALSE),FALSE),0)</f>
        <v>0</v>
      </c>
      <c r="AQ24" s="113">
        <v>0</v>
      </c>
      <c r="AR24" s="113">
        <v>0</v>
      </c>
      <c r="AS24" s="113">
        <v>0</v>
      </c>
      <c r="AT24" s="113">
        <v>0</v>
      </c>
      <c r="AU24" s="130">
        <v>0</v>
      </c>
      <c r="AY24" s="1"/>
      <c r="AZ24" s="1"/>
      <c r="BA24" s="1"/>
      <c r="BB24" s="1"/>
    </row>
    <row r="25" spans="2:63" x14ac:dyDescent="0.15">
      <c r="B25" s="47" t="s">
        <v>26</v>
      </c>
      <c r="C25" s="107">
        <v>185</v>
      </c>
      <c r="D25" s="108">
        <f t="shared" si="2"/>
        <v>2.3009950248756218E-2</v>
      </c>
      <c r="E25" s="107">
        <f>'#&lt;prize&gt;'!I5</f>
        <v>11</v>
      </c>
      <c r="F25" s="91">
        <f t="shared" si="3"/>
        <v>0.25310945273631841</v>
      </c>
      <c r="G25" s="159">
        <f t="shared" si="4"/>
        <v>0.12853713996968164</v>
      </c>
      <c r="I25" s="1"/>
      <c r="J25" s="1"/>
      <c r="O25" s="125" t="s">
        <v>189</v>
      </c>
      <c r="P25" s="26">
        <f t="shared" si="1"/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315">
        <f t="array" ref="V25">IFERROR(BINOMDIST($O9-V$2,15-V$2,VLOOKUP(V$2,$E$3:$F$19,2,FALSE),FALSE)*BINOMDIST($O9-V$2,15-V$2,VLOOKUP(V$2,$H$3:$I$19,2,FALSE),FALSE)*BINOMDIST($O9-V$2,15-V$2,VLOOKUP(V$2,$B$3:$C$19,2,FALSE),FALSE),0)</f>
        <v>8.992187092702289E-3</v>
      </c>
      <c r="W25" s="132">
        <f t="array" ref="W25">IFERROR(BINOMDIST($O9-W$2,15-W$2,VLOOKUP(W$2,$E$3:$F$19,2,FALSE),FALSE)*BINOMDIST($O9-W$2,15-W$2,VLOOKUP(W$2,$H$3:$I$19,2,FALSE),FALSE)*BINOMDIST($O9-W$2,15-W$2,VLOOKUP(W$2,$B$3:$C$19,2,FALSE),FALSE),0)</f>
        <v>0</v>
      </c>
      <c r="X25" s="132">
        <f t="array" ref="X25">IFERROR(BINOMDIST($O9-X$2,15-X$2,VLOOKUP(X$2,$E$3:$F$19,2,FALSE),FALSE)*BINOMDIST($O9-X$2,15-X$2,VLOOKUP(X$2,$H$3:$I$19,2,FALSE),FALSE)*BINOMDIST($O9-X$2,15-X$2,VLOOKUP(X$2,$B$3:$C$19,2,FALSE),FALSE),0)</f>
        <v>0</v>
      </c>
      <c r="Y25" s="132">
        <f t="array" ref="Y25">IFERROR(BINOMDIST($O9-Y$2,15-Y$2,VLOOKUP(Y$2,$E$3:$F$19,2,FALSE),FALSE)*BINOMDIST($O9-Y$2,15-Y$2,VLOOKUP(Y$2,$H$3:$I$19,2,FALSE),FALSE)*BINOMDIST($O9-Y$2,15-Y$2,VLOOKUP(Y$2,$B$3:$C$19,2,FALSE),FALSE),0)</f>
        <v>0</v>
      </c>
      <c r="Z25" s="132">
        <f t="array" ref="Z25">IFERROR(BINOMDIST($O9-Z$2,15-Z$2,VLOOKUP(Z$2,$E$3:$F$19,2,FALSE),FALSE)*BINOMDIST($O9-Z$2,15-Z$2,VLOOKUP(Z$2,$H$3:$I$19,2,FALSE),FALSE)*BINOMDIST($O9-Z$2,15-Z$2,VLOOKUP(Z$2,$B$3:$C$19,2,FALSE),FALSE),0)</f>
        <v>0</v>
      </c>
      <c r="AA25" s="132">
        <f t="array" ref="AA25">IFERROR(BINOMDIST($O9-AA$2,15-AA$2,VLOOKUP(AA$2,$E$3:$F$19,2,FALSE),FALSE)*BINOMDIST($O9-AA$2,15-AA$2,VLOOKUP(AA$2,$H$3:$I$19,2,FALSE),FALSE)*BINOMDIST($O9-AA$2,15-AA$2,VLOOKUP(AA$2,$B$3:$C$19,2,FALSE),FALSE),0)</f>
        <v>0</v>
      </c>
      <c r="AB25" s="132">
        <f t="array" ref="AB25">IFERROR(BINOMDIST($O9-AB$2,15-AB$2,VLOOKUP(AB$2,$E$3:$F$19,2,FALSE),FALSE)*BINOMDIST($O9-AB$2,15-AB$2,VLOOKUP(AB$2,$H$3:$I$19,2,FALSE),FALSE)*BINOMDIST($O9-AB$2,15-AB$2,VLOOKUP(AB$2,$B$3:$C$19,2,FALSE),FALSE),0)</f>
        <v>0</v>
      </c>
      <c r="AC25" s="132">
        <f t="array" ref="AC25">IFERROR(BINOMDIST($O9-AC$2,15-AC$2,VLOOKUP(AC$2,$E$3:$F$19,2,FALSE),FALSE)*BINOMDIST($O9-AC$2,15-AC$2,VLOOKUP(AC$2,$H$3:$I$19,2,FALSE),FALSE)*BINOMDIST($O9-AC$2,15-AC$2,VLOOKUP(AC$2,$B$3:$C$19,2,FALSE),FALSE),0)</f>
        <v>0</v>
      </c>
      <c r="AD25" s="132">
        <f t="array" ref="AD25">IFERROR(BINOMDIST($O9-AD$2,15-AD$2,VLOOKUP(AD$2,$E$3:$F$19,2,FALSE),FALSE)*BINOMDIST($O9-AD$2,15-AD$2,VLOOKUP(AD$2,$H$3:$I$19,2,FALSE),FALSE)*BINOMDIST($O9-AD$2,15-AD$2,VLOOKUP(AD$2,$B$3:$C$19,2,FALSE),FALSE),0)</f>
        <v>0</v>
      </c>
      <c r="AE25" s="132">
        <f t="array" ref="AE25">IFERROR(BINOMDIST($O9-AE$2,15-AE$2,VLOOKUP(AE$2,$E$3:$F$19,2,FALSE),FALSE)*BINOMDIST($O9-AE$2,15-AE$2,VLOOKUP(AE$2,$H$3:$I$19,2,FALSE),FALSE)*BINOMDIST($O9-AE$2,15-AE$2,VLOOKUP(AE$2,$B$3:$C$19,2,FALSE),FALSE),0)</f>
        <v>0</v>
      </c>
      <c r="AF25" s="113">
        <f t="array" ref="AF25">IFERROR(BINOMDIST($O9-AF$2,15-AF$2,VLOOKUP(AF$2,$E$3:$F$19,2,FALSE),FALSE)*BINOMDIST($O9-AF$2,15-AF$2,VLOOKUP(AF$2,$H$3:$I$19,2,FALSE),FALSE)*BINOMDIST($O9-AF$2,15-AF$2,VLOOKUP(AF$2,$B$3:$C$19,2,FALSE),FALSE),0)</f>
        <v>0</v>
      </c>
      <c r="AG25" s="113">
        <f t="array" ref="AG25">IFERROR(BINOMDIST($O9-AG$2,15-AG$2,VLOOKUP(AG$2,$E$3:$F$19,2,FALSE),FALSE)*BINOMDIST($O9-AG$2,15-AG$2,VLOOKUP(AG$2,$H$3:$I$19,2,FALSE),FALSE)*BINOMDIST($O9-AG$2,15-AG$2,VLOOKUP(AG$2,$B$3:$C$19,2,FALSE),FALSE),0)</f>
        <v>0</v>
      </c>
      <c r="AH25" s="113">
        <f t="array" ref="AH25">IFERROR(BINOMDIST($O9-AH$2,15-AH$2,VLOOKUP(AH$2,$E$3:$F$19,2,FALSE),FALSE)*BINOMDIST($O9-AH$2,15-AH$2,VLOOKUP(AH$2,$H$3:$I$19,2,FALSE),FALSE)*BINOMDIST($O9-AH$2,15-AH$2,VLOOKUP(AH$2,$B$3:$C$19,2,FALSE),FALSE),0)</f>
        <v>0</v>
      </c>
      <c r="AI25" s="1">
        <f t="array" ref="AI25">IFERROR(BINOMDIST($O9-AI$2,15-AI$2,VLOOKUP(AI$2,$E$3:$F$19,2,FALSE),FALSE)*BINOMDIST($O9-AI$2,15-AI$2,VLOOKUP(AI$2,$H$3:$I$19,2,FALSE),FALSE)*BINOMDIST($O9-AI$2,15-AI$2,VLOOKUP(AI$2,$B$3:$C$19,2,FALSE),FALSE),0)</f>
        <v>0</v>
      </c>
      <c r="AJ25" s="113">
        <f t="array" ref="AJ25">IFERROR(BINOMDIST($O9-AJ$2,15-AJ$2,VLOOKUP(AJ$2,$E$3:$F$19,2,FALSE),FALSE)*BINOMDIST($O9-AJ$2,15-AJ$2,VLOOKUP(AJ$2,$H$3:$I$19,2,FALSE),FALSE)*BINOMDIST($O9-AJ$2,15-AJ$2,VLOOKUP(AJ$2,$B$3:$C$19,2,FALSE),FALSE),0)</f>
        <v>0</v>
      </c>
      <c r="AK25" s="113">
        <f t="array" ref="AK25">IFERROR(BINOMDIST($O9-AK$2,15-AK$2,VLOOKUP(AK$2,$E$3:$F$19,2,FALSE),FALSE)*BINOMDIST($O9-AK$2,15-AK$2,VLOOKUP(AK$2,$H$3:$I$19,2,FALSE),FALSE)*BINOMDIST($O9-AK$2,15-AK$2,VLOOKUP(AK$2,$B$3:$C$19,2,FALSE),FALSE),0)</f>
        <v>0</v>
      </c>
      <c r="AL25" s="126">
        <v>1</v>
      </c>
      <c r="AM25" s="113">
        <f t="array" ref="AM25">IFERROR(BINOMDIST($O9-AM$2,15-AM$2,VLOOKUP(AM$2,$E$3:$F$19,2,FALSE),FALSE)*BINOMDIST($O9-AM$2,15-AM$2,VLOOKUP(AM$2,$H$3:$I$19,2,FALSE),FALSE)*BINOMDIST($O9-AM$2,15-AM$2,VLOOKUP(AM$2,$B$3:$C$19,2,FALSE),FALSE),0)</f>
        <v>0</v>
      </c>
      <c r="AN25" s="113">
        <f t="array" ref="AN25">IFERROR(BINOMDIST($O9-AN$2,15-AN$2,VLOOKUP(AN$2,$E$3:$F$19,2,FALSE),FALSE)*BINOMDIST($O9-AN$2,15-AN$2,VLOOKUP(AN$2,$H$3:$I$19,2,FALSE),FALSE)*BINOMDIST($O9-AN$2,15-AN$2,VLOOKUP(AN$2,$B$3:$C$19,2,FALSE),FALSE),0)</f>
        <v>0</v>
      </c>
      <c r="AO25" s="113">
        <f t="array" ref="AO25">IFERROR(BINOMDIST($O9-AO$2,15-AO$2,VLOOKUP(AO$2,$E$3:$F$19,2,FALSE),FALSE)*BINOMDIST($O9-AO$2,15-AO$2,VLOOKUP(AO$2,$H$3:$I$19,2,FALSE),FALSE)*BINOMDIST($O9-AO$2,15-AO$2,VLOOKUP(AO$2,$B$3:$C$19,2,FALSE),FALSE),0)</f>
        <v>0</v>
      </c>
      <c r="AP25" s="113">
        <f t="array" ref="AP25">IFERROR(BINOMDIST($O9-AP$2,15-AP$2,VLOOKUP(AP$2,$E$3:$F$19,2,FALSE),FALSE)*BINOMDIST($O9-AP$2,15-AP$2,VLOOKUP(AP$2,$H$3:$I$19,2,FALSE),FALSE)*BINOMDIST($O9-AP$2,15-AP$2,VLOOKUP(AP$2,$B$3:$C$19,2,FALSE),FALSE),0)</f>
        <v>0</v>
      </c>
      <c r="AQ25" s="113">
        <v>0</v>
      </c>
      <c r="AR25" s="113">
        <v>0</v>
      </c>
      <c r="AS25" s="113">
        <v>0</v>
      </c>
      <c r="AT25" s="113">
        <v>0</v>
      </c>
      <c r="AU25" s="130">
        <v>0</v>
      </c>
      <c r="AY25" s="1"/>
      <c r="AZ25" s="1"/>
      <c r="BA25" s="1"/>
      <c r="BB25" s="1"/>
    </row>
    <row r="26" spans="2:63" x14ac:dyDescent="0.15">
      <c r="B26" s="47">
        <f>'#&lt;prize&gt;'!B6</f>
        <v>5000</v>
      </c>
      <c r="C26" s="31">
        <v>7</v>
      </c>
      <c r="D26" s="108">
        <f t="shared" si="2"/>
        <v>8.7064676616915426E-4</v>
      </c>
      <c r="E26" s="107">
        <f>B26/100</f>
        <v>50</v>
      </c>
      <c r="F26" s="91">
        <f t="shared" si="3"/>
        <v>4.3532338308457715E-2</v>
      </c>
      <c r="G26" s="159">
        <f t="shared" si="4"/>
        <v>2.2107124810510359E-2</v>
      </c>
      <c r="I26" s="1"/>
      <c r="J26" s="1"/>
      <c r="O26" s="125" t="s">
        <v>190</v>
      </c>
      <c r="P26" s="26">
        <f t="shared" si="1"/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315">
        <f t="array" ref="W26">IFERROR(BINOMDIST($O10-W$2,15-W$2,VLOOKUP(W$2,$E$3:$F$19,2,FALSE),FALSE)*BINOMDIST($O10-W$2,15-W$2,VLOOKUP(W$2,$H$3:$I$19,2,FALSE),FALSE)*BINOMDIST($O10-W$2,15-W$2,VLOOKUP(W$2,$B$3:$C$19,2,FALSE),FALSE),0)</f>
        <v>2.9353469944191288E-2</v>
      </c>
      <c r="X26" s="132">
        <f t="array" ref="X26">IFERROR(BINOMDIST($O10-X$2,15-X$2,VLOOKUP(X$2,$E$3:$F$19,2,FALSE),FALSE)*BINOMDIST($O10-X$2,15-X$2,VLOOKUP(X$2,$H$3:$I$19,2,FALSE),FALSE)*BINOMDIST($O10-X$2,15-X$2,VLOOKUP(X$2,$B$3:$C$19,2,FALSE),FALSE),0)</f>
        <v>0</v>
      </c>
      <c r="Y26" s="132">
        <f t="array" ref="Y26">IFERROR(BINOMDIST($O10-Y$2,15-Y$2,VLOOKUP(Y$2,$E$3:$F$19,2,FALSE),FALSE)*BINOMDIST($O10-Y$2,15-Y$2,VLOOKUP(Y$2,$H$3:$I$19,2,FALSE),FALSE)*BINOMDIST($O10-Y$2,15-Y$2,VLOOKUP(Y$2,$B$3:$C$19,2,FALSE),FALSE),0)</f>
        <v>0</v>
      </c>
      <c r="Z26" s="132">
        <f t="array" ref="Z26">IFERROR(BINOMDIST($O10-Z$2,15-Z$2,VLOOKUP(Z$2,$E$3:$F$19,2,FALSE),FALSE)*BINOMDIST($O10-Z$2,15-Z$2,VLOOKUP(Z$2,$H$3:$I$19,2,FALSE),FALSE)*BINOMDIST($O10-Z$2,15-Z$2,VLOOKUP(Z$2,$B$3:$C$19,2,FALSE),FALSE),0)</f>
        <v>0</v>
      </c>
      <c r="AA26" s="132">
        <f t="array" ref="AA26">IFERROR(BINOMDIST($O10-AA$2,15-AA$2,VLOOKUP(AA$2,$E$3:$F$19,2,FALSE),FALSE)*BINOMDIST($O10-AA$2,15-AA$2,VLOOKUP(AA$2,$H$3:$I$19,2,FALSE),FALSE)*BINOMDIST($O10-AA$2,15-AA$2,VLOOKUP(AA$2,$B$3:$C$19,2,FALSE),FALSE),0)</f>
        <v>0</v>
      </c>
      <c r="AB26" s="132">
        <f t="array" ref="AB26">IFERROR(BINOMDIST($O10-AB$2,15-AB$2,VLOOKUP(AB$2,$E$3:$F$19,2,FALSE),FALSE)*BINOMDIST($O10-AB$2,15-AB$2,VLOOKUP(AB$2,$H$3:$I$19,2,FALSE),FALSE)*BINOMDIST($O10-AB$2,15-AB$2,VLOOKUP(AB$2,$B$3:$C$19,2,FALSE),FALSE),0)</f>
        <v>0</v>
      </c>
      <c r="AC26" s="132">
        <f t="array" ref="AC26">IFERROR(BINOMDIST($O10-AC$2,15-AC$2,VLOOKUP(AC$2,$E$3:$F$19,2,FALSE),FALSE)*BINOMDIST($O10-AC$2,15-AC$2,VLOOKUP(AC$2,$H$3:$I$19,2,FALSE),FALSE)*BINOMDIST($O10-AC$2,15-AC$2,VLOOKUP(AC$2,$B$3:$C$19,2,FALSE),FALSE),0)</f>
        <v>0</v>
      </c>
      <c r="AD26" s="132">
        <f t="array" ref="AD26">IFERROR(BINOMDIST($O10-AD$2,15-AD$2,VLOOKUP(AD$2,$E$3:$F$19,2,FALSE),FALSE)*BINOMDIST($O10-AD$2,15-AD$2,VLOOKUP(AD$2,$H$3:$I$19,2,FALSE),FALSE)*BINOMDIST($O10-AD$2,15-AD$2,VLOOKUP(AD$2,$B$3:$C$19,2,FALSE),FALSE),0)</f>
        <v>0</v>
      </c>
      <c r="AE26" s="132">
        <f t="array" ref="AE26">IFERROR(BINOMDIST($O10-AE$2,15-AE$2,VLOOKUP(AE$2,$E$3:$F$19,2,FALSE),FALSE)*BINOMDIST($O10-AE$2,15-AE$2,VLOOKUP(AE$2,$H$3:$I$19,2,FALSE),FALSE)*BINOMDIST($O10-AE$2,15-AE$2,VLOOKUP(AE$2,$B$3:$C$19,2,FALSE),FALSE),0)</f>
        <v>0</v>
      </c>
      <c r="AF26" s="113">
        <f t="array" ref="AF26">IFERROR(BINOMDIST($O10-AF$2,15-AF$2,VLOOKUP(AF$2,$E$3:$F$19,2,FALSE),FALSE)*BINOMDIST($O10-AF$2,15-AF$2,VLOOKUP(AF$2,$H$3:$I$19,2,FALSE),FALSE)*BINOMDIST($O10-AF$2,15-AF$2,VLOOKUP(AF$2,$B$3:$C$19,2,FALSE),FALSE),0)</f>
        <v>0</v>
      </c>
      <c r="AG26" s="113">
        <f t="array" ref="AG26">IFERROR(BINOMDIST($O10-AG$2,15-AG$2,VLOOKUP(AG$2,$E$3:$F$19,2,FALSE),FALSE)*BINOMDIST($O10-AG$2,15-AG$2,VLOOKUP(AG$2,$H$3:$I$19,2,FALSE),FALSE)*BINOMDIST($O10-AG$2,15-AG$2,VLOOKUP(AG$2,$B$3:$C$19,2,FALSE),FALSE),0)</f>
        <v>0</v>
      </c>
      <c r="AH26" s="113">
        <f t="array" ref="AH26">IFERROR(BINOMDIST($O10-AH$2,15-AH$2,VLOOKUP(AH$2,$E$3:$F$19,2,FALSE),FALSE)*BINOMDIST($O10-AH$2,15-AH$2,VLOOKUP(AH$2,$H$3:$I$19,2,FALSE),FALSE)*BINOMDIST($O10-AH$2,15-AH$2,VLOOKUP(AH$2,$B$3:$C$19,2,FALSE),FALSE),0)</f>
        <v>0</v>
      </c>
      <c r="AI26" s="1">
        <f t="array" ref="AI26">IFERROR(BINOMDIST($O10-AI$2,15-AI$2,VLOOKUP(AI$2,$E$3:$F$19,2,FALSE),FALSE)*BINOMDIST($O10-AI$2,15-AI$2,VLOOKUP(AI$2,$H$3:$I$19,2,FALSE),FALSE)*BINOMDIST($O10-AI$2,15-AI$2,VLOOKUP(AI$2,$B$3:$C$19,2,FALSE),FALSE),0)</f>
        <v>0</v>
      </c>
      <c r="AJ26" s="113">
        <f t="array" ref="AJ26">IFERROR(BINOMDIST($O10-AJ$2,15-AJ$2,VLOOKUP(AJ$2,$E$3:$F$19,2,FALSE),FALSE)*BINOMDIST($O10-AJ$2,15-AJ$2,VLOOKUP(AJ$2,$H$3:$I$19,2,FALSE),FALSE)*BINOMDIST($O10-AJ$2,15-AJ$2,VLOOKUP(AJ$2,$B$3:$C$19,2,FALSE),FALSE),0)</f>
        <v>0</v>
      </c>
      <c r="AK26" s="113">
        <f t="array" ref="AK26">IFERROR(BINOMDIST($O10-AK$2,15-AK$2,VLOOKUP(AK$2,$E$3:$F$19,2,FALSE),FALSE)*BINOMDIST($O10-AK$2,15-AK$2,VLOOKUP(AK$2,$H$3:$I$19,2,FALSE),FALSE)*BINOMDIST($O10-AK$2,15-AK$2,VLOOKUP(AK$2,$B$3:$C$19,2,FALSE),FALSE),0)</f>
        <v>0</v>
      </c>
      <c r="AL26" s="113">
        <f t="array" ref="AL26">IFERROR(BINOMDIST($O10-AL$2,15-AL$2,VLOOKUP(AL$2,$E$3:$F$19,2,FALSE),FALSE)*BINOMDIST($O10-AL$2,15-AL$2,VLOOKUP(AL$2,$H$3:$I$19,2,FALSE),FALSE)*BINOMDIST($O10-AL$2,15-AL$2,VLOOKUP(AL$2,$B$3:$C$19,2,FALSE),FALSE),0)</f>
        <v>0</v>
      </c>
      <c r="AM26" s="126">
        <v>1</v>
      </c>
      <c r="AN26" s="113">
        <f t="array" ref="AN26">IFERROR(BINOMDIST($O10-AN$2,15-AN$2,VLOOKUP(AN$2,$E$3:$F$19,2,FALSE),FALSE)*BINOMDIST($O10-AN$2,15-AN$2,VLOOKUP(AN$2,$H$3:$I$19,2,FALSE),FALSE)*BINOMDIST($O10-AN$2,15-AN$2,VLOOKUP(AN$2,$B$3:$C$19,2,FALSE),FALSE),0)</f>
        <v>0</v>
      </c>
      <c r="AO26" s="113">
        <f t="array" ref="AO26">IFERROR(BINOMDIST($O10-AO$2,15-AO$2,VLOOKUP(AO$2,$E$3:$F$19,2,FALSE),FALSE)*BINOMDIST($O10-AO$2,15-AO$2,VLOOKUP(AO$2,$H$3:$I$19,2,FALSE),FALSE)*BINOMDIST($O10-AO$2,15-AO$2,VLOOKUP(AO$2,$B$3:$C$19,2,FALSE),FALSE),0)</f>
        <v>0</v>
      </c>
      <c r="AP26" s="113">
        <f t="array" ref="AP26">IFERROR(BINOMDIST($O10-AP$2,15-AP$2,VLOOKUP(AP$2,$E$3:$F$19,2,FALSE),FALSE)*BINOMDIST($O10-AP$2,15-AP$2,VLOOKUP(AP$2,$H$3:$I$19,2,FALSE),FALSE)*BINOMDIST($O10-AP$2,15-AP$2,VLOOKUP(AP$2,$B$3:$C$19,2,FALSE),FALSE),0)</f>
        <v>0</v>
      </c>
      <c r="AQ26" s="113">
        <v>0</v>
      </c>
      <c r="AR26" s="113">
        <v>0</v>
      </c>
      <c r="AS26" s="113">
        <v>0</v>
      </c>
      <c r="AT26" s="113">
        <v>0</v>
      </c>
      <c r="AU26" s="130">
        <v>0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2:63" x14ac:dyDescent="0.15">
      <c r="B27" s="47">
        <f>'#&lt;prize&gt;'!B7</f>
        <v>2500</v>
      </c>
      <c r="C27" s="31">
        <v>20</v>
      </c>
      <c r="D27" s="108">
        <f t="shared" si="2"/>
        <v>2.4875621890547263E-3</v>
      </c>
      <c r="E27" s="107">
        <f t="shared" ref="E27:E34" si="5">B27/100</f>
        <v>25</v>
      </c>
      <c r="F27" s="91">
        <f t="shared" si="3"/>
        <v>6.2189054726368161E-2</v>
      </c>
      <c r="G27" s="159">
        <f t="shared" si="4"/>
        <v>3.1581606872157657E-2</v>
      </c>
      <c r="I27" s="1"/>
      <c r="J27" s="1"/>
      <c r="O27" s="125" t="s">
        <v>191</v>
      </c>
      <c r="P27" s="26">
        <f t="shared" si="1"/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315">
        <f t="array" ref="X27">IFERROR(BINOMDIST($O11-X$2,15-X$2,VLOOKUP(X$2,$E$3:$F$19,2,FALSE),FALSE)*BINOMDIST($O11-X$2,15-X$2,VLOOKUP(X$2,$H$3:$I$19,2,FALSE),FALSE)*BINOMDIST($O11-X$2,15-X$2,VLOOKUP(X$2,$B$3:$C$19,2,FALSE),FALSE),0)</f>
        <v>0.21784215250621022</v>
      </c>
      <c r="Y27" s="132">
        <f t="array" ref="Y27">IFERROR(BINOMDIST($O11-Y$2,15-Y$2,VLOOKUP(Y$2,$E$3:$F$19,2,FALSE),FALSE)*BINOMDIST($O11-Y$2,15-Y$2,VLOOKUP(Y$2,$H$3:$I$19,2,FALSE),FALSE)*BINOMDIST($O11-Y$2,15-Y$2,VLOOKUP(Y$2,$B$3:$C$19,2,FALSE),FALSE),0)</f>
        <v>0</v>
      </c>
      <c r="Z27" s="132">
        <f t="array" ref="Z27">IFERROR(BINOMDIST($O11-Z$2,15-Z$2,VLOOKUP(Z$2,$E$3:$F$19,2,FALSE),FALSE)*BINOMDIST($O11-Z$2,15-Z$2,VLOOKUP(Z$2,$H$3:$I$19,2,FALSE),FALSE)*BINOMDIST($O11-Z$2,15-Z$2,VLOOKUP(Z$2,$B$3:$C$19,2,FALSE),FALSE),0)</f>
        <v>0</v>
      </c>
      <c r="AA27" s="132">
        <f t="array" ref="AA27">IFERROR(BINOMDIST($O11-AA$2,15-AA$2,VLOOKUP(AA$2,$E$3:$F$19,2,FALSE),FALSE)*BINOMDIST($O11-AA$2,15-AA$2,VLOOKUP(AA$2,$H$3:$I$19,2,FALSE),FALSE)*BINOMDIST($O11-AA$2,15-AA$2,VLOOKUP(AA$2,$B$3:$C$19,2,FALSE),FALSE),0)</f>
        <v>0</v>
      </c>
      <c r="AB27" s="132">
        <f t="array" ref="AB27">IFERROR(BINOMDIST($O11-AB$2,15-AB$2,VLOOKUP(AB$2,$E$3:$F$19,2,FALSE),FALSE)*BINOMDIST($O11-AB$2,15-AB$2,VLOOKUP(AB$2,$H$3:$I$19,2,FALSE),FALSE)*BINOMDIST($O11-AB$2,15-AB$2,VLOOKUP(AB$2,$B$3:$C$19,2,FALSE),FALSE),0)</f>
        <v>0</v>
      </c>
      <c r="AC27" s="132">
        <f t="array" ref="AC27">IFERROR(BINOMDIST($O11-AC$2,15-AC$2,VLOOKUP(AC$2,$E$3:$F$19,2,FALSE),FALSE)*BINOMDIST($O11-AC$2,15-AC$2,VLOOKUP(AC$2,$H$3:$I$19,2,FALSE),FALSE)*BINOMDIST($O11-AC$2,15-AC$2,VLOOKUP(AC$2,$B$3:$C$19,2,FALSE),FALSE),0)</f>
        <v>0</v>
      </c>
      <c r="AD27" s="132">
        <f t="array" ref="AD27">IFERROR(BINOMDIST($O11-AD$2,15-AD$2,VLOOKUP(AD$2,$E$3:$F$19,2,FALSE),FALSE)*BINOMDIST($O11-AD$2,15-AD$2,VLOOKUP(AD$2,$H$3:$I$19,2,FALSE),FALSE)*BINOMDIST($O11-AD$2,15-AD$2,VLOOKUP(AD$2,$B$3:$C$19,2,FALSE),FALSE),0)</f>
        <v>0</v>
      </c>
      <c r="AE27" s="132">
        <f t="array" ref="AE27">IFERROR(BINOMDIST($O11-AE$2,15-AE$2,VLOOKUP(AE$2,$E$3:$F$19,2,FALSE),FALSE)*BINOMDIST($O11-AE$2,15-AE$2,VLOOKUP(AE$2,$H$3:$I$19,2,FALSE),FALSE)*BINOMDIST($O11-AE$2,15-AE$2,VLOOKUP(AE$2,$B$3:$C$19,2,FALSE),FALSE),0)</f>
        <v>0</v>
      </c>
      <c r="AF27" s="113">
        <f t="array" ref="AF27">IFERROR(BINOMDIST($O11-AF$2,15-AF$2,VLOOKUP(AF$2,$E$3:$F$19,2,FALSE),FALSE)*BINOMDIST($O11-AF$2,15-AF$2,VLOOKUP(AF$2,$H$3:$I$19,2,FALSE),FALSE)*BINOMDIST($O11-AF$2,15-AF$2,VLOOKUP(AF$2,$B$3:$C$19,2,FALSE),FALSE),0)</f>
        <v>0</v>
      </c>
      <c r="AG27" s="113">
        <f t="array" ref="AG27">IFERROR(BINOMDIST($O11-AG$2,15-AG$2,VLOOKUP(AG$2,$E$3:$F$19,2,FALSE),FALSE)*BINOMDIST($O11-AG$2,15-AG$2,VLOOKUP(AG$2,$H$3:$I$19,2,FALSE),FALSE)*BINOMDIST($O11-AG$2,15-AG$2,VLOOKUP(AG$2,$B$3:$C$19,2,FALSE),FALSE),0)</f>
        <v>0</v>
      </c>
      <c r="AH27" s="113">
        <f t="array" ref="AH27">IFERROR(BINOMDIST($O11-AH$2,15-AH$2,VLOOKUP(AH$2,$E$3:$F$19,2,FALSE),FALSE)*BINOMDIST($O11-AH$2,15-AH$2,VLOOKUP(AH$2,$H$3:$I$19,2,FALSE),FALSE)*BINOMDIST($O11-AH$2,15-AH$2,VLOOKUP(AH$2,$B$3:$C$19,2,FALSE),FALSE),0)</f>
        <v>0</v>
      </c>
      <c r="AI27" s="1">
        <f t="array" ref="AI27">IFERROR(BINOMDIST($O11-AI$2,15-AI$2,VLOOKUP(AI$2,$E$3:$F$19,2,FALSE),FALSE)*BINOMDIST($O11-AI$2,15-AI$2,VLOOKUP(AI$2,$H$3:$I$19,2,FALSE),FALSE)*BINOMDIST($O11-AI$2,15-AI$2,VLOOKUP(AI$2,$B$3:$C$19,2,FALSE),FALSE),0)</f>
        <v>0</v>
      </c>
      <c r="AJ27" s="113">
        <f t="array" ref="AJ27">IFERROR(BINOMDIST($O11-AJ$2,15-AJ$2,VLOOKUP(AJ$2,$E$3:$F$19,2,FALSE),FALSE)*BINOMDIST($O11-AJ$2,15-AJ$2,VLOOKUP(AJ$2,$H$3:$I$19,2,FALSE),FALSE)*BINOMDIST($O11-AJ$2,15-AJ$2,VLOOKUP(AJ$2,$B$3:$C$19,2,FALSE),FALSE),0)</f>
        <v>0</v>
      </c>
      <c r="AK27" s="113">
        <f t="array" ref="AK27">IFERROR(BINOMDIST($O11-AK$2,15-AK$2,VLOOKUP(AK$2,$E$3:$F$19,2,FALSE),FALSE)*BINOMDIST($O11-AK$2,15-AK$2,VLOOKUP(AK$2,$H$3:$I$19,2,FALSE),FALSE)*BINOMDIST($O11-AK$2,15-AK$2,VLOOKUP(AK$2,$B$3:$C$19,2,FALSE),FALSE),0)</f>
        <v>0</v>
      </c>
      <c r="AL27" s="1">
        <f t="array" ref="AL27">IFERROR(BINOMDIST($O11-AL$2,15-AL$2,VLOOKUP(AL$2,$E$3:$F$19,2,FALSE),FALSE)*BINOMDIST($O11-AL$2,15-AL$2,VLOOKUP(AL$2,$H$3:$I$19,2,FALSE),FALSE)*BINOMDIST($O11-AL$2,15-AL$2,VLOOKUP(AL$2,$B$3:$C$19,2,FALSE),FALSE),0)</f>
        <v>0</v>
      </c>
      <c r="AM27" s="1">
        <f t="array" ref="AM27">IFERROR(BINOMDIST($O11-AM$2,15-AM$2,VLOOKUP(AM$2,$E$3:$F$19,2,FALSE),FALSE)*BINOMDIST($O11-AM$2,15-AM$2,VLOOKUP(AM$2,$H$3:$I$19,2,FALSE),FALSE)*BINOMDIST($O11-AM$2,15-AM$2,VLOOKUP(AM$2,$B$3:$C$19,2,FALSE),FALSE),0)</f>
        <v>0</v>
      </c>
      <c r="AN27" s="126">
        <v>1</v>
      </c>
      <c r="AO27" s="113">
        <f t="array" ref="AO27">IFERROR(BINOMDIST($O11-AO$2,15-AO$2,VLOOKUP(AO$2,$E$3:$F$19,2,FALSE),FALSE)*BINOMDIST($O11-AO$2,15-AO$2,VLOOKUP(AO$2,$H$3:$I$19,2,FALSE),FALSE)*BINOMDIST($O11-AO$2,15-AO$2,VLOOKUP(AO$2,$B$3:$C$19,2,FALSE),FALSE),0)</f>
        <v>0</v>
      </c>
      <c r="AP27" s="113">
        <f t="array" ref="AP27">IFERROR(BINOMDIST($O11-AP$2,15-AP$2,VLOOKUP(AP$2,$E$3:$F$19,2,FALSE),FALSE)*BINOMDIST($O11-AP$2,15-AP$2,VLOOKUP(AP$2,$H$3:$I$19,2,FALSE),FALSE)*BINOMDIST($O11-AP$2,15-AP$2,VLOOKUP(AP$2,$B$3:$C$19,2,FALSE),FALSE),0)</f>
        <v>0</v>
      </c>
      <c r="AQ27" s="113">
        <v>0</v>
      </c>
      <c r="AR27" s="113">
        <v>0</v>
      </c>
      <c r="AS27" s="113">
        <v>0</v>
      </c>
      <c r="AT27" s="113">
        <v>0</v>
      </c>
      <c r="AU27" s="130">
        <v>0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2:63" x14ac:dyDescent="0.25">
      <c r="B28" s="47">
        <f>'#&lt;prize&gt;'!B8</f>
        <v>750</v>
      </c>
      <c r="C28" s="31">
        <v>100</v>
      </c>
      <c r="D28" s="108">
        <f t="shared" si="2"/>
        <v>1.2437810945273632E-2</v>
      </c>
      <c r="E28" s="107">
        <f t="shared" si="5"/>
        <v>7.5</v>
      </c>
      <c r="F28" s="91">
        <f t="shared" si="3"/>
        <v>9.3283582089552244E-2</v>
      </c>
      <c r="G28" s="159">
        <f t="shared" si="4"/>
        <v>4.7372410308236482E-2</v>
      </c>
      <c r="I28" s="1"/>
      <c r="J28" s="1"/>
      <c r="M28" s="133"/>
      <c r="O28" s="125" t="s">
        <v>192</v>
      </c>
      <c r="P28" s="26">
        <f t="shared" si="1"/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315">
        <f t="array" ref="Y28">IFERROR(BINOMDIST($O12-Y$2,15-Y$2,VLOOKUP(Y$2,$E$3:$F$19,2,FALSE),FALSE)*BINOMDIST($O12-Y$2,15-Y$2,VLOOKUP(Y$2,$H$3:$I$19,2,FALSE),FALSE)*BINOMDIST($O12-Y$2,15-Y$2,VLOOKUP(Y$2,$B$3:$C$19,2,FALSE),FALSE),0)</f>
        <v>0.27082769529725015</v>
      </c>
      <c r="Z28" s="132">
        <f t="array" ref="Z28">IFERROR(BINOMDIST($O12-Z$2,15-Z$2,VLOOKUP(Z$2,$E$3:$F$19,2,FALSE),FALSE)*BINOMDIST($O12-Z$2,15-Z$2,VLOOKUP(Z$2,$H$3:$I$19,2,FALSE),FALSE)*BINOMDIST($O12-Z$2,15-Z$2,VLOOKUP(Z$2,$B$3:$C$19,2,FALSE),FALSE),0)</f>
        <v>0</v>
      </c>
      <c r="AA28" s="132">
        <f t="array" ref="AA28">IFERROR(BINOMDIST($O12-AA$2,15-AA$2,VLOOKUP(AA$2,$E$3:$F$19,2,FALSE),FALSE)*BINOMDIST($O12-AA$2,15-AA$2,VLOOKUP(AA$2,$H$3:$I$19,2,FALSE),FALSE)*BINOMDIST($O12-AA$2,15-AA$2,VLOOKUP(AA$2,$B$3:$C$19,2,FALSE),FALSE),0)</f>
        <v>0</v>
      </c>
      <c r="AB28" s="132">
        <f t="array" ref="AB28">IFERROR(BINOMDIST($O12-AB$2,15-AB$2,VLOOKUP(AB$2,$E$3:$F$19,2,FALSE),FALSE)*BINOMDIST($O12-AB$2,15-AB$2,VLOOKUP(AB$2,$H$3:$I$19,2,FALSE),FALSE)*BINOMDIST($O12-AB$2,15-AB$2,VLOOKUP(AB$2,$B$3:$C$19,2,FALSE),FALSE),0)</f>
        <v>0</v>
      </c>
      <c r="AC28" s="132">
        <f t="array" ref="AC28">IFERROR(BINOMDIST($O12-AC$2,15-AC$2,VLOOKUP(AC$2,$E$3:$F$19,2,FALSE),FALSE)*BINOMDIST($O12-AC$2,15-AC$2,VLOOKUP(AC$2,$H$3:$I$19,2,FALSE),FALSE)*BINOMDIST($O12-AC$2,15-AC$2,VLOOKUP(AC$2,$B$3:$C$19,2,FALSE),FALSE),0)</f>
        <v>0</v>
      </c>
      <c r="AD28" s="132">
        <f t="array" ref="AD28">IFERROR(BINOMDIST($O12-AD$2,15-AD$2,VLOOKUP(AD$2,$E$3:$F$19,2,FALSE),FALSE)*BINOMDIST($O12-AD$2,15-AD$2,VLOOKUP(AD$2,$H$3:$I$19,2,FALSE),FALSE)*BINOMDIST($O12-AD$2,15-AD$2,VLOOKUP(AD$2,$B$3:$C$19,2,FALSE),FALSE),0)</f>
        <v>0</v>
      </c>
      <c r="AE28" s="132">
        <f t="array" ref="AE28">IFERROR(BINOMDIST($O12-AE$2,15-AE$2,VLOOKUP(AE$2,$E$3:$F$19,2,FALSE),FALSE)*BINOMDIST($O12-AE$2,15-AE$2,VLOOKUP(AE$2,$H$3:$I$19,2,FALSE),FALSE)*BINOMDIST($O12-AE$2,15-AE$2,VLOOKUP(AE$2,$B$3:$C$19,2,FALSE),FALSE),0)</f>
        <v>0</v>
      </c>
      <c r="AF28" s="113">
        <f t="array" ref="AF28">IFERROR(BINOMDIST($O12-AF$2,15-AF$2,VLOOKUP(AF$2,$E$3:$F$19,2,FALSE),FALSE)*BINOMDIST($O12-AF$2,15-AF$2,VLOOKUP(AF$2,$H$3:$I$19,2,FALSE),FALSE)*BINOMDIST($O12-AF$2,15-AF$2,VLOOKUP(AF$2,$B$3:$C$19,2,FALSE),FALSE),0)</f>
        <v>0</v>
      </c>
      <c r="AG28" s="113">
        <f t="array" ref="AG28">IFERROR(BINOMDIST($O12-AG$2,15-AG$2,VLOOKUP(AG$2,$E$3:$F$19,2,FALSE),FALSE)*BINOMDIST($O12-AG$2,15-AG$2,VLOOKUP(AG$2,$H$3:$I$19,2,FALSE),FALSE)*BINOMDIST($O12-AG$2,15-AG$2,VLOOKUP(AG$2,$B$3:$C$19,2,FALSE),FALSE),0)</f>
        <v>0</v>
      </c>
      <c r="AH28" s="113">
        <f t="array" ref="AH28">IFERROR(BINOMDIST($O12-AH$2,15-AH$2,VLOOKUP(AH$2,$E$3:$F$19,2,FALSE),FALSE)*BINOMDIST($O12-AH$2,15-AH$2,VLOOKUP(AH$2,$H$3:$I$19,2,FALSE),FALSE)*BINOMDIST($O12-AH$2,15-AH$2,VLOOKUP(AH$2,$B$3:$C$19,2,FALSE),FALSE),0)</f>
        <v>0</v>
      </c>
      <c r="AI28" s="1">
        <f t="array" ref="AI28">IFERROR(BINOMDIST($O12-AI$2,15-AI$2,VLOOKUP(AI$2,$E$3:$F$19,2,FALSE),FALSE)*BINOMDIST($O12-AI$2,15-AI$2,VLOOKUP(AI$2,$H$3:$I$19,2,FALSE),FALSE)*BINOMDIST($O12-AI$2,15-AI$2,VLOOKUP(AI$2,$B$3:$C$19,2,FALSE),FALSE),0)</f>
        <v>0</v>
      </c>
      <c r="AJ28" s="113">
        <f t="array" ref="AJ28">IFERROR(BINOMDIST($O12-AJ$2,15-AJ$2,VLOOKUP(AJ$2,$E$3:$F$19,2,FALSE),FALSE)*BINOMDIST($O12-AJ$2,15-AJ$2,VLOOKUP(AJ$2,$H$3:$I$19,2,FALSE),FALSE)*BINOMDIST($O12-AJ$2,15-AJ$2,VLOOKUP(AJ$2,$B$3:$C$19,2,FALSE),FALSE),0)</f>
        <v>0</v>
      </c>
      <c r="AK28" s="113">
        <f t="array" ref="AK28">IFERROR(BINOMDIST($O12-AK$2,15-AK$2,VLOOKUP(AK$2,$E$3:$F$19,2,FALSE),FALSE)*BINOMDIST($O12-AK$2,15-AK$2,VLOOKUP(AK$2,$H$3:$I$19,2,FALSE),FALSE)*BINOMDIST($O12-AK$2,15-AK$2,VLOOKUP(AK$2,$B$3:$C$19,2,FALSE),FALSE),0)</f>
        <v>0</v>
      </c>
      <c r="AL28" s="1">
        <f t="array" ref="AL28">IFERROR(BINOMDIST($O12-AL$2,15-AL$2,VLOOKUP(AL$2,$E$3:$F$19,2,FALSE),FALSE)*BINOMDIST($O12-AL$2,15-AL$2,VLOOKUP(AL$2,$H$3:$I$19,2,FALSE),FALSE)*BINOMDIST($O12-AL$2,15-AL$2,VLOOKUP(AL$2,$B$3:$C$19,2,FALSE),FALSE),0)</f>
        <v>0</v>
      </c>
      <c r="AM28" s="1">
        <f t="array" ref="AM28">IFERROR(BINOMDIST($O12-AM$2,15-AM$2,VLOOKUP(AM$2,$E$3:$F$19,2,FALSE),FALSE)*BINOMDIST($O12-AM$2,15-AM$2,VLOOKUP(AM$2,$H$3:$I$19,2,FALSE),FALSE)*BINOMDIST($O12-AM$2,15-AM$2,VLOOKUP(AM$2,$B$3:$C$19,2,FALSE),FALSE),0)</f>
        <v>0</v>
      </c>
      <c r="AN28" s="1">
        <f t="array" ref="AN28">IFERROR(BINOMDIST($O12-AN$2,15-AN$2,VLOOKUP(AN$2,$E$3:$F$19,2,FALSE),FALSE)*BINOMDIST($O12-AN$2,15-AN$2,VLOOKUP(AN$2,$H$3:$I$19,2,FALSE),FALSE)*BINOMDIST($O12-AN$2,15-AN$2,VLOOKUP(AN$2,$B$3:$C$19,2,FALSE),FALSE),0)</f>
        <v>0</v>
      </c>
      <c r="AO28" s="126">
        <v>1</v>
      </c>
      <c r="AP28" s="113">
        <f t="array" ref="AP28">IFERROR(BINOMDIST($O12-AP$2,15-AP$2,VLOOKUP(AP$2,$E$3:$F$19,2,FALSE),FALSE)*BINOMDIST($O12-AP$2,15-AP$2,VLOOKUP(AP$2,$H$3:$I$19,2,FALSE),FALSE)*BINOMDIST($O12-AP$2,15-AP$2,VLOOKUP(AP$2,$B$3:$C$19,2,FALSE),FALSE),0)</f>
        <v>0</v>
      </c>
      <c r="AQ28" s="113">
        <v>0</v>
      </c>
      <c r="AR28" s="113">
        <v>0</v>
      </c>
      <c r="AS28" s="113">
        <v>0</v>
      </c>
      <c r="AT28" s="113">
        <v>0</v>
      </c>
      <c r="AU28" s="130">
        <v>0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2:63" x14ac:dyDescent="0.25">
      <c r="B29" s="47">
        <f>'#&lt;prize&gt;'!B9</f>
        <v>500</v>
      </c>
      <c r="C29" s="107">
        <v>250</v>
      </c>
      <c r="D29" s="108">
        <f t="shared" si="2"/>
        <v>3.109452736318408E-2</v>
      </c>
      <c r="E29" s="107">
        <f t="shared" si="5"/>
        <v>5</v>
      </c>
      <c r="F29" s="91">
        <f t="shared" si="3"/>
        <v>0.15547263681592041</v>
      </c>
      <c r="G29" s="159">
        <f t="shared" si="4"/>
        <v>7.8954017180394145E-2</v>
      </c>
      <c r="I29" s="1"/>
      <c r="J29" s="1"/>
      <c r="M29" s="133"/>
      <c r="O29" s="125" t="s">
        <v>193</v>
      </c>
      <c r="P29" s="26">
        <f t="shared" si="1"/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315">
        <f t="array" ref="Z29">IFERROR(BINOMDIST($O13-Z$2,15-Z$2,VLOOKUP(Z$2,$E$3:$F$19,2,FALSE),FALSE)*BINOMDIST($O13-Z$2,15-Z$2,VLOOKUP(Z$2,$H$3:$I$19,2,FALSE),FALSE)*BINOMDIST($O13-Z$2,15-Z$2,VLOOKUP(Z$2,$B$3:$C$19,2,FALSE),FALSE),0)</f>
        <v>0.36490025183143743</v>
      </c>
      <c r="AA29" s="132">
        <f t="array" ref="AA29">IFERROR(BINOMDIST($O13-AA$2,15-AA$2,VLOOKUP(AA$2,$E$3:$F$19,2,FALSE),FALSE)*BINOMDIST($O13-AA$2,15-AA$2,VLOOKUP(AA$2,$H$3:$I$19,2,FALSE),FALSE)*BINOMDIST($O13-AA$2,15-AA$2,VLOOKUP(AA$2,$B$3:$C$19,2,FALSE),FALSE),0)</f>
        <v>0</v>
      </c>
      <c r="AB29" s="132">
        <f t="array" ref="AB29">IFERROR(BINOMDIST($O13-AB$2,15-AB$2,VLOOKUP(AB$2,$E$3:$F$19,2,FALSE),FALSE)*BINOMDIST($O13-AB$2,15-AB$2,VLOOKUP(AB$2,$H$3:$I$19,2,FALSE),FALSE)*BINOMDIST($O13-AB$2,15-AB$2,VLOOKUP(AB$2,$B$3:$C$19,2,FALSE),FALSE),0)</f>
        <v>0</v>
      </c>
      <c r="AC29" s="132">
        <f t="array" ref="AC29">IFERROR(BINOMDIST($O13-AC$2,15-AC$2,VLOOKUP(AC$2,$E$3:$F$19,2,FALSE),FALSE)*BINOMDIST($O13-AC$2,15-AC$2,VLOOKUP(AC$2,$H$3:$I$19,2,FALSE),FALSE)*BINOMDIST($O13-AC$2,15-AC$2,VLOOKUP(AC$2,$B$3:$C$19,2,FALSE),FALSE),0)</f>
        <v>0</v>
      </c>
      <c r="AD29" s="132">
        <f t="array" ref="AD29">IFERROR(BINOMDIST($O13-AD$2,15-AD$2,VLOOKUP(AD$2,$E$3:$F$19,2,FALSE),FALSE)*BINOMDIST($O13-AD$2,15-AD$2,VLOOKUP(AD$2,$H$3:$I$19,2,FALSE),FALSE)*BINOMDIST($O13-AD$2,15-AD$2,VLOOKUP(AD$2,$B$3:$C$19,2,FALSE),FALSE),0)</f>
        <v>0</v>
      </c>
      <c r="AE29" s="132">
        <f t="array" ref="AE29">IFERROR(BINOMDIST($O13-AE$2,15-AE$2,VLOOKUP(AE$2,$E$3:$F$19,2,FALSE),FALSE)*BINOMDIST($O13-AE$2,15-AE$2,VLOOKUP(AE$2,$H$3:$I$19,2,FALSE),FALSE)*BINOMDIST($O13-AE$2,15-AE$2,VLOOKUP(AE$2,$B$3:$C$19,2,FALSE),FALSE),0)</f>
        <v>0</v>
      </c>
      <c r="AF29" s="113">
        <f t="array" ref="AF29">IFERROR(BINOMDIST($O13-AF$2,15-AF$2,VLOOKUP(AF$2,$E$3:$F$19,2,FALSE),FALSE)*BINOMDIST($O13-AF$2,15-AF$2,VLOOKUP(AF$2,$H$3:$I$19,2,FALSE),FALSE)*BINOMDIST($O13-AF$2,15-AF$2,VLOOKUP(AF$2,$B$3:$C$19,2,FALSE),FALSE),0)</f>
        <v>0</v>
      </c>
      <c r="AG29" s="113">
        <f t="array" ref="AG29">IFERROR(BINOMDIST($O13-AG$2,15-AG$2,VLOOKUP(AG$2,$E$3:$F$19,2,FALSE),FALSE)*BINOMDIST($O13-AG$2,15-AG$2,VLOOKUP(AG$2,$H$3:$I$19,2,FALSE),FALSE)*BINOMDIST($O13-AG$2,15-AG$2,VLOOKUP(AG$2,$B$3:$C$19,2,FALSE),FALSE),0)</f>
        <v>0</v>
      </c>
      <c r="AH29" s="113">
        <f t="array" ref="AH29">IFERROR(BINOMDIST($O13-AH$2,15-AH$2,VLOOKUP(AH$2,$E$3:$F$19,2,FALSE),FALSE)*BINOMDIST($O13-AH$2,15-AH$2,VLOOKUP(AH$2,$H$3:$I$19,2,FALSE),FALSE)*BINOMDIST($O13-AH$2,15-AH$2,VLOOKUP(AH$2,$B$3:$C$19,2,FALSE),FALSE),0)</f>
        <v>0</v>
      </c>
      <c r="AI29" s="1">
        <f t="array" ref="AI29">IFERROR(BINOMDIST($O13-AI$2,15-AI$2,VLOOKUP(AI$2,$E$3:$F$19,2,FALSE),FALSE)*BINOMDIST($O13-AI$2,15-AI$2,VLOOKUP(AI$2,$H$3:$I$19,2,FALSE),FALSE)*BINOMDIST($O13-AI$2,15-AI$2,VLOOKUP(AI$2,$B$3:$C$19,2,FALSE),FALSE),0)</f>
        <v>0</v>
      </c>
      <c r="AJ29" s="113">
        <f t="array" ref="AJ29">IFERROR(BINOMDIST($O13-AJ$2,15-AJ$2,VLOOKUP(AJ$2,$E$3:$F$19,2,FALSE),FALSE)*BINOMDIST($O13-AJ$2,15-AJ$2,VLOOKUP(AJ$2,$H$3:$I$19,2,FALSE),FALSE)*BINOMDIST($O13-AJ$2,15-AJ$2,VLOOKUP(AJ$2,$B$3:$C$19,2,FALSE),FALSE),0)</f>
        <v>0</v>
      </c>
      <c r="AK29" s="113">
        <f t="array" ref="AK29">IFERROR(BINOMDIST($O13-AK$2,15-AK$2,VLOOKUP(AK$2,$E$3:$F$19,2,FALSE),FALSE)*BINOMDIST($O13-AK$2,15-AK$2,VLOOKUP(AK$2,$H$3:$I$19,2,FALSE),FALSE)*BINOMDIST($O13-AK$2,15-AK$2,VLOOKUP(AK$2,$B$3:$C$19,2,FALSE),FALSE),0)</f>
        <v>0</v>
      </c>
      <c r="AL29" s="1">
        <f t="array" ref="AL29">IFERROR(BINOMDIST($O13-AL$2,15-AL$2,VLOOKUP(AL$2,$E$3:$F$19,2,FALSE),FALSE)*BINOMDIST($O13-AL$2,15-AL$2,VLOOKUP(AL$2,$H$3:$I$19,2,FALSE),FALSE)*BINOMDIST($O13-AL$2,15-AL$2,VLOOKUP(AL$2,$B$3:$C$19,2,FALSE),FALSE),0)</f>
        <v>0</v>
      </c>
      <c r="AM29" s="1">
        <f t="array" ref="AM29">IFERROR(BINOMDIST($O13-AM$2,15-AM$2,VLOOKUP(AM$2,$E$3:$F$19,2,FALSE),FALSE)*BINOMDIST($O13-AM$2,15-AM$2,VLOOKUP(AM$2,$H$3:$I$19,2,FALSE),FALSE)*BINOMDIST($O13-AM$2,15-AM$2,VLOOKUP(AM$2,$B$3:$C$19,2,FALSE),FALSE),0)</f>
        <v>0</v>
      </c>
      <c r="AN29" s="1">
        <f t="array" ref="AN29">IFERROR(BINOMDIST($O13-AN$2,15-AN$2,VLOOKUP(AN$2,$E$3:$F$19,2,FALSE),FALSE)*BINOMDIST($O13-AN$2,15-AN$2,VLOOKUP(AN$2,$H$3:$I$19,2,FALSE),FALSE)*BINOMDIST($O13-AN$2,15-AN$2,VLOOKUP(AN$2,$B$3:$C$19,2,FALSE),FALSE),0)</f>
        <v>0</v>
      </c>
      <c r="AO29" s="1">
        <f t="array" ref="AO29">IFERROR(BINOMDIST($O13-AO$2,15-AO$2,VLOOKUP(AO$2,$E$3:$F$19,2,FALSE),FALSE)*BINOMDIST($O13-AO$2,15-AO$2,VLOOKUP(AO$2,$H$3:$I$19,2,FALSE),FALSE)*BINOMDIST($O13-AO$2,15-AO$2,VLOOKUP(AO$2,$B$3:$C$19,2,FALSE),FALSE),0)</f>
        <v>0</v>
      </c>
      <c r="AP29" s="126">
        <v>1</v>
      </c>
      <c r="AQ29" s="113">
        <v>0</v>
      </c>
      <c r="AR29" s="113">
        <v>0</v>
      </c>
      <c r="AS29" s="113">
        <v>0</v>
      </c>
      <c r="AT29" s="113">
        <v>0</v>
      </c>
      <c r="AU29" s="130">
        <v>0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2:63" x14ac:dyDescent="0.25">
      <c r="B30" s="47">
        <f>'#&lt;prize&gt;'!B10</f>
        <v>250</v>
      </c>
      <c r="C30" s="107">
        <v>800</v>
      </c>
      <c r="D30" s="108">
        <f t="shared" si="2"/>
        <v>9.950248756218906E-2</v>
      </c>
      <c r="E30" s="107">
        <f t="shared" si="5"/>
        <v>2.5</v>
      </c>
      <c r="F30" s="91">
        <f t="shared" si="3"/>
        <v>0.24875621890547264</v>
      </c>
      <c r="G30" s="159">
        <f t="shared" si="4"/>
        <v>0.12632642748863063</v>
      </c>
      <c r="I30" s="1"/>
      <c r="J30" s="1"/>
      <c r="M30" s="133"/>
      <c r="O30" s="125" t="s">
        <v>194</v>
      </c>
      <c r="P30" s="26">
        <f t="shared" si="1"/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15">
        <f t="array" ref="AA30">IFERROR(BINOMDIST($O14-AA$2,15-AA$2,VLOOKUP(AA$2,$E$3:$F$19,2,FALSE),FALSE)*BINOMDIST($O14-AA$2,15-AA$2,VLOOKUP(AA$2,$H$3:$I$19,2,FALSE),FALSE)*BINOMDIST($O14-AA$2,15-AA$2,VLOOKUP(AA$2,$B$3:$C$19,2,FALSE),FALSE),0)</f>
        <v>0.47592031481425345</v>
      </c>
      <c r="AB30" s="132">
        <f t="array" ref="AB30">IFERROR(BINOMDIST($O14-AB$2,15-AB$2,VLOOKUP(AB$2,$E$3:$F$19,2,FALSE),FALSE)*BINOMDIST($O14-AB$2,15-AB$2,VLOOKUP(AB$2,$H$3:$I$19,2,FALSE),FALSE)*BINOMDIST($O14-AB$2,15-AB$2,VLOOKUP(AB$2,$B$3:$C$19,2,FALSE),FALSE),0)</f>
        <v>0</v>
      </c>
      <c r="AC30" s="132">
        <f t="array" ref="AC30">IFERROR(BINOMDIST($O14-AC$2,15-AC$2,VLOOKUP(AC$2,$E$3:$F$19,2,FALSE),FALSE)*BINOMDIST($O14-AC$2,15-AC$2,VLOOKUP(AC$2,$H$3:$I$19,2,FALSE),FALSE)*BINOMDIST($O14-AC$2,15-AC$2,VLOOKUP(AC$2,$B$3:$C$19,2,FALSE),FALSE),0)</f>
        <v>0</v>
      </c>
      <c r="AD30" s="132">
        <f t="array" ref="AD30">IFERROR(BINOMDIST($O14-AD$2,15-AD$2,VLOOKUP(AD$2,$E$3:$F$19,2,FALSE),FALSE)*BINOMDIST($O14-AD$2,15-AD$2,VLOOKUP(AD$2,$H$3:$I$19,2,FALSE),FALSE)*BINOMDIST($O14-AD$2,15-AD$2,VLOOKUP(AD$2,$B$3:$C$19,2,FALSE),FALSE),0)</f>
        <v>0</v>
      </c>
      <c r="AE30" s="132">
        <f t="array" ref="AE30">IFERROR(BINOMDIST($O14-AE$2,15-AE$2,VLOOKUP(AE$2,$E$3:$F$19,2,FALSE),FALSE)*BINOMDIST($O14-AE$2,15-AE$2,VLOOKUP(AE$2,$H$3:$I$19,2,FALSE),FALSE)*BINOMDIST($O14-AE$2,15-AE$2,VLOOKUP(AE$2,$B$3:$C$19,2,FALSE),FALSE),0)</f>
        <v>0</v>
      </c>
      <c r="AF30" s="113">
        <f t="array" ref="AF30">IFERROR(BINOMDIST($O14-AF$2,15-AF$2,VLOOKUP(AF$2,$E$3:$F$19,2,FALSE),FALSE)*BINOMDIST($O14-AF$2,15-AF$2,VLOOKUP(AF$2,$H$3:$I$19,2,FALSE),FALSE)*BINOMDIST($O14-AF$2,15-AF$2,VLOOKUP(AF$2,$B$3:$C$19,2,FALSE),FALSE),0)</f>
        <v>0</v>
      </c>
      <c r="AG30" s="113">
        <f t="array" ref="AG30">IFERROR(BINOMDIST($O14-AG$2,15-AG$2,VLOOKUP(AG$2,$E$3:$F$19,2,FALSE),FALSE)*BINOMDIST($O14-AG$2,15-AG$2,VLOOKUP(AG$2,$H$3:$I$19,2,FALSE),FALSE)*BINOMDIST($O14-AG$2,15-AG$2,VLOOKUP(AG$2,$B$3:$C$19,2,FALSE),FALSE),0)</f>
        <v>0</v>
      </c>
      <c r="AH30" s="113">
        <f t="array" ref="AH30">IFERROR(BINOMDIST($O14-AH$2,15-AH$2,VLOOKUP(AH$2,$E$3:$F$19,2,FALSE),FALSE)*BINOMDIST($O14-AH$2,15-AH$2,VLOOKUP(AH$2,$H$3:$I$19,2,FALSE),FALSE)*BINOMDIST($O14-AH$2,15-AH$2,VLOOKUP(AH$2,$B$3:$C$19,2,FALSE),FALSE),0)</f>
        <v>0</v>
      </c>
      <c r="AI30" s="1">
        <f t="array" ref="AI30">IFERROR(BINOMDIST($O14-AI$2,15-AI$2,VLOOKUP(AI$2,$E$3:$F$19,2,FALSE),FALSE)*BINOMDIST($O14-AI$2,15-AI$2,VLOOKUP(AI$2,$H$3:$I$19,2,FALSE),FALSE)*BINOMDIST($O14-AI$2,15-AI$2,VLOOKUP(AI$2,$B$3:$C$19,2,FALSE),FALSE),0)</f>
        <v>0</v>
      </c>
      <c r="AJ30" s="113">
        <f t="array" ref="AJ30">IFERROR(BINOMDIST($O14-AJ$2,15-AJ$2,VLOOKUP(AJ$2,$E$3:$F$19,2,FALSE),FALSE)*BINOMDIST($O14-AJ$2,15-AJ$2,VLOOKUP(AJ$2,$H$3:$I$19,2,FALSE),FALSE)*BINOMDIST($O14-AJ$2,15-AJ$2,VLOOKUP(AJ$2,$B$3:$C$19,2,FALSE),FALSE),0)</f>
        <v>0</v>
      </c>
      <c r="AK30" s="113">
        <f t="array" ref="AK30">IFERROR(BINOMDIST($O14-AK$2,15-AK$2,VLOOKUP(AK$2,$E$3:$F$19,2,FALSE),FALSE)*BINOMDIST($O14-AK$2,15-AK$2,VLOOKUP(AK$2,$H$3:$I$19,2,FALSE),FALSE)*BINOMDIST($O14-AK$2,15-AK$2,VLOOKUP(AK$2,$B$3:$C$19,2,FALSE),FALSE),0)</f>
        <v>0</v>
      </c>
      <c r="AL30" s="1">
        <f t="array" ref="AL30">IFERROR(BINOMDIST($O14-AL$2,15-AL$2,VLOOKUP(AL$2,$E$3:$F$19,2,FALSE),FALSE)*BINOMDIST($O14-AL$2,15-AL$2,VLOOKUP(AL$2,$H$3:$I$19,2,FALSE),FALSE)*BINOMDIST($O14-AL$2,15-AL$2,VLOOKUP(AL$2,$B$3:$C$19,2,FALSE),FALSE),0)</f>
        <v>0</v>
      </c>
      <c r="AM30" s="1">
        <f t="array" ref="AM30">IFERROR(BINOMDIST($O14-AM$2,15-AM$2,VLOOKUP(AM$2,$E$3:$F$19,2,FALSE),FALSE)*BINOMDIST($O14-AM$2,15-AM$2,VLOOKUP(AM$2,$H$3:$I$19,2,FALSE),FALSE)*BINOMDIST($O14-AM$2,15-AM$2,VLOOKUP(AM$2,$B$3:$C$19,2,FALSE),FALSE),0)</f>
        <v>0</v>
      </c>
      <c r="AN30" s="1">
        <f t="array" ref="AN30">IFERROR(BINOMDIST($O14-AN$2,15-AN$2,VLOOKUP(AN$2,$E$3:$F$19,2,FALSE),FALSE)*BINOMDIST($O14-AN$2,15-AN$2,VLOOKUP(AN$2,$H$3:$I$19,2,FALSE),FALSE)*BINOMDIST($O14-AN$2,15-AN$2,VLOOKUP(AN$2,$B$3:$C$19,2,FALSE),FALSE),0)</f>
        <v>0</v>
      </c>
      <c r="AO30" s="1">
        <f t="array" ref="AO30">IFERROR(BINOMDIST($O14-AO$2,15-AO$2,VLOOKUP(AO$2,$E$3:$F$19,2,FALSE),FALSE)*BINOMDIST($O14-AO$2,15-AO$2,VLOOKUP(AO$2,$H$3:$I$19,2,FALSE),FALSE)*BINOMDIST($O14-AO$2,15-AO$2,VLOOKUP(AO$2,$B$3:$C$19,2,FALSE),FALSE),0)</f>
        <v>0</v>
      </c>
      <c r="AP30" s="1">
        <f t="array" ref="AP30">IFERROR(BINOMDIST($O14-AP$2,15-AP$2,VLOOKUP(AP$2,$E$3:$F$19,2,FALSE),FALSE)*BINOMDIST($O14-AP$2,15-AP$2,VLOOKUP(AP$2,$H$3:$I$19,2,FALSE),FALSE)*BINOMDIST($O14-AP$2,15-AP$2,VLOOKUP(AP$2,$B$3:$C$19,2,FALSE),FALSE),0)</f>
        <v>0</v>
      </c>
      <c r="AQ30" s="126">
        <v>1</v>
      </c>
      <c r="AR30" s="113">
        <v>0</v>
      </c>
      <c r="AS30" s="113">
        <v>0</v>
      </c>
      <c r="AT30" s="113">
        <v>0</v>
      </c>
      <c r="AU30" s="130">
        <v>0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2:63" x14ac:dyDescent="0.25">
      <c r="B31" s="47">
        <f>'#&lt;prize&gt;'!B11</f>
        <v>200</v>
      </c>
      <c r="C31" s="107">
        <v>1200</v>
      </c>
      <c r="D31" s="108">
        <f t="shared" si="2"/>
        <v>0.14925373134328357</v>
      </c>
      <c r="E31" s="107">
        <f t="shared" si="5"/>
        <v>2</v>
      </c>
      <c r="F31" s="91">
        <f t="shared" si="3"/>
        <v>0.29850746268656714</v>
      </c>
      <c r="G31" s="159">
        <f t="shared" si="4"/>
        <v>0.15159171298635671</v>
      </c>
      <c r="I31" s="1"/>
      <c r="J31" s="1"/>
      <c r="L31" s="159"/>
      <c r="M31" s="133"/>
      <c r="O31" s="125" t="s">
        <v>195</v>
      </c>
      <c r="P31" s="26">
        <f t="shared" si="1"/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15">
        <f t="array" ref="AB31">IFERROR(BINOMDIST($O15-AB$2,15-AB$2,VLOOKUP(AB$2,$E$3:$F$19,2,FALSE),FALSE)*BINOMDIST($O15-AB$2,15-AB$2,VLOOKUP(AB$2,$H$3:$I$19,2,FALSE),FALSE)*BINOMDIST($O15-AB$2,15-AB$2,VLOOKUP(AB$2,$B$3:$C$19,2,FALSE),FALSE),0)</f>
        <v>0.62035038666599418</v>
      </c>
      <c r="AC31" s="132">
        <f t="array" ref="AC31">IFERROR(BINOMDIST($O15-AC$2,15-AC$2,VLOOKUP(AC$2,$E$3:$F$19,2,FALSE),FALSE)*BINOMDIST($O15-AC$2,15-AC$2,VLOOKUP(AC$2,$H$3:$I$19,2,FALSE),FALSE)*BINOMDIST($O15-AC$2,15-AC$2,VLOOKUP(AC$2,$B$3:$C$19,2,FALSE),FALSE),0)</f>
        <v>0</v>
      </c>
      <c r="AD31" s="132">
        <f t="array" ref="AD31">IFERROR(BINOMDIST($O15-AD$2,15-AD$2,VLOOKUP(AD$2,$E$3:$F$19,2,FALSE),FALSE)*BINOMDIST($O15-AD$2,15-AD$2,VLOOKUP(AD$2,$H$3:$I$19,2,FALSE),FALSE)*BINOMDIST($O15-AD$2,15-AD$2,VLOOKUP(AD$2,$B$3:$C$19,2,FALSE),FALSE),0)</f>
        <v>0</v>
      </c>
      <c r="AE31" s="132">
        <f t="array" ref="AE31">IFERROR(BINOMDIST($O15-AE$2,15-AE$2,VLOOKUP(AE$2,$E$3:$F$19,2,FALSE),FALSE)*BINOMDIST($O15-AE$2,15-AE$2,VLOOKUP(AE$2,$H$3:$I$19,2,FALSE),FALSE)*BINOMDIST($O15-AE$2,15-AE$2,VLOOKUP(AE$2,$B$3:$C$19,2,FALSE),FALSE),0)</f>
        <v>0</v>
      </c>
      <c r="AF31" s="113">
        <f t="array" ref="AF31">IFERROR(BINOMDIST($O15-AF$2,15-AF$2,VLOOKUP(AF$2,$E$3:$F$19,2,FALSE),FALSE)*BINOMDIST($O15-AF$2,15-AF$2,VLOOKUP(AF$2,$H$3:$I$19,2,FALSE),FALSE)*BINOMDIST($O15-AF$2,15-AF$2,VLOOKUP(AF$2,$B$3:$C$19,2,FALSE),FALSE),0)</f>
        <v>0</v>
      </c>
      <c r="AG31" s="113">
        <f t="array" ref="AG31">IFERROR(BINOMDIST($O15-AG$2,15-AG$2,VLOOKUP(AG$2,$E$3:$F$19,2,FALSE),FALSE)*BINOMDIST($O15-AG$2,15-AG$2,VLOOKUP(AG$2,$H$3:$I$19,2,FALSE),FALSE)*BINOMDIST($O15-AG$2,15-AG$2,VLOOKUP(AG$2,$B$3:$C$19,2,FALSE),FALSE),0)</f>
        <v>0</v>
      </c>
      <c r="AH31" s="113">
        <f t="array" ref="AH31">IFERROR(BINOMDIST($O15-AH$2,15-AH$2,VLOOKUP(AH$2,$E$3:$F$19,2,FALSE),FALSE)*BINOMDIST($O15-AH$2,15-AH$2,VLOOKUP(AH$2,$H$3:$I$19,2,FALSE),FALSE)*BINOMDIST($O15-AH$2,15-AH$2,VLOOKUP(AH$2,$B$3:$C$19,2,FALSE),FALSE),0)</f>
        <v>0</v>
      </c>
      <c r="AI31" s="1">
        <f t="array" ref="AI31">IFERROR(BINOMDIST($O15-AI$2,15-AI$2,VLOOKUP(AI$2,$E$3:$F$19,2,FALSE),FALSE)*BINOMDIST($O15-AI$2,15-AI$2,VLOOKUP(AI$2,$H$3:$I$19,2,FALSE),FALSE)*BINOMDIST($O15-AI$2,15-AI$2,VLOOKUP(AI$2,$B$3:$C$19,2,FALSE),FALSE),0)</f>
        <v>0</v>
      </c>
      <c r="AJ31" s="113">
        <f t="array" ref="AJ31">IFERROR(BINOMDIST($O15-AJ$2,15-AJ$2,VLOOKUP(AJ$2,$E$3:$F$19,2,FALSE),FALSE)*BINOMDIST($O15-AJ$2,15-AJ$2,VLOOKUP(AJ$2,$H$3:$I$19,2,FALSE),FALSE)*BINOMDIST($O15-AJ$2,15-AJ$2,VLOOKUP(AJ$2,$B$3:$C$19,2,FALSE),FALSE),0)</f>
        <v>0</v>
      </c>
      <c r="AK31" s="113">
        <f t="array" ref="AK31">IFERROR(BINOMDIST($O15-AK$2,15-AK$2,VLOOKUP(AK$2,$E$3:$F$19,2,FALSE),FALSE)*BINOMDIST($O15-AK$2,15-AK$2,VLOOKUP(AK$2,$H$3:$I$19,2,FALSE),FALSE)*BINOMDIST($O15-AK$2,15-AK$2,VLOOKUP(AK$2,$B$3:$C$19,2,FALSE),FALSE),0)</f>
        <v>0</v>
      </c>
      <c r="AL31" s="1">
        <f t="array" ref="AL31">IFERROR(BINOMDIST($O15-AL$2,15-AL$2,VLOOKUP(AL$2,$E$3:$F$19,2,FALSE),FALSE)*BINOMDIST($O15-AL$2,15-AL$2,VLOOKUP(AL$2,$H$3:$I$19,2,FALSE),FALSE)*BINOMDIST($O15-AL$2,15-AL$2,VLOOKUP(AL$2,$B$3:$C$19,2,FALSE),FALSE),0)</f>
        <v>0</v>
      </c>
      <c r="AM31" s="1">
        <f t="array" ref="AM31">IFERROR(BINOMDIST($O15-AM$2,15-AM$2,VLOOKUP(AM$2,$E$3:$F$19,2,FALSE),FALSE)*BINOMDIST($O15-AM$2,15-AM$2,VLOOKUP(AM$2,$H$3:$I$19,2,FALSE),FALSE)*BINOMDIST($O15-AM$2,15-AM$2,VLOOKUP(AM$2,$B$3:$C$19,2,FALSE),FALSE),0)</f>
        <v>0</v>
      </c>
      <c r="AN31" s="1">
        <f t="array" ref="AN31">IFERROR(BINOMDIST($O15-AN$2,15-AN$2,VLOOKUP(AN$2,$E$3:$F$19,2,FALSE),FALSE)*BINOMDIST($O15-AN$2,15-AN$2,VLOOKUP(AN$2,$H$3:$I$19,2,FALSE),FALSE)*BINOMDIST($O15-AN$2,15-AN$2,VLOOKUP(AN$2,$B$3:$C$19,2,FALSE),FALSE),0)</f>
        <v>0</v>
      </c>
      <c r="AO31" s="1">
        <f t="array" ref="AO31">IFERROR(BINOMDIST($O15-AO$2,15-AO$2,VLOOKUP(AO$2,$E$3:$F$19,2,FALSE),FALSE)*BINOMDIST($O15-AO$2,15-AO$2,VLOOKUP(AO$2,$H$3:$I$19,2,FALSE),FALSE)*BINOMDIST($O15-AO$2,15-AO$2,VLOOKUP(AO$2,$B$3:$C$19,2,FALSE),FALSE),0)</f>
        <v>0</v>
      </c>
      <c r="AP31" s="1">
        <f t="array" ref="AP31">IFERROR(BINOMDIST($O15-AP$2,15-AP$2,VLOOKUP(AP$2,$E$3:$F$19,2,FALSE),FALSE)*BINOMDIST($O15-AP$2,15-AP$2,VLOOKUP(AP$2,$H$3:$I$19,2,FALSE),FALSE)*BINOMDIST($O15-AP$2,15-AP$2,VLOOKUP(AP$2,$B$3:$C$19,2,FALSE),FALSE),0)</f>
        <v>0</v>
      </c>
      <c r="AQ31" s="1">
        <f t="array" ref="AQ31">IFERROR(BINOMDIST($O15-AQ$2,15-AQ$2,VLOOKUP(AQ$2,$E$3:$F$19,2,FALSE),FALSE)*BINOMDIST($O15-AQ$2,15-AQ$2,VLOOKUP(AQ$2,$H$3:$I$19,2,FALSE),FALSE)*BINOMDIST($O15-AQ$2,15-AQ$2,VLOOKUP(AQ$2,$B$3:$C$19,2,FALSE),FALSE),0)</f>
        <v>0</v>
      </c>
      <c r="AR31" s="126">
        <v>1</v>
      </c>
      <c r="AS31" s="113">
        <v>0</v>
      </c>
      <c r="AT31" s="113">
        <v>0</v>
      </c>
      <c r="AU31" s="130">
        <v>0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2:63" x14ac:dyDescent="0.25">
      <c r="B32" s="47">
        <f>'#&lt;prize&gt;'!B12</f>
        <v>150</v>
      </c>
      <c r="C32" s="107">
        <v>1650</v>
      </c>
      <c r="D32" s="108">
        <f t="shared" si="2"/>
        <v>0.20522388059701493</v>
      </c>
      <c r="E32" s="107">
        <f t="shared" si="5"/>
        <v>1.5</v>
      </c>
      <c r="F32" s="91">
        <f t="shared" si="3"/>
        <v>0.30783582089552242</v>
      </c>
      <c r="G32" s="159">
        <f t="shared" si="4"/>
        <v>0.15632895401718039</v>
      </c>
      <c r="I32" s="1"/>
      <c r="J32" s="1"/>
      <c r="M32" s="133"/>
      <c r="O32" s="125" t="s">
        <v>196</v>
      </c>
      <c r="P32" s="26">
        <f t="shared" si="1"/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315">
        <f t="array" ref="AC32">IFERROR(BINOMDIST($O16-AC$2,15-AC$2,VLOOKUP(AC$2,$E$3:$F$19,2,FALSE),FALSE)*BINOMDIST($O16-AC$2,15-AC$2,VLOOKUP(AC$2,$H$3:$I$19,2,FALSE),FALSE)*BINOMDIST($O16-AC$2,15-AC$2,VLOOKUP(AC$2,$B$3:$C$19,2,FALSE),FALSE),0)</f>
        <v>0.92255640800399996</v>
      </c>
      <c r="AD32" s="132">
        <f t="array" ref="AD32">IFERROR(BINOMDIST($O16-AD$2,15-AD$2,VLOOKUP(AD$2,$E$3:$F$19,2,FALSE),FALSE)*BINOMDIST($O16-AD$2,15-AD$2,VLOOKUP(AD$2,$H$3:$I$19,2,FALSE),FALSE)*BINOMDIST($O16-AD$2,15-AD$2,VLOOKUP(AD$2,$B$3:$C$19,2,FALSE),FALSE),0)</f>
        <v>0</v>
      </c>
      <c r="AE32" s="132">
        <f t="array" ref="AE32">IFERROR(BINOMDIST($O16-AE$2,15-AE$2,VLOOKUP(AE$2,$E$3:$F$19,2,FALSE),FALSE)*BINOMDIST($O16-AE$2,15-AE$2,VLOOKUP(AE$2,$H$3:$I$19,2,FALSE),FALSE)*BINOMDIST($O16-AE$2,15-AE$2,VLOOKUP(AE$2,$B$3:$C$19,2,FALSE),FALSE),0)</f>
        <v>0</v>
      </c>
      <c r="AF32" s="113">
        <f t="array" ref="AF32">IFERROR(BINOMDIST($O16-AF$2,15-AF$2,VLOOKUP(AF$2,$E$3:$F$19,2,FALSE),FALSE)*BINOMDIST($O16-AF$2,15-AF$2,VLOOKUP(AF$2,$H$3:$I$19,2,FALSE),FALSE)*BINOMDIST($O16-AF$2,15-AF$2,VLOOKUP(AF$2,$B$3:$C$19,2,FALSE),FALSE),0)</f>
        <v>0</v>
      </c>
      <c r="AG32" s="113">
        <f t="array" ref="AG32">IFERROR(BINOMDIST($O16-AG$2,15-AG$2,VLOOKUP(AG$2,$E$3:$F$19,2,FALSE),FALSE)*BINOMDIST($O16-AG$2,15-AG$2,VLOOKUP(AG$2,$H$3:$I$19,2,FALSE),FALSE)*BINOMDIST($O16-AG$2,15-AG$2,VLOOKUP(AG$2,$B$3:$C$19,2,FALSE),FALSE),0)</f>
        <v>0</v>
      </c>
      <c r="AH32" s="113">
        <f t="array" ref="AH32">IFERROR(BINOMDIST($O16-AH$2,15-AH$2,VLOOKUP(AH$2,$E$3:$F$19,2,FALSE),FALSE)*BINOMDIST($O16-AH$2,15-AH$2,VLOOKUP(AH$2,$H$3:$I$19,2,FALSE),FALSE)*BINOMDIST($O16-AH$2,15-AH$2,VLOOKUP(AH$2,$B$3:$C$19,2,FALSE),FALSE),0)</f>
        <v>0</v>
      </c>
      <c r="AI32" s="1">
        <f t="array" ref="AI32">IFERROR(BINOMDIST($O16-AI$2,15-AI$2,VLOOKUP(AI$2,$E$3:$F$19,2,FALSE),FALSE)*BINOMDIST($O16-AI$2,15-AI$2,VLOOKUP(AI$2,$H$3:$I$19,2,FALSE),FALSE)*BINOMDIST($O16-AI$2,15-AI$2,VLOOKUP(AI$2,$B$3:$C$19,2,FALSE),FALSE),0)</f>
        <v>0</v>
      </c>
      <c r="AJ32" s="113">
        <f t="array" ref="AJ32">IFERROR(BINOMDIST($O16-AJ$2,15-AJ$2,VLOOKUP(AJ$2,$E$3:$F$19,2,FALSE),FALSE)*BINOMDIST($O16-AJ$2,15-AJ$2,VLOOKUP(AJ$2,$H$3:$I$19,2,FALSE),FALSE)*BINOMDIST($O16-AJ$2,15-AJ$2,VLOOKUP(AJ$2,$B$3:$C$19,2,FALSE),FALSE),0)</f>
        <v>0</v>
      </c>
      <c r="AK32" s="113">
        <f t="array" ref="AK32">IFERROR(BINOMDIST($O16-AK$2,15-AK$2,VLOOKUP(AK$2,$E$3:$F$19,2,FALSE),FALSE)*BINOMDIST($O16-AK$2,15-AK$2,VLOOKUP(AK$2,$H$3:$I$19,2,FALSE),FALSE)*BINOMDIST($O16-AK$2,15-AK$2,VLOOKUP(AK$2,$B$3:$C$19,2,FALSE),FALSE),0)</f>
        <v>0</v>
      </c>
      <c r="AL32" s="1">
        <f t="array" ref="AL32">IFERROR(BINOMDIST($O16-AL$2,15-AL$2,VLOOKUP(AL$2,$E$3:$F$19,2,FALSE),FALSE)*BINOMDIST($O16-AL$2,15-AL$2,VLOOKUP(AL$2,$H$3:$I$19,2,FALSE),FALSE)*BINOMDIST($O16-AL$2,15-AL$2,VLOOKUP(AL$2,$B$3:$C$19,2,FALSE),FALSE),0)</f>
        <v>0</v>
      </c>
      <c r="AM32" s="1">
        <f t="array" ref="AM32">IFERROR(BINOMDIST($O16-AM$2,15-AM$2,VLOOKUP(AM$2,$E$3:$F$19,2,FALSE),FALSE)*BINOMDIST($O16-AM$2,15-AM$2,VLOOKUP(AM$2,$H$3:$I$19,2,FALSE),FALSE)*BINOMDIST($O16-AM$2,15-AM$2,VLOOKUP(AM$2,$B$3:$C$19,2,FALSE),FALSE),0)</f>
        <v>0</v>
      </c>
      <c r="AN32" s="1">
        <f t="array" ref="AN32">IFERROR(BINOMDIST($O16-AN$2,15-AN$2,VLOOKUP(AN$2,$E$3:$F$19,2,FALSE),FALSE)*BINOMDIST($O16-AN$2,15-AN$2,VLOOKUP(AN$2,$H$3:$I$19,2,FALSE),FALSE)*BINOMDIST($O16-AN$2,15-AN$2,VLOOKUP(AN$2,$B$3:$C$19,2,FALSE),FALSE),0)</f>
        <v>0</v>
      </c>
      <c r="AO32" s="1">
        <f t="array" ref="AO32">IFERROR(BINOMDIST($O16-AO$2,15-AO$2,VLOOKUP(AO$2,$E$3:$F$19,2,FALSE),FALSE)*BINOMDIST($O16-AO$2,15-AO$2,VLOOKUP(AO$2,$H$3:$I$19,2,FALSE),FALSE)*BINOMDIST($O16-AO$2,15-AO$2,VLOOKUP(AO$2,$B$3:$C$19,2,FALSE),FALSE),0)</f>
        <v>0</v>
      </c>
      <c r="AP32" s="1">
        <f t="array" ref="AP32">IFERROR(BINOMDIST($O16-AP$2,15-AP$2,VLOOKUP(AP$2,$E$3:$F$19,2,FALSE),FALSE)*BINOMDIST($O16-AP$2,15-AP$2,VLOOKUP(AP$2,$H$3:$I$19,2,FALSE),FALSE)*BINOMDIST($O16-AP$2,15-AP$2,VLOOKUP(AP$2,$B$3:$C$19,2,FALSE),FALSE),0)</f>
        <v>0</v>
      </c>
      <c r="AQ32" s="1">
        <f t="array" ref="AQ32">IFERROR(BINOMDIST($O16-AQ$2,15-AQ$2,VLOOKUP(AQ$2,$E$3:$F$19,2,FALSE),FALSE)*BINOMDIST($O16-AQ$2,15-AQ$2,VLOOKUP(AQ$2,$H$3:$I$19,2,FALSE),FALSE)*BINOMDIST($O16-AQ$2,15-AQ$2,VLOOKUP(AQ$2,$B$3:$C$19,2,FALSE),FALSE),0)</f>
        <v>0</v>
      </c>
      <c r="AR32" s="113">
        <f t="array" ref="AR32">IFERROR(BINOMDIST($O16-AR$2,15-AR$2,VLOOKUP(AR$2,$E$3:$F$19,2,FALSE),FALSE)*BINOMDIST($O16-AR$2,15-AR$2,VLOOKUP(AR$2,$H$3:$I$19,2,FALSE),FALSE)*BINOMDIST($O16-AR$2,15-AR$2,VLOOKUP(AR$2,$B$3:$C$19,2,FALSE),FALSE),0)</f>
        <v>0</v>
      </c>
      <c r="AS32" s="126">
        <v>1</v>
      </c>
      <c r="AT32" s="113">
        <v>0</v>
      </c>
      <c r="AU32" s="130">
        <v>0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 x14ac:dyDescent="0.25">
      <c r="B33" s="47">
        <f>'#&lt;prize&gt;'!B13</f>
        <v>100</v>
      </c>
      <c r="C33" s="107">
        <v>1900</v>
      </c>
      <c r="D33" s="108">
        <f t="shared" si="2"/>
        <v>0.23631840796019901</v>
      </c>
      <c r="E33" s="107">
        <f t="shared" si="5"/>
        <v>1</v>
      </c>
      <c r="F33" s="91">
        <f t="shared" si="3"/>
        <v>0.23631840796019901</v>
      </c>
      <c r="G33" s="159">
        <f t="shared" si="4"/>
        <v>0.12001010611419909</v>
      </c>
      <c r="I33" s="1"/>
      <c r="J33" s="1"/>
      <c r="K33" s="133"/>
      <c r="L33" s="133"/>
      <c r="M33" s="133"/>
      <c r="O33" s="125" t="s">
        <v>197</v>
      </c>
      <c r="P33" s="26">
        <f t="shared" si="1"/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315">
        <f t="array" ref="AD33">IFERROR(BINOMDIST($O17-AD$2,15-AD$2,VLOOKUP(AD$2,$E$3:$F$19,2,FALSE),FALSE)*BINOMDIST($O17-AD$2,15-AD$2,VLOOKUP(AD$2,$H$3:$I$19,2,FALSE),FALSE)*BINOMDIST($O17-AD$2,15-AD$2,VLOOKUP(AD$2,$B$3:$C$19,2,FALSE),FALSE),0)</f>
        <v>0.997002999</v>
      </c>
      <c r="AE33" s="132">
        <f t="array" ref="AE33">IFERROR(BINOMDIST($O17-AE$2,15-AE$2,VLOOKUP(AE$2,$E$3:$F$19,2,FALSE),FALSE)*BINOMDIST($O17-AE$2,15-AE$2,VLOOKUP(AE$2,$H$3:$I$19,2,FALSE),FALSE)*BINOMDIST($O17-AE$2,15-AE$2,VLOOKUP(AE$2,$B$3:$C$19,2,FALSE),FALSE),0)</f>
        <v>0</v>
      </c>
      <c r="AF33" s="113">
        <f t="array" ref="AF33">IFERROR(BINOMDIST($O17-AF$2,15-AF$2,VLOOKUP(AF$2,$E$3:$F$19,2,FALSE),FALSE)*BINOMDIST($O17-AF$2,15-AF$2,VLOOKUP(AF$2,$H$3:$I$19,2,FALSE),FALSE)*BINOMDIST($O17-AF$2,15-AF$2,VLOOKUP(AF$2,$B$3:$C$19,2,FALSE),FALSE),0)</f>
        <v>0</v>
      </c>
      <c r="AG33" s="113">
        <f t="array" ref="AG33">IFERROR(BINOMDIST($O17-AG$2,15-AG$2,VLOOKUP(AG$2,$E$3:$F$19,2,FALSE),FALSE)*BINOMDIST($O17-AG$2,15-AG$2,VLOOKUP(AG$2,$H$3:$I$19,2,FALSE),FALSE)*BINOMDIST($O17-AG$2,15-AG$2,VLOOKUP(AG$2,$B$3:$C$19,2,FALSE),FALSE),0)</f>
        <v>0</v>
      </c>
      <c r="AH33" s="113">
        <f t="array" ref="AH33">IFERROR(BINOMDIST($O17-AH$2,15-AH$2,VLOOKUP(AH$2,$E$3:$F$19,2,FALSE),FALSE)*BINOMDIST($O17-AH$2,15-AH$2,VLOOKUP(AH$2,$H$3:$I$19,2,FALSE),FALSE)*BINOMDIST($O17-AH$2,15-AH$2,VLOOKUP(AH$2,$B$3:$C$19,2,FALSE),FALSE),0)</f>
        <v>0</v>
      </c>
      <c r="AI33" s="1">
        <f t="array" ref="AI33">IFERROR(BINOMDIST($O17-AI$2,15-AI$2,VLOOKUP(AI$2,$E$3:$F$19,2,FALSE),FALSE)*BINOMDIST($O17-AI$2,15-AI$2,VLOOKUP(AI$2,$H$3:$I$19,2,FALSE),FALSE)*BINOMDIST($O17-AI$2,15-AI$2,VLOOKUP(AI$2,$B$3:$C$19,2,FALSE),FALSE),0)</f>
        <v>0</v>
      </c>
      <c r="AJ33" s="113">
        <f t="array" ref="AJ33">IFERROR(BINOMDIST($O17-AJ$2,15-AJ$2,VLOOKUP(AJ$2,$E$3:$F$19,2,FALSE),FALSE)*BINOMDIST($O17-AJ$2,15-AJ$2,VLOOKUP(AJ$2,$H$3:$I$19,2,FALSE),FALSE)*BINOMDIST($O17-AJ$2,15-AJ$2,VLOOKUP(AJ$2,$B$3:$C$19,2,FALSE),FALSE),0)</f>
        <v>0</v>
      </c>
      <c r="AK33" s="113">
        <f t="array" ref="AK33">IFERROR(BINOMDIST($O17-AK$2,15-AK$2,VLOOKUP(AK$2,$E$3:$F$19,2,FALSE),FALSE)*BINOMDIST($O17-AK$2,15-AK$2,VLOOKUP(AK$2,$H$3:$I$19,2,FALSE),FALSE)*BINOMDIST($O17-AK$2,15-AK$2,VLOOKUP(AK$2,$B$3:$C$19,2,FALSE),FALSE),0)</f>
        <v>0</v>
      </c>
      <c r="AL33" s="1">
        <f t="array" ref="AL33">IFERROR(BINOMDIST($O17-AL$2,15-AL$2,VLOOKUP(AL$2,$E$3:$F$19,2,FALSE),FALSE)*BINOMDIST($O17-AL$2,15-AL$2,VLOOKUP(AL$2,$H$3:$I$19,2,FALSE),FALSE)*BINOMDIST($O17-AL$2,15-AL$2,VLOOKUP(AL$2,$B$3:$C$19,2,FALSE),FALSE),0)</f>
        <v>0</v>
      </c>
      <c r="AM33" s="1">
        <f t="array" ref="AM33">IFERROR(BINOMDIST($O17-AM$2,15-AM$2,VLOOKUP(AM$2,$E$3:$F$19,2,FALSE),FALSE)*BINOMDIST($O17-AM$2,15-AM$2,VLOOKUP(AM$2,$H$3:$I$19,2,FALSE),FALSE)*BINOMDIST($O17-AM$2,15-AM$2,VLOOKUP(AM$2,$B$3:$C$19,2,FALSE),FALSE),0)</f>
        <v>0</v>
      </c>
      <c r="AN33" s="1">
        <f t="array" ref="AN33">IFERROR(BINOMDIST($O17-AN$2,15-AN$2,VLOOKUP(AN$2,$E$3:$F$19,2,FALSE),FALSE)*BINOMDIST($O17-AN$2,15-AN$2,VLOOKUP(AN$2,$H$3:$I$19,2,FALSE),FALSE)*BINOMDIST($O17-AN$2,15-AN$2,VLOOKUP(AN$2,$B$3:$C$19,2,FALSE),FALSE),0)</f>
        <v>0</v>
      </c>
      <c r="AO33" s="1">
        <f t="array" ref="AO33">IFERROR(BINOMDIST($O17-AO$2,15-AO$2,VLOOKUP(AO$2,$E$3:$F$19,2,FALSE),FALSE)*BINOMDIST($O17-AO$2,15-AO$2,VLOOKUP(AO$2,$H$3:$I$19,2,FALSE),FALSE)*BINOMDIST($O17-AO$2,15-AO$2,VLOOKUP(AO$2,$B$3:$C$19,2,FALSE),FALSE),0)</f>
        <v>0</v>
      </c>
      <c r="AP33" s="1">
        <f t="array" ref="AP33">IFERROR(BINOMDIST($O17-AP$2,15-AP$2,VLOOKUP(AP$2,$E$3:$F$19,2,FALSE),FALSE)*BINOMDIST($O17-AP$2,15-AP$2,VLOOKUP(AP$2,$H$3:$I$19,2,FALSE),FALSE)*BINOMDIST($O17-AP$2,15-AP$2,VLOOKUP(AP$2,$B$3:$C$19,2,FALSE),FALSE),0)</f>
        <v>0</v>
      </c>
      <c r="AQ33" s="1">
        <f t="array" ref="AQ33">IFERROR(BINOMDIST($O17-AQ$2,15-AQ$2,VLOOKUP(AQ$2,$E$3:$F$19,2,FALSE),FALSE)*BINOMDIST($O17-AQ$2,15-AQ$2,VLOOKUP(AQ$2,$H$3:$I$19,2,FALSE),FALSE)*BINOMDIST($O17-AQ$2,15-AQ$2,VLOOKUP(AQ$2,$B$3:$C$19,2,FALSE),FALSE),0)</f>
        <v>0</v>
      </c>
      <c r="AR33" s="113">
        <f t="array" ref="AR33">IFERROR(BINOMDIST($O17-AR$2,15-AR$2,VLOOKUP(AR$2,$E$3:$F$19,2,FALSE),FALSE)*BINOMDIST($O17-AR$2,15-AR$2,VLOOKUP(AR$2,$H$3:$I$19,2,FALSE),FALSE)*BINOMDIST($O17-AR$2,15-AR$2,VLOOKUP(AR$2,$B$3:$C$19,2,FALSE),FALSE),0)</f>
        <v>0</v>
      </c>
      <c r="AS33" s="113">
        <f t="array" ref="AS33">IFERROR(BINOMDIST($O17-AS$2,15-AS$2,VLOOKUP(AS$2,$E$3:$F$19,2,FALSE),FALSE)*BINOMDIST($O17-AS$2,15-AS$2,VLOOKUP(AS$2,$H$3:$I$19,2,FALSE),FALSE)*BINOMDIST($O17-AS$2,15-AS$2,VLOOKUP(AS$2,$B$3:$C$19,2,FALSE),FALSE),0)</f>
        <v>0</v>
      </c>
      <c r="AT33" s="126">
        <v>1</v>
      </c>
      <c r="AU33" s="130">
        <v>0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 ht="15.75" thickBot="1" x14ac:dyDescent="0.3">
      <c r="B34" s="47">
        <f>'#&lt;prize&gt;'!B14</f>
        <v>50</v>
      </c>
      <c r="C34" s="107">
        <v>1880</v>
      </c>
      <c r="D34" s="108">
        <f t="shared" si="2"/>
        <v>0.23383084577114427</v>
      </c>
      <c r="E34" s="107">
        <f t="shared" si="5"/>
        <v>0.5</v>
      </c>
      <c r="F34" s="91">
        <f t="shared" si="3"/>
        <v>0.11691542288557213</v>
      </c>
      <c r="G34" s="159">
        <f t="shared" si="4"/>
        <v>5.9373420919656382E-2</v>
      </c>
      <c r="I34" s="1"/>
      <c r="J34" s="1"/>
      <c r="K34" s="133"/>
      <c r="L34" s="133"/>
      <c r="M34" s="133"/>
      <c r="O34" s="134" t="s">
        <v>198</v>
      </c>
      <c r="P34" s="29">
        <f t="shared" si="1"/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17">
        <f t="array" ref="AE34">IFERROR(BINOMDIST($O18-AE$2,15-AE$2,VLOOKUP(AE$2,$E$3:$F$19,2,FALSE),FALSE)*BINOMDIST($O18-AE$2,15-AE$2,VLOOKUP(AE$2,$H$3:$I$19,2,FALSE),FALSE)*BINOMDIST($O18-AE$2,15-AE$2,VLOOKUP(AE$2,$B$3:$C$19,2,FALSE),FALSE),0)</f>
        <v>1</v>
      </c>
      <c r="AF34" s="135">
        <f t="array" ref="AF34">IFERROR(BINOMDIST($O18-AF$2,15-AF$2,VLOOKUP(AF$2,$E$3:$F$19,2,FALSE),FALSE)*BINOMDIST($O18-AF$2,15-AF$2,VLOOKUP(AF$2,$H$3:$I$19,2,FALSE),FALSE)*BINOMDIST($O18-AF$2,15-AF$2,VLOOKUP(AF$2,$B$3:$C$19,2,FALSE),FALSE),0)</f>
        <v>0</v>
      </c>
      <c r="AG34" s="135">
        <f t="array" ref="AG34">IFERROR(BINOMDIST($O18-AG$2,15-AG$2,VLOOKUP(AG$2,$E$3:$F$19,2,FALSE),FALSE)*BINOMDIST($O18-AG$2,15-AG$2,VLOOKUP(AG$2,$H$3:$I$19,2,FALSE),FALSE)*BINOMDIST($O18-AG$2,15-AG$2,VLOOKUP(AG$2,$B$3:$C$19,2,FALSE),FALSE),0)</f>
        <v>0</v>
      </c>
      <c r="AH34" s="135">
        <f t="array" ref="AH34">IFERROR(BINOMDIST($O18-AH$2,15-AH$2,VLOOKUP(AH$2,$E$3:$F$19,2,FALSE),FALSE)*BINOMDIST($O18-AH$2,15-AH$2,VLOOKUP(AH$2,$H$3:$I$19,2,FALSE),FALSE)*BINOMDIST($O18-AH$2,15-AH$2,VLOOKUP(AH$2,$B$3:$C$19,2,FALSE),FALSE),0)</f>
        <v>0</v>
      </c>
      <c r="AI34" s="34">
        <f t="array" ref="AI34">IFERROR(BINOMDIST($O18-AI$2,15-AI$2,VLOOKUP(AI$2,$E$3:$F$19,2,FALSE),FALSE)*BINOMDIST($O18-AI$2,15-AI$2,VLOOKUP(AI$2,$H$3:$I$19,2,FALSE),FALSE)*BINOMDIST($O18-AI$2,15-AI$2,VLOOKUP(AI$2,$B$3:$C$19,2,FALSE),FALSE),0)</f>
        <v>0</v>
      </c>
      <c r="AJ34" s="135">
        <f t="array" ref="AJ34">IFERROR(BINOMDIST($O18-AJ$2,15-AJ$2,VLOOKUP(AJ$2,$E$3:$F$19,2,FALSE),FALSE)*BINOMDIST($O18-AJ$2,15-AJ$2,VLOOKUP(AJ$2,$H$3:$I$19,2,FALSE),FALSE)*BINOMDIST($O18-AJ$2,15-AJ$2,VLOOKUP(AJ$2,$B$3:$C$19,2,FALSE),FALSE),0)</f>
        <v>0</v>
      </c>
      <c r="AK34" s="135">
        <f t="array" ref="AK34">IFERROR(BINOMDIST($O18-AK$2,15-AK$2,VLOOKUP(AK$2,$E$3:$F$19,2,FALSE),FALSE)*BINOMDIST($O18-AK$2,15-AK$2,VLOOKUP(AK$2,$H$3:$I$19,2,FALSE),FALSE)*BINOMDIST($O18-AK$2,15-AK$2,VLOOKUP(AK$2,$B$3:$C$19,2,FALSE),FALSE),0)</f>
        <v>0</v>
      </c>
      <c r="AL34" s="34">
        <f t="array" ref="AL34">IFERROR(BINOMDIST($O18-AL$2,15-AL$2,VLOOKUP(AL$2,$E$3:$F$19,2,FALSE),FALSE)*BINOMDIST($O18-AL$2,15-AL$2,VLOOKUP(AL$2,$H$3:$I$19,2,FALSE),FALSE)*BINOMDIST($O18-AL$2,15-AL$2,VLOOKUP(AL$2,$B$3:$C$19,2,FALSE),FALSE),0)</f>
        <v>0</v>
      </c>
      <c r="AM34" s="34">
        <f t="array" ref="AM34">IFERROR(BINOMDIST($O18-AM$2,15-AM$2,VLOOKUP(AM$2,$E$3:$F$19,2,FALSE),FALSE)*BINOMDIST($O18-AM$2,15-AM$2,VLOOKUP(AM$2,$H$3:$I$19,2,FALSE),FALSE)*BINOMDIST($O18-AM$2,15-AM$2,VLOOKUP(AM$2,$B$3:$C$19,2,FALSE),FALSE),0)</f>
        <v>0</v>
      </c>
      <c r="AN34" s="34">
        <f t="array" ref="AN34">IFERROR(BINOMDIST($O18-AN$2,15-AN$2,VLOOKUP(AN$2,$E$3:$F$19,2,FALSE),FALSE)*BINOMDIST($O18-AN$2,15-AN$2,VLOOKUP(AN$2,$H$3:$I$19,2,FALSE),FALSE)*BINOMDIST($O18-AN$2,15-AN$2,VLOOKUP(AN$2,$B$3:$C$19,2,FALSE),FALSE),0)</f>
        <v>0</v>
      </c>
      <c r="AO34" s="34">
        <f t="array" ref="AO34">IFERROR(BINOMDIST($O18-AO$2,15-AO$2,VLOOKUP(AO$2,$E$3:$F$19,2,FALSE),FALSE)*BINOMDIST($O18-AO$2,15-AO$2,VLOOKUP(AO$2,$H$3:$I$19,2,FALSE),FALSE)*BINOMDIST($O18-AO$2,15-AO$2,VLOOKUP(AO$2,$B$3:$C$19,2,FALSE),FALSE),0)</f>
        <v>0</v>
      </c>
      <c r="AP34" s="34">
        <f t="array" ref="AP34">IFERROR(BINOMDIST($O18-AP$2,15-AP$2,VLOOKUP(AP$2,$E$3:$F$19,2,FALSE),FALSE)*BINOMDIST($O18-AP$2,15-AP$2,VLOOKUP(AP$2,$H$3:$I$19,2,FALSE),FALSE)*BINOMDIST($O18-AP$2,15-AP$2,VLOOKUP(AP$2,$B$3:$C$19,2,FALSE),FALSE),0)</f>
        <v>0</v>
      </c>
      <c r="AQ34" s="34">
        <f t="array" ref="AQ34">IFERROR(BINOMDIST($O18-AQ$2,15-AQ$2,VLOOKUP(AQ$2,$E$3:$F$19,2,FALSE),FALSE)*BINOMDIST($O18-AQ$2,15-AQ$2,VLOOKUP(AQ$2,$H$3:$I$19,2,FALSE),FALSE)*BINOMDIST($O18-AQ$2,15-AQ$2,VLOOKUP(AQ$2,$B$3:$C$19,2,FALSE),FALSE),0)</f>
        <v>0</v>
      </c>
      <c r="AR34" s="135">
        <f t="array" ref="AR34">IFERROR(BINOMDIST($O18-AR$2,15-AR$2,VLOOKUP(AR$2,$E$3:$F$19,2,FALSE),FALSE)*BINOMDIST($O18-AR$2,15-AR$2,VLOOKUP(AR$2,$H$3:$I$19,2,FALSE),FALSE)*BINOMDIST($O18-AR$2,15-AR$2,VLOOKUP(AR$2,$B$3:$C$19,2,FALSE),FALSE),0)</f>
        <v>0</v>
      </c>
      <c r="AS34" s="135">
        <f t="array" ref="AS34">IFERROR(BINOMDIST($O18-AS$2,15-AS$2,VLOOKUP(AS$2,$E$3:$F$19,2,FALSE),FALSE)*BINOMDIST($O18-AS$2,15-AS$2,VLOOKUP(AS$2,$H$3:$I$19,2,FALSE),FALSE)*BINOMDIST($O18-AS$2,15-AS$2,VLOOKUP(AS$2,$B$3:$C$19,2,FALSE),FALSE),0)</f>
        <v>0</v>
      </c>
      <c r="AT34" s="135">
        <f t="array" ref="AT34">IFERROR(BINOMDIST($O18-AT$2,15-AT$2,VLOOKUP(AT$2,$E$3:$F$19,2,FALSE),FALSE)*BINOMDIST($O18-AT$2,15-AT$2,VLOOKUP(AT$2,$H$3:$I$19,2,FALSE),FALSE)*BINOMDIST($O18-AT$2,15-AT$2,VLOOKUP(AT$2,$B$3:$C$19,2,FALSE),FALSE),0)</f>
        <v>0</v>
      </c>
      <c r="AU34" s="136">
        <v>1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 ht="15.75" thickBot="1" x14ac:dyDescent="0.3">
      <c r="B35" s="48" t="s">
        <v>15</v>
      </c>
      <c r="C35" s="92">
        <f>SUM(C22:C34)</f>
        <v>8040</v>
      </c>
      <c r="D35" s="93">
        <f>SUM(D22:D34)</f>
        <v>1</v>
      </c>
      <c r="E35" s="92"/>
      <c r="F35" s="94">
        <f>SUM(F22:F34)</f>
        <v>1.9691542288557216</v>
      </c>
      <c r="K35" s="133"/>
      <c r="O35" s="113" t="s">
        <v>18</v>
      </c>
      <c r="P35" s="113">
        <f>SUM(P4:P34)</f>
        <v>0.99999999999999989</v>
      </c>
      <c r="Q35" s="113">
        <f>SUM(Q4:Q34)</f>
        <v>0.99999999999999967</v>
      </c>
      <c r="R35" s="113">
        <f t="shared" ref="R35:AT35" si="6">SUM(R4:R34)</f>
        <v>1</v>
      </c>
      <c r="S35" s="113">
        <f t="shared" si="6"/>
        <v>1</v>
      </c>
      <c r="T35" s="113">
        <f t="shared" si="6"/>
        <v>1</v>
      </c>
      <c r="U35" s="113">
        <f t="shared" si="6"/>
        <v>0.99999999999999978</v>
      </c>
      <c r="V35" s="113">
        <f t="shared" si="6"/>
        <v>1.0000000000000007</v>
      </c>
      <c r="W35" s="113">
        <f t="shared" si="6"/>
        <v>1</v>
      </c>
      <c r="X35" s="113">
        <f t="shared" si="6"/>
        <v>1.0000000000000002</v>
      </c>
      <c r="Y35" s="113">
        <f t="shared" si="6"/>
        <v>1</v>
      </c>
      <c r="Z35" s="113">
        <f t="shared" si="6"/>
        <v>1.0000000000000002</v>
      </c>
      <c r="AA35" s="113">
        <f t="shared" si="6"/>
        <v>1</v>
      </c>
      <c r="AB35" s="113">
        <f t="shared" si="6"/>
        <v>1</v>
      </c>
      <c r="AC35" s="113">
        <f t="shared" si="6"/>
        <v>0.99999999999999989</v>
      </c>
      <c r="AD35" s="113">
        <f t="shared" si="6"/>
        <v>1</v>
      </c>
      <c r="AE35" s="113">
        <f t="shared" si="6"/>
        <v>1</v>
      </c>
      <c r="AF35" s="113">
        <f t="shared" si="6"/>
        <v>1</v>
      </c>
      <c r="AG35" s="113">
        <f t="shared" si="6"/>
        <v>1</v>
      </c>
      <c r="AH35" s="113">
        <f t="shared" si="6"/>
        <v>1</v>
      </c>
      <c r="AI35" s="113">
        <f t="shared" si="6"/>
        <v>1</v>
      </c>
      <c r="AJ35" s="113">
        <f t="shared" si="6"/>
        <v>1</v>
      </c>
      <c r="AK35" s="113">
        <f t="shared" si="6"/>
        <v>1</v>
      </c>
      <c r="AL35" s="113">
        <f t="shared" si="6"/>
        <v>1</v>
      </c>
      <c r="AM35" s="113">
        <f t="shared" si="6"/>
        <v>1</v>
      </c>
      <c r="AN35" s="113">
        <f t="shared" si="6"/>
        <v>1</v>
      </c>
      <c r="AO35" s="113">
        <f t="shared" si="6"/>
        <v>1</v>
      </c>
      <c r="AP35" s="113">
        <f t="shared" si="6"/>
        <v>1</v>
      </c>
      <c r="AQ35" s="113">
        <f t="shared" si="6"/>
        <v>1</v>
      </c>
      <c r="AR35" s="113">
        <f t="shared" si="6"/>
        <v>1</v>
      </c>
      <c r="AS35" s="113">
        <f t="shared" si="6"/>
        <v>1</v>
      </c>
      <c r="AT35" s="113">
        <f t="shared" si="6"/>
        <v>1</v>
      </c>
      <c r="AU35" s="113">
        <f>SUM(AU3:AU34)</f>
        <v>1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ht="15.75" thickBot="1" x14ac:dyDescent="0.2">
      <c r="L36" s="113" t="s">
        <v>202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H36" s="1"/>
      <c r="AK36" s="1"/>
      <c r="AL36" s="1"/>
      <c r="AM36" s="1"/>
      <c r="AN36" s="1"/>
      <c r="AO36" s="1"/>
      <c r="AP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ht="15.75" thickBot="1" x14ac:dyDescent="0.3">
      <c r="B37" s="24" t="s">
        <v>250</v>
      </c>
      <c r="C37" s="89" t="s">
        <v>19</v>
      </c>
      <c r="D37" s="89" t="s">
        <v>20</v>
      </c>
      <c r="E37" s="89" t="s">
        <v>22</v>
      </c>
      <c r="F37" s="46" t="s">
        <v>21</v>
      </c>
      <c r="L37" s="119" t="s">
        <v>203</v>
      </c>
      <c r="M37" s="25" t="s">
        <v>20</v>
      </c>
      <c r="N37" s="1"/>
      <c r="O37" s="137" t="s">
        <v>204</v>
      </c>
      <c r="P37" s="116">
        <v>0</v>
      </c>
      <c r="Q37" s="116">
        <v>1</v>
      </c>
      <c r="R37" s="116">
        <v>2</v>
      </c>
      <c r="S37" s="116">
        <v>3</v>
      </c>
      <c r="T37" s="116">
        <v>4</v>
      </c>
      <c r="U37" s="116">
        <v>5</v>
      </c>
      <c r="V37" s="116">
        <v>6</v>
      </c>
      <c r="W37" s="116">
        <v>7</v>
      </c>
      <c r="X37" s="116">
        <v>8</v>
      </c>
      <c r="Y37" s="116">
        <v>9</v>
      </c>
      <c r="Z37" s="116">
        <v>10</v>
      </c>
      <c r="AA37" s="116">
        <v>11</v>
      </c>
      <c r="AB37" s="116">
        <v>12</v>
      </c>
      <c r="AC37" s="116">
        <v>13</v>
      </c>
      <c r="AD37" s="116">
        <v>14</v>
      </c>
      <c r="AE37" s="116">
        <v>15</v>
      </c>
      <c r="AF37" s="116">
        <v>16</v>
      </c>
      <c r="AG37" s="116">
        <v>17</v>
      </c>
      <c r="AH37" s="116">
        <v>18</v>
      </c>
      <c r="AI37" s="116">
        <v>19</v>
      </c>
      <c r="AJ37" s="116">
        <v>20</v>
      </c>
      <c r="AK37" s="116">
        <v>21</v>
      </c>
      <c r="AL37" s="116">
        <v>22</v>
      </c>
      <c r="AM37" s="116">
        <v>23</v>
      </c>
      <c r="AN37" s="116">
        <v>24</v>
      </c>
      <c r="AO37" s="116">
        <v>25</v>
      </c>
      <c r="AP37" s="116">
        <v>26</v>
      </c>
      <c r="AQ37" s="116">
        <v>27</v>
      </c>
      <c r="AR37" s="116">
        <v>28</v>
      </c>
      <c r="AS37" s="116">
        <v>29</v>
      </c>
      <c r="AT37" s="118">
        <v>30</v>
      </c>
      <c r="AV37" s="138" t="s">
        <v>205</v>
      </c>
      <c r="AW37" s="139" t="s">
        <v>20</v>
      </c>
      <c r="AX37" s="1"/>
      <c r="AY37" s="1"/>
      <c r="AZ37" s="1"/>
      <c r="BA37" s="1"/>
      <c r="BB37" s="1"/>
    </row>
    <row r="38" spans="1:63" x14ac:dyDescent="0.15">
      <c r="A38" s="113">
        <f>'#&lt;prize&gt;'!A2</f>
        <v>1</v>
      </c>
      <c r="B38" s="47" t="s">
        <v>23</v>
      </c>
      <c r="C38" s="107">
        <v>0</v>
      </c>
      <c r="D38" s="108">
        <f>C38/$C$57</f>
        <v>0</v>
      </c>
      <c r="E38" s="107">
        <f t="shared" ref="E38:E51" si="7">E61</f>
        <v>550</v>
      </c>
      <c r="F38" s="90">
        <f>E38*D38</f>
        <v>0</v>
      </c>
      <c r="G38" s="1"/>
      <c r="H38" s="159"/>
      <c r="L38" s="140">
        <v>0</v>
      </c>
      <c r="M38" s="130">
        <v>0</v>
      </c>
      <c r="N38" s="1">
        <v>0</v>
      </c>
      <c r="O38" s="125">
        <v>0</v>
      </c>
      <c r="P38" s="32">
        <f>M38/$M$70</f>
        <v>0</v>
      </c>
      <c r="Q38" s="141">
        <f t="array" ref="Q38:Q69">MMULT($P$3:$AU$34,P$38:P$69)</f>
        <v>0</v>
      </c>
      <c r="R38" s="141">
        <f t="array" ref="R38:R69">MMULT($P$3:$AU$34,Q$38:Q$69)</f>
        <v>0</v>
      </c>
      <c r="S38" s="141">
        <f t="array" ref="S38:S69">MMULT($P$3:$AU$34,R$38:R$69)</f>
        <v>0</v>
      </c>
      <c r="T38" s="141">
        <f t="array" ref="T38:T69">MMULT($P$3:$AU$34,S$38:S$69)</f>
        <v>0</v>
      </c>
      <c r="U38" s="141">
        <f t="array" ref="U38:U69">MMULT($P$3:$AU$34,T$38:T$69)</f>
        <v>0</v>
      </c>
      <c r="V38" s="141">
        <f t="array" ref="V38:V69">MMULT($P$3:$AU$34,U$38:U$69)</f>
        <v>0</v>
      </c>
      <c r="W38" s="141">
        <f t="array" ref="W38:W69">MMULT($P$3:$AU$34,V$38:V$69)</f>
        <v>0</v>
      </c>
      <c r="X38" s="141">
        <f t="array" ref="X38:X69">MMULT($P$3:$AU$34,W$38:W$69)</f>
        <v>0</v>
      </c>
      <c r="Y38" s="141">
        <f t="array" ref="Y38:Y69">MMULT($P$3:$AU$34,X$38:X$69)</f>
        <v>0</v>
      </c>
      <c r="Z38" s="141">
        <f t="array" ref="Z38:Z69">MMULT($P$3:$AU$34,Y$38:Y$69)</f>
        <v>0</v>
      </c>
      <c r="AA38" s="141">
        <f t="array" ref="AA38:AA69">MMULT($P$3:$AU$34,Z$38:Z$69)</f>
        <v>0</v>
      </c>
      <c r="AB38" s="141">
        <f t="array" ref="AB38:AB69">MMULT($P$3:$AU$34,AA$38:AA$69)</f>
        <v>0</v>
      </c>
      <c r="AC38" s="141">
        <f t="array" ref="AC38:AC69">MMULT($P$3:$AU$34,AB$38:AB$69)</f>
        <v>0</v>
      </c>
      <c r="AD38" s="141">
        <f t="array" ref="AD38:AD69">MMULT($P$3:$AU$34,AC$38:AC$69)</f>
        <v>0</v>
      </c>
      <c r="AE38" s="141">
        <f t="array" ref="AE38:AE69">MMULT($P$3:$AU$34,AD$38:AD$69)</f>
        <v>0</v>
      </c>
      <c r="AF38" s="141">
        <f t="array" ref="AF38:AF69">MMULT($P$3:$AU$34,AE$38:AE$69)</f>
        <v>0</v>
      </c>
      <c r="AG38" s="141">
        <f t="array" ref="AG38:AG69">MMULT($P$3:$AU$34,AF$38:AF$69)</f>
        <v>0</v>
      </c>
      <c r="AH38" s="141">
        <f t="array" ref="AH38:AH69">MMULT($P$3:$AU$34,AG$38:AG$69)</f>
        <v>0</v>
      </c>
      <c r="AI38" s="141">
        <f t="array" ref="AI38:AI69">MMULT($P$3:$AU$34,AH$38:AH$69)</f>
        <v>0</v>
      </c>
      <c r="AJ38" s="141">
        <f t="array" ref="AJ38:AJ69">MMULT($P$3:$AU$34,AI$38:AI$69)</f>
        <v>0</v>
      </c>
      <c r="AK38" s="141">
        <f t="array" ref="AK38:AK69">MMULT($P$3:$AU$34,AJ$38:AJ$69)</f>
        <v>0</v>
      </c>
      <c r="AL38" s="141">
        <f t="array" ref="AL38:AL69">MMULT($P$3:$AU$34,AK$38:AK$69)</f>
        <v>0</v>
      </c>
      <c r="AM38" s="141">
        <f t="array" ref="AM38:AM69">MMULT($P$3:$AU$34,AL$38:AL$69)</f>
        <v>0</v>
      </c>
      <c r="AN38" s="141">
        <f t="array" ref="AN38:AN69">MMULT($P$3:$AU$34,AM$38:AM$69)</f>
        <v>0</v>
      </c>
      <c r="AO38" s="141">
        <f t="array" ref="AO38:AO69">MMULT($P$3:$AU$34,AN$38:AN$69)</f>
        <v>0</v>
      </c>
      <c r="AP38" s="141">
        <f t="array" ref="AP38:AP69">MMULT($P$3:$AU$34,AO$38:AO$69)</f>
        <v>0</v>
      </c>
      <c r="AQ38" s="141">
        <f t="array" ref="AQ38:AQ69">MMULT($P$3:$AU$34,AP$38:AP$69)</f>
        <v>0</v>
      </c>
      <c r="AR38" s="141">
        <f t="array" ref="AR38:AR69">MMULT($P$3:$AU$34,AQ$38:AQ$69)</f>
        <v>0</v>
      </c>
      <c r="AS38" s="141">
        <f t="array" ref="AS38:AS69">MMULT($P$3:$AU$34,AR$38:AR$69)</f>
        <v>0</v>
      </c>
      <c r="AT38" s="120">
        <f t="array" ref="AT38:AT69">MMULT($P$3:$AU$34,AS$38:AS$69)</f>
        <v>0</v>
      </c>
      <c r="AV38" s="140">
        <v>0</v>
      </c>
      <c r="AW38" s="142">
        <f t="shared" ref="AW38:AW53" si="8">AT54</f>
        <v>0</v>
      </c>
      <c r="AX38" s="1"/>
      <c r="AY38" s="1"/>
      <c r="AZ38" s="1"/>
      <c r="BA38" s="1"/>
      <c r="BB38" s="1"/>
    </row>
    <row r="39" spans="1:63" x14ac:dyDescent="0.15">
      <c r="A39" s="113">
        <f>'#&lt;prize&gt;'!A3</f>
        <v>2</v>
      </c>
      <c r="B39" s="47" t="s">
        <v>24</v>
      </c>
      <c r="C39" s="107">
        <v>1</v>
      </c>
      <c r="D39" s="108">
        <f t="shared" ref="D39:D56" si="9">C39/$C$57</f>
        <v>4.7824007651841227E-4</v>
      </c>
      <c r="E39" s="107">
        <f t="shared" si="7"/>
        <v>110.00000000000001</v>
      </c>
      <c r="F39" s="91">
        <f t="shared" ref="F39:F56" si="10">E39*D39</f>
        <v>5.2606408417025359E-2</v>
      </c>
      <c r="G39" s="1">
        <v>4</v>
      </c>
      <c r="H39" s="159">
        <f t="shared" ref="H39:H50" si="11">F39/$F$57</f>
        <v>3.4257240734973535E-2</v>
      </c>
      <c r="L39" s="143">
        <v>1</v>
      </c>
      <c r="M39" s="130">
        <v>0</v>
      </c>
      <c r="N39" s="1">
        <v>0</v>
      </c>
      <c r="O39" s="125">
        <f t="shared" ref="O39:O53" si="12">L39</f>
        <v>1</v>
      </c>
      <c r="P39" s="26">
        <f t="shared" ref="P39:P69" si="13">M39/$M$70</f>
        <v>0</v>
      </c>
      <c r="Q39" s="113">
        <v>0</v>
      </c>
      <c r="R39" s="113">
        <v>0</v>
      </c>
      <c r="S39" s="113">
        <v>0</v>
      </c>
      <c r="T39" s="113">
        <v>0</v>
      </c>
      <c r="U39" s="113">
        <v>0</v>
      </c>
      <c r="V39" s="113">
        <v>0</v>
      </c>
      <c r="W39" s="113">
        <v>0</v>
      </c>
      <c r="X39" s="113">
        <v>0</v>
      </c>
      <c r="Y39" s="113">
        <v>0</v>
      </c>
      <c r="Z39" s="113">
        <v>0</v>
      </c>
      <c r="AA39" s="113">
        <v>0</v>
      </c>
      <c r="AB39" s="113">
        <v>0</v>
      </c>
      <c r="AC39" s="113">
        <v>0</v>
      </c>
      <c r="AD39" s="113">
        <v>0</v>
      </c>
      <c r="AE39" s="113">
        <v>0</v>
      </c>
      <c r="AF39" s="113">
        <v>0</v>
      </c>
      <c r="AG39" s="113">
        <v>0</v>
      </c>
      <c r="AH39" s="113">
        <v>0</v>
      </c>
      <c r="AI39" s="113">
        <v>0</v>
      </c>
      <c r="AJ39" s="113">
        <v>0</v>
      </c>
      <c r="AK39" s="113">
        <v>0</v>
      </c>
      <c r="AL39" s="113">
        <v>0</v>
      </c>
      <c r="AM39" s="113">
        <v>0</v>
      </c>
      <c r="AN39" s="113">
        <v>0</v>
      </c>
      <c r="AO39" s="113">
        <v>0</v>
      </c>
      <c r="AP39" s="113">
        <v>0</v>
      </c>
      <c r="AQ39" s="113">
        <v>0</v>
      </c>
      <c r="AR39" s="113">
        <v>0</v>
      </c>
      <c r="AS39" s="113">
        <v>0</v>
      </c>
      <c r="AT39" s="130">
        <v>0</v>
      </c>
      <c r="AV39" s="140">
        <v>1</v>
      </c>
      <c r="AW39" s="142">
        <f t="shared" si="8"/>
        <v>0</v>
      </c>
      <c r="AX39" s="1"/>
      <c r="AY39" s="1"/>
      <c r="AZ39" s="1"/>
      <c r="BA39" s="1"/>
    </row>
    <row r="40" spans="1:63" x14ac:dyDescent="0.15">
      <c r="A40" s="113">
        <f>'#&lt;prize&gt;'!A4</f>
        <v>3</v>
      </c>
      <c r="B40" s="47" t="s">
        <v>25</v>
      </c>
      <c r="C40" s="107">
        <v>8</v>
      </c>
      <c r="D40" s="108">
        <f t="shared" si="9"/>
        <v>3.8259206121472981E-3</v>
      </c>
      <c r="E40" s="107">
        <f t="shared" si="7"/>
        <v>22</v>
      </c>
      <c r="F40" s="91">
        <f t="shared" si="10"/>
        <v>8.4170253467240552E-2</v>
      </c>
      <c r="G40" s="1">
        <v>4</v>
      </c>
      <c r="H40" s="159">
        <f t="shared" si="11"/>
        <v>5.481158517595764E-2</v>
      </c>
      <c r="L40" s="143">
        <v>2</v>
      </c>
      <c r="M40" s="130">
        <v>0</v>
      </c>
      <c r="N40" s="1">
        <v>0</v>
      </c>
      <c r="O40" s="125">
        <f t="shared" si="12"/>
        <v>2</v>
      </c>
      <c r="P40" s="26">
        <f t="shared" si="13"/>
        <v>0</v>
      </c>
      <c r="Q40" s="113">
        <v>0</v>
      </c>
      <c r="R40" s="113">
        <v>0</v>
      </c>
      <c r="S40" s="113">
        <v>0</v>
      </c>
      <c r="T40" s="113">
        <v>0</v>
      </c>
      <c r="U40" s="113">
        <v>0</v>
      </c>
      <c r="V40" s="113">
        <v>0</v>
      </c>
      <c r="W40" s="113">
        <v>0</v>
      </c>
      <c r="X40" s="113">
        <v>0</v>
      </c>
      <c r="Y40" s="113">
        <v>0</v>
      </c>
      <c r="Z40" s="113">
        <v>0</v>
      </c>
      <c r="AA40" s="113">
        <v>0</v>
      </c>
      <c r="AB40" s="113">
        <v>0</v>
      </c>
      <c r="AC40" s="113">
        <v>0</v>
      </c>
      <c r="AD40" s="113">
        <v>0</v>
      </c>
      <c r="AE40" s="113">
        <v>0</v>
      </c>
      <c r="AF40" s="113">
        <v>0</v>
      </c>
      <c r="AG40" s="113">
        <v>0</v>
      </c>
      <c r="AH40" s="113">
        <v>0</v>
      </c>
      <c r="AI40" s="113">
        <v>0</v>
      </c>
      <c r="AJ40" s="113">
        <v>0</v>
      </c>
      <c r="AK40" s="113">
        <v>0</v>
      </c>
      <c r="AL40" s="113">
        <v>0</v>
      </c>
      <c r="AM40" s="113">
        <v>0</v>
      </c>
      <c r="AN40" s="113">
        <v>0</v>
      </c>
      <c r="AO40" s="113">
        <v>0</v>
      </c>
      <c r="AP40" s="113">
        <v>0</v>
      </c>
      <c r="AQ40" s="113">
        <v>0</v>
      </c>
      <c r="AR40" s="113">
        <v>0</v>
      </c>
      <c r="AS40" s="113">
        <v>0</v>
      </c>
      <c r="AT40" s="130">
        <v>0</v>
      </c>
      <c r="AV40" s="140">
        <v>2</v>
      </c>
      <c r="AW40" s="142">
        <f t="shared" si="8"/>
        <v>0</v>
      </c>
      <c r="AX40" s="1"/>
      <c r="AY40" s="1"/>
      <c r="AZ40" s="1"/>
      <c r="BA40" s="1"/>
    </row>
    <row r="41" spans="1:63" x14ac:dyDescent="0.15">
      <c r="A41" s="113">
        <f>'#&lt;prize&gt;'!A5</f>
        <v>4</v>
      </c>
      <c r="B41" s="47" t="s">
        <v>26</v>
      </c>
      <c r="C41" s="107">
        <v>25</v>
      </c>
      <c r="D41" s="108">
        <f t="shared" si="9"/>
        <v>1.1956001912960305E-2</v>
      </c>
      <c r="E41" s="107">
        <f t="shared" si="7"/>
        <v>11</v>
      </c>
      <c r="F41" s="91">
        <f t="shared" si="10"/>
        <v>0.13151602104256335</v>
      </c>
      <c r="G41" s="1">
        <v>4</v>
      </c>
      <c r="H41" s="159">
        <f t="shared" si="11"/>
        <v>8.5643101837433816E-2</v>
      </c>
      <c r="L41" s="143">
        <v>3</v>
      </c>
      <c r="M41" s="130">
        <f>'Base Game '!R147</f>
        <v>3.5451003051425968E-4</v>
      </c>
      <c r="N41" s="1">
        <f>S22</f>
        <v>1.9701545966522249E-2</v>
      </c>
      <c r="O41" s="125">
        <f t="shared" si="12"/>
        <v>3</v>
      </c>
      <c r="P41" s="26">
        <f t="shared" si="13"/>
        <v>3.8752430077315249E-2</v>
      </c>
      <c r="Q41" s="113">
        <v>0</v>
      </c>
      <c r="R41" s="113">
        <v>0</v>
      </c>
      <c r="S41" s="113">
        <v>0</v>
      </c>
      <c r="T41" s="113">
        <v>0</v>
      </c>
      <c r="U41" s="113">
        <v>0</v>
      </c>
      <c r="V41" s="113">
        <v>0</v>
      </c>
      <c r="W41" s="113">
        <v>0</v>
      </c>
      <c r="X41" s="113">
        <v>0</v>
      </c>
      <c r="Y41" s="113">
        <v>0</v>
      </c>
      <c r="Z41" s="113">
        <v>0</v>
      </c>
      <c r="AA41" s="113">
        <v>0</v>
      </c>
      <c r="AB41" s="113">
        <v>0</v>
      </c>
      <c r="AC41" s="113">
        <v>0</v>
      </c>
      <c r="AD41" s="113">
        <v>0</v>
      </c>
      <c r="AE41" s="113">
        <v>0</v>
      </c>
      <c r="AF41" s="113">
        <v>0</v>
      </c>
      <c r="AG41" s="113">
        <v>0</v>
      </c>
      <c r="AH41" s="113">
        <v>0</v>
      </c>
      <c r="AI41" s="113">
        <v>0</v>
      </c>
      <c r="AJ41" s="113">
        <v>0</v>
      </c>
      <c r="AK41" s="113">
        <v>0</v>
      </c>
      <c r="AL41" s="113">
        <v>0</v>
      </c>
      <c r="AM41" s="113">
        <v>0</v>
      </c>
      <c r="AN41" s="113">
        <v>0</v>
      </c>
      <c r="AO41" s="113">
        <v>0</v>
      </c>
      <c r="AP41" s="113">
        <v>0</v>
      </c>
      <c r="AQ41" s="113">
        <v>0</v>
      </c>
      <c r="AR41" s="113">
        <v>0</v>
      </c>
      <c r="AS41" s="113">
        <v>0</v>
      </c>
      <c r="AT41" s="130">
        <v>0</v>
      </c>
      <c r="AV41" s="140">
        <v>3</v>
      </c>
      <c r="AW41" s="157">
        <f t="shared" si="8"/>
        <v>7.6348278248266569E-4</v>
      </c>
      <c r="AX41" s="1"/>
      <c r="AY41" s="1"/>
      <c r="AZ41" s="1"/>
      <c r="BA41" s="1"/>
    </row>
    <row r="42" spans="1:63" x14ac:dyDescent="0.15">
      <c r="A42" s="113">
        <f>'#&lt;prize&gt;'!A6</f>
        <v>5</v>
      </c>
      <c r="B42" s="47">
        <f t="shared" ref="B42:B51" si="14">B65</f>
        <v>5000</v>
      </c>
      <c r="C42" s="31">
        <v>2</v>
      </c>
      <c r="D42" s="108">
        <f t="shared" si="9"/>
        <v>9.5648015303682454E-4</v>
      </c>
      <c r="E42" s="107">
        <f t="shared" si="7"/>
        <v>50</v>
      </c>
      <c r="F42" s="91">
        <f t="shared" si="10"/>
        <v>4.7824007651841229E-2</v>
      </c>
      <c r="G42" s="1">
        <v>3</v>
      </c>
      <c r="H42" s="159">
        <f t="shared" si="11"/>
        <v>3.114294612270321E-2</v>
      </c>
      <c r="L42" s="143">
        <v>4</v>
      </c>
      <c r="M42" s="130">
        <f>'Base Game '!S147</f>
        <v>2.3104181086376278E-3</v>
      </c>
      <c r="N42" s="1">
        <f>T23</f>
        <v>2.7329096915691832E-2</v>
      </c>
      <c r="O42" s="125">
        <f t="shared" si="12"/>
        <v>4</v>
      </c>
      <c r="P42" s="26">
        <f t="shared" si="13"/>
        <v>0.25255792078566086</v>
      </c>
      <c r="Q42" s="113">
        <v>1.9846988982513664E-2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Z42" s="113">
        <v>0</v>
      </c>
      <c r="AA42" s="113">
        <v>0</v>
      </c>
      <c r="AB42" s="113">
        <v>0</v>
      </c>
      <c r="AC42" s="113">
        <v>0</v>
      </c>
      <c r="AD42" s="113">
        <v>0</v>
      </c>
      <c r="AE42" s="113">
        <v>0</v>
      </c>
      <c r="AF42" s="113">
        <v>0</v>
      </c>
      <c r="AG42" s="113">
        <v>0</v>
      </c>
      <c r="AH42" s="113">
        <v>0</v>
      </c>
      <c r="AI42" s="113">
        <v>0</v>
      </c>
      <c r="AJ42" s="113">
        <v>0</v>
      </c>
      <c r="AK42" s="113">
        <v>0</v>
      </c>
      <c r="AL42" s="113">
        <v>0</v>
      </c>
      <c r="AM42" s="113">
        <v>0</v>
      </c>
      <c r="AN42" s="113">
        <v>0</v>
      </c>
      <c r="AO42" s="113">
        <v>0</v>
      </c>
      <c r="AP42" s="113">
        <v>0</v>
      </c>
      <c r="AQ42" s="113">
        <v>0</v>
      </c>
      <c r="AR42" s="113">
        <v>0</v>
      </c>
      <c r="AS42" s="113">
        <v>0</v>
      </c>
      <c r="AT42" s="130">
        <v>0</v>
      </c>
      <c r="AV42" s="140">
        <v>4</v>
      </c>
      <c r="AW42" s="157">
        <f t="shared" si="8"/>
        <v>7.4445801793647298E-3</v>
      </c>
      <c r="AX42" s="1"/>
      <c r="AY42" s="1"/>
      <c r="AZ42" s="1"/>
      <c r="BA42" s="1"/>
    </row>
    <row r="43" spans="1:63" x14ac:dyDescent="0.15">
      <c r="A43" s="113">
        <f>'#&lt;prize&gt;'!A7</f>
        <v>6</v>
      </c>
      <c r="B43" s="47">
        <f t="shared" si="14"/>
        <v>2500</v>
      </c>
      <c r="C43" s="31">
        <v>3</v>
      </c>
      <c r="D43" s="108">
        <f t="shared" si="9"/>
        <v>1.4347202295552368E-3</v>
      </c>
      <c r="E43" s="107">
        <f t="shared" si="7"/>
        <v>25</v>
      </c>
      <c r="F43" s="91">
        <f t="shared" si="10"/>
        <v>3.5868005738880923E-2</v>
      </c>
      <c r="G43" s="1">
        <v>3</v>
      </c>
      <c r="H43" s="159">
        <f t="shared" si="11"/>
        <v>2.335720959202741E-2</v>
      </c>
      <c r="L43" s="143">
        <v>5</v>
      </c>
      <c r="M43" s="130">
        <f>'Base Game '!T147</f>
        <v>2.0545448994112709E-3</v>
      </c>
      <c r="N43" s="1">
        <f>U24</f>
        <v>3.7909691934653669E-2</v>
      </c>
      <c r="O43" s="125">
        <f t="shared" si="12"/>
        <v>5</v>
      </c>
      <c r="P43" s="26">
        <f t="shared" si="13"/>
        <v>0.22458774280559438</v>
      </c>
      <c r="Q43" s="113">
        <v>0.1488560780282043</v>
      </c>
      <c r="R43" s="113">
        <v>1.0738460706681446E-2</v>
      </c>
      <c r="S43" s="113">
        <v>0</v>
      </c>
      <c r="T43" s="113">
        <v>0</v>
      </c>
      <c r="U43" s="113">
        <v>0</v>
      </c>
      <c r="V43" s="113">
        <v>0</v>
      </c>
      <c r="W43" s="113">
        <v>0</v>
      </c>
      <c r="X43" s="113">
        <v>0</v>
      </c>
      <c r="Y43" s="113">
        <v>0</v>
      </c>
      <c r="Z43" s="113">
        <v>0</v>
      </c>
      <c r="AA43" s="113">
        <v>0</v>
      </c>
      <c r="AB43" s="113">
        <v>0</v>
      </c>
      <c r="AC43" s="113">
        <v>0</v>
      </c>
      <c r="AD43" s="113">
        <v>0</v>
      </c>
      <c r="AE43" s="113">
        <v>0</v>
      </c>
      <c r="AF43" s="113">
        <v>0</v>
      </c>
      <c r="AG43" s="113">
        <v>0</v>
      </c>
      <c r="AH43" s="113">
        <v>0</v>
      </c>
      <c r="AI43" s="113">
        <v>0</v>
      </c>
      <c r="AJ43" s="113">
        <v>0</v>
      </c>
      <c r="AK43" s="113">
        <v>0</v>
      </c>
      <c r="AL43" s="113">
        <v>0</v>
      </c>
      <c r="AM43" s="113">
        <v>0</v>
      </c>
      <c r="AN43" s="113">
        <v>0</v>
      </c>
      <c r="AO43" s="113">
        <v>0</v>
      </c>
      <c r="AP43" s="113">
        <v>0</v>
      </c>
      <c r="AQ43" s="113">
        <v>0</v>
      </c>
      <c r="AR43" s="113">
        <v>0</v>
      </c>
      <c r="AS43" s="113">
        <v>0</v>
      </c>
      <c r="AT43" s="130">
        <v>0</v>
      </c>
      <c r="AV43" s="140">
        <v>5</v>
      </c>
      <c r="AW43" s="157">
        <f t="shared" si="8"/>
        <v>1.4564231939951983E-2</v>
      </c>
      <c r="AX43" s="1"/>
      <c r="AY43" s="1"/>
      <c r="AZ43" s="1"/>
      <c r="BA43" s="1"/>
    </row>
    <row r="44" spans="1:63" x14ac:dyDescent="0.15">
      <c r="A44" s="113">
        <f>'#&lt;prize&gt;'!A8</f>
        <v>7</v>
      </c>
      <c r="B44" s="47">
        <f t="shared" si="14"/>
        <v>750</v>
      </c>
      <c r="C44" s="31">
        <v>80</v>
      </c>
      <c r="D44" s="108">
        <f t="shared" si="9"/>
        <v>3.8259206121472981E-2</v>
      </c>
      <c r="E44" s="107">
        <f t="shared" si="7"/>
        <v>7.5</v>
      </c>
      <c r="F44" s="91">
        <f t="shared" si="10"/>
        <v>0.28694404591104739</v>
      </c>
      <c r="G44" s="1">
        <v>3</v>
      </c>
      <c r="H44" s="159">
        <f t="shared" si="11"/>
        <v>0.18685767673621928</v>
      </c>
      <c r="L44" s="143">
        <v>6</v>
      </c>
      <c r="M44" s="130">
        <f>'Base Game '!U146+'Base Game '!O157+'Base Game '!P157+'Base Game '!Q157+'Base Game '!R157+'Base Game '!S157</f>
        <v>4.2991739563070291E-3</v>
      </c>
      <c r="N44" s="1">
        <f>V25</f>
        <v>8.992187092702289E-3</v>
      </c>
      <c r="O44" s="125">
        <f t="shared" si="12"/>
        <v>6</v>
      </c>
      <c r="P44" s="26">
        <f>M44/$M$70</f>
        <v>0.46995408815464113</v>
      </c>
      <c r="Q44" s="113">
        <v>0.20892650887456926</v>
      </c>
      <c r="R44" s="113">
        <v>9.0764589383328875E-2</v>
      </c>
      <c r="S44" s="113">
        <v>6.1140535981423624E-3</v>
      </c>
      <c r="T44" s="113">
        <v>0</v>
      </c>
      <c r="U44" s="113">
        <v>0</v>
      </c>
      <c r="V44" s="113">
        <v>0</v>
      </c>
      <c r="W44" s="113">
        <v>0</v>
      </c>
      <c r="X44" s="113">
        <v>0</v>
      </c>
      <c r="Y44" s="113">
        <v>0</v>
      </c>
      <c r="Z44" s="113">
        <v>0</v>
      </c>
      <c r="AA44" s="113">
        <v>0</v>
      </c>
      <c r="AB44" s="113">
        <v>0</v>
      </c>
      <c r="AC44" s="113">
        <v>0</v>
      </c>
      <c r="AD44" s="113">
        <v>0</v>
      </c>
      <c r="AE44" s="113">
        <v>0</v>
      </c>
      <c r="AF44" s="113">
        <v>0</v>
      </c>
      <c r="AG44" s="113">
        <v>0</v>
      </c>
      <c r="AH44" s="113">
        <v>0</v>
      </c>
      <c r="AI44" s="113">
        <v>0</v>
      </c>
      <c r="AJ44" s="113">
        <v>0</v>
      </c>
      <c r="AK44" s="113">
        <v>0</v>
      </c>
      <c r="AL44" s="113">
        <v>0</v>
      </c>
      <c r="AM44" s="113">
        <v>0</v>
      </c>
      <c r="AN44" s="113">
        <v>0</v>
      </c>
      <c r="AO44" s="113">
        <v>0</v>
      </c>
      <c r="AP44" s="113">
        <v>0</v>
      </c>
      <c r="AQ44" s="113">
        <v>0</v>
      </c>
      <c r="AR44" s="113">
        <v>0</v>
      </c>
      <c r="AS44" s="113">
        <v>0</v>
      </c>
      <c r="AT44" s="130">
        <v>0</v>
      </c>
      <c r="AV44" s="140">
        <v>6</v>
      </c>
      <c r="AW44" s="157">
        <f t="shared" si="8"/>
        <v>6.9757722250685878E-3</v>
      </c>
      <c r="AX44" s="1"/>
      <c r="AY44" s="1"/>
      <c r="AZ44" s="1"/>
      <c r="BA44" s="1"/>
    </row>
    <row r="45" spans="1:63" x14ac:dyDescent="0.15">
      <c r="A45" s="113">
        <f>'#&lt;prize&gt;'!A9</f>
        <v>8</v>
      </c>
      <c r="B45" s="47">
        <f t="shared" si="14"/>
        <v>500</v>
      </c>
      <c r="C45" s="107">
        <v>100</v>
      </c>
      <c r="D45" s="108">
        <f t="shared" si="9"/>
        <v>4.7824007651841222E-2</v>
      </c>
      <c r="E45" s="107">
        <f t="shared" si="7"/>
        <v>5</v>
      </c>
      <c r="F45" s="91">
        <f t="shared" si="10"/>
        <v>0.23912003825920611</v>
      </c>
      <c r="G45" s="1">
        <v>3</v>
      </c>
      <c r="H45" s="159">
        <f t="shared" si="11"/>
        <v>0.15571473061351604</v>
      </c>
      <c r="L45" s="143">
        <v>7</v>
      </c>
      <c r="M45" s="130">
        <f>'Base Game '!V146</f>
        <v>1.1023510720229116E-4</v>
      </c>
      <c r="N45" s="1">
        <f>W26</f>
        <v>2.9353469944191288E-2</v>
      </c>
      <c r="O45" s="125">
        <f t="shared" si="12"/>
        <v>7</v>
      </c>
      <c r="P45" s="26">
        <f t="shared" si="13"/>
        <v>1.2050091439515159E-2</v>
      </c>
      <c r="Q45" s="113">
        <v>0.31266059133428165</v>
      </c>
      <c r="R45" s="113">
        <v>0.14315816845977941</v>
      </c>
      <c r="S45" s="113">
        <v>4.5820019854304075E-2</v>
      </c>
      <c r="T45" s="113">
        <v>2.8786821961196449E-3</v>
      </c>
      <c r="U45" s="113">
        <v>0</v>
      </c>
      <c r="V45" s="113">
        <v>0</v>
      </c>
      <c r="W45" s="113">
        <v>0</v>
      </c>
      <c r="X45" s="113">
        <v>0</v>
      </c>
      <c r="Y45" s="113">
        <v>0</v>
      </c>
      <c r="Z45" s="113">
        <v>0</v>
      </c>
      <c r="AA45" s="113">
        <v>0</v>
      </c>
      <c r="AB45" s="113">
        <v>0</v>
      </c>
      <c r="AC45" s="113">
        <v>0</v>
      </c>
      <c r="AD45" s="113">
        <v>0</v>
      </c>
      <c r="AE45" s="113">
        <v>0</v>
      </c>
      <c r="AF45" s="113">
        <v>0</v>
      </c>
      <c r="AG45" s="113">
        <v>0</v>
      </c>
      <c r="AH45" s="113">
        <v>0</v>
      </c>
      <c r="AI45" s="113">
        <v>0</v>
      </c>
      <c r="AJ45" s="113">
        <v>0</v>
      </c>
      <c r="AK45" s="113">
        <v>0</v>
      </c>
      <c r="AL45" s="113">
        <v>0</v>
      </c>
      <c r="AM45" s="113">
        <v>0</v>
      </c>
      <c r="AN45" s="113">
        <v>0</v>
      </c>
      <c r="AO45" s="113">
        <v>0</v>
      </c>
      <c r="AP45" s="113">
        <v>0</v>
      </c>
      <c r="AQ45" s="113">
        <v>0</v>
      </c>
      <c r="AR45" s="113">
        <v>0</v>
      </c>
      <c r="AS45" s="113">
        <v>0</v>
      </c>
      <c r="AT45" s="130">
        <v>0</v>
      </c>
      <c r="AV45" s="140">
        <v>7</v>
      </c>
      <c r="AW45" s="157">
        <f t="shared" si="8"/>
        <v>1.5163050149466322E-2</v>
      </c>
      <c r="AX45" s="1"/>
      <c r="AY45" s="1"/>
      <c r="AZ45" s="1"/>
      <c r="BA45" s="1"/>
    </row>
    <row r="46" spans="1:63" x14ac:dyDescent="0.15">
      <c r="A46" s="113">
        <f>'#&lt;prize&gt;'!A10</f>
        <v>9</v>
      </c>
      <c r="B46" s="47">
        <f t="shared" si="14"/>
        <v>250</v>
      </c>
      <c r="C46" s="107">
        <v>250</v>
      </c>
      <c r="D46" s="108">
        <f t="shared" si="9"/>
        <v>0.11956001912960305</v>
      </c>
      <c r="E46" s="107">
        <f t="shared" si="7"/>
        <v>2.5</v>
      </c>
      <c r="F46" s="91">
        <f t="shared" si="10"/>
        <v>0.29890004782400764</v>
      </c>
      <c r="G46" s="1">
        <v>2</v>
      </c>
      <c r="H46" s="159">
        <f t="shared" si="11"/>
        <v>0.19464341326689505</v>
      </c>
      <c r="L46" s="143">
        <v>8</v>
      </c>
      <c r="M46" s="130">
        <f>'Base Game '!W146</f>
        <v>1.6725801764859802E-5</v>
      </c>
      <c r="N46" s="1">
        <f>X27</f>
        <v>0.21784215250621022</v>
      </c>
      <c r="O46" s="125">
        <f t="shared" si="12"/>
        <v>8</v>
      </c>
      <c r="P46" s="26">
        <f t="shared" si="13"/>
        <v>1.8283416760860702E-3</v>
      </c>
      <c r="Q46" s="113">
        <v>0.1896942836792028</v>
      </c>
      <c r="R46" s="113">
        <v>0.25921997726463381</v>
      </c>
      <c r="S46" s="113">
        <v>0.11190145889924294</v>
      </c>
      <c r="T46" s="113">
        <v>2.7827101551984354E-2</v>
      </c>
      <c r="U46" s="113">
        <v>1.6194239239843819E-3</v>
      </c>
      <c r="V46" s="113">
        <v>0</v>
      </c>
      <c r="W46" s="113">
        <v>0</v>
      </c>
      <c r="X46" s="113">
        <v>0</v>
      </c>
      <c r="Y46" s="113">
        <v>0</v>
      </c>
      <c r="Z46" s="113">
        <v>0</v>
      </c>
      <c r="AA46" s="113">
        <v>0</v>
      </c>
      <c r="AB46" s="113">
        <v>0</v>
      </c>
      <c r="AC46" s="113">
        <v>0</v>
      </c>
      <c r="AD46" s="113">
        <v>0</v>
      </c>
      <c r="AE46" s="113">
        <v>0</v>
      </c>
      <c r="AF46" s="113">
        <v>0</v>
      </c>
      <c r="AG46" s="113">
        <v>0</v>
      </c>
      <c r="AH46" s="113">
        <v>0</v>
      </c>
      <c r="AI46" s="113">
        <v>0</v>
      </c>
      <c r="AJ46" s="113">
        <v>0</v>
      </c>
      <c r="AK46" s="113">
        <v>0</v>
      </c>
      <c r="AL46" s="113">
        <v>0</v>
      </c>
      <c r="AM46" s="113">
        <v>0</v>
      </c>
      <c r="AN46" s="113">
        <v>0</v>
      </c>
      <c r="AO46" s="113">
        <v>0</v>
      </c>
      <c r="AP46" s="113">
        <v>0</v>
      </c>
      <c r="AQ46" s="113">
        <v>0</v>
      </c>
      <c r="AR46" s="113">
        <v>0</v>
      </c>
      <c r="AS46" s="113">
        <v>0</v>
      </c>
      <c r="AT46" s="130">
        <v>0</v>
      </c>
      <c r="AV46" s="140">
        <v>8</v>
      </c>
      <c r="AW46" s="157">
        <f t="shared" si="8"/>
        <v>0.12898228794968558</v>
      </c>
      <c r="AX46" s="1"/>
      <c r="AY46" s="1"/>
      <c r="AZ46" s="1"/>
      <c r="BA46" s="1"/>
    </row>
    <row r="47" spans="1:63" x14ac:dyDescent="0.15">
      <c r="A47" s="113">
        <f>'#&lt;prize&gt;'!A11</f>
        <v>10</v>
      </c>
      <c r="B47" s="47">
        <f t="shared" si="14"/>
        <v>200</v>
      </c>
      <c r="C47" s="107">
        <v>300</v>
      </c>
      <c r="D47" s="108">
        <f t="shared" si="9"/>
        <v>0.14347202295552366</v>
      </c>
      <c r="E47" s="107">
        <f t="shared" si="7"/>
        <v>2</v>
      </c>
      <c r="F47" s="91">
        <f t="shared" si="10"/>
        <v>0.28694404591104733</v>
      </c>
      <c r="G47" s="1">
        <v>2</v>
      </c>
      <c r="H47" s="159">
        <f t="shared" si="11"/>
        <v>0.18685767673621922</v>
      </c>
      <c r="L47" s="143">
        <v>9</v>
      </c>
      <c r="M47" s="130">
        <f>'Base Game '!X146</f>
        <v>2.1933805038517392E-6</v>
      </c>
      <c r="N47" s="1">
        <f>Y28</f>
        <v>0.27082769529725015</v>
      </c>
      <c r="O47" s="125">
        <f t="shared" si="12"/>
        <v>9</v>
      </c>
      <c r="P47" s="26">
        <f t="shared" si="13"/>
        <v>2.397642303242025E-4</v>
      </c>
      <c r="Q47" s="113">
        <v>7.5103446864767581E-2</v>
      </c>
      <c r="R47" s="113">
        <v>0.24308047754040429</v>
      </c>
      <c r="S47" s="113">
        <v>0.21691862112649501</v>
      </c>
      <c r="T47" s="113">
        <v>8.4179469759295522E-2</v>
      </c>
      <c r="U47" s="113">
        <v>1.8182177130715814E-2</v>
      </c>
      <c r="V47" s="113">
        <v>1.008183004699795E-3</v>
      </c>
      <c r="W47" s="113">
        <v>0</v>
      </c>
      <c r="X47" s="113">
        <v>0</v>
      </c>
      <c r="Y47" s="113">
        <v>0</v>
      </c>
      <c r="Z47" s="113">
        <v>0</v>
      </c>
      <c r="AA47" s="113">
        <v>0</v>
      </c>
      <c r="AB47" s="113">
        <v>0</v>
      </c>
      <c r="AC47" s="113">
        <v>0</v>
      </c>
      <c r="AD47" s="113">
        <v>0</v>
      </c>
      <c r="AE47" s="113">
        <v>0</v>
      </c>
      <c r="AF47" s="113">
        <v>0</v>
      </c>
      <c r="AG47" s="113">
        <v>0</v>
      </c>
      <c r="AH47" s="113">
        <v>0</v>
      </c>
      <c r="AI47" s="113">
        <v>0</v>
      </c>
      <c r="AJ47" s="113">
        <v>0</v>
      </c>
      <c r="AK47" s="113">
        <v>0</v>
      </c>
      <c r="AL47" s="113">
        <v>0</v>
      </c>
      <c r="AM47" s="113">
        <v>0</v>
      </c>
      <c r="AN47" s="113">
        <v>0</v>
      </c>
      <c r="AO47" s="113">
        <v>0</v>
      </c>
      <c r="AP47" s="113">
        <v>0</v>
      </c>
      <c r="AQ47" s="113">
        <v>0</v>
      </c>
      <c r="AR47" s="113">
        <v>0</v>
      </c>
      <c r="AS47" s="113">
        <v>0</v>
      </c>
      <c r="AT47" s="130">
        <v>0</v>
      </c>
      <c r="AV47" s="140">
        <v>9</v>
      </c>
      <c r="AW47" s="157">
        <f t="shared" si="8"/>
        <v>0.17298093674160001</v>
      </c>
      <c r="AX47" s="1"/>
      <c r="AY47" s="1"/>
      <c r="AZ47" s="1"/>
      <c r="BA47" s="1"/>
    </row>
    <row r="48" spans="1:63" x14ac:dyDescent="0.15">
      <c r="A48" s="113">
        <f>'#&lt;prize&gt;'!A12</f>
        <v>11</v>
      </c>
      <c r="B48" s="47">
        <f t="shared" si="14"/>
        <v>150</v>
      </c>
      <c r="C48" s="107">
        <v>100</v>
      </c>
      <c r="D48" s="108">
        <f t="shared" si="9"/>
        <v>4.7824007651841222E-2</v>
      </c>
      <c r="E48" s="107">
        <f t="shared" si="7"/>
        <v>1.5</v>
      </c>
      <c r="F48" s="91">
        <f t="shared" si="10"/>
        <v>7.1736011477761832E-2</v>
      </c>
      <c r="G48" s="1">
        <v>2</v>
      </c>
      <c r="H48" s="159">
        <f t="shared" si="11"/>
        <v>4.6714419184054806E-2</v>
      </c>
      <c r="L48" s="143">
        <v>10</v>
      </c>
      <c r="M48" s="130">
        <f>'Base Game '!Y146</f>
        <v>2.4619266420619639E-7</v>
      </c>
      <c r="N48" s="1">
        <f>Z29</f>
        <v>0.36490025183143743</v>
      </c>
      <c r="O48" s="125">
        <f t="shared" si="12"/>
        <v>10</v>
      </c>
      <c r="P48" s="26">
        <f t="shared" si="13"/>
        <v>2.6911971972580963E-5</v>
      </c>
      <c r="Q48" s="113">
        <v>1.9727219053890809E-2</v>
      </c>
      <c r="R48" s="113">
        <v>0.10846510579178859</v>
      </c>
      <c r="S48" s="113">
        <v>0.1995300956774736</v>
      </c>
      <c r="T48" s="113">
        <v>0.15102536972417685</v>
      </c>
      <c r="U48" s="113">
        <v>5.4978163117070079E-2</v>
      </c>
      <c r="V48" s="113">
        <v>1.1201359704605587E-2</v>
      </c>
      <c r="W48" s="113">
        <v>6.0848067212734423E-4</v>
      </c>
      <c r="X48" s="113">
        <v>0</v>
      </c>
      <c r="Y48" s="113">
        <v>0</v>
      </c>
      <c r="Z48" s="113">
        <v>0</v>
      </c>
      <c r="AA48" s="113">
        <v>0</v>
      </c>
      <c r="AB48" s="113">
        <v>0</v>
      </c>
      <c r="AC48" s="113">
        <v>0</v>
      </c>
      <c r="AD48" s="113">
        <v>0</v>
      </c>
      <c r="AE48" s="113">
        <v>0</v>
      </c>
      <c r="AF48" s="113">
        <v>0</v>
      </c>
      <c r="AG48" s="113">
        <v>0</v>
      </c>
      <c r="AH48" s="113">
        <v>0</v>
      </c>
      <c r="AI48" s="113">
        <v>0</v>
      </c>
      <c r="AJ48" s="113">
        <v>0</v>
      </c>
      <c r="AK48" s="113">
        <v>0</v>
      </c>
      <c r="AL48" s="113">
        <v>0</v>
      </c>
      <c r="AM48" s="113">
        <v>0</v>
      </c>
      <c r="AN48" s="113">
        <v>0</v>
      </c>
      <c r="AO48" s="113">
        <v>0</v>
      </c>
      <c r="AP48" s="113">
        <v>0</v>
      </c>
      <c r="AQ48" s="113">
        <v>0</v>
      </c>
      <c r="AR48" s="113">
        <v>0</v>
      </c>
      <c r="AS48" s="113">
        <v>0</v>
      </c>
      <c r="AT48" s="130">
        <v>0</v>
      </c>
      <c r="AV48" s="140">
        <v>10</v>
      </c>
      <c r="AW48" s="157">
        <f t="shared" si="8"/>
        <v>0.19907596870455257</v>
      </c>
      <c r="AX48" s="1"/>
      <c r="AY48" s="1"/>
      <c r="AZ48" s="1"/>
      <c r="BA48" s="1"/>
    </row>
    <row r="49" spans="1:53" x14ac:dyDescent="0.15">
      <c r="A49" s="113">
        <f>'#&lt;prize&gt;'!A13</f>
        <v>12</v>
      </c>
      <c r="B49" s="47">
        <f t="shared" si="14"/>
        <v>100</v>
      </c>
      <c r="C49" s="107">
        <v>0</v>
      </c>
      <c r="D49" s="108">
        <f t="shared" si="9"/>
        <v>0</v>
      </c>
      <c r="E49" s="107">
        <f t="shared" si="7"/>
        <v>1</v>
      </c>
      <c r="F49" s="91">
        <f t="shared" si="10"/>
        <v>0</v>
      </c>
      <c r="G49" s="1">
        <v>1</v>
      </c>
      <c r="H49" s="159">
        <f t="shared" si="11"/>
        <v>0</v>
      </c>
      <c r="L49" s="143">
        <v>11</v>
      </c>
      <c r="M49" s="130">
        <f>'Base Game '!Z146</f>
        <v>2.2928041680600517E-8</v>
      </c>
      <c r="N49" s="1">
        <f>AA30</f>
        <v>0.47592031481425345</v>
      </c>
      <c r="O49" s="125">
        <f t="shared" si="12"/>
        <v>11</v>
      </c>
      <c r="P49" s="26">
        <f t="shared" si="13"/>
        <v>2.5063249430441766E-6</v>
      </c>
      <c r="Q49" s="113">
        <v>3.5004431509539184E-3</v>
      </c>
      <c r="R49" s="113">
        <v>2.9596337094944539E-2</v>
      </c>
      <c r="S49" s="113">
        <v>9.5205012423882213E-2</v>
      </c>
      <c r="T49" s="113">
        <v>0.1377226133656515</v>
      </c>
      <c r="U49" s="113">
        <v>9.3575280490029417E-2</v>
      </c>
      <c r="V49" s="113">
        <v>3.2481046540559014E-2</v>
      </c>
      <c r="W49" s="113">
        <v>6.3057172091668494E-3</v>
      </c>
      <c r="X49" s="113">
        <v>3.3631957953226209E-4</v>
      </c>
      <c r="Y49" s="113">
        <v>0</v>
      </c>
      <c r="Z49" s="113">
        <v>0</v>
      </c>
      <c r="AA49" s="113">
        <v>0</v>
      </c>
      <c r="AB49" s="113">
        <v>0</v>
      </c>
      <c r="AC49" s="113">
        <v>0</v>
      </c>
      <c r="AD49" s="113">
        <v>0</v>
      </c>
      <c r="AE49" s="113">
        <v>0</v>
      </c>
      <c r="AF49" s="113">
        <v>0</v>
      </c>
      <c r="AG49" s="113">
        <v>0</v>
      </c>
      <c r="AH49" s="113">
        <v>0</v>
      </c>
      <c r="AI49" s="113">
        <v>0</v>
      </c>
      <c r="AJ49" s="113">
        <v>0</v>
      </c>
      <c r="AK49" s="113">
        <v>0</v>
      </c>
      <c r="AL49" s="113">
        <v>0</v>
      </c>
      <c r="AM49" s="113">
        <v>0</v>
      </c>
      <c r="AN49" s="113">
        <v>0</v>
      </c>
      <c r="AO49" s="113">
        <v>0</v>
      </c>
      <c r="AP49" s="113">
        <v>0</v>
      </c>
      <c r="AQ49" s="113">
        <v>0</v>
      </c>
      <c r="AR49" s="113">
        <v>0</v>
      </c>
      <c r="AS49" s="113">
        <v>0</v>
      </c>
      <c r="AT49" s="130">
        <v>0</v>
      </c>
      <c r="AV49" s="140">
        <v>11</v>
      </c>
      <c r="AW49" s="157">
        <f t="shared" si="8"/>
        <v>0.18976145896382524</v>
      </c>
      <c r="AX49" s="1"/>
      <c r="AY49" s="1"/>
      <c r="AZ49" s="1"/>
      <c r="BA49" s="1"/>
    </row>
    <row r="50" spans="1:53" ht="15.75" thickBot="1" x14ac:dyDescent="0.2">
      <c r="A50" s="113">
        <f>'#&lt;prize&gt;'!A14</f>
        <v>13</v>
      </c>
      <c r="B50" s="47">
        <f t="shared" si="14"/>
        <v>50</v>
      </c>
      <c r="C50" s="107">
        <v>0</v>
      </c>
      <c r="D50" s="108">
        <f t="shared" si="9"/>
        <v>0</v>
      </c>
      <c r="E50" s="107">
        <f t="shared" si="7"/>
        <v>0.5</v>
      </c>
      <c r="F50" s="91">
        <f t="shared" si="10"/>
        <v>0</v>
      </c>
      <c r="G50" s="1">
        <v>1</v>
      </c>
      <c r="H50" s="159">
        <f t="shared" si="11"/>
        <v>0</v>
      </c>
      <c r="L50" s="143">
        <v>12</v>
      </c>
      <c r="M50" s="130">
        <f>'Base Game '!AA146</f>
        <v>1.7465807702802704E-9</v>
      </c>
      <c r="N50" s="1">
        <f>AB31</f>
        <v>0.62035038666599418</v>
      </c>
      <c r="O50" s="125">
        <f t="shared" si="12"/>
        <v>12</v>
      </c>
      <c r="P50" s="26">
        <f t="shared" si="13"/>
        <v>1.9092336844880073E-7</v>
      </c>
      <c r="Q50" s="113">
        <v>4.171171488786324E-4</v>
      </c>
      <c r="R50" s="113">
        <v>5.1192285229566137E-3</v>
      </c>
      <c r="S50" s="113">
        <v>2.592642151009214E-2</v>
      </c>
      <c r="T50" s="113">
        <v>6.3419600411701443E-2</v>
      </c>
      <c r="U50" s="113">
        <v>7.8231496875072457E-2</v>
      </c>
      <c r="V50" s="113">
        <v>4.9021734241679812E-2</v>
      </c>
      <c r="W50" s="113">
        <v>1.6349077411486043E-2</v>
      </c>
      <c r="X50" s="113">
        <v>3.0513492029795434E-3</v>
      </c>
      <c r="Y50" s="113">
        <v>1.6025168967388244E-4</v>
      </c>
      <c r="Z50" s="113">
        <v>0</v>
      </c>
      <c r="AA50" s="113">
        <v>0</v>
      </c>
      <c r="AB50" s="113">
        <v>0</v>
      </c>
      <c r="AC50" s="113">
        <v>0</v>
      </c>
      <c r="AD50" s="113">
        <v>0</v>
      </c>
      <c r="AE50" s="113">
        <v>0</v>
      </c>
      <c r="AF50" s="113">
        <v>0</v>
      </c>
      <c r="AG50" s="113">
        <v>0</v>
      </c>
      <c r="AH50" s="113">
        <v>0</v>
      </c>
      <c r="AI50" s="113">
        <v>0</v>
      </c>
      <c r="AJ50" s="113">
        <v>0</v>
      </c>
      <c r="AK50" s="113">
        <v>0</v>
      </c>
      <c r="AL50" s="113">
        <v>0</v>
      </c>
      <c r="AM50" s="113">
        <v>0</v>
      </c>
      <c r="AN50" s="113">
        <v>0</v>
      </c>
      <c r="AO50" s="113">
        <v>0</v>
      </c>
      <c r="AP50" s="113">
        <v>0</v>
      </c>
      <c r="AQ50" s="113">
        <v>0</v>
      </c>
      <c r="AR50" s="113">
        <v>0</v>
      </c>
      <c r="AS50" s="113">
        <v>0</v>
      </c>
      <c r="AT50" s="130">
        <v>0</v>
      </c>
      <c r="AV50" s="140">
        <v>12</v>
      </c>
      <c r="AW50" s="157">
        <f t="shared" si="8"/>
        <v>0.1499364973410745</v>
      </c>
      <c r="AX50" s="1"/>
      <c r="AY50" s="1"/>
      <c r="AZ50" s="1"/>
      <c r="BA50" s="1"/>
    </row>
    <row r="51" spans="1:53" x14ac:dyDescent="0.15">
      <c r="A51" s="113">
        <v>1000</v>
      </c>
      <c r="B51" s="47" t="str">
        <f t="shared" si="14"/>
        <v>x10</v>
      </c>
      <c r="C51" s="31">
        <v>2</v>
      </c>
      <c r="D51" s="108">
        <f t="shared" si="9"/>
        <v>9.5648015303682454E-4</v>
      </c>
      <c r="E51" s="107">
        <f t="shared" si="7"/>
        <v>10</v>
      </c>
      <c r="F51" s="91">
        <f t="shared" si="10"/>
        <v>9.5648015303682454E-3</v>
      </c>
      <c r="G51" s="1">
        <v>5</v>
      </c>
      <c r="H51" s="294">
        <f>F51/SUM($F$51:$F$56)</f>
        <v>5.9435364041604752E-3</v>
      </c>
      <c r="L51" s="143">
        <v>13</v>
      </c>
      <c r="M51" s="130">
        <f>'Base Game '!AB146</f>
        <v>1.0228490705301066E-10</v>
      </c>
      <c r="N51" s="1">
        <f>AC32</f>
        <v>0.92255640800399996</v>
      </c>
      <c r="O51" s="125">
        <f t="shared" si="12"/>
        <v>13</v>
      </c>
      <c r="P51" s="26">
        <f t="shared" si="13"/>
        <v>1.118103401132693E-8</v>
      </c>
      <c r="Q51" s="113">
        <v>3.2134509811149203E-5</v>
      </c>
      <c r="R51" s="113">
        <v>5.3826738263047769E-4</v>
      </c>
      <c r="S51" s="113">
        <v>3.9720041553363197E-3</v>
      </c>
      <c r="T51" s="113">
        <v>1.4890569192987649E-2</v>
      </c>
      <c r="U51" s="113">
        <v>2.9961847125340231E-2</v>
      </c>
      <c r="V51" s="113">
        <v>3.2718864940498332E-2</v>
      </c>
      <c r="W51" s="113">
        <v>1.9178236223358559E-2</v>
      </c>
      <c r="X51" s="113">
        <v>6.1726238457349095E-3</v>
      </c>
      <c r="Y51" s="113">
        <v>1.1130883593726093E-3</v>
      </c>
      <c r="Z51" s="113">
        <v>5.7651713194878826E-5</v>
      </c>
      <c r="AA51" s="113">
        <v>0</v>
      </c>
      <c r="AB51" s="113">
        <v>0</v>
      </c>
      <c r="AC51" s="113">
        <v>0</v>
      </c>
      <c r="AD51" s="113">
        <v>0</v>
      </c>
      <c r="AE51" s="113">
        <v>0</v>
      </c>
      <c r="AF51" s="113">
        <v>0</v>
      </c>
      <c r="AG51" s="113">
        <v>0</v>
      </c>
      <c r="AH51" s="113">
        <v>0</v>
      </c>
      <c r="AI51" s="113">
        <v>0</v>
      </c>
      <c r="AJ51" s="113">
        <v>0</v>
      </c>
      <c r="AK51" s="113">
        <v>0</v>
      </c>
      <c r="AL51" s="113">
        <v>0</v>
      </c>
      <c r="AM51" s="113">
        <v>0</v>
      </c>
      <c r="AN51" s="113">
        <v>0</v>
      </c>
      <c r="AO51" s="113">
        <v>0</v>
      </c>
      <c r="AP51" s="113">
        <v>0</v>
      </c>
      <c r="AQ51" s="113">
        <v>0</v>
      </c>
      <c r="AR51" s="113">
        <v>0</v>
      </c>
      <c r="AS51" s="113">
        <v>0</v>
      </c>
      <c r="AT51" s="130">
        <v>0</v>
      </c>
      <c r="AV51" s="140">
        <v>13</v>
      </c>
      <c r="AW51" s="157">
        <f t="shared" si="8"/>
        <v>0.10022219088588806</v>
      </c>
      <c r="AX51" s="1"/>
      <c r="AY51" s="1"/>
      <c r="AZ51" s="1"/>
      <c r="BA51" s="1"/>
    </row>
    <row r="52" spans="1:53" x14ac:dyDescent="0.15">
      <c r="A52" s="113">
        <v>800</v>
      </c>
      <c r="B52" s="47" t="s">
        <v>255</v>
      </c>
      <c r="C52" s="31">
        <v>5</v>
      </c>
      <c r="D52" s="108">
        <f t="shared" si="9"/>
        <v>2.3912003825920613E-3</v>
      </c>
      <c r="E52" s="31">
        <v>8</v>
      </c>
      <c r="F52" s="91">
        <f t="shared" si="10"/>
        <v>1.9129603060736491E-2</v>
      </c>
      <c r="G52" s="1">
        <v>5</v>
      </c>
      <c r="H52" s="295">
        <f t="shared" ref="H52:H56" si="15">F52/SUM($F$51:$F$56)</f>
        <v>1.188707280832095E-2</v>
      </c>
      <c r="L52" s="143">
        <v>14</v>
      </c>
      <c r="M52" s="130">
        <f>'Base Game '!AC146</f>
        <v>3.8632788635129923E-12</v>
      </c>
      <c r="N52" s="1">
        <f>AD33</f>
        <v>0.997002999</v>
      </c>
      <c r="O52" s="125">
        <f t="shared" si="12"/>
        <v>14</v>
      </c>
      <c r="P52" s="26">
        <f t="shared" si="13"/>
        <v>4.2230524143500989E-10</v>
      </c>
      <c r="Q52" s="113">
        <v>1.4503704013324596E-6</v>
      </c>
      <c r="R52" s="113">
        <v>2.5621312678886737E-5</v>
      </c>
      <c r="S52" s="113">
        <v>2.2535585057484461E-4</v>
      </c>
      <c r="T52" s="113">
        <v>1.038427218925926E-3</v>
      </c>
      <c r="U52" s="113">
        <v>2.6806939126070759E-3</v>
      </c>
      <c r="V52" s="113">
        <v>4.0236070036387874E-3</v>
      </c>
      <c r="W52" s="113">
        <v>3.5377511003675663E-3</v>
      </c>
      <c r="X52" s="113">
        <v>1.8058452888383011E-3</v>
      </c>
      <c r="Y52" s="113">
        <v>5.3470587870311798E-4</v>
      </c>
      <c r="Z52" s="113">
        <v>8.8684440800656481E-5</v>
      </c>
      <c r="AA52" s="113">
        <v>4.4311881365390198E-6</v>
      </c>
      <c r="AB52" s="113">
        <v>0</v>
      </c>
      <c r="AC52" s="113">
        <v>0</v>
      </c>
      <c r="AD52" s="113">
        <v>0</v>
      </c>
      <c r="AE52" s="113">
        <v>0</v>
      </c>
      <c r="AF52" s="113">
        <v>0</v>
      </c>
      <c r="AG52" s="113">
        <v>0</v>
      </c>
      <c r="AH52" s="113">
        <v>0</v>
      </c>
      <c r="AI52" s="113">
        <v>0</v>
      </c>
      <c r="AJ52" s="113">
        <v>0</v>
      </c>
      <c r="AK52" s="113">
        <v>0</v>
      </c>
      <c r="AL52" s="113">
        <v>0</v>
      </c>
      <c r="AM52" s="113">
        <v>0</v>
      </c>
      <c r="AN52" s="113">
        <v>0</v>
      </c>
      <c r="AO52" s="113">
        <v>0</v>
      </c>
      <c r="AP52" s="113">
        <v>0</v>
      </c>
      <c r="AQ52" s="113">
        <v>0</v>
      </c>
      <c r="AR52" s="113">
        <v>0</v>
      </c>
      <c r="AS52" s="113">
        <v>0</v>
      </c>
      <c r="AT52" s="130">
        <v>0</v>
      </c>
      <c r="AV52" s="140">
        <v>14</v>
      </c>
      <c r="AW52" s="157">
        <f t="shared" si="8"/>
        <v>1.3924716151769732E-2</v>
      </c>
      <c r="AX52" s="1"/>
      <c r="AY52" s="1"/>
      <c r="AZ52" s="1"/>
      <c r="BA52" s="1"/>
    </row>
    <row r="53" spans="1:53" ht="15.75" thickBot="1" x14ac:dyDescent="0.2">
      <c r="A53" s="113">
        <v>700</v>
      </c>
      <c r="B53" s="47" t="s">
        <v>256</v>
      </c>
      <c r="C53" s="31">
        <v>15</v>
      </c>
      <c r="D53" s="108">
        <f t="shared" si="9"/>
        <v>7.1736011477761836E-3</v>
      </c>
      <c r="E53" s="31">
        <v>7</v>
      </c>
      <c r="F53" s="91">
        <f t="shared" si="10"/>
        <v>5.0215208034433287E-2</v>
      </c>
      <c r="G53" s="1">
        <v>5</v>
      </c>
      <c r="H53" s="295">
        <f t="shared" si="15"/>
        <v>3.1203566121842496E-2</v>
      </c>
      <c r="L53" s="143">
        <v>15</v>
      </c>
      <c r="M53" s="130">
        <f>'Base Game '!AD146</f>
        <v>6.6227637660222722E-14</v>
      </c>
      <c r="N53" s="1">
        <f>AE34</f>
        <v>1</v>
      </c>
      <c r="O53" s="125">
        <f t="shared" si="12"/>
        <v>15</v>
      </c>
      <c r="P53" s="26">
        <f t="shared" si="13"/>
        <v>7.2395184246001694E-12</v>
      </c>
      <c r="Q53" s="113">
        <v>2.9242190646415734E-8</v>
      </c>
      <c r="R53" s="113">
        <v>4.0625338952860154E-7</v>
      </c>
      <c r="S53" s="113">
        <v>3.4897105885256429E-6</v>
      </c>
      <c r="T53" s="113">
        <v>1.5703884303062215E-5</v>
      </c>
      <c r="U53" s="113">
        <v>3.8940376110475328E-5</v>
      </c>
      <c r="V53" s="113">
        <v>5.6255434323747522E-5</v>
      </c>
      <c r="W53" s="113">
        <v>4.9521512666800534E-5</v>
      </c>
      <c r="X53" s="113">
        <v>2.7761356907651119E-5</v>
      </c>
      <c r="Y53" s="113">
        <v>1.0098159462039849E-5</v>
      </c>
      <c r="Z53" s="113">
        <v>2.3074128372037296E-6</v>
      </c>
      <c r="AA53" s="113">
        <v>2.9935497575959229E-7</v>
      </c>
      <c r="AB53" s="113">
        <v>1.3280275276395583E-8</v>
      </c>
      <c r="AC53" s="113">
        <v>0</v>
      </c>
      <c r="AD53" s="113">
        <v>0</v>
      </c>
      <c r="AE53" s="113">
        <v>0</v>
      </c>
      <c r="AF53" s="113">
        <v>0</v>
      </c>
      <c r="AG53" s="113">
        <v>0</v>
      </c>
      <c r="AH53" s="113">
        <v>0</v>
      </c>
      <c r="AI53" s="113">
        <v>0</v>
      </c>
      <c r="AJ53" s="113">
        <v>0</v>
      </c>
      <c r="AK53" s="113">
        <v>0</v>
      </c>
      <c r="AL53" s="113">
        <v>0</v>
      </c>
      <c r="AM53" s="113">
        <v>0</v>
      </c>
      <c r="AN53" s="113">
        <v>0</v>
      </c>
      <c r="AO53" s="113">
        <v>0</v>
      </c>
      <c r="AP53" s="113">
        <v>0</v>
      </c>
      <c r="AQ53" s="113">
        <v>0</v>
      </c>
      <c r="AR53" s="113">
        <v>0</v>
      </c>
      <c r="AS53" s="113">
        <v>0</v>
      </c>
      <c r="AT53" s="130">
        <v>0</v>
      </c>
      <c r="AV53" s="144">
        <v>15</v>
      </c>
      <c r="AW53" s="158">
        <f t="shared" si="8"/>
        <v>2.0482598527023533E-4</v>
      </c>
      <c r="AX53" s="1">
        <f>AW53*'Base Game '!O166</f>
        <v>1.8737629135358474E-6</v>
      </c>
      <c r="AY53" s="1"/>
      <c r="AZ53" s="1"/>
      <c r="BA53" s="1"/>
    </row>
    <row r="54" spans="1:53" x14ac:dyDescent="0.15">
      <c r="A54" s="113">
        <v>500</v>
      </c>
      <c r="B54" s="47" t="str">
        <f>B77</f>
        <v>x5</v>
      </c>
      <c r="C54" s="31">
        <v>150</v>
      </c>
      <c r="D54" s="108">
        <f t="shared" si="9"/>
        <v>7.1736011477761832E-2</v>
      </c>
      <c r="E54" s="107">
        <f>E77</f>
        <v>5</v>
      </c>
      <c r="F54" s="91">
        <f t="shared" si="10"/>
        <v>0.35868005738880915</v>
      </c>
      <c r="G54" s="1">
        <v>5</v>
      </c>
      <c r="H54" s="295">
        <f t="shared" si="15"/>
        <v>0.22288261515601779</v>
      </c>
      <c r="L54" s="140" t="s">
        <v>183</v>
      </c>
      <c r="M54" s="130">
        <v>0</v>
      </c>
      <c r="N54" s="1"/>
      <c r="O54" s="125" t="s">
        <v>183</v>
      </c>
      <c r="P54" s="26">
        <f t="shared" si="13"/>
        <v>0</v>
      </c>
      <c r="Q54" s="113">
        <v>0</v>
      </c>
      <c r="R54" s="113">
        <v>0</v>
      </c>
      <c r="S54" s="113">
        <v>0</v>
      </c>
      <c r="T54" s="113">
        <v>0</v>
      </c>
      <c r="U54" s="113">
        <v>0</v>
      </c>
      <c r="V54" s="113">
        <v>0</v>
      </c>
      <c r="W54" s="113">
        <v>0</v>
      </c>
      <c r="X54" s="113">
        <v>0</v>
      </c>
      <c r="Y54" s="113">
        <v>0</v>
      </c>
      <c r="Z54" s="113">
        <v>0</v>
      </c>
      <c r="AA54" s="113">
        <v>0</v>
      </c>
      <c r="AB54" s="113">
        <v>0</v>
      </c>
      <c r="AC54" s="113">
        <v>0</v>
      </c>
      <c r="AD54" s="113">
        <v>0</v>
      </c>
      <c r="AE54" s="113">
        <v>0</v>
      </c>
      <c r="AF54" s="113">
        <v>0</v>
      </c>
      <c r="AG54" s="113">
        <v>0</v>
      </c>
      <c r="AH54" s="113">
        <v>0</v>
      </c>
      <c r="AI54" s="113">
        <v>0</v>
      </c>
      <c r="AJ54" s="113">
        <v>0</v>
      </c>
      <c r="AK54" s="113">
        <v>0</v>
      </c>
      <c r="AL54" s="113">
        <v>0</v>
      </c>
      <c r="AM54" s="113">
        <v>0</v>
      </c>
      <c r="AN54" s="113">
        <v>0</v>
      </c>
      <c r="AO54" s="113">
        <v>0</v>
      </c>
      <c r="AP54" s="113">
        <v>0</v>
      </c>
      <c r="AQ54" s="113">
        <v>0</v>
      </c>
      <c r="AR54" s="113">
        <v>0</v>
      </c>
      <c r="AS54" s="113">
        <v>0</v>
      </c>
      <c r="AT54" s="130">
        <v>0</v>
      </c>
      <c r="AV54" s="113" t="s">
        <v>18</v>
      </c>
      <c r="AW54" s="113">
        <f>SUM(AW39:AW53)</f>
        <v>1.0000000000000002</v>
      </c>
      <c r="AX54" s="1"/>
      <c r="AY54" s="1"/>
      <c r="AZ54" s="1"/>
      <c r="BA54" s="1"/>
    </row>
    <row r="55" spans="1:53" ht="15.75" thickBot="1" x14ac:dyDescent="0.2">
      <c r="A55" s="113">
        <v>300</v>
      </c>
      <c r="B55" s="47" t="str">
        <f>B78</f>
        <v>x3</v>
      </c>
      <c r="C55" s="31">
        <v>350</v>
      </c>
      <c r="D55" s="108">
        <f t="shared" si="9"/>
        <v>0.16738402678144429</v>
      </c>
      <c r="E55" s="107">
        <f>E78</f>
        <v>3</v>
      </c>
      <c r="F55" s="91">
        <f>E55*D55</f>
        <v>0.5021520803443329</v>
      </c>
      <c r="G55" s="1">
        <v>5</v>
      </c>
      <c r="H55" s="295">
        <f t="shared" si="15"/>
        <v>0.31203566121842496</v>
      </c>
      <c r="L55" s="143" t="s">
        <v>184</v>
      </c>
      <c r="M55" s="130">
        <v>0</v>
      </c>
      <c r="N55" s="1"/>
      <c r="O55" s="125" t="str">
        <f t="shared" ref="O55:O69" si="16">L55</f>
        <v>1出</v>
      </c>
      <c r="P55" s="26">
        <f t="shared" si="13"/>
        <v>0</v>
      </c>
      <c r="Q55" s="113">
        <v>0</v>
      </c>
      <c r="R55" s="113">
        <v>0</v>
      </c>
      <c r="S55" s="113">
        <v>0</v>
      </c>
      <c r="T55" s="113">
        <v>0</v>
      </c>
      <c r="U55" s="113">
        <v>0</v>
      </c>
      <c r="V55" s="113">
        <v>0</v>
      </c>
      <c r="W55" s="113">
        <v>0</v>
      </c>
      <c r="X55" s="113">
        <v>0</v>
      </c>
      <c r="Y55" s="113">
        <v>0</v>
      </c>
      <c r="Z55" s="113">
        <v>0</v>
      </c>
      <c r="AA55" s="113">
        <v>0</v>
      </c>
      <c r="AB55" s="113">
        <v>0</v>
      </c>
      <c r="AC55" s="113">
        <v>0</v>
      </c>
      <c r="AD55" s="113">
        <v>0</v>
      </c>
      <c r="AE55" s="113">
        <v>0</v>
      </c>
      <c r="AF55" s="113">
        <v>0</v>
      </c>
      <c r="AG55" s="113">
        <v>0</v>
      </c>
      <c r="AH55" s="113">
        <v>0</v>
      </c>
      <c r="AI55" s="113">
        <v>0</v>
      </c>
      <c r="AJ55" s="113">
        <v>0</v>
      </c>
      <c r="AK55" s="113">
        <v>0</v>
      </c>
      <c r="AL55" s="113">
        <v>0</v>
      </c>
      <c r="AM55" s="113">
        <v>0</v>
      </c>
      <c r="AN55" s="113">
        <v>0</v>
      </c>
      <c r="AO55" s="113">
        <v>0</v>
      </c>
      <c r="AP55" s="113">
        <v>0</v>
      </c>
      <c r="AQ55" s="113">
        <v>0</v>
      </c>
      <c r="AR55" s="113">
        <v>0</v>
      </c>
      <c r="AS55" s="113">
        <v>0</v>
      </c>
      <c r="AT55" s="130">
        <v>0</v>
      </c>
      <c r="AX55" s="1"/>
      <c r="AY55" s="1"/>
      <c r="AZ55" s="1"/>
      <c r="BA55" s="1"/>
    </row>
    <row r="56" spans="1:53" ht="15.75" thickBot="1" x14ac:dyDescent="0.2">
      <c r="A56" s="113">
        <v>200</v>
      </c>
      <c r="B56" s="47" t="str">
        <f>B79</f>
        <v>x2</v>
      </c>
      <c r="C56" s="31">
        <v>700</v>
      </c>
      <c r="D56" s="108">
        <f t="shared" si="9"/>
        <v>0.33476805356288858</v>
      </c>
      <c r="E56" s="107">
        <f>E79</f>
        <v>2</v>
      </c>
      <c r="F56" s="91">
        <f t="shared" si="10"/>
        <v>0.66953610712577716</v>
      </c>
      <c r="G56" s="1">
        <v>5</v>
      </c>
      <c r="H56" s="296">
        <f t="shared" si="15"/>
        <v>0.41604754829123325</v>
      </c>
      <c r="L56" s="143" t="s">
        <v>185</v>
      </c>
      <c r="M56" s="130">
        <v>0</v>
      </c>
      <c r="N56" s="1"/>
      <c r="O56" s="125" t="str">
        <f t="shared" si="16"/>
        <v>2出</v>
      </c>
      <c r="P56" s="26">
        <f t="shared" si="13"/>
        <v>0</v>
      </c>
      <c r="Q56" s="113">
        <v>0</v>
      </c>
      <c r="R56" s="113">
        <v>0</v>
      </c>
      <c r="S56" s="113">
        <v>0</v>
      </c>
      <c r="T56" s="113">
        <v>0</v>
      </c>
      <c r="U56" s="113">
        <v>0</v>
      </c>
      <c r="V56" s="113">
        <v>0</v>
      </c>
      <c r="W56" s="113">
        <v>0</v>
      </c>
      <c r="X56" s="113">
        <v>0</v>
      </c>
      <c r="Y56" s="113">
        <v>0</v>
      </c>
      <c r="Z56" s="113">
        <v>0</v>
      </c>
      <c r="AA56" s="113">
        <v>0</v>
      </c>
      <c r="AB56" s="113">
        <v>0</v>
      </c>
      <c r="AC56" s="113">
        <v>0</v>
      </c>
      <c r="AD56" s="113">
        <v>0</v>
      </c>
      <c r="AE56" s="113">
        <v>0</v>
      </c>
      <c r="AF56" s="113">
        <v>0</v>
      </c>
      <c r="AG56" s="113">
        <v>0</v>
      </c>
      <c r="AH56" s="113">
        <v>0</v>
      </c>
      <c r="AI56" s="113">
        <v>0</v>
      </c>
      <c r="AJ56" s="113">
        <v>0</v>
      </c>
      <c r="AK56" s="113">
        <v>0</v>
      </c>
      <c r="AL56" s="113">
        <v>0</v>
      </c>
      <c r="AM56" s="113">
        <v>0</v>
      </c>
      <c r="AN56" s="113">
        <v>0</v>
      </c>
      <c r="AO56" s="113">
        <v>0</v>
      </c>
      <c r="AP56" s="113">
        <v>0</v>
      </c>
      <c r="AQ56" s="113">
        <v>0</v>
      </c>
      <c r="AR56" s="113">
        <v>0</v>
      </c>
      <c r="AS56" s="113">
        <v>0</v>
      </c>
      <c r="AT56" s="130">
        <v>0</v>
      </c>
      <c r="AV56" s="119" t="s">
        <v>209</v>
      </c>
      <c r="AW56" s="120"/>
    </row>
    <row r="57" spans="1:53" ht="15.75" thickBot="1" x14ac:dyDescent="0.2">
      <c r="B57" s="48" t="s">
        <v>15</v>
      </c>
      <c r="C57" s="92">
        <f>SUM(C38:C56)</f>
        <v>2091</v>
      </c>
      <c r="D57" s="93">
        <f>SUM(D38:D56)</f>
        <v>1</v>
      </c>
      <c r="E57" s="92"/>
      <c r="F57" s="94">
        <f>SUM(F38:F50)</f>
        <v>1.5356288857006217</v>
      </c>
      <c r="G57" s="1">
        <v>5</v>
      </c>
      <c r="L57" s="143" t="s">
        <v>186</v>
      </c>
      <c r="M57" s="130">
        <v>0</v>
      </c>
      <c r="N57" s="1"/>
      <c r="O57" s="125" t="str">
        <f t="shared" si="16"/>
        <v>3出</v>
      </c>
      <c r="P57" s="26">
        <f t="shared" si="13"/>
        <v>0</v>
      </c>
      <c r="Q57" s="113">
        <v>7.6348278248266569E-4</v>
      </c>
      <c r="R57" s="113">
        <v>7.6348278248266569E-4</v>
      </c>
      <c r="S57" s="113">
        <v>7.6348278248266569E-4</v>
      </c>
      <c r="T57" s="113">
        <v>7.6348278248266569E-4</v>
      </c>
      <c r="U57" s="113">
        <v>7.6348278248266569E-4</v>
      </c>
      <c r="V57" s="113">
        <v>7.6348278248266569E-4</v>
      </c>
      <c r="W57" s="113">
        <v>7.6348278248266569E-4</v>
      </c>
      <c r="X57" s="113">
        <v>7.6348278248266569E-4</v>
      </c>
      <c r="Y57" s="113">
        <v>7.6348278248266569E-4</v>
      </c>
      <c r="Z57" s="113">
        <v>7.6348278248266569E-4</v>
      </c>
      <c r="AA57" s="113">
        <v>7.6348278248266569E-4</v>
      </c>
      <c r="AB57" s="113">
        <v>7.6348278248266569E-4</v>
      </c>
      <c r="AC57" s="113">
        <v>7.6348278248266569E-4</v>
      </c>
      <c r="AD57" s="113">
        <v>7.6348278248266569E-4</v>
      </c>
      <c r="AE57" s="113">
        <v>7.6348278248266569E-4</v>
      </c>
      <c r="AF57" s="113">
        <v>7.6348278248266569E-4</v>
      </c>
      <c r="AG57" s="113">
        <v>7.6348278248266569E-4</v>
      </c>
      <c r="AH57" s="113">
        <v>7.6348278248266569E-4</v>
      </c>
      <c r="AI57" s="113">
        <v>7.6348278248266569E-4</v>
      </c>
      <c r="AJ57" s="113">
        <v>7.6348278248266569E-4</v>
      </c>
      <c r="AK57" s="113">
        <v>7.6348278248266569E-4</v>
      </c>
      <c r="AL57" s="113">
        <v>7.6348278248266569E-4</v>
      </c>
      <c r="AM57" s="113">
        <v>7.6348278248266569E-4</v>
      </c>
      <c r="AN57" s="113">
        <v>7.6348278248266569E-4</v>
      </c>
      <c r="AO57" s="113">
        <v>7.6348278248266569E-4</v>
      </c>
      <c r="AP57" s="113">
        <v>7.6348278248266569E-4</v>
      </c>
      <c r="AQ57" s="113">
        <v>7.6348278248266569E-4</v>
      </c>
      <c r="AR57" s="113">
        <v>7.6348278248266569E-4</v>
      </c>
      <c r="AS57" s="113">
        <v>7.6348278248266569E-4</v>
      </c>
      <c r="AT57" s="130">
        <v>7.6348278248266569E-4</v>
      </c>
      <c r="AV57" s="123">
        <f>SUMPRODUCT(AV38:AV53,AW38:AW53)</f>
        <v>10.2198532485941</v>
      </c>
      <c r="AW57" s="124"/>
      <c r="AY57" s="1"/>
    </row>
    <row r="58" spans="1:53" x14ac:dyDescent="0.15">
      <c r="G58" s="113" t="s">
        <v>401</v>
      </c>
      <c r="H58" s="113">
        <f>F35*SUM(D51:D56)*SUMPRODUCT(E51:E56,H51:H56)+SUM(F38:F50)</f>
        <v>5.2821157899856441</v>
      </c>
      <c r="L58" s="143" t="s">
        <v>187</v>
      </c>
      <c r="M58" s="130">
        <v>0</v>
      </c>
      <c r="N58" s="1"/>
      <c r="O58" s="125" t="str">
        <f t="shared" si="16"/>
        <v>4出</v>
      </c>
      <c r="P58" s="26">
        <f t="shared" si="13"/>
        <v>0</v>
      </c>
      <c r="Q58" s="113">
        <v>6.9021798939769459E-3</v>
      </c>
      <c r="R58" s="113">
        <v>7.4445801793647298E-3</v>
      </c>
      <c r="S58" s="113">
        <v>7.4445801793647298E-3</v>
      </c>
      <c r="T58" s="113">
        <v>7.4445801793647298E-3</v>
      </c>
      <c r="U58" s="113">
        <v>7.4445801793647298E-3</v>
      </c>
      <c r="V58" s="113">
        <v>7.4445801793647298E-3</v>
      </c>
      <c r="W58" s="113">
        <v>7.4445801793647298E-3</v>
      </c>
      <c r="X58" s="113">
        <v>7.4445801793647298E-3</v>
      </c>
      <c r="Y58" s="113">
        <v>7.4445801793647298E-3</v>
      </c>
      <c r="Z58" s="113">
        <v>7.4445801793647298E-3</v>
      </c>
      <c r="AA58" s="113">
        <v>7.4445801793647298E-3</v>
      </c>
      <c r="AB58" s="113">
        <v>7.4445801793647298E-3</v>
      </c>
      <c r="AC58" s="113">
        <v>7.4445801793647298E-3</v>
      </c>
      <c r="AD58" s="113">
        <v>7.4445801793647298E-3</v>
      </c>
      <c r="AE58" s="113">
        <v>7.4445801793647298E-3</v>
      </c>
      <c r="AF58" s="113">
        <v>7.4445801793647298E-3</v>
      </c>
      <c r="AG58" s="113">
        <v>7.4445801793647298E-3</v>
      </c>
      <c r="AH58" s="113">
        <v>7.4445801793647298E-3</v>
      </c>
      <c r="AI58" s="113">
        <v>7.4445801793647298E-3</v>
      </c>
      <c r="AJ58" s="113">
        <v>7.4445801793647298E-3</v>
      </c>
      <c r="AK58" s="113">
        <v>7.4445801793647298E-3</v>
      </c>
      <c r="AL58" s="113">
        <v>7.4445801793647298E-3</v>
      </c>
      <c r="AM58" s="113">
        <v>7.4445801793647298E-3</v>
      </c>
      <c r="AN58" s="113">
        <v>7.4445801793647298E-3</v>
      </c>
      <c r="AO58" s="113">
        <v>7.4445801793647298E-3</v>
      </c>
      <c r="AP58" s="113">
        <v>7.4445801793647298E-3</v>
      </c>
      <c r="AQ58" s="113">
        <v>7.4445801793647298E-3</v>
      </c>
      <c r="AR58" s="113">
        <v>7.4445801793647298E-3</v>
      </c>
      <c r="AS58" s="113">
        <v>7.4445801793647298E-3</v>
      </c>
      <c r="AT58" s="130">
        <v>7.4445801793647298E-3</v>
      </c>
    </row>
    <row r="59" spans="1:53" ht="15.75" thickBot="1" x14ac:dyDescent="0.2">
      <c r="L59" s="143" t="s">
        <v>188</v>
      </c>
      <c r="M59" s="130">
        <v>0</v>
      </c>
      <c r="N59" s="1"/>
      <c r="O59" s="125" t="str">
        <f t="shared" si="16"/>
        <v>5出</v>
      </c>
      <c r="P59" s="26">
        <f t="shared" si="13"/>
        <v>0</v>
      </c>
      <c r="Q59" s="113">
        <v>8.5140521420593133E-3</v>
      </c>
      <c r="R59" s="113">
        <v>1.4157140202709306E-2</v>
      </c>
      <c r="S59" s="113">
        <v>1.4564231939951983E-2</v>
      </c>
      <c r="T59" s="113">
        <v>1.4564231939951983E-2</v>
      </c>
      <c r="U59" s="113">
        <v>1.4564231939951983E-2</v>
      </c>
      <c r="V59" s="113">
        <v>1.4564231939951983E-2</v>
      </c>
      <c r="W59" s="113">
        <v>1.4564231939951983E-2</v>
      </c>
      <c r="X59" s="113">
        <v>1.4564231939951983E-2</v>
      </c>
      <c r="Y59" s="113">
        <v>1.4564231939951983E-2</v>
      </c>
      <c r="Z59" s="113">
        <v>1.4564231939951983E-2</v>
      </c>
      <c r="AA59" s="113">
        <v>1.4564231939951983E-2</v>
      </c>
      <c r="AB59" s="113">
        <v>1.4564231939951983E-2</v>
      </c>
      <c r="AC59" s="113">
        <v>1.4564231939951983E-2</v>
      </c>
      <c r="AD59" s="113">
        <v>1.4564231939951983E-2</v>
      </c>
      <c r="AE59" s="113">
        <v>1.4564231939951983E-2</v>
      </c>
      <c r="AF59" s="113">
        <v>1.4564231939951983E-2</v>
      </c>
      <c r="AG59" s="113">
        <v>1.4564231939951983E-2</v>
      </c>
      <c r="AH59" s="113">
        <v>1.4564231939951983E-2</v>
      </c>
      <c r="AI59" s="113">
        <v>1.4564231939951983E-2</v>
      </c>
      <c r="AJ59" s="113">
        <v>1.4564231939951983E-2</v>
      </c>
      <c r="AK59" s="113">
        <v>1.4564231939951983E-2</v>
      </c>
      <c r="AL59" s="113">
        <v>1.4564231939951983E-2</v>
      </c>
      <c r="AM59" s="113">
        <v>1.4564231939951983E-2</v>
      </c>
      <c r="AN59" s="113">
        <v>1.4564231939951983E-2</v>
      </c>
      <c r="AO59" s="113">
        <v>1.4564231939951983E-2</v>
      </c>
      <c r="AP59" s="113">
        <v>1.4564231939951983E-2</v>
      </c>
      <c r="AQ59" s="113">
        <v>1.4564231939951983E-2</v>
      </c>
      <c r="AR59" s="113">
        <v>1.4564231939951983E-2</v>
      </c>
      <c r="AS59" s="113">
        <v>1.4564231939951983E-2</v>
      </c>
      <c r="AT59" s="130">
        <v>1.4564231939951983E-2</v>
      </c>
    </row>
    <row r="60" spans="1:53" x14ac:dyDescent="0.25">
      <c r="B60" s="24" t="s">
        <v>159</v>
      </c>
      <c r="C60" s="89" t="s">
        <v>19</v>
      </c>
      <c r="D60" s="89" t="s">
        <v>20</v>
      </c>
      <c r="E60" s="89" t="s">
        <v>22</v>
      </c>
      <c r="F60" s="46" t="s">
        <v>21</v>
      </c>
      <c r="L60" s="143" t="s">
        <v>189</v>
      </c>
      <c r="M60" s="145">
        <v>0</v>
      </c>
      <c r="N60" s="1"/>
      <c r="O60" s="125" t="str">
        <f t="shared" si="16"/>
        <v>6出</v>
      </c>
      <c r="P60" s="26">
        <f t="shared" si="13"/>
        <v>0</v>
      </c>
      <c r="Q60" s="113">
        <v>4.2259150856668376E-3</v>
      </c>
      <c r="R60" s="113">
        <v>6.1046213420920892E-3</v>
      </c>
      <c r="S60" s="113">
        <v>6.9207935112192819E-3</v>
      </c>
      <c r="T60" s="113">
        <v>6.9757722250685878E-3</v>
      </c>
      <c r="U60" s="113">
        <v>6.9757722250685878E-3</v>
      </c>
      <c r="V60" s="113">
        <v>6.9757722250685878E-3</v>
      </c>
      <c r="W60" s="113">
        <v>6.9757722250685878E-3</v>
      </c>
      <c r="X60" s="113">
        <v>6.9757722250685878E-3</v>
      </c>
      <c r="Y60" s="113">
        <v>6.9757722250685878E-3</v>
      </c>
      <c r="Z60" s="113">
        <v>6.9757722250685878E-3</v>
      </c>
      <c r="AA60" s="113">
        <v>6.9757722250685878E-3</v>
      </c>
      <c r="AB60" s="113">
        <v>6.9757722250685878E-3</v>
      </c>
      <c r="AC60" s="113">
        <v>6.9757722250685878E-3</v>
      </c>
      <c r="AD60" s="113">
        <v>6.9757722250685878E-3</v>
      </c>
      <c r="AE60" s="113">
        <v>6.9757722250685878E-3</v>
      </c>
      <c r="AF60" s="113">
        <v>6.9757722250685878E-3</v>
      </c>
      <c r="AG60" s="113">
        <v>6.9757722250685878E-3</v>
      </c>
      <c r="AH60" s="113">
        <v>6.9757722250685878E-3</v>
      </c>
      <c r="AI60" s="113">
        <v>6.9757722250685878E-3</v>
      </c>
      <c r="AJ60" s="113">
        <v>6.9757722250685878E-3</v>
      </c>
      <c r="AK60" s="113">
        <v>6.9757722250685878E-3</v>
      </c>
      <c r="AL60" s="113">
        <v>6.9757722250685878E-3</v>
      </c>
      <c r="AM60" s="113">
        <v>6.9757722250685878E-3</v>
      </c>
      <c r="AN60" s="113">
        <v>6.9757722250685878E-3</v>
      </c>
      <c r="AO60" s="113">
        <v>6.9757722250685878E-3</v>
      </c>
      <c r="AP60" s="113">
        <v>6.9757722250685878E-3</v>
      </c>
      <c r="AQ60" s="113">
        <v>6.9757722250685878E-3</v>
      </c>
      <c r="AR60" s="113">
        <v>6.9757722250685878E-3</v>
      </c>
      <c r="AS60" s="113">
        <v>6.9757722250685878E-3</v>
      </c>
      <c r="AT60" s="130">
        <v>6.9757722250685878E-3</v>
      </c>
    </row>
    <row r="61" spans="1:53" x14ac:dyDescent="0.15">
      <c r="B61" s="47" t="s">
        <v>23</v>
      </c>
      <c r="C61" s="107">
        <v>0</v>
      </c>
      <c r="D61" s="108">
        <f t="shared" ref="D61:D79" si="17">C61/$C$80</f>
        <v>0</v>
      </c>
      <c r="E61" s="107">
        <f>E22</f>
        <v>550</v>
      </c>
      <c r="F61" s="90">
        <f>E61*D61</f>
        <v>0</v>
      </c>
      <c r="G61" s="159">
        <f>F61/$F$80</f>
        <v>0</v>
      </c>
      <c r="H61" s="159">
        <f>M113</f>
        <v>0.68425334108076696</v>
      </c>
      <c r="J61" s="113">
        <f>SUMPRODUCT(D61:D73,H61:H73)</f>
        <v>0.5723720580819659</v>
      </c>
      <c r="L61" s="143" t="s">
        <v>190</v>
      </c>
      <c r="M61" s="145">
        <v>0</v>
      </c>
      <c r="N61" s="1"/>
      <c r="O61" s="125" t="str">
        <f t="shared" si="16"/>
        <v>7出</v>
      </c>
      <c r="P61" s="26">
        <f t="shared" si="13"/>
        <v>0</v>
      </c>
      <c r="Q61" s="113">
        <v>3.5371199689456493E-4</v>
      </c>
      <c r="R61" s="113">
        <v>9.5313852673584755E-3</v>
      </c>
      <c r="S61" s="113">
        <v>1.3733574262508083E-2</v>
      </c>
      <c r="T61" s="113">
        <v>1.5078550838143646E-2</v>
      </c>
      <c r="U61" s="113">
        <v>1.5163050149466322E-2</v>
      </c>
      <c r="V61" s="113">
        <v>1.5163050149466322E-2</v>
      </c>
      <c r="W61" s="113">
        <v>1.5163050149466322E-2</v>
      </c>
      <c r="X61" s="113">
        <v>1.5163050149466322E-2</v>
      </c>
      <c r="Y61" s="113">
        <v>1.5163050149466322E-2</v>
      </c>
      <c r="Z61" s="113">
        <v>1.5163050149466322E-2</v>
      </c>
      <c r="AA61" s="113">
        <v>1.5163050149466322E-2</v>
      </c>
      <c r="AB61" s="113">
        <v>1.5163050149466322E-2</v>
      </c>
      <c r="AC61" s="113">
        <v>1.5163050149466322E-2</v>
      </c>
      <c r="AD61" s="113">
        <v>1.5163050149466322E-2</v>
      </c>
      <c r="AE61" s="113">
        <v>1.5163050149466322E-2</v>
      </c>
      <c r="AF61" s="113">
        <v>1.5163050149466322E-2</v>
      </c>
      <c r="AG61" s="113">
        <v>1.5163050149466322E-2</v>
      </c>
      <c r="AH61" s="113">
        <v>1.5163050149466322E-2</v>
      </c>
      <c r="AI61" s="113">
        <v>1.5163050149466322E-2</v>
      </c>
      <c r="AJ61" s="113">
        <v>1.5163050149466322E-2</v>
      </c>
      <c r="AK61" s="113">
        <v>1.5163050149466322E-2</v>
      </c>
      <c r="AL61" s="113">
        <v>1.5163050149466322E-2</v>
      </c>
      <c r="AM61" s="113">
        <v>1.5163050149466322E-2</v>
      </c>
      <c r="AN61" s="113">
        <v>1.5163050149466322E-2</v>
      </c>
      <c r="AO61" s="113">
        <v>1.5163050149466322E-2</v>
      </c>
      <c r="AP61" s="113">
        <v>1.5163050149466322E-2</v>
      </c>
      <c r="AQ61" s="113">
        <v>1.5163050149466322E-2</v>
      </c>
      <c r="AR61" s="113">
        <v>1.5163050149466322E-2</v>
      </c>
      <c r="AS61" s="113">
        <v>1.5163050149466322E-2</v>
      </c>
      <c r="AT61" s="130">
        <v>1.5163050149466322E-2</v>
      </c>
    </row>
    <row r="62" spans="1:53" x14ac:dyDescent="0.15">
      <c r="B62" s="47" t="s">
        <v>24</v>
      </c>
      <c r="C62" s="107">
        <v>1</v>
      </c>
      <c r="D62" s="108">
        <f t="shared" si="17"/>
        <v>3.5198873636043646E-4</v>
      </c>
      <c r="E62" s="107">
        <f>E23</f>
        <v>110.00000000000001</v>
      </c>
      <c r="F62" s="90">
        <f t="shared" ref="F62:F76" si="18">E62*D62</f>
        <v>3.8718760999648015E-2</v>
      </c>
      <c r="G62" s="159">
        <f t="shared" ref="G62:G79" si="19">F62/$F$80</f>
        <v>2.0220588235294119E-2</v>
      </c>
      <c r="H62" s="159">
        <f>M113</f>
        <v>0.68425334108076696</v>
      </c>
      <c r="I62" s="1"/>
      <c r="J62" s="1"/>
      <c r="L62" s="143" t="s">
        <v>191</v>
      </c>
      <c r="M62" s="145">
        <v>0</v>
      </c>
      <c r="N62" s="1"/>
      <c r="O62" s="125" t="str">
        <f t="shared" si="16"/>
        <v>8出</v>
      </c>
      <c r="P62" s="26">
        <f t="shared" si="13"/>
        <v>0</v>
      </c>
      <c r="Q62" s="113">
        <v>3.9828988623540171E-4</v>
      </c>
      <c r="R62" s="113">
        <v>4.1721700961036598E-2</v>
      </c>
      <c r="S62" s="113">
        <v>9.8190738780975312E-2</v>
      </c>
      <c r="T62" s="113">
        <v>0.1225675934561716</v>
      </c>
      <c r="U62" s="113">
        <v>0.12862950915626478</v>
      </c>
      <c r="V62" s="113">
        <v>0.12898228794968558</v>
      </c>
      <c r="W62" s="113">
        <v>0.12898228794968558</v>
      </c>
      <c r="X62" s="113">
        <v>0.12898228794968558</v>
      </c>
      <c r="Y62" s="113">
        <v>0.12898228794968558</v>
      </c>
      <c r="Z62" s="113">
        <v>0.12898228794968558</v>
      </c>
      <c r="AA62" s="113">
        <v>0.12898228794968558</v>
      </c>
      <c r="AB62" s="113">
        <v>0.12898228794968558</v>
      </c>
      <c r="AC62" s="113">
        <v>0.12898228794968558</v>
      </c>
      <c r="AD62" s="113">
        <v>0.12898228794968558</v>
      </c>
      <c r="AE62" s="113">
        <v>0.12898228794968558</v>
      </c>
      <c r="AF62" s="113">
        <v>0.12898228794968558</v>
      </c>
      <c r="AG62" s="113">
        <v>0.12898228794968558</v>
      </c>
      <c r="AH62" s="113">
        <v>0.12898228794968558</v>
      </c>
      <c r="AI62" s="113">
        <v>0.12898228794968558</v>
      </c>
      <c r="AJ62" s="113">
        <v>0.12898228794968558</v>
      </c>
      <c r="AK62" s="113">
        <v>0.12898228794968558</v>
      </c>
      <c r="AL62" s="113">
        <v>0.12898228794968558</v>
      </c>
      <c r="AM62" s="113">
        <v>0.12898228794968558</v>
      </c>
      <c r="AN62" s="113">
        <v>0.12898228794968558</v>
      </c>
      <c r="AO62" s="113">
        <v>0.12898228794968558</v>
      </c>
      <c r="AP62" s="113">
        <v>0.12898228794968558</v>
      </c>
      <c r="AQ62" s="113">
        <v>0.12898228794968558</v>
      </c>
      <c r="AR62" s="113">
        <v>0.12898228794968558</v>
      </c>
      <c r="AS62" s="113">
        <v>0.12898228794968558</v>
      </c>
      <c r="AT62" s="130">
        <v>0.12898228794968558</v>
      </c>
    </row>
    <row r="63" spans="1:53" x14ac:dyDescent="0.15">
      <c r="B63" s="47" t="s">
        <v>25</v>
      </c>
      <c r="C63" s="107">
        <v>20</v>
      </c>
      <c r="D63" s="108">
        <f t="shared" si="17"/>
        <v>7.0397747272087294E-3</v>
      </c>
      <c r="E63" s="107">
        <f>E24</f>
        <v>22</v>
      </c>
      <c r="F63" s="90">
        <f t="shared" si="18"/>
        <v>0.15487504399859203</v>
      </c>
      <c r="G63" s="159">
        <f t="shared" si="19"/>
        <v>8.0882352941176461E-2</v>
      </c>
      <c r="H63" s="159">
        <f>M113</f>
        <v>0.68425334108076696</v>
      </c>
      <c r="I63" s="1"/>
      <c r="J63" s="1"/>
      <c r="L63" s="143" t="s">
        <v>192</v>
      </c>
      <c r="M63" s="145">
        <v>0</v>
      </c>
      <c r="N63" s="1"/>
      <c r="O63" s="125" t="str">
        <f t="shared" si="16"/>
        <v>9出</v>
      </c>
      <c r="P63" s="26">
        <f t="shared" si="13"/>
        <v>0</v>
      </c>
      <c r="Q63" s="113">
        <v>6.4934793913422822E-5</v>
      </c>
      <c r="R63" s="113">
        <v>2.0405028217177917E-2</v>
      </c>
      <c r="S63" s="113">
        <v>8.6237953721200591E-2</v>
      </c>
      <c r="T63" s="113">
        <v>0.14498552394794662</v>
      </c>
      <c r="U63" s="113">
        <v>0.16778365573420118</v>
      </c>
      <c r="V63" s="113">
        <v>0.17270789286199931</v>
      </c>
      <c r="W63" s="113">
        <v>0.17298093674160001</v>
      </c>
      <c r="X63" s="113">
        <v>0.17298093674160001</v>
      </c>
      <c r="Y63" s="113">
        <v>0.17298093674160001</v>
      </c>
      <c r="Z63" s="113">
        <v>0.17298093674160001</v>
      </c>
      <c r="AA63" s="113">
        <v>0.17298093674160001</v>
      </c>
      <c r="AB63" s="113">
        <v>0.17298093674160001</v>
      </c>
      <c r="AC63" s="113">
        <v>0.17298093674160001</v>
      </c>
      <c r="AD63" s="113">
        <v>0.17298093674160001</v>
      </c>
      <c r="AE63" s="113">
        <v>0.17298093674160001</v>
      </c>
      <c r="AF63" s="113">
        <v>0.17298093674160001</v>
      </c>
      <c r="AG63" s="113">
        <v>0.17298093674160001</v>
      </c>
      <c r="AH63" s="113">
        <v>0.17298093674160001</v>
      </c>
      <c r="AI63" s="113">
        <v>0.17298093674160001</v>
      </c>
      <c r="AJ63" s="113">
        <v>0.17298093674160001</v>
      </c>
      <c r="AK63" s="113">
        <v>0.17298093674160001</v>
      </c>
      <c r="AL63" s="113">
        <v>0.17298093674160001</v>
      </c>
      <c r="AM63" s="113">
        <v>0.17298093674160001</v>
      </c>
      <c r="AN63" s="113">
        <v>0.17298093674160001</v>
      </c>
      <c r="AO63" s="113">
        <v>0.17298093674160001</v>
      </c>
      <c r="AP63" s="113">
        <v>0.17298093674160001</v>
      </c>
      <c r="AQ63" s="113">
        <v>0.17298093674160001</v>
      </c>
      <c r="AR63" s="113">
        <v>0.17298093674160001</v>
      </c>
      <c r="AS63" s="113">
        <v>0.17298093674160001</v>
      </c>
      <c r="AT63" s="130">
        <v>0.17298093674160001</v>
      </c>
    </row>
    <row r="64" spans="1:53" x14ac:dyDescent="0.15">
      <c r="B64" s="47" t="s">
        <v>26</v>
      </c>
      <c r="C64" s="107">
        <v>55</v>
      </c>
      <c r="D64" s="108">
        <f t="shared" si="17"/>
        <v>1.9359380499824004E-2</v>
      </c>
      <c r="E64" s="107">
        <f>E25</f>
        <v>11</v>
      </c>
      <c r="F64" s="90">
        <f t="shared" si="18"/>
        <v>0.21295318549806405</v>
      </c>
      <c r="G64" s="159">
        <f t="shared" si="19"/>
        <v>0.11121323529411764</v>
      </c>
      <c r="H64" s="159">
        <f>M113</f>
        <v>0.68425334108076696</v>
      </c>
      <c r="L64" s="143" t="s">
        <v>193</v>
      </c>
      <c r="M64" s="145">
        <v>0</v>
      </c>
      <c r="N64" s="1"/>
      <c r="O64" s="125" t="str">
        <f t="shared" si="16"/>
        <v>10出</v>
      </c>
      <c r="P64" s="26">
        <f t="shared" si="13"/>
        <v>0</v>
      </c>
      <c r="Q64" s="113">
        <v>9.82018535007538E-6</v>
      </c>
      <c r="R64" s="113">
        <v>7.2082873860487623E-3</v>
      </c>
      <c r="S64" s="113">
        <v>4.6787231804395923E-2</v>
      </c>
      <c r="T64" s="113">
        <v>0.11959581396505685</v>
      </c>
      <c r="U64" s="113">
        <v>0.17470500941034492</v>
      </c>
      <c r="V64" s="113">
        <v>0.19476655497699363</v>
      </c>
      <c r="W64" s="113">
        <v>0.19885393395405873</v>
      </c>
      <c r="X64" s="113">
        <v>0.19907596870455257</v>
      </c>
      <c r="Y64" s="113">
        <v>0.19907596870455257</v>
      </c>
      <c r="Z64" s="113">
        <v>0.19907596870455257</v>
      </c>
      <c r="AA64" s="113">
        <v>0.19907596870455257</v>
      </c>
      <c r="AB64" s="113">
        <v>0.19907596870455257</v>
      </c>
      <c r="AC64" s="113">
        <v>0.19907596870455257</v>
      </c>
      <c r="AD64" s="113">
        <v>0.19907596870455257</v>
      </c>
      <c r="AE64" s="113">
        <v>0.19907596870455257</v>
      </c>
      <c r="AF64" s="113">
        <v>0.19907596870455257</v>
      </c>
      <c r="AG64" s="113">
        <v>0.19907596870455257</v>
      </c>
      <c r="AH64" s="113">
        <v>0.19907596870455257</v>
      </c>
      <c r="AI64" s="113">
        <v>0.19907596870455257</v>
      </c>
      <c r="AJ64" s="113">
        <v>0.19907596870455257</v>
      </c>
      <c r="AK64" s="113">
        <v>0.19907596870455257</v>
      </c>
      <c r="AL64" s="113">
        <v>0.19907596870455257</v>
      </c>
      <c r="AM64" s="113">
        <v>0.19907596870455257</v>
      </c>
      <c r="AN64" s="113">
        <v>0.19907596870455257</v>
      </c>
      <c r="AO64" s="113">
        <v>0.19907596870455257</v>
      </c>
      <c r="AP64" s="113">
        <v>0.19907596870455257</v>
      </c>
      <c r="AQ64" s="113">
        <v>0.19907596870455257</v>
      </c>
      <c r="AR64" s="113">
        <v>0.19907596870455257</v>
      </c>
      <c r="AS64" s="113">
        <v>0.19907596870455257</v>
      </c>
      <c r="AT64" s="130">
        <v>0.19907596870455257</v>
      </c>
    </row>
    <row r="65" spans="2:53" x14ac:dyDescent="0.15">
      <c r="B65" s="47">
        <f t="shared" ref="B65:B73" si="20">B26</f>
        <v>5000</v>
      </c>
      <c r="C65" s="31">
        <v>2</v>
      </c>
      <c r="D65" s="108">
        <f t="shared" si="17"/>
        <v>7.0397747272087292E-4</v>
      </c>
      <c r="E65" s="107">
        <f>B65/100</f>
        <v>50</v>
      </c>
      <c r="F65" s="90">
        <f t="shared" si="18"/>
        <v>3.5198873636043647E-2</v>
      </c>
      <c r="G65" s="159">
        <f>F65/$F$80</f>
        <v>1.8382352941176471E-2</v>
      </c>
      <c r="H65" s="159">
        <f>U91</f>
        <v>0.66571121461841631</v>
      </c>
      <c r="L65" s="143" t="s">
        <v>194</v>
      </c>
      <c r="M65" s="145">
        <v>0</v>
      </c>
      <c r="N65" s="1"/>
      <c r="O65" s="125" t="str">
        <f t="shared" si="16"/>
        <v>11出</v>
      </c>
      <c r="P65" s="26">
        <f t="shared" si="13"/>
        <v>0</v>
      </c>
      <c r="Q65" s="113">
        <v>1.1928109559204005E-6</v>
      </c>
      <c r="R65" s="113">
        <v>1.6671248173473065E-3</v>
      </c>
      <c r="S65" s="113">
        <v>1.5752622884922077E-2</v>
      </c>
      <c r="T65" s="113">
        <v>6.1062622369591008E-2</v>
      </c>
      <c r="U65" s="113">
        <v>0.12660761187961359</v>
      </c>
      <c r="V65" s="113">
        <v>0.17114198882926046</v>
      </c>
      <c r="W65" s="113">
        <v>0.18660037872433971</v>
      </c>
      <c r="X65" s="113">
        <v>0.18960139764365605</v>
      </c>
      <c r="Y65" s="113">
        <v>0.18976145896382524</v>
      </c>
      <c r="Z65" s="113">
        <v>0.18976145896382524</v>
      </c>
      <c r="AA65" s="113">
        <v>0.18976145896382524</v>
      </c>
      <c r="AB65" s="113">
        <v>0.18976145896382524</v>
      </c>
      <c r="AC65" s="113">
        <v>0.18976145896382524</v>
      </c>
      <c r="AD65" s="113">
        <v>0.18976145896382524</v>
      </c>
      <c r="AE65" s="113">
        <v>0.18976145896382524</v>
      </c>
      <c r="AF65" s="113">
        <v>0.18976145896382524</v>
      </c>
      <c r="AG65" s="113">
        <v>0.18976145896382524</v>
      </c>
      <c r="AH65" s="113">
        <v>0.18976145896382524</v>
      </c>
      <c r="AI65" s="113">
        <v>0.18976145896382524</v>
      </c>
      <c r="AJ65" s="113">
        <v>0.18976145896382524</v>
      </c>
      <c r="AK65" s="113">
        <v>0.18976145896382524</v>
      </c>
      <c r="AL65" s="113">
        <v>0.18976145896382524</v>
      </c>
      <c r="AM65" s="113">
        <v>0.18976145896382524</v>
      </c>
      <c r="AN65" s="113">
        <v>0.18976145896382524</v>
      </c>
      <c r="AO65" s="113">
        <v>0.18976145896382524</v>
      </c>
      <c r="AP65" s="113">
        <v>0.18976145896382524</v>
      </c>
      <c r="AQ65" s="113">
        <v>0.18976145896382524</v>
      </c>
      <c r="AR65" s="113">
        <v>0.18976145896382524</v>
      </c>
      <c r="AS65" s="113">
        <v>0.18976145896382524</v>
      </c>
      <c r="AT65" s="130">
        <v>0.18976145896382524</v>
      </c>
    </row>
    <row r="66" spans="2:53" x14ac:dyDescent="0.15">
      <c r="B66" s="47">
        <f t="shared" si="20"/>
        <v>2500</v>
      </c>
      <c r="C66" s="31">
        <v>8</v>
      </c>
      <c r="D66" s="108">
        <f t="shared" si="17"/>
        <v>2.8159098908834917E-3</v>
      </c>
      <c r="E66" s="107">
        <f t="shared" ref="E66:E73" si="21">B66/100</f>
        <v>25</v>
      </c>
      <c r="F66" s="90">
        <f t="shared" si="18"/>
        <v>7.0397747272087294E-2</v>
      </c>
      <c r="G66" s="159">
        <f t="shared" si="19"/>
        <v>3.6764705882352942E-2</v>
      </c>
      <c r="H66" s="159">
        <f>U91</f>
        <v>0.66571121461841631</v>
      </c>
      <c r="L66" s="143" t="s">
        <v>195</v>
      </c>
      <c r="M66" s="145">
        <v>0</v>
      </c>
      <c r="N66" s="1"/>
      <c r="O66" s="125" t="str">
        <f t="shared" si="16"/>
        <v>12出</v>
      </c>
      <c r="P66" s="26">
        <f t="shared" si="13"/>
        <v>0</v>
      </c>
      <c r="Q66" s="113">
        <v>1.1843938544078761E-7</v>
      </c>
      <c r="R66" s="113">
        <v>2.5887722397731745E-4</v>
      </c>
      <c r="S66" s="113">
        <v>3.434592617625039E-3</v>
      </c>
      <c r="T66" s="113">
        <v>1.9518058226276246E-2</v>
      </c>
      <c r="U66" s="113">
        <v>5.8860431863878078E-2</v>
      </c>
      <c r="V66" s="113">
        <v>0.10739137119978878</v>
      </c>
      <c r="W66" s="113">
        <v>0.13780202299165245</v>
      </c>
      <c r="X66" s="113">
        <v>0.14794417948550009</v>
      </c>
      <c r="Y66" s="113">
        <v>0.14983708514342142</v>
      </c>
      <c r="Z66" s="113">
        <v>0.1499364973410745</v>
      </c>
      <c r="AA66" s="113">
        <v>0.1499364973410745</v>
      </c>
      <c r="AB66" s="113">
        <v>0.1499364973410745</v>
      </c>
      <c r="AC66" s="113">
        <v>0.1499364973410745</v>
      </c>
      <c r="AD66" s="113">
        <v>0.1499364973410745</v>
      </c>
      <c r="AE66" s="113">
        <v>0.1499364973410745</v>
      </c>
      <c r="AF66" s="113">
        <v>0.1499364973410745</v>
      </c>
      <c r="AG66" s="113">
        <v>0.1499364973410745</v>
      </c>
      <c r="AH66" s="113">
        <v>0.1499364973410745</v>
      </c>
      <c r="AI66" s="113">
        <v>0.1499364973410745</v>
      </c>
      <c r="AJ66" s="113">
        <v>0.1499364973410745</v>
      </c>
      <c r="AK66" s="113">
        <v>0.1499364973410745</v>
      </c>
      <c r="AL66" s="113">
        <v>0.1499364973410745</v>
      </c>
      <c r="AM66" s="113">
        <v>0.1499364973410745</v>
      </c>
      <c r="AN66" s="113">
        <v>0.1499364973410745</v>
      </c>
      <c r="AO66" s="113">
        <v>0.1499364973410745</v>
      </c>
      <c r="AP66" s="113">
        <v>0.1499364973410745</v>
      </c>
      <c r="AQ66" s="113">
        <v>0.1499364973410745</v>
      </c>
      <c r="AR66" s="113">
        <v>0.1499364973410745</v>
      </c>
      <c r="AS66" s="113">
        <v>0.1499364973410745</v>
      </c>
      <c r="AT66" s="130">
        <v>0.1499364973410745</v>
      </c>
    </row>
    <row r="67" spans="2:53" x14ac:dyDescent="0.15">
      <c r="B67" s="47">
        <f t="shared" si="20"/>
        <v>750</v>
      </c>
      <c r="C67" s="31">
        <v>40</v>
      </c>
      <c r="D67" s="108">
        <f t="shared" si="17"/>
        <v>1.4079549454417459E-2</v>
      </c>
      <c r="E67" s="107">
        <f t="shared" si="21"/>
        <v>7.5</v>
      </c>
      <c r="F67" s="90">
        <f t="shared" si="18"/>
        <v>0.10559662090813093</v>
      </c>
      <c r="G67" s="159">
        <f t="shared" si="19"/>
        <v>5.5147058823529403E-2</v>
      </c>
      <c r="H67" s="159">
        <f>U91</f>
        <v>0.66571121461841631</v>
      </c>
      <c r="L67" s="143" t="s">
        <v>196</v>
      </c>
      <c r="M67" s="145">
        <v>0</v>
      </c>
      <c r="N67" s="1"/>
      <c r="O67" s="125" t="str">
        <f t="shared" si="16"/>
        <v>13出</v>
      </c>
      <c r="P67" s="26">
        <f t="shared" si="13"/>
        <v>0</v>
      </c>
      <c r="Q67" s="113">
        <v>1.0315134575260328E-8</v>
      </c>
      <c r="R67" s="113">
        <v>2.9656213078918363E-5</v>
      </c>
      <c r="S67" s="113">
        <v>5.2623823614420646E-4</v>
      </c>
      <c r="T67" s="113">
        <v>4.1906361222682435E-3</v>
      </c>
      <c r="U67" s="113">
        <v>1.792802615008595E-2</v>
      </c>
      <c r="V67" s="113">
        <v>4.5569520211204806E-2</v>
      </c>
      <c r="W67" s="113">
        <v>7.5754518724678949E-2</v>
      </c>
      <c r="X67" s="113">
        <v>9.344752344675282E-2</v>
      </c>
      <c r="Y67" s="113">
        <v>9.9142117129833854E-2</v>
      </c>
      <c r="Z67" s="113">
        <v>0.10016900392844771</v>
      </c>
      <c r="AA67" s="113">
        <v>0.10022219088588806</v>
      </c>
      <c r="AB67" s="113">
        <v>0.10022219088588806</v>
      </c>
      <c r="AC67" s="113">
        <v>0.10022219088588806</v>
      </c>
      <c r="AD67" s="113">
        <v>0.10022219088588806</v>
      </c>
      <c r="AE67" s="113">
        <v>0.10022219088588806</v>
      </c>
      <c r="AF67" s="113">
        <v>0.10022219088588806</v>
      </c>
      <c r="AG67" s="113">
        <v>0.10022219088588806</v>
      </c>
      <c r="AH67" s="113">
        <v>0.10022219088588806</v>
      </c>
      <c r="AI67" s="113">
        <v>0.10022219088588806</v>
      </c>
      <c r="AJ67" s="113">
        <v>0.10022219088588806</v>
      </c>
      <c r="AK67" s="113">
        <v>0.10022219088588806</v>
      </c>
      <c r="AL67" s="113">
        <v>0.10022219088588806</v>
      </c>
      <c r="AM67" s="113">
        <v>0.10022219088588806</v>
      </c>
      <c r="AN67" s="113">
        <v>0.10022219088588806</v>
      </c>
      <c r="AO67" s="113">
        <v>0.10022219088588806</v>
      </c>
      <c r="AP67" s="113">
        <v>0.10022219088588806</v>
      </c>
      <c r="AQ67" s="113">
        <v>0.10022219088588806</v>
      </c>
      <c r="AR67" s="113">
        <v>0.10022219088588806</v>
      </c>
      <c r="AS67" s="113">
        <v>0.10022219088588806</v>
      </c>
      <c r="AT67" s="130">
        <v>0.10022219088588806</v>
      </c>
    </row>
    <row r="68" spans="2:53" x14ac:dyDescent="0.15">
      <c r="B68" s="47">
        <f t="shared" si="20"/>
        <v>500</v>
      </c>
      <c r="C68" s="107">
        <v>135</v>
      </c>
      <c r="D68" s="108">
        <f t="shared" si="17"/>
        <v>4.7518479408658922E-2</v>
      </c>
      <c r="E68" s="107">
        <f t="shared" si="21"/>
        <v>5</v>
      </c>
      <c r="F68" s="90">
        <f t="shared" si="18"/>
        <v>0.2375923970432946</v>
      </c>
      <c r="G68" s="159">
        <f t="shared" si="19"/>
        <v>0.12408088235294117</v>
      </c>
      <c r="H68" s="159">
        <f>U91</f>
        <v>0.66571121461841631</v>
      </c>
      <c r="L68" s="143" t="s">
        <v>197</v>
      </c>
      <c r="M68" s="145">
        <v>0</v>
      </c>
      <c r="N68" s="1"/>
      <c r="O68" s="125" t="str">
        <f t="shared" si="16"/>
        <v>14出</v>
      </c>
      <c r="P68" s="26">
        <f t="shared" si="13"/>
        <v>0</v>
      </c>
      <c r="Q68" s="113">
        <v>4.2103959220412393E-10</v>
      </c>
      <c r="R68" s="113">
        <v>1.4464446793815E-6</v>
      </c>
      <c r="S68" s="113">
        <v>2.69909702585483E-5</v>
      </c>
      <c r="T68" s="113">
        <v>2.5167142912386423E-4</v>
      </c>
      <c r="U68" s="113">
        <v>1.2869864806362419E-3</v>
      </c>
      <c r="V68" s="113">
        <v>3.9596463509065406E-3</v>
      </c>
      <c r="W68" s="113">
        <v>7.9711946003318164E-3</v>
      </c>
      <c r="X68" s="113">
        <v>1.149834305711383E-2</v>
      </c>
      <c r="Y68" s="113">
        <v>1.3298776225815639E-2</v>
      </c>
      <c r="Z68" s="113">
        <v>1.3831879590465578E-2</v>
      </c>
      <c r="AA68" s="113">
        <v>1.3920298243908469E-2</v>
      </c>
      <c r="AB68" s="113">
        <v>1.3924716151769732E-2</v>
      </c>
      <c r="AC68" s="113">
        <v>1.3924716151769732E-2</v>
      </c>
      <c r="AD68" s="113">
        <v>1.3924716151769732E-2</v>
      </c>
      <c r="AE68" s="113">
        <v>1.3924716151769732E-2</v>
      </c>
      <c r="AF68" s="113">
        <v>1.3924716151769732E-2</v>
      </c>
      <c r="AG68" s="113">
        <v>1.3924716151769732E-2</v>
      </c>
      <c r="AH68" s="113">
        <v>1.3924716151769732E-2</v>
      </c>
      <c r="AI68" s="113">
        <v>1.3924716151769732E-2</v>
      </c>
      <c r="AJ68" s="113">
        <v>1.3924716151769732E-2</v>
      </c>
      <c r="AK68" s="113">
        <v>1.3924716151769732E-2</v>
      </c>
      <c r="AL68" s="113">
        <v>1.3924716151769732E-2</v>
      </c>
      <c r="AM68" s="113">
        <v>1.3924716151769732E-2</v>
      </c>
      <c r="AN68" s="113">
        <v>1.3924716151769732E-2</v>
      </c>
      <c r="AO68" s="113">
        <v>1.3924716151769732E-2</v>
      </c>
      <c r="AP68" s="113">
        <v>1.3924716151769732E-2</v>
      </c>
      <c r="AQ68" s="113">
        <v>1.3924716151769732E-2</v>
      </c>
      <c r="AR68" s="113">
        <v>1.3924716151769732E-2</v>
      </c>
      <c r="AS68" s="113">
        <v>1.3924716151769732E-2</v>
      </c>
      <c r="AT68" s="130">
        <v>1.3924716151769732E-2</v>
      </c>
    </row>
    <row r="69" spans="2:53" ht="15.75" thickBot="1" x14ac:dyDescent="0.2">
      <c r="B69" s="47">
        <f t="shared" si="20"/>
        <v>250</v>
      </c>
      <c r="C69" s="107">
        <v>250</v>
      </c>
      <c r="D69" s="108">
        <f t="shared" si="17"/>
        <v>8.7997184090109121E-2</v>
      </c>
      <c r="E69" s="107">
        <f t="shared" si="21"/>
        <v>2.5</v>
      </c>
      <c r="F69" s="90">
        <f t="shared" si="18"/>
        <v>0.21999296022527282</v>
      </c>
      <c r="G69" s="159">
        <f t="shared" si="19"/>
        <v>0.11488970588235295</v>
      </c>
      <c r="H69" s="159">
        <f>Q91</f>
        <v>0.58187435633367657</v>
      </c>
      <c r="I69" s="1"/>
      <c r="J69" s="1"/>
      <c r="K69" s="1"/>
      <c r="L69" s="35" t="s">
        <v>198</v>
      </c>
      <c r="M69" s="146">
        <v>0</v>
      </c>
      <c r="O69" s="134" t="str">
        <f t="shared" si="16"/>
        <v>15出</v>
      </c>
      <c r="P69" s="29">
        <f t="shared" si="13"/>
        <v>0</v>
      </c>
      <c r="Q69" s="135">
        <v>7.2395184246001694E-12</v>
      </c>
      <c r="R69" s="135">
        <v>2.9249430164840335E-8</v>
      </c>
      <c r="S69" s="135">
        <v>4.3550281969344185E-7</v>
      </c>
      <c r="T69" s="135">
        <v>3.9252134082190847E-6</v>
      </c>
      <c r="U69" s="135">
        <v>1.9629097711281301E-5</v>
      </c>
      <c r="V69" s="135">
        <v>5.8569473821756625E-5</v>
      </c>
      <c r="W69" s="135">
        <v>1.1482490814550415E-4</v>
      </c>
      <c r="X69" s="135">
        <v>1.6434642081230468E-4</v>
      </c>
      <c r="Y69" s="135">
        <v>1.921077777199558E-4</v>
      </c>
      <c r="Z69" s="135">
        <v>2.0220593718199564E-4</v>
      </c>
      <c r="AA69" s="135">
        <v>2.0451335001919936E-4</v>
      </c>
      <c r="AB69" s="135">
        <v>2.0481270499495894E-4</v>
      </c>
      <c r="AC69" s="135">
        <v>2.0482598527023533E-4</v>
      </c>
      <c r="AD69" s="135">
        <v>2.0482598527023533E-4</v>
      </c>
      <c r="AE69" s="135">
        <v>2.0482598527023533E-4</v>
      </c>
      <c r="AF69" s="135">
        <v>2.0482598527023533E-4</v>
      </c>
      <c r="AG69" s="135">
        <v>2.0482598527023533E-4</v>
      </c>
      <c r="AH69" s="135">
        <v>2.0482598527023533E-4</v>
      </c>
      <c r="AI69" s="135">
        <v>2.0482598527023533E-4</v>
      </c>
      <c r="AJ69" s="135">
        <v>2.0482598527023533E-4</v>
      </c>
      <c r="AK69" s="135">
        <v>2.0482598527023533E-4</v>
      </c>
      <c r="AL69" s="135">
        <v>2.0482598527023533E-4</v>
      </c>
      <c r="AM69" s="135">
        <v>2.0482598527023533E-4</v>
      </c>
      <c r="AN69" s="135">
        <v>2.0482598527023533E-4</v>
      </c>
      <c r="AO69" s="135">
        <v>2.0482598527023533E-4</v>
      </c>
      <c r="AP69" s="135">
        <v>2.0482598527023533E-4</v>
      </c>
      <c r="AQ69" s="135">
        <v>2.0482598527023533E-4</v>
      </c>
      <c r="AR69" s="135">
        <v>2.0482598527023533E-4</v>
      </c>
      <c r="AS69" s="135">
        <v>2.0482598527023533E-4</v>
      </c>
      <c r="AT69" s="124">
        <v>2.0482598527023533E-4</v>
      </c>
    </row>
    <row r="70" spans="2:53" x14ac:dyDescent="0.15">
      <c r="B70" s="47">
        <f t="shared" si="20"/>
        <v>200</v>
      </c>
      <c r="C70" s="107">
        <v>330</v>
      </c>
      <c r="D70" s="108">
        <f t="shared" si="17"/>
        <v>0.11615628299894404</v>
      </c>
      <c r="E70" s="107">
        <f t="shared" si="21"/>
        <v>2</v>
      </c>
      <c r="F70" s="90">
        <f t="shared" si="18"/>
        <v>0.23231256599788808</v>
      </c>
      <c r="G70" s="159">
        <f t="shared" si="19"/>
        <v>0.12132352941176471</v>
      </c>
      <c r="H70" s="159">
        <f>Q91</f>
        <v>0.58187435633367657</v>
      </c>
      <c r="I70" s="1"/>
      <c r="J70" s="1"/>
      <c r="K70" s="1"/>
      <c r="L70" s="1" t="s">
        <v>18</v>
      </c>
      <c r="M70" s="1">
        <f>SUM(M38:M69)</f>
        <v>9.1480722578422616E-3</v>
      </c>
      <c r="O70" s="1"/>
      <c r="P70" s="1">
        <f>SUM(P38:P69)</f>
        <v>0.99999999999999989</v>
      </c>
      <c r="Q70" s="1">
        <f t="shared" ref="Q70:AT70" si="22">SUM(Q38:Q69)</f>
        <v>1</v>
      </c>
      <c r="R70" s="1">
        <f t="shared" si="22"/>
        <v>1.0000000000000002</v>
      </c>
      <c r="S70" s="1">
        <f t="shared" si="22"/>
        <v>1</v>
      </c>
      <c r="T70" s="1">
        <f t="shared" si="22"/>
        <v>1.0000000000000002</v>
      </c>
      <c r="U70" s="1">
        <f t="shared" si="22"/>
        <v>1.0000000000000002</v>
      </c>
      <c r="V70" s="1">
        <f t="shared" si="22"/>
        <v>1.0000000000000002</v>
      </c>
      <c r="W70" s="1">
        <f t="shared" si="22"/>
        <v>1.0000000000000002</v>
      </c>
      <c r="X70" s="1">
        <f t="shared" si="22"/>
        <v>1</v>
      </c>
      <c r="Y70" s="1">
        <f t="shared" si="22"/>
        <v>1.0000000000000002</v>
      </c>
      <c r="Z70" s="1">
        <f t="shared" si="22"/>
        <v>1.0000000000000002</v>
      </c>
      <c r="AA70" s="1">
        <f t="shared" si="22"/>
        <v>1.0000000000000002</v>
      </c>
      <c r="AB70" s="1">
        <f t="shared" si="22"/>
        <v>1.0000000000000002</v>
      </c>
      <c r="AC70" s="1">
        <f t="shared" si="22"/>
        <v>1.0000000000000002</v>
      </c>
      <c r="AD70" s="1">
        <f t="shared" si="22"/>
        <v>1.0000000000000002</v>
      </c>
      <c r="AE70" s="1">
        <f t="shared" si="22"/>
        <v>1.0000000000000002</v>
      </c>
      <c r="AF70" s="1">
        <f t="shared" si="22"/>
        <v>1.0000000000000002</v>
      </c>
      <c r="AG70" s="1">
        <f t="shared" si="22"/>
        <v>1.0000000000000002</v>
      </c>
      <c r="AH70" s="1">
        <f t="shared" si="22"/>
        <v>1.0000000000000002</v>
      </c>
      <c r="AI70" s="1">
        <f t="shared" si="22"/>
        <v>1.0000000000000002</v>
      </c>
      <c r="AJ70" s="1">
        <f t="shared" si="22"/>
        <v>1.0000000000000002</v>
      </c>
      <c r="AK70" s="1">
        <f t="shared" si="22"/>
        <v>1.0000000000000002</v>
      </c>
      <c r="AL70" s="1">
        <f t="shared" si="22"/>
        <v>1.0000000000000002</v>
      </c>
      <c r="AM70" s="1">
        <f t="shared" si="22"/>
        <v>1.0000000000000002</v>
      </c>
      <c r="AN70" s="1">
        <f t="shared" si="22"/>
        <v>1.0000000000000002</v>
      </c>
      <c r="AO70" s="1">
        <f t="shared" si="22"/>
        <v>1.0000000000000002</v>
      </c>
      <c r="AP70" s="1">
        <f t="shared" si="22"/>
        <v>1.0000000000000002</v>
      </c>
      <c r="AQ70" s="1">
        <f t="shared" si="22"/>
        <v>1.0000000000000002</v>
      </c>
      <c r="AR70" s="1">
        <f t="shared" si="22"/>
        <v>1.0000000000000002</v>
      </c>
      <c r="AS70" s="1">
        <f t="shared" si="22"/>
        <v>1.0000000000000002</v>
      </c>
      <c r="AT70" s="1">
        <f t="shared" si="22"/>
        <v>1.0000000000000002</v>
      </c>
    </row>
    <row r="71" spans="2:53" x14ac:dyDescent="0.15">
      <c r="B71" s="47">
        <f t="shared" si="20"/>
        <v>150</v>
      </c>
      <c r="C71" s="107">
        <v>350</v>
      </c>
      <c r="D71" s="108">
        <f t="shared" si="17"/>
        <v>0.12319605772615276</v>
      </c>
      <c r="E71" s="107">
        <f t="shared" si="21"/>
        <v>1.5</v>
      </c>
      <c r="F71" s="90">
        <f t="shared" si="18"/>
        <v>0.18479408658922913</v>
      </c>
      <c r="G71" s="159">
        <f t="shared" si="19"/>
        <v>9.6507352941176461E-2</v>
      </c>
      <c r="H71" s="159">
        <f>Q91</f>
        <v>0.58187435633367657</v>
      </c>
      <c r="I71" s="1"/>
      <c r="J71" s="1"/>
      <c r="K71" s="1"/>
      <c r="L71" s="1"/>
      <c r="M71" s="1">
        <f>1/M70</f>
        <v>109.31264771577877</v>
      </c>
      <c r="P71" s="113"/>
      <c r="AX71" s="1"/>
      <c r="AY71" s="1"/>
      <c r="AZ71" s="1"/>
      <c r="BA71" s="1"/>
    </row>
    <row r="72" spans="2:53" x14ac:dyDescent="0.15">
      <c r="B72" s="47">
        <f t="shared" si="20"/>
        <v>100</v>
      </c>
      <c r="C72" s="107">
        <v>750</v>
      </c>
      <c r="D72" s="108">
        <f t="shared" si="17"/>
        <v>0.26399155227032733</v>
      </c>
      <c r="E72" s="107">
        <f t="shared" si="21"/>
        <v>1</v>
      </c>
      <c r="F72" s="90">
        <f t="shared" si="18"/>
        <v>0.26399155227032733</v>
      </c>
      <c r="G72" s="159">
        <f t="shared" si="19"/>
        <v>0.13786764705882351</v>
      </c>
      <c r="H72" s="159">
        <f>Q91</f>
        <v>0.58187435633367657</v>
      </c>
      <c r="I72" s="1"/>
      <c r="J72" s="1"/>
      <c r="K72" s="1"/>
      <c r="AX72" s="1"/>
      <c r="AY72" s="1"/>
      <c r="AZ72" s="1"/>
      <c r="BA72" s="1"/>
    </row>
    <row r="73" spans="2:53" x14ac:dyDescent="0.15">
      <c r="B73" s="47">
        <f t="shared" si="20"/>
        <v>50</v>
      </c>
      <c r="C73" s="107">
        <v>900</v>
      </c>
      <c r="D73" s="108">
        <f t="shared" si="17"/>
        <v>0.3167898627243928</v>
      </c>
      <c r="E73" s="107">
        <f t="shared" si="21"/>
        <v>0.5</v>
      </c>
      <c r="F73" s="90">
        <f t="shared" si="18"/>
        <v>0.1583949313621964</v>
      </c>
      <c r="G73" s="159">
        <f t="shared" si="19"/>
        <v>8.2720588235294101E-2</v>
      </c>
      <c r="H73" s="159">
        <f>M91</f>
        <v>0.5260002997152704</v>
      </c>
      <c r="N73" s="1"/>
      <c r="O73" s="1"/>
      <c r="Q73" s="1"/>
      <c r="R73" s="1"/>
      <c r="S73" s="1"/>
      <c r="T73" s="1"/>
      <c r="V73" s="113" t="s">
        <v>19</v>
      </c>
      <c r="W73" s="1" t="s">
        <v>319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2:53" x14ac:dyDescent="0.25">
      <c r="B74" s="140" t="s">
        <v>216</v>
      </c>
      <c r="C74" s="31">
        <v>0</v>
      </c>
      <c r="D74" s="108">
        <f t="shared" si="17"/>
        <v>0</v>
      </c>
      <c r="E74" s="31">
        <v>10</v>
      </c>
      <c r="F74" s="90">
        <f t="shared" si="18"/>
        <v>0</v>
      </c>
      <c r="G74" s="113">
        <f t="shared" si="19"/>
        <v>0</v>
      </c>
      <c r="I74" s="223" t="s">
        <v>408</v>
      </c>
      <c r="J74" s="318" t="s">
        <v>20</v>
      </c>
      <c r="K74" s="298" t="s">
        <v>409</v>
      </c>
      <c r="N74" s="113">
        <v>1</v>
      </c>
      <c r="O74" s="133" t="s">
        <v>221</v>
      </c>
      <c r="P74" s="113">
        <v>0.2</v>
      </c>
      <c r="U74" s="113">
        <v>5</v>
      </c>
      <c r="V74" s="243">
        <v>1</v>
      </c>
      <c r="W74" s="160">
        <v>1</v>
      </c>
      <c r="X74" s="21">
        <v>1</v>
      </c>
      <c r="Y74" s="21">
        <v>1</v>
      </c>
      <c r="Z74" s="240">
        <v>1</v>
      </c>
      <c r="AA74" s="161">
        <v>1</v>
      </c>
      <c r="AB74" s="1">
        <f>SUM(W74:AA74)</f>
        <v>5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2:53" x14ac:dyDescent="0.25">
      <c r="B75" s="140" t="s">
        <v>255</v>
      </c>
      <c r="C75" s="31">
        <v>0</v>
      </c>
      <c r="D75" s="108">
        <f t="shared" si="17"/>
        <v>0</v>
      </c>
      <c r="E75" s="31">
        <v>8</v>
      </c>
      <c r="F75" s="90">
        <f t="shared" si="18"/>
        <v>0</v>
      </c>
      <c r="G75" s="113">
        <f t="shared" si="19"/>
        <v>0</v>
      </c>
      <c r="I75" s="299">
        <v>0</v>
      </c>
      <c r="J75" s="319">
        <f t="shared" ref="J75:J80" si="23">K75/SUM($K$75:$K$80)</f>
        <v>0.25829773250082155</v>
      </c>
      <c r="K75" s="320">
        <v>2358</v>
      </c>
      <c r="O75" s="133" t="s">
        <v>296</v>
      </c>
      <c r="P75" s="113">
        <v>1</v>
      </c>
      <c r="V75" s="244">
        <v>1</v>
      </c>
      <c r="W75" s="2">
        <v>1</v>
      </c>
      <c r="X75" s="1">
        <v>1</v>
      </c>
      <c r="Y75" s="113">
        <v>1</v>
      </c>
      <c r="Z75" s="113">
        <v>2</v>
      </c>
      <c r="AA75" s="5">
        <v>0</v>
      </c>
      <c r="AB75" s="1">
        <f t="shared" ref="AB75:AB76" si="24">SUM(W75:AA75)</f>
        <v>5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2:53" x14ac:dyDescent="0.15">
      <c r="B76" s="140" t="s">
        <v>256</v>
      </c>
      <c r="C76" s="31">
        <v>0</v>
      </c>
      <c r="D76" s="108">
        <f t="shared" si="17"/>
        <v>0</v>
      </c>
      <c r="E76" s="31">
        <v>7</v>
      </c>
      <c r="F76" s="90">
        <f t="shared" si="18"/>
        <v>0</v>
      </c>
      <c r="G76" s="113">
        <f t="shared" si="19"/>
        <v>0</v>
      </c>
      <c r="I76" s="299">
        <v>1</v>
      </c>
      <c r="J76" s="319">
        <f t="shared" si="23"/>
        <v>0.44736553839412863</v>
      </c>
      <c r="K76" s="320">
        <v>4084</v>
      </c>
      <c r="P76" s="113"/>
      <c r="V76" s="245">
        <v>1</v>
      </c>
      <c r="W76" s="8">
        <v>1</v>
      </c>
      <c r="X76" s="166">
        <v>2</v>
      </c>
      <c r="Y76" s="166">
        <v>2</v>
      </c>
      <c r="Z76" s="166">
        <v>0</v>
      </c>
      <c r="AA76" s="165">
        <v>0</v>
      </c>
      <c r="AB76" s="1">
        <f t="shared" si="24"/>
        <v>5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2:53" x14ac:dyDescent="0.15">
      <c r="B77" s="140" t="s">
        <v>215</v>
      </c>
      <c r="C77" s="31">
        <v>0</v>
      </c>
      <c r="D77" s="108">
        <f t="shared" si="17"/>
        <v>0</v>
      </c>
      <c r="E77" s="31">
        <v>5</v>
      </c>
      <c r="F77" s="91">
        <f>E77*D77</f>
        <v>0</v>
      </c>
      <c r="G77" s="113">
        <f t="shared" si="19"/>
        <v>0</v>
      </c>
      <c r="I77" s="299">
        <v>2</v>
      </c>
      <c r="J77" s="319">
        <f t="shared" si="23"/>
        <v>0.26454157081827145</v>
      </c>
      <c r="K77" s="320">
        <v>2415</v>
      </c>
      <c r="P77" s="113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2:53" x14ac:dyDescent="0.15">
      <c r="B78" s="140" t="s">
        <v>214</v>
      </c>
      <c r="C78" s="31">
        <v>0</v>
      </c>
      <c r="D78" s="108">
        <f t="shared" si="17"/>
        <v>0</v>
      </c>
      <c r="E78" s="31">
        <v>3</v>
      </c>
      <c r="F78" s="91">
        <f>E78*D78</f>
        <v>0</v>
      </c>
      <c r="G78" s="113">
        <f t="shared" si="19"/>
        <v>0</v>
      </c>
      <c r="I78" s="299">
        <v>3</v>
      </c>
      <c r="J78" s="319">
        <f t="shared" si="23"/>
        <v>2.9576076240552088E-2</v>
      </c>
      <c r="K78" s="320">
        <v>270</v>
      </c>
      <c r="P78" s="160">
        <v>1</v>
      </c>
      <c r="Q78" s="161">
        <f>M92</f>
        <v>0.13500000000000001</v>
      </c>
      <c r="R78" s="159">
        <f>G72+G73</f>
        <v>0.22058823529411761</v>
      </c>
      <c r="U78" s="113">
        <v>4</v>
      </c>
      <c r="V78" s="243">
        <v>1</v>
      </c>
      <c r="W78" s="160">
        <v>1</v>
      </c>
      <c r="X78" s="240">
        <v>1</v>
      </c>
      <c r="Y78" s="240">
        <v>1</v>
      </c>
      <c r="Z78" s="161">
        <v>1</v>
      </c>
      <c r="AA78" s="113">
        <f>SUM(W78:Z78)</f>
        <v>4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2:53" x14ac:dyDescent="0.15">
      <c r="B79" s="140" t="s">
        <v>213</v>
      </c>
      <c r="C79" s="31">
        <v>0</v>
      </c>
      <c r="D79" s="108">
        <f t="shared" si="17"/>
        <v>0</v>
      </c>
      <c r="E79" s="31">
        <v>2</v>
      </c>
      <c r="F79" s="91">
        <f>E79*D79</f>
        <v>0</v>
      </c>
      <c r="G79" s="113">
        <f t="shared" si="19"/>
        <v>0</v>
      </c>
      <c r="I79" s="299">
        <v>4</v>
      </c>
      <c r="J79" s="319">
        <f t="shared" si="23"/>
        <v>2.1908204622631176E-4</v>
      </c>
      <c r="K79" s="320">
        <v>2</v>
      </c>
      <c r="P79" s="163">
        <v>2</v>
      </c>
      <c r="Q79" s="162">
        <f>Q92</f>
        <v>0.14000000000000001</v>
      </c>
      <c r="R79" s="159">
        <f>G71+G70+G69</f>
        <v>0.33272058823529416</v>
      </c>
      <c r="V79" s="244">
        <v>1</v>
      </c>
      <c r="W79" s="163">
        <v>1</v>
      </c>
      <c r="X79" s="113">
        <v>1</v>
      </c>
      <c r="Y79" s="113">
        <v>2</v>
      </c>
      <c r="Z79" s="162">
        <v>0</v>
      </c>
      <c r="AA79" s="113">
        <f t="shared" ref="AA79:AA80" si="25">SUM(W79:Z79)</f>
        <v>4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2:53" ht="15.75" thickBot="1" x14ac:dyDescent="0.2">
      <c r="B80" s="48" t="s">
        <v>15</v>
      </c>
      <c r="C80" s="92">
        <f>SUM(C61:C79)</f>
        <v>2841</v>
      </c>
      <c r="D80" s="93">
        <f>SUM(D61:D79)</f>
        <v>1</v>
      </c>
      <c r="E80" s="92"/>
      <c r="F80" s="94">
        <f>SUM(F61:F73)</f>
        <v>1.9148187258007745</v>
      </c>
      <c r="I80" s="300">
        <v>5</v>
      </c>
      <c r="J80" s="321">
        <f t="shared" si="23"/>
        <v>0</v>
      </c>
      <c r="K80" s="322">
        <v>0</v>
      </c>
      <c r="P80" s="163">
        <v>3</v>
      </c>
      <c r="Q80" s="162">
        <f>U92</f>
        <v>0.11</v>
      </c>
      <c r="R80" s="159">
        <f>G68+G67+G66+G65</f>
        <v>0.23437499999999997</v>
      </c>
      <c r="V80" s="245">
        <v>1</v>
      </c>
      <c r="W80" s="164">
        <v>2</v>
      </c>
      <c r="X80" s="166">
        <v>2</v>
      </c>
      <c r="Y80" s="166">
        <v>0</v>
      </c>
      <c r="Z80" s="165">
        <v>0</v>
      </c>
      <c r="AA80" s="113">
        <f t="shared" si="25"/>
        <v>4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2:53" x14ac:dyDescent="0.25">
      <c r="N81" s="133"/>
      <c r="P81" s="163">
        <v>4</v>
      </c>
      <c r="Q81" s="162">
        <f>M114</f>
        <v>0.1</v>
      </c>
      <c r="R81" s="159">
        <f>G64+G63+G62+G61</f>
        <v>0.21231617647058823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2:53" x14ac:dyDescent="0.25">
      <c r="I82" s="301" t="s">
        <v>410</v>
      </c>
      <c r="J82" s="302">
        <f>SUMPRODUCT(I75:I80,J75:J80)</f>
        <v>1.0660532369372331</v>
      </c>
      <c r="N82" s="133"/>
      <c r="P82" s="164">
        <v>5</v>
      </c>
      <c r="Q82" s="165">
        <f>Q114</f>
        <v>0.1</v>
      </c>
      <c r="U82" s="113">
        <v>3</v>
      </c>
      <c r="V82" s="243">
        <v>1</v>
      </c>
      <c r="W82" s="160">
        <v>1</v>
      </c>
      <c r="X82" s="240">
        <v>1</v>
      </c>
      <c r="Y82" s="161">
        <v>1</v>
      </c>
      <c r="Z82" s="113">
        <f>SUM(W82:Y82)</f>
        <v>3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2:53" x14ac:dyDescent="0.15">
      <c r="B83" s="113" t="s">
        <v>207</v>
      </c>
      <c r="C83" s="113">
        <f>AV57+0.6</f>
        <v>10.8198532485941</v>
      </c>
      <c r="L83" s="7" t="s">
        <v>223</v>
      </c>
      <c r="M83" s="21" t="s">
        <v>19</v>
      </c>
      <c r="N83" s="20" t="s">
        <v>20</v>
      </c>
      <c r="P83" s="113"/>
      <c r="V83" s="245">
        <v>1</v>
      </c>
      <c r="W83" s="164">
        <v>1</v>
      </c>
      <c r="X83" s="166">
        <v>2</v>
      </c>
      <c r="Y83" s="165">
        <v>0</v>
      </c>
      <c r="Z83" s="113">
        <f>SUM(W83:Y83)</f>
        <v>3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2:53" x14ac:dyDescent="0.15">
      <c r="B84" s="113" t="s">
        <v>245</v>
      </c>
      <c r="C84" s="1">
        <v>41.733037069152395</v>
      </c>
      <c r="L84" s="2">
        <v>5</v>
      </c>
      <c r="M84" s="1">
        <v>3</v>
      </c>
      <c r="N84" s="109">
        <f>M84/SUM($M$84:$M$88)</f>
        <v>9.375E-2</v>
      </c>
      <c r="P84" s="113"/>
      <c r="Q84" s="313">
        <f>AVERAGE(Q78:Q82)</f>
        <v>0.11699999999999999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2:53" x14ac:dyDescent="0.15">
      <c r="B85" s="113" t="s">
        <v>208</v>
      </c>
      <c r="C85" s="113">
        <f>C84*'Base Game '!O166</f>
        <v>0.38177683864781575</v>
      </c>
      <c r="L85" s="2">
        <v>4</v>
      </c>
      <c r="M85" s="1">
        <v>10</v>
      </c>
      <c r="N85" s="109">
        <f>M85/SUM($M$84:$M$88)</f>
        <v>0.3125</v>
      </c>
      <c r="P85" s="113"/>
      <c r="U85" s="113">
        <v>2</v>
      </c>
      <c r="V85" s="243">
        <v>1</v>
      </c>
      <c r="W85" s="160">
        <v>1</v>
      </c>
      <c r="X85" s="161">
        <v>1</v>
      </c>
      <c r="Y85" s="113">
        <f>SUM(W85:X85)</f>
        <v>2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2:53" x14ac:dyDescent="0.15">
      <c r="E86" s="1"/>
      <c r="F86" s="1"/>
      <c r="G86" s="1"/>
      <c r="L86" s="2">
        <v>3</v>
      </c>
      <c r="M86" s="113">
        <v>15</v>
      </c>
      <c r="N86" s="109">
        <f>M86/SUM($M$84:$M$88)</f>
        <v>0.46875</v>
      </c>
      <c r="P86" s="113"/>
      <c r="V86" s="245">
        <v>1</v>
      </c>
      <c r="W86" s="164">
        <v>2</v>
      </c>
      <c r="X86" s="165">
        <v>0</v>
      </c>
      <c r="Y86" s="113">
        <f>SUM(W86:X86)</f>
        <v>2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2:53" x14ac:dyDescent="0.15">
      <c r="C87" s="113">
        <f>C83*F35</f>
        <v>21.30595978006739</v>
      </c>
      <c r="E87" s="1"/>
      <c r="F87" s="1"/>
      <c r="G87" s="1"/>
      <c r="L87" s="2">
        <v>2</v>
      </c>
      <c r="M87" s="113">
        <v>4</v>
      </c>
      <c r="N87" s="109">
        <f>M87/SUM($M$84:$M$88)</f>
        <v>0.125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2:53" x14ac:dyDescent="0.15">
      <c r="E88" s="1"/>
      <c r="F88" s="1"/>
      <c r="G88" s="1"/>
      <c r="L88" s="8">
        <v>1</v>
      </c>
      <c r="M88" s="166">
        <v>0</v>
      </c>
      <c r="N88" s="106">
        <f>M88/SUM($M$84:$M$88)</f>
        <v>0</v>
      </c>
      <c r="U88" s="1">
        <v>1</v>
      </c>
      <c r="V88" s="242">
        <v>1</v>
      </c>
      <c r="W88" s="242">
        <v>1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2:53" x14ac:dyDescent="0.15">
      <c r="E89" s="1"/>
      <c r="F89" s="1"/>
      <c r="G89" s="1"/>
      <c r="I89" s="113" t="s">
        <v>414</v>
      </c>
      <c r="J89" s="113">
        <v>0</v>
      </c>
      <c r="L89" s="113" t="s">
        <v>224</v>
      </c>
      <c r="M89" s="113">
        <f>SUMPRODUCT(L84:L88,N84:N88)</f>
        <v>3.375</v>
      </c>
      <c r="N89" s="1"/>
      <c r="O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2:53" x14ac:dyDescent="0.15">
      <c r="E90" s="1"/>
      <c r="F90" s="1"/>
      <c r="G90" s="1"/>
      <c r="L90" s="113" t="s">
        <v>411</v>
      </c>
      <c r="M90" s="159">
        <f>SUM(N93:N104)</f>
        <v>0.47399970028472954</v>
      </c>
      <c r="P90" s="113" t="s">
        <v>411</v>
      </c>
      <c r="Q90" s="159">
        <f>SUM(R93:R104)</f>
        <v>0.41812564366632338</v>
      </c>
      <c r="T90" s="113" t="s">
        <v>411</v>
      </c>
      <c r="U90" s="159">
        <f>SUM(V93:V104)</f>
        <v>0.33428878538158369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2:53" x14ac:dyDescent="0.15">
      <c r="E91" s="1"/>
      <c r="F91" s="1"/>
      <c r="G91" s="1"/>
      <c r="L91" s="113" t="s">
        <v>230</v>
      </c>
      <c r="M91" s="159">
        <f>1-M90</f>
        <v>0.5260002997152704</v>
      </c>
      <c r="P91" s="113" t="s">
        <v>230</v>
      </c>
      <c r="Q91" s="159">
        <f>1-Q90</f>
        <v>0.58187435633367657</v>
      </c>
      <c r="T91" s="113" t="s">
        <v>230</v>
      </c>
      <c r="U91" s="159">
        <f>1-U90</f>
        <v>0.66571121461841631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2:53" x14ac:dyDescent="0.15">
      <c r="F92" s="1"/>
      <c r="G92" s="1"/>
      <c r="I92" s="301" t="s">
        <v>218</v>
      </c>
      <c r="J92" s="302" t="s">
        <v>20</v>
      </c>
      <c r="L92" s="31" t="s">
        <v>413</v>
      </c>
      <c r="M92" s="113">
        <v>0.13500000000000001</v>
      </c>
      <c r="N92" s="113">
        <f>SUMPRODUCT(K93:K110,N93:N110)</f>
        <v>1.0902142964184025</v>
      </c>
      <c r="P92" s="31" t="s">
        <v>412</v>
      </c>
      <c r="Q92" s="113">
        <v>0.14000000000000001</v>
      </c>
      <c r="R92" s="113">
        <f>SUMPRODUCT(K93:K110,R93:R110)</f>
        <v>1.2718846549948508</v>
      </c>
      <c r="T92" s="31" t="s">
        <v>225</v>
      </c>
      <c r="U92" s="113">
        <v>0.11</v>
      </c>
      <c r="V92" s="113">
        <f>SUMPRODUCT(K93:K110,V93:V110)</f>
        <v>2.3163740594768902</v>
      </c>
      <c r="W92" s="1"/>
      <c r="X92" s="1"/>
      <c r="Y92" s="185" t="s">
        <v>249</v>
      </c>
      <c r="Z92" s="21" t="s">
        <v>19</v>
      </c>
      <c r="AA92" s="20" t="s">
        <v>20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2:53" x14ac:dyDescent="0.15">
      <c r="F93" s="1"/>
      <c r="G93" s="1"/>
      <c r="I93" s="299">
        <v>14</v>
      </c>
      <c r="J93" s="171">
        <v>0.4</v>
      </c>
      <c r="K93" s="113">
        <f t="shared" ref="K93:K104" si="26">E62</f>
        <v>110.00000000000001</v>
      </c>
      <c r="L93" s="167" t="s">
        <v>24</v>
      </c>
      <c r="M93" s="161">
        <v>0</v>
      </c>
      <c r="N93" s="159">
        <f t="shared" ref="N93:N98" si="27">M93/SUM($M$93:$M$110)</f>
        <v>0</v>
      </c>
      <c r="P93" s="167" t="s">
        <v>24</v>
      </c>
      <c r="Q93" s="161">
        <v>0</v>
      </c>
      <c r="R93" s="159">
        <f t="shared" ref="R93:R110" si="28">Q93/SUM($Q$93:$Q$110)</f>
        <v>0</v>
      </c>
      <c r="S93" s="113">
        <f>K93*R93/$R$92</f>
        <v>0</v>
      </c>
      <c r="T93" s="167" t="s">
        <v>24</v>
      </c>
      <c r="U93" s="161">
        <v>1</v>
      </c>
      <c r="V93" s="159">
        <f t="shared" ref="V93:V110" si="29">U93/SUM($U$93:$U$110)</f>
        <v>3.5829451809387314E-4</v>
      </c>
      <c r="W93" s="1"/>
      <c r="X93" s="113">
        <f t="shared" ref="X93:X104" si="30">A39</f>
        <v>2</v>
      </c>
      <c r="Y93" s="167" t="s">
        <v>24</v>
      </c>
      <c r="Z93" s="240">
        <v>0</v>
      </c>
      <c r="AA93" s="241">
        <f t="shared" ref="AA93:AA104" si="31">Z93/SUM($Z$93:$Z$110)</f>
        <v>0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2:53" x14ac:dyDescent="0.15">
      <c r="I94" s="163">
        <v>13</v>
      </c>
      <c r="J94" s="171">
        <v>0.55000000000000004</v>
      </c>
      <c r="K94" s="113">
        <f t="shared" si="26"/>
        <v>22</v>
      </c>
      <c r="L94" s="168" t="s">
        <v>25</v>
      </c>
      <c r="M94" s="162">
        <v>0</v>
      </c>
      <c r="N94" s="159">
        <f t="shared" si="27"/>
        <v>0</v>
      </c>
      <c r="P94" s="168" t="s">
        <v>25</v>
      </c>
      <c r="Q94" s="162">
        <v>0</v>
      </c>
      <c r="R94" s="159">
        <f t="shared" si="28"/>
        <v>0</v>
      </c>
      <c r="S94" s="113">
        <f t="shared" ref="S94:S104" si="32">K94*R94/$R$92</f>
        <v>0</v>
      </c>
      <c r="T94" s="168" t="s">
        <v>25</v>
      </c>
      <c r="U94" s="162">
        <v>10</v>
      </c>
      <c r="V94" s="159">
        <f t="shared" si="29"/>
        <v>3.5829451809387316E-3</v>
      </c>
      <c r="W94" s="1"/>
      <c r="X94" s="113">
        <f t="shared" si="30"/>
        <v>3</v>
      </c>
      <c r="Y94" s="168" t="s">
        <v>25</v>
      </c>
      <c r="Z94" s="113">
        <v>0</v>
      </c>
      <c r="AA94" s="236">
        <f t="shared" si="31"/>
        <v>0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2:53" x14ac:dyDescent="0.15">
      <c r="E95" s="1"/>
      <c r="F95" s="1"/>
      <c r="G95" s="1"/>
      <c r="H95" s="1"/>
      <c r="I95" s="2">
        <v>12</v>
      </c>
      <c r="J95" s="171">
        <v>0.55000000000000004</v>
      </c>
      <c r="K95" s="113">
        <f t="shared" si="26"/>
        <v>11</v>
      </c>
      <c r="L95" s="168" t="s">
        <v>26</v>
      </c>
      <c r="M95" s="162">
        <v>100</v>
      </c>
      <c r="N95" s="159">
        <f t="shared" si="27"/>
        <v>1.4985763524651582E-2</v>
      </c>
      <c r="P95" s="168" t="s">
        <v>26</v>
      </c>
      <c r="Q95" s="162">
        <v>10</v>
      </c>
      <c r="R95" s="159">
        <f t="shared" si="28"/>
        <v>1.0298661174047374E-2</v>
      </c>
      <c r="S95" s="113">
        <f t="shared" si="32"/>
        <v>8.9068825910931168E-2</v>
      </c>
      <c r="T95" s="168" t="s">
        <v>26</v>
      </c>
      <c r="U95" s="162">
        <v>150</v>
      </c>
      <c r="V95" s="159">
        <f t="shared" si="29"/>
        <v>5.3744177714080972E-2</v>
      </c>
      <c r="W95" s="1"/>
      <c r="X95" s="113">
        <f t="shared" si="30"/>
        <v>4</v>
      </c>
      <c r="Y95" s="168" t="s">
        <v>26</v>
      </c>
      <c r="Z95" s="113">
        <v>0</v>
      </c>
      <c r="AA95" s="236">
        <f t="shared" si="31"/>
        <v>0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2:53" x14ac:dyDescent="0.15">
      <c r="E96" s="1"/>
      <c r="F96" s="1"/>
      <c r="G96" s="1"/>
      <c r="H96" s="1"/>
      <c r="I96" s="163">
        <v>11</v>
      </c>
      <c r="J96" s="171">
        <v>0.55000000000000004</v>
      </c>
      <c r="K96" s="113">
        <f t="shared" si="26"/>
        <v>50</v>
      </c>
      <c r="L96" s="169">
        <v>5000</v>
      </c>
      <c r="M96" s="162">
        <v>3</v>
      </c>
      <c r="N96" s="159">
        <f t="shared" si="27"/>
        <v>4.4957290573954741E-4</v>
      </c>
      <c r="P96" s="169">
        <v>5000</v>
      </c>
      <c r="Q96" s="162">
        <v>1</v>
      </c>
      <c r="R96" s="159">
        <f t="shared" si="28"/>
        <v>1.0298661174047373E-3</v>
      </c>
      <c r="S96" s="113">
        <f t="shared" si="32"/>
        <v>4.0485829959514164E-2</v>
      </c>
      <c r="T96" s="169">
        <v>5000</v>
      </c>
      <c r="U96" s="162">
        <v>2</v>
      </c>
      <c r="V96" s="159">
        <f t="shared" si="29"/>
        <v>7.1658903618774627E-4</v>
      </c>
      <c r="W96" s="1"/>
      <c r="X96" s="113">
        <f t="shared" si="30"/>
        <v>5</v>
      </c>
      <c r="Y96" s="169">
        <v>5000</v>
      </c>
      <c r="Z96" s="113">
        <v>0</v>
      </c>
      <c r="AA96" s="236">
        <f t="shared" si="31"/>
        <v>0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5:50" x14ac:dyDescent="0.15">
      <c r="E97" s="1"/>
      <c r="F97" s="1"/>
      <c r="G97" s="1"/>
      <c r="H97" s="1"/>
      <c r="I97" s="299">
        <v>10</v>
      </c>
      <c r="J97" s="171">
        <v>0.5</v>
      </c>
      <c r="K97" s="113">
        <f t="shared" si="26"/>
        <v>25</v>
      </c>
      <c r="L97" s="169">
        <v>2500</v>
      </c>
      <c r="M97" s="162">
        <v>10</v>
      </c>
      <c r="N97" s="159">
        <f t="shared" si="27"/>
        <v>1.4985763524651581E-3</v>
      </c>
      <c r="P97" s="169">
        <v>2500</v>
      </c>
      <c r="Q97" s="162">
        <v>5</v>
      </c>
      <c r="R97" s="159">
        <f t="shared" si="28"/>
        <v>5.1493305870236872E-3</v>
      </c>
      <c r="S97" s="113">
        <f t="shared" si="32"/>
        <v>0.10121457489878542</v>
      </c>
      <c r="T97" s="169">
        <v>2500</v>
      </c>
      <c r="U97" s="162">
        <v>10</v>
      </c>
      <c r="V97" s="159">
        <f t="shared" si="29"/>
        <v>3.5829451809387316E-3</v>
      </c>
      <c r="W97" s="1"/>
      <c r="X97" s="113">
        <f t="shared" si="30"/>
        <v>6</v>
      </c>
      <c r="Y97" s="169">
        <v>2500</v>
      </c>
      <c r="Z97" s="113">
        <v>0</v>
      </c>
      <c r="AA97" s="236">
        <f t="shared" si="31"/>
        <v>0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5:50" x14ac:dyDescent="0.15">
      <c r="E98" s="1"/>
      <c r="F98" s="1"/>
      <c r="G98" s="1"/>
      <c r="H98" s="1"/>
      <c r="I98" s="163">
        <v>9</v>
      </c>
      <c r="J98" s="171">
        <v>0.45</v>
      </c>
      <c r="K98" s="113">
        <f t="shared" si="26"/>
        <v>7.5</v>
      </c>
      <c r="L98" s="169">
        <v>750</v>
      </c>
      <c r="M98" s="162">
        <v>50</v>
      </c>
      <c r="N98" s="159">
        <f t="shared" si="27"/>
        <v>7.4928817623257909E-3</v>
      </c>
      <c r="P98" s="169">
        <v>750</v>
      </c>
      <c r="Q98" s="162">
        <v>10</v>
      </c>
      <c r="R98" s="159">
        <f t="shared" si="28"/>
        <v>1.0298661174047374E-2</v>
      </c>
      <c r="S98" s="113">
        <f t="shared" si="32"/>
        <v>6.0728744939271252E-2</v>
      </c>
      <c r="T98" s="169">
        <v>750</v>
      </c>
      <c r="U98" s="162">
        <v>250</v>
      </c>
      <c r="V98" s="159">
        <f t="shared" si="29"/>
        <v>8.9573629523468284E-2</v>
      </c>
      <c r="W98" s="1"/>
      <c r="X98" s="113">
        <f t="shared" si="30"/>
        <v>7</v>
      </c>
      <c r="Y98" s="169">
        <v>750</v>
      </c>
      <c r="Z98" s="113">
        <v>0</v>
      </c>
      <c r="AA98" s="236">
        <f t="shared" si="31"/>
        <v>0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5:50" x14ac:dyDescent="0.15">
      <c r="E99" s="1"/>
      <c r="F99" s="1"/>
      <c r="G99" s="1"/>
      <c r="H99" s="1"/>
      <c r="I99" s="2">
        <v>8</v>
      </c>
      <c r="J99" s="171">
        <v>0.4</v>
      </c>
      <c r="K99" s="113">
        <f t="shared" si="26"/>
        <v>5</v>
      </c>
      <c r="L99" s="169">
        <v>500</v>
      </c>
      <c r="M99" s="162">
        <v>100</v>
      </c>
      <c r="N99" s="159">
        <f t="shared" ref="N99:N110" si="33">M99/SUM($M$93:$M$110)</f>
        <v>1.4985763524651582E-2</v>
      </c>
      <c r="P99" s="169">
        <v>500</v>
      </c>
      <c r="Q99" s="162">
        <v>50</v>
      </c>
      <c r="R99" s="159">
        <f t="shared" si="28"/>
        <v>5.1493305870236872E-2</v>
      </c>
      <c r="S99" s="113">
        <f t="shared" si="32"/>
        <v>0.20242914979757085</v>
      </c>
      <c r="T99" s="169">
        <v>500</v>
      </c>
      <c r="U99" s="162">
        <v>400</v>
      </c>
      <c r="V99" s="159">
        <f t="shared" si="29"/>
        <v>0.14331780723754928</v>
      </c>
      <c r="W99" s="1"/>
      <c r="X99" s="113">
        <f t="shared" si="30"/>
        <v>8</v>
      </c>
      <c r="Y99" s="169">
        <v>500</v>
      </c>
      <c r="Z99" s="113">
        <v>0</v>
      </c>
      <c r="AA99" s="236">
        <f t="shared" si="31"/>
        <v>0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5:50" x14ac:dyDescent="0.15">
      <c r="E100" s="1"/>
      <c r="F100" s="1"/>
      <c r="G100" s="1"/>
      <c r="H100" s="1"/>
      <c r="I100" s="163">
        <v>7</v>
      </c>
      <c r="J100" s="171">
        <v>0.4</v>
      </c>
      <c r="K100" s="113">
        <f t="shared" si="26"/>
        <v>2.5</v>
      </c>
      <c r="L100" s="169">
        <v>250</v>
      </c>
      <c r="M100" s="162">
        <v>500</v>
      </c>
      <c r="N100" s="159">
        <f t="shared" si="33"/>
        <v>7.4928817623257898E-2</v>
      </c>
      <c r="P100" s="169">
        <v>250</v>
      </c>
      <c r="Q100" s="162">
        <v>80</v>
      </c>
      <c r="R100" s="159">
        <f t="shared" si="28"/>
        <v>8.2389289392378995E-2</v>
      </c>
      <c r="S100" s="113">
        <f t="shared" si="32"/>
        <v>0.16194331983805668</v>
      </c>
      <c r="T100" s="169">
        <v>250</v>
      </c>
      <c r="U100" s="162">
        <v>80</v>
      </c>
      <c r="V100" s="159">
        <f t="shared" si="29"/>
        <v>2.8663561447509853E-2</v>
      </c>
      <c r="W100" s="1"/>
      <c r="X100" s="113">
        <f t="shared" si="30"/>
        <v>9</v>
      </c>
      <c r="Y100" s="169">
        <v>250</v>
      </c>
      <c r="Z100" s="113">
        <v>0</v>
      </c>
      <c r="AA100" s="236">
        <f t="shared" si="31"/>
        <v>0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5:50" x14ac:dyDescent="0.15">
      <c r="E101" s="1"/>
      <c r="F101" s="1"/>
      <c r="G101" s="1"/>
      <c r="H101" s="1"/>
      <c r="I101" s="299">
        <v>6</v>
      </c>
      <c r="J101" s="171">
        <v>0.4</v>
      </c>
      <c r="K101" s="113">
        <f t="shared" si="26"/>
        <v>2</v>
      </c>
      <c r="L101" s="169">
        <v>200</v>
      </c>
      <c r="M101" s="162">
        <v>800</v>
      </c>
      <c r="N101" s="159">
        <f t="shared" si="33"/>
        <v>0.11988610819721265</v>
      </c>
      <c r="P101" s="169">
        <v>200</v>
      </c>
      <c r="Q101" s="162">
        <v>100</v>
      </c>
      <c r="R101" s="159">
        <f t="shared" si="28"/>
        <v>0.10298661174047374</v>
      </c>
      <c r="S101" s="113">
        <f t="shared" si="32"/>
        <v>0.16194331983805668</v>
      </c>
      <c r="T101" s="169">
        <v>200</v>
      </c>
      <c r="U101" s="162">
        <v>30</v>
      </c>
      <c r="V101" s="159">
        <f t="shared" si="29"/>
        <v>1.0748835542816195E-2</v>
      </c>
      <c r="W101" s="1"/>
      <c r="X101" s="113">
        <f t="shared" si="30"/>
        <v>10</v>
      </c>
      <c r="Y101" s="169">
        <v>200</v>
      </c>
      <c r="Z101" s="113">
        <v>0</v>
      </c>
      <c r="AA101" s="236">
        <f t="shared" si="31"/>
        <v>0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5:50" x14ac:dyDescent="0.15">
      <c r="E102" s="1"/>
      <c r="F102" s="1"/>
      <c r="G102" s="1"/>
      <c r="H102" s="1"/>
      <c r="I102" s="163">
        <v>5</v>
      </c>
      <c r="J102" s="171">
        <v>0.3</v>
      </c>
      <c r="K102" s="113">
        <f t="shared" si="26"/>
        <v>1.5</v>
      </c>
      <c r="L102" s="169">
        <v>150</v>
      </c>
      <c r="M102" s="162">
        <v>1000</v>
      </c>
      <c r="N102" s="159">
        <f t="shared" si="33"/>
        <v>0.1498576352465158</v>
      </c>
      <c r="P102" s="169">
        <v>150</v>
      </c>
      <c r="Q102" s="162">
        <v>150</v>
      </c>
      <c r="R102" s="159">
        <f t="shared" si="28"/>
        <v>0.15447991761071062</v>
      </c>
      <c r="S102" s="113">
        <f t="shared" si="32"/>
        <v>0.18218623481781376</v>
      </c>
      <c r="T102" s="169">
        <v>150</v>
      </c>
      <c r="U102" s="162">
        <v>0</v>
      </c>
      <c r="V102" s="159">
        <f t="shared" si="29"/>
        <v>0</v>
      </c>
      <c r="W102" s="1"/>
      <c r="X102" s="113">
        <f t="shared" si="30"/>
        <v>11</v>
      </c>
      <c r="Y102" s="169">
        <v>150</v>
      </c>
      <c r="Z102" s="113">
        <v>0</v>
      </c>
      <c r="AA102" s="236">
        <f t="shared" si="31"/>
        <v>0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5:50" x14ac:dyDescent="0.15">
      <c r="E103" s="1"/>
      <c r="F103" s="1"/>
      <c r="G103" s="1"/>
      <c r="H103" s="1"/>
      <c r="I103" s="2">
        <v>4</v>
      </c>
      <c r="J103" s="171">
        <v>0.2</v>
      </c>
      <c r="K103" s="113">
        <f t="shared" si="26"/>
        <v>1</v>
      </c>
      <c r="L103" s="169">
        <v>100</v>
      </c>
      <c r="M103" s="162">
        <v>500</v>
      </c>
      <c r="N103" s="159">
        <f t="shared" si="33"/>
        <v>7.4928817623257898E-2</v>
      </c>
      <c r="P103" s="169">
        <v>100</v>
      </c>
      <c r="Q103" s="162">
        <v>0</v>
      </c>
      <c r="R103" s="159">
        <f t="shared" si="28"/>
        <v>0</v>
      </c>
      <c r="S103" s="113">
        <f t="shared" si="32"/>
        <v>0</v>
      </c>
      <c r="T103" s="169">
        <v>100</v>
      </c>
      <c r="U103" s="162">
        <v>0</v>
      </c>
      <c r="V103" s="159">
        <f t="shared" si="29"/>
        <v>0</v>
      </c>
      <c r="W103" s="1"/>
      <c r="X103" s="113">
        <f t="shared" si="30"/>
        <v>12</v>
      </c>
      <c r="Y103" s="169">
        <v>100</v>
      </c>
      <c r="Z103" s="113">
        <v>0</v>
      </c>
      <c r="AA103" s="236">
        <f t="shared" si="31"/>
        <v>0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5:50" x14ac:dyDescent="0.15">
      <c r="I104" s="163">
        <v>3</v>
      </c>
      <c r="J104" s="171">
        <v>0.15</v>
      </c>
      <c r="K104" s="113">
        <f t="shared" si="26"/>
        <v>0.5</v>
      </c>
      <c r="L104" s="169">
        <v>50</v>
      </c>
      <c r="M104" s="162">
        <v>100</v>
      </c>
      <c r="N104" s="159">
        <f t="shared" si="33"/>
        <v>1.4985763524651582E-2</v>
      </c>
      <c r="P104" s="169">
        <v>50</v>
      </c>
      <c r="Q104" s="162">
        <v>0</v>
      </c>
      <c r="R104" s="159">
        <f t="shared" si="28"/>
        <v>0</v>
      </c>
      <c r="S104" s="113">
        <f t="shared" si="32"/>
        <v>0</v>
      </c>
      <c r="T104" s="169">
        <v>50</v>
      </c>
      <c r="U104" s="162">
        <v>0</v>
      </c>
      <c r="V104" s="159">
        <f t="shared" si="29"/>
        <v>0</v>
      </c>
      <c r="W104" s="1"/>
      <c r="X104" s="113">
        <f t="shared" si="30"/>
        <v>13</v>
      </c>
      <c r="Y104" s="169">
        <v>50</v>
      </c>
      <c r="Z104" s="113">
        <v>0</v>
      </c>
      <c r="AA104" s="236">
        <f t="shared" si="31"/>
        <v>0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5:50" x14ac:dyDescent="0.15">
      <c r="I105" s="163">
        <v>2</v>
      </c>
      <c r="J105" s="171">
        <v>0.08</v>
      </c>
      <c r="K105" s="113">
        <v>0</v>
      </c>
      <c r="L105" s="169" t="s">
        <v>216</v>
      </c>
      <c r="M105" s="162">
        <v>30</v>
      </c>
      <c r="N105" s="159">
        <f t="shared" si="33"/>
        <v>4.4957290573954742E-3</v>
      </c>
      <c r="P105" s="169" t="s">
        <v>216</v>
      </c>
      <c r="Q105" s="162">
        <v>10</v>
      </c>
      <c r="R105" s="159">
        <f t="shared" si="28"/>
        <v>1.0298661174047374E-2</v>
      </c>
      <c r="S105" s="113">
        <f t="shared" ref="S105:S109" si="34">Y105*R105/$R$92</f>
        <v>8.0971659919028341E-2</v>
      </c>
      <c r="T105" s="169" t="s">
        <v>216</v>
      </c>
      <c r="U105" s="162">
        <v>28</v>
      </c>
      <c r="V105" s="159">
        <f t="shared" si="29"/>
        <v>1.0032246506628449E-2</v>
      </c>
      <c r="W105" s="1"/>
      <c r="X105" s="113">
        <v>1000</v>
      </c>
      <c r="Y105" s="169">
        <v>10</v>
      </c>
      <c r="Z105" s="10">
        <v>15</v>
      </c>
      <c r="AA105" s="236">
        <f t="shared" ref="AA105:AA110" si="35">Z105/SUM($Z$93:$Z$110)</f>
        <v>1.2875536480686695E-2</v>
      </c>
      <c r="AB105" s="1">
        <f>AA105*Y105</f>
        <v>0.12875536480686695</v>
      </c>
      <c r="AC105" s="1">
        <f>AB105/$Z$112</f>
        <v>3.1578947368421054E-2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5:50" x14ac:dyDescent="0.15">
      <c r="I106" s="163">
        <v>1</v>
      </c>
      <c r="J106" s="171">
        <v>0.05</v>
      </c>
      <c r="K106" s="113">
        <v>0</v>
      </c>
      <c r="L106" s="169" t="s">
        <v>255</v>
      </c>
      <c r="M106" s="162">
        <v>80</v>
      </c>
      <c r="N106" s="159">
        <f t="shared" si="33"/>
        <v>1.1988610819721265E-2</v>
      </c>
      <c r="P106" s="169" t="s">
        <v>255</v>
      </c>
      <c r="Q106" s="113">
        <v>30</v>
      </c>
      <c r="R106" s="159">
        <f t="shared" si="28"/>
        <v>3.0895983522142123E-2</v>
      </c>
      <c r="S106" s="113">
        <f t="shared" si="34"/>
        <v>0.19433198380566799</v>
      </c>
      <c r="T106" s="169" t="s">
        <v>255</v>
      </c>
      <c r="U106" s="113">
        <v>80</v>
      </c>
      <c r="V106" s="159">
        <f t="shared" si="29"/>
        <v>2.8663561447509853E-2</v>
      </c>
      <c r="W106" s="1"/>
      <c r="X106" s="113">
        <v>800</v>
      </c>
      <c r="Y106" s="237">
        <v>8</v>
      </c>
      <c r="Z106" s="31">
        <v>50</v>
      </c>
      <c r="AA106" s="236">
        <f t="shared" si="35"/>
        <v>4.2918454935622317E-2</v>
      </c>
      <c r="AB106" s="1">
        <f t="shared" ref="AB106:AB110" si="36">AA106*Y106</f>
        <v>0.34334763948497854</v>
      </c>
      <c r="AC106" s="1">
        <f t="shared" ref="AC106:AC110" si="37">AB106/$Z$112</f>
        <v>8.4210526315789486E-2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5:50" x14ac:dyDescent="0.25">
      <c r="I107" s="224">
        <v>0</v>
      </c>
      <c r="J107" s="172">
        <v>0</v>
      </c>
      <c r="K107" s="113">
        <v>0</v>
      </c>
      <c r="L107" s="169" t="s">
        <v>256</v>
      </c>
      <c r="M107" s="162">
        <v>150</v>
      </c>
      <c r="N107" s="159">
        <f t="shared" si="33"/>
        <v>2.2478645286977371E-2</v>
      </c>
      <c r="P107" s="169" t="s">
        <v>256</v>
      </c>
      <c r="Q107" s="113">
        <v>45</v>
      </c>
      <c r="R107" s="159">
        <f t="shared" si="28"/>
        <v>4.6343975283213185E-2</v>
      </c>
      <c r="S107" s="113">
        <f t="shared" si="34"/>
        <v>0.25506072874493924</v>
      </c>
      <c r="T107" s="169" t="s">
        <v>256</v>
      </c>
      <c r="U107" s="113">
        <v>250</v>
      </c>
      <c r="V107" s="159">
        <f t="shared" si="29"/>
        <v>8.9573629523468284E-2</v>
      </c>
      <c r="W107" s="1"/>
      <c r="X107" s="113">
        <v>700</v>
      </c>
      <c r="Y107" s="237">
        <v>7</v>
      </c>
      <c r="Z107" s="31">
        <v>150</v>
      </c>
      <c r="AA107" s="236">
        <f t="shared" si="35"/>
        <v>0.12875536480686695</v>
      </c>
      <c r="AB107" s="1">
        <f t="shared" si="36"/>
        <v>0.90128755364806867</v>
      </c>
      <c r="AC107" s="1">
        <f t="shared" si="37"/>
        <v>0.22105263157894742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5:50" x14ac:dyDescent="0.15">
      <c r="K108" s="113">
        <v>0</v>
      </c>
      <c r="L108" s="169" t="s">
        <v>215</v>
      </c>
      <c r="M108" s="162">
        <v>250</v>
      </c>
      <c r="N108" s="159">
        <f t="shared" si="33"/>
        <v>3.7464408811628949E-2</v>
      </c>
      <c r="P108" s="169" t="s">
        <v>215</v>
      </c>
      <c r="Q108" s="162">
        <v>80</v>
      </c>
      <c r="R108" s="159">
        <f t="shared" si="28"/>
        <v>8.2389289392378995E-2</v>
      </c>
      <c r="S108" s="113">
        <f t="shared" si="34"/>
        <v>0.32388663967611336</v>
      </c>
      <c r="T108" s="169" t="s">
        <v>215</v>
      </c>
      <c r="U108" s="162">
        <v>350</v>
      </c>
      <c r="V108" s="159">
        <f t="shared" si="29"/>
        <v>0.1254030813328556</v>
      </c>
      <c r="W108" s="1"/>
      <c r="X108" s="113">
        <v>500</v>
      </c>
      <c r="Y108" s="169">
        <v>5</v>
      </c>
      <c r="Z108" s="10">
        <v>300</v>
      </c>
      <c r="AA108" s="236">
        <f t="shared" si="35"/>
        <v>0.25751072961373389</v>
      </c>
      <c r="AB108" s="1">
        <f t="shared" si="36"/>
        <v>1.2875536480686693</v>
      </c>
      <c r="AC108" s="1">
        <f t="shared" si="37"/>
        <v>0.31578947368421051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5:50" x14ac:dyDescent="0.15">
      <c r="K109" s="113">
        <v>0</v>
      </c>
      <c r="L109" s="169" t="s">
        <v>214</v>
      </c>
      <c r="M109" s="162">
        <v>1000</v>
      </c>
      <c r="N109" s="159">
        <f t="shared" si="33"/>
        <v>0.1498576352465158</v>
      </c>
      <c r="P109" s="169" t="s">
        <v>214</v>
      </c>
      <c r="Q109" s="162">
        <v>150</v>
      </c>
      <c r="R109" s="159">
        <f t="shared" si="28"/>
        <v>0.15447991761071062</v>
      </c>
      <c r="S109" s="113">
        <f t="shared" si="34"/>
        <v>0.36437246963562753</v>
      </c>
      <c r="T109" s="169" t="s">
        <v>214</v>
      </c>
      <c r="U109" s="162">
        <v>500</v>
      </c>
      <c r="V109" s="159">
        <f t="shared" si="29"/>
        <v>0.17914725904693657</v>
      </c>
      <c r="W109" s="1"/>
      <c r="X109" s="113">
        <v>300</v>
      </c>
      <c r="Y109" s="237">
        <v>3</v>
      </c>
      <c r="Z109" s="31">
        <v>350</v>
      </c>
      <c r="AA109" s="236">
        <f t="shared" si="35"/>
        <v>0.30042918454935624</v>
      </c>
      <c r="AB109" s="1">
        <f t="shared" si="36"/>
        <v>0.90128755364806867</v>
      </c>
      <c r="AC109" s="1">
        <f t="shared" si="37"/>
        <v>0.22105263157894742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5:50" x14ac:dyDescent="0.15">
      <c r="K110" s="113">
        <v>0</v>
      </c>
      <c r="L110" s="170" t="s">
        <v>213</v>
      </c>
      <c r="M110" s="165">
        <v>2000</v>
      </c>
      <c r="N110" s="159">
        <f t="shared" si="33"/>
        <v>0.29971527049303159</v>
      </c>
      <c r="P110" s="170" t="s">
        <v>213</v>
      </c>
      <c r="Q110" s="165">
        <v>250</v>
      </c>
      <c r="R110" s="159">
        <f t="shared" si="28"/>
        <v>0.25746652935118436</v>
      </c>
      <c r="S110" s="113">
        <f>Y110*R110/$R$92</f>
        <v>0.40485829959514169</v>
      </c>
      <c r="T110" s="170" t="s">
        <v>213</v>
      </c>
      <c r="U110" s="165">
        <v>650</v>
      </c>
      <c r="V110" s="159">
        <f t="shared" si="29"/>
        <v>0.23289143676101756</v>
      </c>
      <c r="W110" s="1"/>
      <c r="X110" s="113">
        <v>200</v>
      </c>
      <c r="Y110" s="170">
        <v>2</v>
      </c>
      <c r="Z110" s="238">
        <v>300</v>
      </c>
      <c r="AA110" s="239">
        <f t="shared" si="35"/>
        <v>0.25751072961373389</v>
      </c>
      <c r="AB110" s="1">
        <f t="shared" si="36"/>
        <v>0.51502145922746778</v>
      </c>
      <c r="AC110" s="1">
        <f t="shared" si="37"/>
        <v>0.12631578947368421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5:50" x14ac:dyDescent="0.15">
      <c r="U111" s="1"/>
      <c r="V111" s="1"/>
      <c r="W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5:50" x14ac:dyDescent="0.15">
      <c r="L112" s="113" t="s">
        <v>411</v>
      </c>
      <c r="M112" s="159">
        <f>SUM(N115:N126)</f>
        <v>0.31574665891923298</v>
      </c>
      <c r="P112" s="113" t="s">
        <v>411</v>
      </c>
      <c r="Q112" s="159">
        <f>SUM(R115:R126)</f>
        <v>1</v>
      </c>
      <c r="S112" s="1"/>
      <c r="U112" s="1"/>
      <c r="V112" s="1"/>
      <c r="W112" s="1"/>
      <c r="Y112" s="1" t="s">
        <v>217</v>
      </c>
      <c r="Z112" s="1">
        <f>SUMPRODUCT(Y105:Y110,AA105:AA110)</f>
        <v>4.0772532188841195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2:50" x14ac:dyDescent="0.15">
      <c r="L113" s="113" t="s">
        <v>230</v>
      </c>
      <c r="M113" s="159">
        <f>1-M112</f>
        <v>0.68425334108076696</v>
      </c>
      <c r="P113" s="113" t="s">
        <v>230</v>
      </c>
      <c r="Q113" s="159">
        <f>1-Q112</f>
        <v>0</v>
      </c>
      <c r="S113" s="1"/>
      <c r="U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2:50" x14ac:dyDescent="0.15">
      <c r="L114" s="31" t="s">
        <v>226</v>
      </c>
      <c r="M114" s="1">
        <v>0.1</v>
      </c>
      <c r="N114" s="113">
        <f>SUMPRODUCT(K93:K110,N115:N132)</f>
        <v>1.065078442765834</v>
      </c>
      <c r="P114" s="1" t="s">
        <v>254</v>
      </c>
      <c r="Q114" s="1">
        <v>0.1</v>
      </c>
      <c r="R114" s="113">
        <f>SUMPRODUCT(K93:K110,R115:R132)</f>
        <v>3.106651611578731</v>
      </c>
      <c r="S114" s="1"/>
      <c r="U114" s="1"/>
      <c r="W114"/>
      <c r="X114"/>
      <c r="Y114" s="1"/>
      <c r="Z114" s="1"/>
      <c r="AA114" s="1"/>
      <c r="AB114" s="1"/>
      <c r="AC114" s="1"/>
      <c r="AD114" s="1"/>
    </row>
    <row r="115" spans="12:50" x14ac:dyDescent="0.15">
      <c r="L115" s="167" t="s">
        <v>24</v>
      </c>
      <c r="M115" s="161">
        <v>2</v>
      </c>
      <c r="N115" s="159">
        <f t="shared" ref="N115:N132" si="38">M115/SUM($M$115:$M$132)</f>
        <v>2.3242300987797793E-4</v>
      </c>
      <c r="O115" s="113">
        <f>N115*K93/$N$114</f>
        <v>2.4004364429896344E-2</v>
      </c>
      <c r="P115" s="167" t="s">
        <v>24</v>
      </c>
      <c r="Q115" s="161">
        <v>2</v>
      </c>
      <c r="R115" s="159">
        <f t="shared" ref="R115:R132" si="39">Q115/SUM($Q$115:$Q$132)</f>
        <v>2.0529665366454526E-4</v>
      </c>
      <c r="S115" s="1">
        <f t="shared" ref="S115:S132" si="40">K93*R115</f>
        <v>2.2582631903099983E-2</v>
      </c>
      <c r="T115" s="113">
        <f>S115/$R$114</f>
        <v>7.2691227490500592E-3</v>
      </c>
      <c r="U115" s="1"/>
      <c r="W115"/>
      <c r="X115"/>
      <c r="Y115" s="1"/>
      <c r="Z115" s="1"/>
      <c r="AA115" s="1"/>
      <c r="AB115" s="1"/>
      <c r="AC115" s="1"/>
      <c r="AD115" s="1"/>
    </row>
    <row r="116" spans="12:50" x14ac:dyDescent="0.15">
      <c r="L116" s="168" t="s">
        <v>25</v>
      </c>
      <c r="M116" s="162">
        <v>35</v>
      </c>
      <c r="N116" s="159">
        <f t="shared" si="38"/>
        <v>4.0674026728646133E-3</v>
      </c>
      <c r="O116" s="113">
        <f t="shared" ref="O116:O132" si="41">N116*K94/$N$114</f>
        <v>8.4015275504637194E-2</v>
      </c>
      <c r="P116" s="168" t="s">
        <v>25</v>
      </c>
      <c r="Q116" s="162">
        <v>35</v>
      </c>
      <c r="R116" s="159">
        <f t="shared" si="39"/>
        <v>3.592691439129542E-3</v>
      </c>
      <c r="S116" s="1">
        <f t="shared" si="40"/>
        <v>7.9039211660849928E-2</v>
      </c>
      <c r="T116" s="113">
        <f t="shared" ref="T116:T125" si="42">S116/$R$114</f>
        <v>2.5441929621675203E-2</v>
      </c>
      <c r="U116" s="1"/>
      <c r="W116"/>
      <c r="X116"/>
      <c r="Y116" s="1"/>
      <c r="Z116" s="1"/>
      <c r="AA116" s="1"/>
      <c r="AB116" s="1"/>
      <c r="AC116" s="1"/>
      <c r="AD116" s="1"/>
    </row>
    <row r="117" spans="12:50" x14ac:dyDescent="0.15">
      <c r="L117" s="168" t="s">
        <v>26</v>
      </c>
      <c r="M117" s="162">
        <v>200</v>
      </c>
      <c r="N117" s="159">
        <f t="shared" si="38"/>
        <v>2.3242300987797792E-2</v>
      </c>
      <c r="O117" s="113">
        <f t="shared" si="41"/>
        <v>0.24004364429896341</v>
      </c>
      <c r="P117" s="168" t="s">
        <v>26</v>
      </c>
      <c r="Q117" s="162">
        <v>150</v>
      </c>
      <c r="R117" s="159">
        <f t="shared" si="39"/>
        <v>1.5397249024840895E-2</v>
      </c>
      <c r="S117" s="1">
        <f t="shared" si="40"/>
        <v>0.16936973927324983</v>
      </c>
      <c r="T117" s="113">
        <f t="shared" si="42"/>
        <v>5.4518420617875429E-2</v>
      </c>
      <c r="U117" s="1"/>
      <c r="W117"/>
      <c r="X117"/>
      <c r="Y117" s="1"/>
      <c r="Z117" s="1"/>
      <c r="AA117" s="1"/>
      <c r="AB117" s="1"/>
      <c r="AC117" s="1"/>
      <c r="AD117" s="1"/>
    </row>
    <row r="118" spans="12:50" x14ac:dyDescent="0.15">
      <c r="L118" s="169">
        <v>5000</v>
      </c>
      <c r="M118" s="162">
        <v>5</v>
      </c>
      <c r="N118" s="159">
        <f t="shared" si="38"/>
        <v>5.8105752469494478E-4</v>
      </c>
      <c r="O118" s="113">
        <f t="shared" si="41"/>
        <v>2.7277686852154932E-2</v>
      </c>
      <c r="P118" s="169">
        <v>5000</v>
      </c>
      <c r="Q118" s="162">
        <v>25</v>
      </c>
      <c r="R118" s="159">
        <f t="shared" si="39"/>
        <v>2.5662081708068157E-3</v>
      </c>
      <c r="S118" s="1">
        <f t="shared" si="40"/>
        <v>0.12831040854034079</v>
      </c>
      <c r="T118" s="113">
        <f t="shared" si="42"/>
        <v>4.1301833801420787E-2</v>
      </c>
      <c r="W118"/>
      <c r="X118"/>
      <c r="Y118" s="1"/>
      <c r="Z118" s="1"/>
      <c r="AA118" s="1"/>
      <c r="AB118" s="1"/>
      <c r="AC118" s="1"/>
      <c r="AD118" s="1"/>
    </row>
    <row r="119" spans="12:50" x14ac:dyDescent="0.15">
      <c r="L119" s="169">
        <v>2500</v>
      </c>
      <c r="M119" s="162">
        <v>25</v>
      </c>
      <c r="N119" s="159">
        <f t="shared" si="38"/>
        <v>2.905287623474724E-3</v>
      </c>
      <c r="O119" s="113">
        <f t="shared" si="41"/>
        <v>6.8194217130387327E-2</v>
      </c>
      <c r="P119" s="169">
        <v>2500</v>
      </c>
      <c r="Q119" s="162">
        <v>80</v>
      </c>
      <c r="R119" s="159">
        <f t="shared" si="39"/>
        <v>8.2118661465818109E-3</v>
      </c>
      <c r="S119" s="1">
        <f t="shared" si="40"/>
        <v>0.20529665366454528</v>
      </c>
      <c r="T119" s="113">
        <f t="shared" si="42"/>
        <v>6.6082934082273254E-2</v>
      </c>
      <c r="V119" s="113">
        <f>R114*Z112</f>
        <v>12.666605283260919</v>
      </c>
      <c r="W119"/>
      <c r="X119"/>
      <c r="Y119" s="1"/>
      <c r="Z119" s="1"/>
      <c r="AA119" s="1"/>
      <c r="AB119" s="1"/>
      <c r="AC119" s="1"/>
      <c r="AD119" s="1"/>
    </row>
    <row r="120" spans="12:50" x14ac:dyDescent="0.15">
      <c r="L120" s="169">
        <v>750</v>
      </c>
      <c r="M120" s="162">
        <v>100</v>
      </c>
      <c r="N120" s="159">
        <f t="shared" si="38"/>
        <v>1.1621150493898896E-2</v>
      </c>
      <c r="O120" s="113">
        <f t="shared" si="41"/>
        <v>8.1833060556464804E-2</v>
      </c>
      <c r="P120" s="169">
        <v>750</v>
      </c>
      <c r="Q120" s="162">
        <v>450</v>
      </c>
      <c r="R120" s="159">
        <f t="shared" si="39"/>
        <v>4.6191747074522685E-2</v>
      </c>
      <c r="S120" s="1">
        <f t="shared" si="40"/>
        <v>0.34643810305892014</v>
      </c>
      <c r="T120" s="113">
        <f t="shared" si="42"/>
        <v>0.11151495126383612</v>
      </c>
      <c r="W120"/>
      <c r="X120"/>
      <c r="Y120" s="1"/>
      <c r="Z120" s="1"/>
      <c r="AA120" s="1"/>
      <c r="AB120" s="1"/>
      <c r="AC120" s="1"/>
      <c r="AD120" s="1"/>
    </row>
    <row r="121" spans="12:50" x14ac:dyDescent="0.15">
      <c r="L121" s="169">
        <v>500</v>
      </c>
      <c r="M121" s="162">
        <v>150</v>
      </c>
      <c r="N121" s="159">
        <f t="shared" si="38"/>
        <v>1.7431725740848343E-2</v>
      </c>
      <c r="O121" s="113">
        <f t="shared" si="41"/>
        <v>8.183306055646479E-2</v>
      </c>
      <c r="P121" s="169">
        <v>500</v>
      </c>
      <c r="Q121" s="162">
        <v>1000</v>
      </c>
      <c r="R121" s="159">
        <f t="shared" si="39"/>
        <v>0.10264832683227264</v>
      </c>
      <c r="S121" s="1">
        <f t="shared" si="40"/>
        <v>0.51324163416136315</v>
      </c>
      <c r="T121" s="113">
        <f t="shared" si="42"/>
        <v>0.16520733520568315</v>
      </c>
      <c r="W121"/>
      <c r="X121"/>
      <c r="Y121" s="1"/>
      <c r="Z121" s="1"/>
      <c r="AA121" s="1"/>
      <c r="AD121" s="1"/>
    </row>
    <row r="122" spans="12:50" x14ac:dyDescent="0.15">
      <c r="L122" s="169">
        <v>250</v>
      </c>
      <c r="M122" s="162">
        <v>400</v>
      </c>
      <c r="N122" s="159">
        <f t="shared" si="38"/>
        <v>4.6484601975595584E-2</v>
      </c>
      <c r="O122" s="113">
        <f t="shared" si="41"/>
        <v>0.10911074740861974</v>
      </c>
      <c r="P122" s="169">
        <v>250</v>
      </c>
      <c r="Q122" s="162">
        <v>2500</v>
      </c>
      <c r="R122" s="159">
        <f t="shared" si="39"/>
        <v>0.25662081708068157</v>
      </c>
      <c r="S122" s="1">
        <f t="shared" si="40"/>
        <v>0.64155204270170396</v>
      </c>
      <c r="T122" s="113">
        <f t="shared" si="42"/>
        <v>0.20650916900710392</v>
      </c>
      <c r="W122"/>
      <c r="X122"/>
      <c r="Y122" s="1"/>
      <c r="Z122" s="1"/>
      <c r="AA122" s="1"/>
    </row>
    <row r="123" spans="12:50" x14ac:dyDescent="0.15">
      <c r="L123" s="169">
        <v>200</v>
      </c>
      <c r="M123" s="162">
        <v>550</v>
      </c>
      <c r="N123" s="159">
        <f t="shared" si="38"/>
        <v>6.3916327716443927E-2</v>
      </c>
      <c r="O123" s="113">
        <f t="shared" si="41"/>
        <v>0.12002182214948171</v>
      </c>
      <c r="P123" s="169">
        <v>200</v>
      </c>
      <c r="Q123" s="162">
        <v>3500</v>
      </c>
      <c r="R123" s="159">
        <f t="shared" si="39"/>
        <v>0.35926914391295423</v>
      </c>
      <c r="S123" s="1">
        <f t="shared" si="40"/>
        <v>0.71853828782590845</v>
      </c>
      <c r="T123" s="113">
        <f t="shared" si="42"/>
        <v>0.2312902692879564</v>
      </c>
      <c r="W123"/>
      <c r="X123"/>
      <c r="Y123" s="1"/>
      <c r="Z123" s="1"/>
      <c r="AA123" s="1"/>
    </row>
    <row r="124" spans="12:50" x14ac:dyDescent="0.15">
      <c r="L124" s="169">
        <v>150</v>
      </c>
      <c r="M124" s="162">
        <v>650</v>
      </c>
      <c r="N124" s="159">
        <f t="shared" si="38"/>
        <v>7.5537478210342818E-2</v>
      </c>
      <c r="O124" s="113">
        <f t="shared" si="41"/>
        <v>0.10638297872340423</v>
      </c>
      <c r="P124" s="169">
        <v>150</v>
      </c>
      <c r="Q124" s="162">
        <v>1500</v>
      </c>
      <c r="R124" s="159">
        <f t="shared" si="39"/>
        <v>0.15397249024840895</v>
      </c>
      <c r="S124" s="1">
        <f t="shared" si="40"/>
        <v>0.23095873537261341</v>
      </c>
      <c r="T124" s="113">
        <f t="shared" si="42"/>
        <v>7.4343300842557414E-2</v>
      </c>
      <c r="W124"/>
      <c r="X124"/>
      <c r="Y124" s="1"/>
      <c r="Z124" s="1"/>
      <c r="AA124" s="1"/>
      <c r="AB124" s="1"/>
      <c r="AC124" s="1"/>
    </row>
    <row r="125" spans="12:50" x14ac:dyDescent="0.15">
      <c r="L125" s="169">
        <v>100</v>
      </c>
      <c r="M125" s="162">
        <v>450</v>
      </c>
      <c r="N125" s="159">
        <f t="shared" si="38"/>
        <v>5.2295177222545029E-2</v>
      </c>
      <c r="O125" s="113">
        <f t="shared" si="41"/>
        <v>4.9099836333878877E-2</v>
      </c>
      <c r="P125" s="169">
        <v>100</v>
      </c>
      <c r="Q125" s="162">
        <v>500</v>
      </c>
      <c r="R125" s="159">
        <f t="shared" si="39"/>
        <v>5.1324163416136319E-2</v>
      </c>
      <c r="S125" s="1">
        <f t="shared" si="40"/>
        <v>5.1324163416136319E-2</v>
      </c>
      <c r="T125" s="113">
        <f t="shared" si="42"/>
        <v>1.6520733520568313E-2</v>
      </c>
      <c r="W125"/>
      <c r="X125"/>
      <c r="Y125" s="1"/>
      <c r="Z125" s="1"/>
      <c r="AA125" s="1"/>
      <c r="AB125" s="1"/>
      <c r="AC125" s="1"/>
    </row>
    <row r="126" spans="12:50" x14ac:dyDescent="0.15">
      <c r="L126" s="169">
        <v>50</v>
      </c>
      <c r="M126" s="162">
        <v>150</v>
      </c>
      <c r="N126" s="159">
        <f t="shared" si="38"/>
        <v>1.7431725740848343E-2</v>
      </c>
      <c r="O126" s="113">
        <f t="shared" si="41"/>
        <v>8.18330605564648E-3</v>
      </c>
      <c r="P126" s="169">
        <v>50</v>
      </c>
      <c r="Q126" s="162">
        <v>0</v>
      </c>
      <c r="R126" s="159">
        <f t="shared" si="39"/>
        <v>0</v>
      </c>
      <c r="S126" s="1">
        <f t="shared" si="40"/>
        <v>0</v>
      </c>
      <c r="W126"/>
      <c r="X126"/>
      <c r="Y126" s="1"/>
      <c r="Z126" s="1"/>
      <c r="AA126" s="1"/>
      <c r="AB126" s="1"/>
      <c r="AC126" s="1"/>
    </row>
    <row r="127" spans="12:50" x14ac:dyDescent="0.15">
      <c r="L127" s="169" t="s">
        <v>216</v>
      </c>
      <c r="M127" s="162">
        <v>38</v>
      </c>
      <c r="N127" s="159">
        <f t="shared" si="38"/>
        <v>4.4160371876815806E-3</v>
      </c>
      <c r="O127" s="113">
        <f t="shared" si="41"/>
        <v>0</v>
      </c>
      <c r="P127" s="169" t="s">
        <v>216</v>
      </c>
      <c r="Q127" s="162">
        <v>0</v>
      </c>
      <c r="R127" s="159">
        <f t="shared" si="39"/>
        <v>0</v>
      </c>
      <c r="S127" s="1">
        <f t="shared" si="40"/>
        <v>0</v>
      </c>
      <c r="W127"/>
      <c r="X127"/>
      <c r="Y127" s="1"/>
      <c r="Z127" s="1"/>
      <c r="AA127" s="1"/>
      <c r="AB127" s="1"/>
      <c r="AC127" s="1"/>
    </row>
    <row r="128" spans="12:50" x14ac:dyDescent="0.15">
      <c r="L128" s="169" t="s">
        <v>255</v>
      </c>
      <c r="M128" s="162">
        <v>300</v>
      </c>
      <c r="N128" s="159">
        <f t="shared" si="38"/>
        <v>3.4863451481696686E-2</v>
      </c>
      <c r="O128" s="113">
        <f t="shared" si="41"/>
        <v>0</v>
      </c>
      <c r="P128" s="169" t="s">
        <v>255</v>
      </c>
      <c r="Q128" s="162">
        <v>0</v>
      </c>
      <c r="R128" s="159">
        <f t="shared" si="39"/>
        <v>0</v>
      </c>
      <c r="S128" s="1">
        <f t="shared" si="40"/>
        <v>0</v>
      </c>
      <c r="W128"/>
      <c r="X128"/>
      <c r="Y128" s="1"/>
      <c r="Z128" s="1"/>
      <c r="AA128" s="1"/>
      <c r="AB128" s="1"/>
      <c r="AC128" s="1"/>
    </row>
    <row r="129" spans="12:29" x14ac:dyDescent="0.15">
      <c r="L129" s="169" t="s">
        <v>256</v>
      </c>
      <c r="M129" s="162">
        <v>450</v>
      </c>
      <c r="N129" s="159">
        <f t="shared" si="38"/>
        <v>5.2295177222545029E-2</v>
      </c>
      <c r="O129" s="113">
        <f t="shared" si="41"/>
        <v>0</v>
      </c>
      <c r="P129" s="169" t="s">
        <v>256</v>
      </c>
      <c r="Q129" s="162">
        <v>0</v>
      </c>
      <c r="R129" s="159">
        <f t="shared" si="39"/>
        <v>0</v>
      </c>
      <c r="S129" s="1">
        <f t="shared" si="40"/>
        <v>0</v>
      </c>
      <c r="W129"/>
      <c r="X129"/>
      <c r="Y129" s="1"/>
      <c r="Z129" s="1"/>
      <c r="AA129" s="1"/>
      <c r="AB129" s="1"/>
      <c r="AC129" s="1"/>
    </row>
    <row r="130" spans="12:29" x14ac:dyDescent="0.15">
      <c r="L130" s="169" t="s">
        <v>215</v>
      </c>
      <c r="M130" s="162">
        <v>1300</v>
      </c>
      <c r="N130" s="159">
        <f t="shared" si="38"/>
        <v>0.15107495642068564</v>
      </c>
      <c r="O130" s="113">
        <f t="shared" si="41"/>
        <v>0</v>
      </c>
      <c r="P130" s="169" t="s">
        <v>215</v>
      </c>
      <c r="Q130" s="162">
        <v>0</v>
      </c>
      <c r="R130" s="159">
        <f t="shared" si="39"/>
        <v>0</v>
      </c>
      <c r="S130" s="1">
        <f t="shared" si="40"/>
        <v>0</v>
      </c>
      <c r="W130"/>
      <c r="X130"/>
      <c r="Y130" s="1"/>
      <c r="Z130" s="1"/>
      <c r="AA130" s="1"/>
      <c r="AB130" s="1"/>
      <c r="AC130" s="1"/>
    </row>
    <row r="131" spans="12:29" x14ac:dyDescent="0.15">
      <c r="L131" s="169" t="s">
        <v>214</v>
      </c>
      <c r="M131" s="162">
        <v>1800</v>
      </c>
      <c r="N131" s="159">
        <f t="shared" si="38"/>
        <v>0.20918070889018012</v>
      </c>
      <c r="O131" s="113">
        <f t="shared" si="41"/>
        <v>0</v>
      </c>
      <c r="P131" s="169" t="s">
        <v>214</v>
      </c>
      <c r="Q131" s="162">
        <v>0</v>
      </c>
      <c r="R131" s="159">
        <f t="shared" si="39"/>
        <v>0</v>
      </c>
      <c r="S131" s="1">
        <f t="shared" si="40"/>
        <v>0</v>
      </c>
      <c r="W131"/>
      <c r="X131"/>
      <c r="Y131" s="1"/>
      <c r="Z131" s="1"/>
      <c r="AA131" s="1"/>
      <c r="AB131" s="1"/>
      <c r="AC131" s="1"/>
    </row>
    <row r="132" spans="12:29" x14ac:dyDescent="0.15">
      <c r="L132" s="170" t="s">
        <v>213</v>
      </c>
      <c r="M132" s="165">
        <v>2000</v>
      </c>
      <c r="N132" s="159">
        <f t="shared" si="38"/>
        <v>0.23242300987797793</v>
      </c>
      <c r="O132" s="113">
        <f t="shared" si="41"/>
        <v>0</v>
      </c>
      <c r="P132" s="170" t="s">
        <v>213</v>
      </c>
      <c r="Q132" s="165">
        <v>0</v>
      </c>
      <c r="R132" s="159">
        <f t="shared" si="39"/>
        <v>0</v>
      </c>
      <c r="S132" s="1">
        <f t="shared" si="40"/>
        <v>0</v>
      </c>
      <c r="T132" s="1"/>
      <c r="U132" s="1"/>
      <c r="V132" s="1"/>
      <c r="W132"/>
      <c r="X132"/>
      <c r="Y132" s="1"/>
      <c r="Z132" s="1"/>
      <c r="AA132" s="1"/>
      <c r="AB132" s="1"/>
      <c r="AC132" s="1"/>
    </row>
    <row r="133" spans="12:29" x14ac:dyDescent="0.15">
      <c r="O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2:29" x14ac:dyDescent="0.15">
      <c r="O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2:29" x14ac:dyDescent="0.15">
      <c r="M135" s="113">
        <f>SUMPRODUCT(N127:N132,X105:X110)/100/M113</f>
        <v>3.7075407608695654</v>
      </c>
      <c r="O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2:29" x14ac:dyDescent="0.15">
      <c r="O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2:29" x14ac:dyDescent="0.15">
      <c r="O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2:29" x14ac:dyDescent="0.15"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2:29" x14ac:dyDescent="0.15"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2:29" x14ac:dyDescent="0.15"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2:29" x14ac:dyDescent="0.15"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2:29" x14ac:dyDescent="0.15"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2:29" x14ac:dyDescent="0.15"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2:29" x14ac:dyDescent="0.15"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5:28" x14ac:dyDescent="0.15">
      <c r="O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5:28" x14ac:dyDescent="0.15">
      <c r="O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5:28" x14ac:dyDescent="0.15"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5:28" x14ac:dyDescent="0.15">
      <c r="O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5:28" x14ac:dyDescent="0.15"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5:28" x14ac:dyDescent="0.15"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5:28" x14ac:dyDescent="0.15"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5:28" x14ac:dyDescent="0.15"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5:28" x14ac:dyDescent="0.15">
      <c r="O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5:28" x14ac:dyDescent="0.15">
      <c r="O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5:28" x14ac:dyDescent="0.15">
      <c r="O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5:28" x14ac:dyDescent="0.15">
      <c r="O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5:28" x14ac:dyDescent="0.15">
      <c r="O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5:28" x14ac:dyDescent="0.15">
      <c r="O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5:28" x14ac:dyDescent="0.15">
      <c r="O159" s="1"/>
      <c r="Q159" s="1"/>
      <c r="R159" s="1"/>
      <c r="S159" s="1"/>
      <c r="T159" s="1"/>
      <c r="U159" s="1"/>
      <c r="V159" s="1"/>
      <c r="X159" s="1"/>
      <c r="Y159" s="1"/>
      <c r="Z159" s="1"/>
      <c r="AA159" s="1"/>
      <c r="AB159" s="1"/>
    </row>
    <row r="160" spans="15:28" x14ac:dyDescent="0.15">
      <c r="O160" s="1"/>
      <c r="Q160" s="1"/>
      <c r="R160" s="1"/>
      <c r="S160" s="1"/>
      <c r="T160" s="1"/>
      <c r="U160" s="1"/>
      <c r="V160" s="1"/>
      <c r="X160" s="1"/>
      <c r="Y160" s="1"/>
      <c r="Z160" s="1"/>
      <c r="AA160" s="1"/>
      <c r="AB160" s="1"/>
    </row>
    <row r="161" spans="15:28" x14ac:dyDescent="0.15">
      <c r="O161" s="1"/>
      <c r="Q161" s="1"/>
      <c r="R161" s="1"/>
      <c r="S161" s="1"/>
      <c r="T161" s="1"/>
      <c r="U161" s="1"/>
      <c r="X161" s="1"/>
      <c r="Y161" s="1"/>
      <c r="Z161" s="1"/>
      <c r="AA161" s="1"/>
      <c r="AB161" s="1"/>
    </row>
    <row r="162" spans="15:28" x14ac:dyDescent="0.15">
      <c r="O162" s="1"/>
      <c r="Q162" s="1"/>
      <c r="R162" s="1"/>
      <c r="S162" s="1"/>
      <c r="T162" s="1"/>
      <c r="U162" s="1"/>
      <c r="X162" s="1"/>
      <c r="Y162" s="1"/>
      <c r="Z162" s="1"/>
      <c r="AA162" s="1"/>
      <c r="AB162" s="1"/>
    </row>
    <row r="163" spans="15:28" x14ac:dyDescent="0.15">
      <c r="O163" s="1"/>
      <c r="Q163" s="1"/>
      <c r="R163" s="1"/>
      <c r="S163" s="1"/>
      <c r="T163" s="1"/>
      <c r="U163" s="1"/>
      <c r="X163" s="1"/>
      <c r="Y163" s="1"/>
      <c r="Z163" s="1"/>
      <c r="AA163" s="1"/>
      <c r="AB163" s="1"/>
    </row>
    <row r="164" spans="15:28" x14ac:dyDescent="0.15">
      <c r="O164" s="1"/>
      <c r="Q164" s="1"/>
      <c r="R164" s="1"/>
      <c r="S164" s="1"/>
      <c r="T164" s="1"/>
      <c r="U164" s="1"/>
      <c r="X164" s="1"/>
      <c r="Y164" s="1"/>
      <c r="Z164" s="1"/>
      <c r="AA164" s="1"/>
      <c r="AB164" s="1"/>
    </row>
    <row r="165" spans="15:28" x14ac:dyDescent="0.15">
      <c r="O165" s="1"/>
      <c r="Q165" s="1"/>
      <c r="R165" s="1"/>
      <c r="S165" s="1"/>
      <c r="T165" s="1"/>
      <c r="U165" s="1"/>
    </row>
    <row r="166" spans="15:28" x14ac:dyDescent="0.15">
      <c r="O166" s="1"/>
      <c r="Q166" s="1"/>
      <c r="R166" s="1"/>
      <c r="S166" s="1"/>
      <c r="T166" s="1"/>
      <c r="U166" s="1"/>
      <c r="V166" s="1"/>
    </row>
    <row r="167" spans="15:28" x14ac:dyDescent="0.15">
      <c r="O167" s="1"/>
      <c r="Q167" s="1"/>
      <c r="R167" s="1"/>
      <c r="S167" s="1"/>
      <c r="T167" s="1"/>
      <c r="U167" s="1"/>
    </row>
    <row r="168" spans="15:28" x14ac:dyDescent="0.15">
      <c r="O168" s="1"/>
      <c r="Q168" s="1"/>
      <c r="R168" s="1"/>
      <c r="S168" s="1"/>
      <c r="T168" s="1"/>
      <c r="U168" s="1"/>
    </row>
    <row r="169" spans="15:28" x14ac:dyDescent="0.15">
      <c r="O169" s="1"/>
      <c r="Q169" s="1"/>
      <c r="R169" s="1"/>
      <c r="S169" s="1"/>
      <c r="T169" s="1"/>
      <c r="U169" s="1"/>
      <c r="V169" s="1"/>
    </row>
    <row r="170" spans="15:28" x14ac:dyDescent="0.15">
      <c r="O170" s="1"/>
      <c r="Q170" s="1"/>
      <c r="R170" s="1"/>
      <c r="S170" s="1"/>
      <c r="T170" s="1"/>
      <c r="U170" s="1"/>
      <c r="V170" s="1"/>
    </row>
    <row r="171" spans="15:28" x14ac:dyDescent="0.15">
      <c r="O171" s="1"/>
      <c r="Q171" s="1"/>
      <c r="R171" s="1"/>
      <c r="S171" s="1"/>
      <c r="T171" s="1"/>
      <c r="U171" s="1"/>
      <c r="V171" s="1"/>
    </row>
    <row r="172" spans="15:28" x14ac:dyDescent="0.15">
      <c r="O172" s="1"/>
      <c r="Q172" s="1"/>
      <c r="R172" s="1"/>
      <c r="S172" s="1"/>
      <c r="T172" s="1"/>
      <c r="U172" s="1"/>
      <c r="V172" s="1"/>
    </row>
    <row r="173" spans="15:28" x14ac:dyDescent="0.15">
      <c r="O173" s="1"/>
      <c r="Q173" s="1"/>
      <c r="R173" s="1"/>
      <c r="S173" s="1"/>
      <c r="T173" s="1"/>
      <c r="U173" s="1"/>
      <c r="V173" s="1"/>
    </row>
    <row r="174" spans="15:28" x14ac:dyDescent="0.15">
      <c r="O174" s="1"/>
      <c r="Q174" s="1"/>
      <c r="R174" s="1"/>
      <c r="S174" s="1"/>
      <c r="T174" s="1"/>
      <c r="U174" s="1"/>
    </row>
    <row r="175" spans="15:28" x14ac:dyDescent="0.15">
      <c r="O175" s="1"/>
      <c r="Q175" s="1"/>
      <c r="R175" s="1"/>
      <c r="S175" s="1"/>
      <c r="T175" s="1"/>
      <c r="U175" s="1"/>
    </row>
    <row r="176" spans="15:28" x14ac:dyDescent="0.15">
      <c r="O176" s="1"/>
      <c r="Q176" s="1"/>
      <c r="R176" s="1"/>
      <c r="S176" s="1"/>
      <c r="T176" s="1"/>
      <c r="U176" s="1"/>
    </row>
    <row r="177" spans="15:21" x14ac:dyDescent="0.15">
      <c r="O177" s="1"/>
      <c r="Q177" s="1"/>
      <c r="R177" s="1"/>
      <c r="S177" s="1"/>
      <c r="T177" s="1"/>
      <c r="U177" s="1"/>
    </row>
    <row r="178" spans="15:21" x14ac:dyDescent="0.15">
      <c r="O178" s="1"/>
      <c r="Q178" s="1"/>
      <c r="R178" s="1"/>
      <c r="S178" s="1"/>
      <c r="T178" s="1"/>
      <c r="U178" s="1"/>
    </row>
    <row r="179" spans="15:21" x14ac:dyDescent="0.15">
      <c r="O179" s="1"/>
      <c r="Q179" s="1"/>
      <c r="R179" s="1"/>
      <c r="S179" s="1"/>
      <c r="T179" s="1"/>
      <c r="U179" s="1"/>
    </row>
    <row r="180" spans="15:21" x14ac:dyDescent="0.15">
      <c r="O180" s="1"/>
      <c r="Q180" s="1"/>
      <c r="R180" s="1"/>
      <c r="S180" s="1"/>
      <c r="T180" s="1"/>
      <c r="U180" s="1"/>
    </row>
    <row r="181" spans="15:21" x14ac:dyDescent="0.15">
      <c r="O181" s="1"/>
      <c r="Q181" s="1"/>
      <c r="R181" s="1"/>
      <c r="S181" s="1"/>
      <c r="T181" s="1"/>
      <c r="U181" s="1"/>
    </row>
    <row r="182" spans="15:21" x14ac:dyDescent="0.15">
      <c r="O182" s="1"/>
      <c r="Q182" s="1"/>
      <c r="R182" s="1"/>
      <c r="S182" s="1"/>
      <c r="T182" s="1"/>
      <c r="U182" s="1"/>
    </row>
    <row r="183" spans="15:21" x14ac:dyDescent="0.15">
      <c r="O183" s="1"/>
      <c r="Q183" s="1"/>
      <c r="R183" s="1"/>
      <c r="S183" s="1"/>
      <c r="T183" s="1"/>
      <c r="U183" s="1"/>
    </row>
    <row r="184" spans="15:21" x14ac:dyDescent="0.15">
      <c r="O184" s="1"/>
      <c r="Q184" s="1"/>
      <c r="R184" s="1"/>
      <c r="S184" s="1"/>
      <c r="T184" s="1"/>
      <c r="U184" s="1"/>
    </row>
    <row r="185" spans="15:21" x14ac:dyDescent="0.15">
      <c r="O185" s="1"/>
      <c r="Q185" s="1"/>
      <c r="R185" s="1"/>
      <c r="S185" s="1"/>
      <c r="T185" s="1"/>
      <c r="U185" s="1"/>
    </row>
    <row r="186" spans="15:21" x14ac:dyDescent="0.15">
      <c r="O186" s="1"/>
      <c r="Q186" s="1"/>
      <c r="R186" s="1"/>
      <c r="S186" s="1"/>
      <c r="T186" s="1"/>
      <c r="U186" s="1"/>
    </row>
    <row r="187" spans="15:21" x14ac:dyDescent="0.15">
      <c r="O187" s="1"/>
      <c r="Q187" s="1"/>
      <c r="R187" s="1"/>
      <c r="S187" s="1"/>
      <c r="T187" s="1"/>
      <c r="U187" s="1"/>
    </row>
    <row r="188" spans="15:21" x14ac:dyDescent="0.15">
      <c r="O188" s="1"/>
      <c r="Q188" s="1"/>
      <c r="R188" s="1"/>
      <c r="S188" s="1"/>
      <c r="T188" s="1"/>
      <c r="U188" s="1"/>
    </row>
    <row r="189" spans="15:21" x14ac:dyDescent="0.15">
      <c r="O189" s="1"/>
      <c r="Q189" s="1"/>
      <c r="R189" s="1"/>
      <c r="S189" s="1"/>
      <c r="T189" s="1"/>
      <c r="U189" s="1"/>
    </row>
    <row r="190" spans="15:21" x14ac:dyDescent="0.15">
      <c r="O190" s="1"/>
      <c r="Q190" s="1"/>
      <c r="R190" s="1"/>
      <c r="S190" s="1"/>
      <c r="T190" s="1"/>
      <c r="U190" s="1"/>
    </row>
    <row r="191" spans="15:21" x14ac:dyDescent="0.15">
      <c r="O191" s="1"/>
      <c r="Q191" s="1"/>
      <c r="R191" s="1"/>
      <c r="S191" s="1"/>
      <c r="T191" s="1"/>
      <c r="U191" s="1"/>
    </row>
    <row r="192" spans="15:21" x14ac:dyDescent="0.15">
      <c r="O192" s="1"/>
      <c r="Q192" s="1"/>
      <c r="R192" s="1"/>
      <c r="S192" s="1"/>
      <c r="T192" s="1"/>
      <c r="U192" s="1"/>
    </row>
    <row r="193" spans="15:21" x14ac:dyDescent="0.15">
      <c r="O193" s="1"/>
      <c r="Q193" s="1"/>
      <c r="R193" s="1"/>
      <c r="S193" s="1"/>
      <c r="T193" s="1"/>
      <c r="U193" s="1"/>
    </row>
    <row r="194" spans="15:21" x14ac:dyDescent="0.15">
      <c r="O194" s="1"/>
      <c r="Q194" s="1"/>
      <c r="R194" s="1"/>
      <c r="S194" s="1"/>
      <c r="T194" s="1"/>
      <c r="U194" s="1"/>
    </row>
    <row r="195" spans="15:21" x14ac:dyDescent="0.15">
      <c r="O195" s="1"/>
      <c r="Q195" s="1"/>
      <c r="R195" s="1"/>
      <c r="S195" s="1"/>
      <c r="T195" s="1"/>
      <c r="U195" s="1"/>
    </row>
    <row r="196" spans="15:21" x14ac:dyDescent="0.15">
      <c r="O196" s="1"/>
      <c r="Q196" s="1"/>
      <c r="R196" s="1"/>
      <c r="S196" s="1"/>
      <c r="T196" s="1"/>
      <c r="U196" s="1"/>
    </row>
    <row r="197" spans="15:21" x14ac:dyDescent="0.15">
      <c r="O197" s="1"/>
      <c r="Q197" s="1"/>
      <c r="R197" s="1"/>
      <c r="S197" s="1"/>
      <c r="T197" s="1"/>
      <c r="U197" s="1"/>
    </row>
    <row r="198" spans="15:21" x14ac:dyDescent="0.15">
      <c r="O198" s="1"/>
      <c r="Q198" s="1"/>
      <c r="R198" s="1"/>
      <c r="S198" s="1"/>
      <c r="T198" s="1"/>
      <c r="U198" s="1"/>
    </row>
    <row r="199" spans="15:21" x14ac:dyDescent="0.15">
      <c r="O199" s="1"/>
      <c r="Q199" s="1"/>
      <c r="R199" s="1"/>
      <c r="S199" s="1"/>
      <c r="T199" s="1"/>
      <c r="U199" s="1"/>
    </row>
    <row r="200" spans="15:21" x14ac:dyDescent="0.15">
      <c r="O200" s="1"/>
      <c r="Q200" s="1"/>
      <c r="R200" s="1"/>
      <c r="S200" s="1"/>
      <c r="T200" s="1"/>
      <c r="U200" s="1"/>
    </row>
    <row r="201" spans="15:21" x14ac:dyDescent="0.15">
      <c r="O201" s="1"/>
      <c r="Q201" s="1"/>
      <c r="R201" s="1"/>
      <c r="S201" s="1"/>
      <c r="T201" s="1"/>
      <c r="U201" s="1"/>
    </row>
    <row r="202" spans="15:21" x14ac:dyDescent="0.15">
      <c r="O202" s="1"/>
      <c r="Q202" s="1"/>
      <c r="R202" s="1"/>
      <c r="S202" s="1"/>
      <c r="T202" s="1"/>
      <c r="U202" s="1"/>
    </row>
    <row r="203" spans="15:21" x14ac:dyDescent="0.15">
      <c r="O203" s="1"/>
      <c r="Q203" s="1"/>
      <c r="R203" s="1"/>
      <c r="S203" s="1"/>
      <c r="T203" s="1"/>
      <c r="U203" s="1"/>
    </row>
    <row r="204" spans="15:21" x14ac:dyDescent="0.15">
      <c r="O204" s="1"/>
      <c r="Q204" s="1"/>
      <c r="R204" s="1"/>
      <c r="S204" s="1"/>
      <c r="T204" s="1"/>
      <c r="U204" s="1"/>
    </row>
    <row r="205" spans="15:21" x14ac:dyDescent="0.15">
      <c r="O205" s="1"/>
      <c r="Q205" s="1"/>
      <c r="R205" s="1"/>
      <c r="S205" s="1"/>
      <c r="T205" s="1"/>
      <c r="U205" s="1"/>
    </row>
    <row r="206" spans="15:21" x14ac:dyDescent="0.15">
      <c r="O206" s="1"/>
      <c r="Q206" s="1"/>
      <c r="R206" s="1"/>
      <c r="S206" s="1"/>
      <c r="T206" s="1"/>
      <c r="U206" s="1"/>
    </row>
    <row r="207" spans="15:21" x14ac:dyDescent="0.15">
      <c r="O207" s="1"/>
      <c r="Q207" s="1"/>
      <c r="R207" s="1"/>
      <c r="S207" s="1"/>
      <c r="T207" s="1"/>
      <c r="U207" s="1"/>
    </row>
    <row r="208" spans="15:21" x14ac:dyDescent="0.15">
      <c r="O208" s="1"/>
      <c r="Q208" s="1"/>
      <c r="R208" s="1"/>
      <c r="S208" s="1"/>
      <c r="T208" s="1"/>
      <c r="U208" s="1"/>
    </row>
    <row r="209" spans="15:21" x14ac:dyDescent="0.15">
      <c r="O209" s="1"/>
      <c r="Q209" s="1"/>
      <c r="R209" s="1"/>
      <c r="S209" s="1"/>
      <c r="T209" s="1"/>
      <c r="U209" s="1"/>
    </row>
    <row r="210" spans="15:21" x14ac:dyDescent="0.15">
      <c r="O210" s="1"/>
      <c r="Q210" s="1"/>
      <c r="R210" s="1"/>
      <c r="S210" s="1"/>
      <c r="T210" s="1"/>
      <c r="U210" s="1"/>
    </row>
    <row r="211" spans="15:21" x14ac:dyDescent="0.15">
      <c r="O211" s="1"/>
      <c r="Q211" s="1"/>
      <c r="R211" s="1"/>
      <c r="S211" s="1"/>
      <c r="T211" s="1"/>
      <c r="U211" s="1"/>
    </row>
    <row r="212" spans="15:21" x14ac:dyDescent="0.15">
      <c r="O212" s="1"/>
      <c r="Q212" s="1"/>
      <c r="R212" s="1"/>
      <c r="S212" s="1"/>
      <c r="T212" s="1"/>
      <c r="U212" s="1"/>
    </row>
    <row r="213" spans="15:21" x14ac:dyDescent="0.15">
      <c r="O213" s="1"/>
      <c r="Q213" s="1"/>
      <c r="R213" s="1"/>
      <c r="S213" s="1"/>
      <c r="T213" s="1"/>
      <c r="U213" s="1"/>
    </row>
    <row r="214" spans="15:21" x14ac:dyDescent="0.15">
      <c r="O214" s="1"/>
      <c r="Q214" s="1"/>
      <c r="R214" s="1"/>
      <c r="S214" s="1"/>
      <c r="T214" s="1"/>
      <c r="U214" s="1"/>
    </row>
    <row r="215" spans="15:21" x14ac:dyDescent="0.15">
      <c r="O215" s="1"/>
      <c r="Q215" s="1"/>
      <c r="R215" s="1"/>
      <c r="S215" s="1"/>
      <c r="T215" s="1"/>
      <c r="U215" s="1"/>
    </row>
    <row r="216" spans="15:21" x14ac:dyDescent="0.15">
      <c r="O216" s="1"/>
      <c r="Q216" s="1"/>
      <c r="R216" s="1"/>
      <c r="S216" s="1"/>
      <c r="T216" s="1"/>
      <c r="U216" s="1"/>
    </row>
    <row r="217" spans="15:21" x14ac:dyDescent="0.15">
      <c r="O217" s="1"/>
      <c r="Q217" s="1"/>
      <c r="R217" s="1"/>
      <c r="S217" s="1"/>
      <c r="T217" s="1"/>
      <c r="U217" s="1"/>
    </row>
    <row r="218" spans="15:21" x14ac:dyDescent="0.15">
      <c r="O218" s="1"/>
      <c r="Q218" s="1"/>
      <c r="R218" s="1"/>
      <c r="S218" s="1"/>
      <c r="T218" s="1"/>
      <c r="U218" s="1"/>
    </row>
    <row r="219" spans="15:21" x14ac:dyDescent="0.15">
      <c r="O219" s="1"/>
      <c r="Q219" s="1"/>
      <c r="R219" s="1"/>
      <c r="S219" s="1"/>
      <c r="T219" s="1"/>
      <c r="U219" s="1"/>
    </row>
    <row r="220" spans="15:21" x14ac:dyDescent="0.15">
      <c r="O220" s="1"/>
      <c r="Q220" s="1"/>
      <c r="R220" s="1"/>
      <c r="S220" s="1"/>
      <c r="T220" s="1"/>
      <c r="U220" s="1"/>
    </row>
    <row r="221" spans="15:21" x14ac:dyDescent="0.15">
      <c r="O221" s="1"/>
      <c r="Q221" s="1"/>
      <c r="R221" s="1"/>
      <c r="S221" s="1"/>
      <c r="T221" s="1"/>
      <c r="U221" s="1"/>
    </row>
    <row r="222" spans="15:21" x14ac:dyDescent="0.15">
      <c r="O222" s="1"/>
      <c r="Q222" s="1"/>
      <c r="R222" s="1"/>
      <c r="S222" s="1"/>
      <c r="T222" s="1"/>
      <c r="U222" s="1"/>
    </row>
    <row r="223" spans="15:21" x14ac:dyDescent="0.15">
      <c r="O223" s="1"/>
      <c r="Q223" s="1"/>
      <c r="R223" s="1"/>
      <c r="S223" s="1"/>
      <c r="T223" s="1"/>
      <c r="U223" s="1"/>
    </row>
    <row r="224" spans="15:21" x14ac:dyDescent="0.15">
      <c r="O224" s="1"/>
      <c r="Q224" s="1"/>
      <c r="R224" s="1"/>
      <c r="S224" s="1"/>
      <c r="T224" s="1"/>
      <c r="U224" s="1"/>
    </row>
    <row r="225" spans="15:21" x14ac:dyDescent="0.15">
      <c r="O225" s="1"/>
      <c r="Q225" s="1"/>
      <c r="R225" s="1"/>
      <c r="S225" s="1"/>
      <c r="T225" s="1"/>
      <c r="U225" s="1"/>
    </row>
    <row r="226" spans="15:21" x14ac:dyDescent="0.15">
      <c r="O226" s="1"/>
      <c r="Q226" s="1"/>
      <c r="R226" s="1"/>
      <c r="S226" s="1"/>
      <c r="T226" s="1"/>
      <c r="U226" s="1"/>
    </row>
    <row r="227" spans="15:21" x14ac:dyDescent="0.15">
      <c r="O227" s="1"/>
      <c r="Q227" s="1"/>
      <c r="R227" s="1"/>
      <c r="S227" s="1"/>
      <c r="T227" s="1"/>
      <c r="U227" s="1"/>
    </row>
    <row r="228" spans="15:21" x14ac:dyDescent="0.15">
      <c r="O228" s="1"/>
      <c r="Q228" s="1"/>
      <c r="R228" s="1"/>
      <c r="S228" s="1"/>
      <c r="T228" s="1"/>
      <c r="U228" s="1"/>
    </row>
    <row r="229" spans="15:21" x14ac:dyDescent="0.15">
      <c r="O229" s="1"/>
      <c r="Q229" s="1"/>
      <c r="R229" s="1"/>
      <c r="S229" s="1"/>
      <c r="T229" s="1"/>
      <c r="U229" s="1"/>
    </row>
    <row r="230" spans="15:21" x14ac:dyDescent="0.15">
      <c r="O230" s="1"/>
      <c r="Q230" s="1"/>
      <c r="R230" s="1"/>
      <c r="S230" s="1"/>
      <c r="T230" s="1"/>
      <c r="U230" s="1"/>
    </row>
    <row r="231" spans="15:21" x14ac:dyDescent="0.15">
      <c r="O231" s="1"/>
      <c r="Q231" s="1"/>
      <c r="R231" s="1"/>
      <c r="S231" s="1"/>
      <c r="T231" s="1"/>
      <c r="U231" s="1"/>
    </row>
    <row r="232" spans="15:21" x14ac:dyDescent="0.15">
      <c r="O232" s="1"/>
      <c r="Q232" s="1"/>
      <c r="R232" s="1"/>
      <c r="S232" s="1"/>
      <c r="T232" s="1"/>
      <c r="U232" s="1"/>
    </row>
    <row r="233" spans="15:21" x14ac:dyDescent="0.15">
      <c r="O233" s="1"/>
      <c r="Q233" s="1"/>
      <c r="R233" s="1"/>
      <c r="S233" s="1"/>
      <c r="T233" s="1"/>
      <c r="U233" s="1"/>
    </row>
    <row r="234" spans="15:21" x14ac:dyDescent="0.15">
      <c r="O234" s="1"/>
      <c r="Q234" s="1"/>
      <c r="R234" s="1"/>
      <c r="S234" s="1"/>
      <c r="T234" s="1"/>
      <c r="U234" s="1"/>
    </row>
    <row r="235" spans="15:21" x14ac:dyDescent="0.15">
      <c r="O235" s="1"/>
      <c r="Q235" s="1"/>
      <c r="R235" s="1"/>
      <c r="S235" s="1"/>
      <c r="T235" s="1"/>
      <c r="U235" s="1"/>
    </row>
    <row r="236" spans="15:21" x14ac:dyDescent="0.15">
      <c r="O236" s="1"/>
      <c r="Q236" s="1"/>
      <c r="R236" s="1"/>
      <c r="S236" s="1"/>
      <c r="T236" s="1"/>
      <c r="U236" s="1"/>
    </row>
    <row r="237" spans="15:21" x14ac:dyDescent="0.15">
      <c r="O237" s="1"/>
      <c r="Q237" s="1"/>
      <c r="R237" s="1"/>
      <c r="S237" s="1"/>
      <c r="T237" s="1"/>
      <c r="U237" s="1"/>
    </row>
    <row r="238" spans="15:21" x14ac:dyDescent="0.15">
      <c r="O238" s="1"/>
      <c r="Q238" s="1"/>
      <c r="R238" s="1"/>
      <c r="S238" s="1"/>
      <c r="T238" s="1"/>
      <c r="U238" s="1"/>
    </row>
    <row r="239" spans="15:21" x14ac:dyDescent="0.15">
      <c r="O239" s="1"/>
      <c r="Q239" s="1"/>
      <c r="R239" s="1"/>
      <c r="S239" s="1"/>
      <c r="T239" s="1"/>
      <c r="U239" s="1"/>
    </row>
    <row r="240" spans="15:21" x14ac:dyDescent="0.15">
      <c r="O240" s="1"/>
      <c r="Q240" s="1"/>
      <c r="R240" s="1"/>
      <c r="S240" s="1"/>
      <c r="T240" s="1"/>
      <c r="U240" s="1"/>
    </row>
    <row r="241" spans="15:21" x14ac:dyDescent="0.15">
      <c r="O241" s="1"/>
      <c r="Q241" s="1"/>
      <c r="R241" s="1"/>
      <c r="S241" s="1"/>
      <c r="T241" s="1"/>
      <c r="U241" s="1"/>
    </row>
    <row r="242" spans="15:21" x14ac:dyDescent="0.15">
      <c r="O242" s="1"/>
      <c r="Q242" s="1"/>
      <c r="R242" s="1"/>
      <c r="S242" s="1"/>
      <c r="T242" s="1"/>
      <c r="U242" s="1"/>
    </row>
    <row r="243" spans="15:21" x14ac:dyDescent="0.15">
      <c r="O243" s="1"/>
      <c r="Q243" s="1"/>
      <c r="R243" s="1"/>
      <c r="S243" s="1"/>
      <c r="T243" s="1"/>
      <c r="U243" s="1"/>
    </row>
    <row r="244" spans="15:21" x14ac:dyDescent="0.15">
      <c r="O244" s="1"/>
      <c r="Q244" s="1"/>
      <c r="R244" s="1"/>
      <c r="S244" s="1"/>
      <c r="T244" s="1"/>
      <c r="U244" s="1"/>
    </row>
    <row r="245" spans="15:21" x14ac:dyDescent="0.15">
      <c r="O245" s="1"/>
      <c r="Q245" s="1"/>
      <c r="R245" s="1"/>
      <c r="S245" s="1"/>
      <c r="T245" s="1"/>
      <c r="U245" s="1"/>
    </row>
    <row r="246" spans="15:21" x14ac:dyDescent="0.15">
      <c r="O246" s="1"/>
      <c r="Q246" s="1"/>
      <c r="R246" s="1"/>
      <c r="S246" s="1"/>
      <c r="T246" s="1"/>
      <c r="U246" s="1"/>
    </row>
    <row r="247" spans="15:21" x14ac:dyDescent="0.15">
      <c r="O247" s="1"/>
      <c r="Q247" s="1"/>
      <c r="R247" s="1"/>
      <c r="S247" s="1"/>
      <c r="T247" s="1"/>
      <c r="U247" s="1"/>
    </row>
    <row r="248" spans="15:21" x14ac:dyDescent="0.15">
      <c r="O248" s="1"/>
      <c r="Q248" s="1"/>
      <c r="R248" s="1"/>
      <c r="S248" s="1"/>
      <c r="T248" s="1"/>
      <c r="U248" s="1"/>
    </row>
    <row r="249" spans="15:21" x14ac:dyDescent="0.15">
      <c r="O249" s="1"/>
      <c r="Q249" s="1"/>
      <c r="R249" s="1"/>
      <c r="S249" s="1"/>
      <c r="T249" s="1"/>
      <c r="U249" s="1"/>
    </row>
  </sheetData>
  <sortState xmlns:xlrd2="http://schemas.microsoft.com/office/spreadsheetml/2017/richdata2" ref="H22:H30">
    <sortCondition descending="1" ref="H22:H30"/>
  </sortState>
  <phoneticPr fontId="7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DBD1-8B8F-45B8-B92F-1E49BDE57DD7}">
  <dimension ref="B1:AN773"/>
  <sheetViews>
    <sheetView workbookViewId="0">
      <pane ySplit="1" topLeftCell="A669" activePane="bottomLeft" state="frozen"/>
      <selection pane="bottomLeft" activeCell="S696" activeCellId="1" sqref="D703:D773 S696"/>
    </sheetView>
  </sheetViews>
  <sheetFormatPr defaultRowHeight="15" x14ac:dyDescent="0.15"/>
  <cols>
    <col min="1" max="32" width="9" style="1"/>
    <col min="33" max="33" width="8.5" style="1" customWidth="1"/>
    <col min="34" max="16384" width="9" style="1"/>
  </cols>
  <sheetData>
    <row r="1" spans="2:40" x14ac:dyDescent="0.15">
      <c r="B1" s="1" t="s">
        <v>164</v>
      </c>
      <c r="C1" s="1" t="s">
        <v>165</v>
      </c>
      <c r="D1" s="1" t="s">
        <v>166</v>
      </c>
      <c r="E1" s="1" t="s">
        <v>234</v>
      </c>
      <c r="F1" s="1" t="s">
        <v>236</v>
      </c>
      <c r="G1" s="1" t="s">
        <v>235</v>
      </c>
      <c r="H1" s="1" t="s">
        <v>147</v>
      </c>
      <c r="I1" s="1" t="s">
        <v>149</v>
      </c>
      <c r="K1" s="1" t="s">
        <v>157</v>
      </c>
      <c r="L1" s="1" t="s">
        <v>227</v>
      </c>
      <c r="M1" s="1" t="s">
        <v>219</v>
      </c>
      <c r="N1" s="1" t="s">
        <v>229</v>
      </c>
      <c r="O1" s="1" t="s">
        <v>220</v>
      </c>
      <c r="P1" s="1" t="s">
        <v>230</v>
      </c>
      <c r="Q1" s="1" t="s">
        <v>231</v>
      </c>
      <c r="S1" s="1" t="s">
        <v>156</v>
      </c>
      <c r="T1" s="1" t="s">
        <v>21</v>
      </c>
      <c r="V1" s="1" t="s">
        <v>233</v>
      </c>
      <c r="W1" s="1" t="s">
        <v>230</v>
      </c>
      <c r="AM1" s="1" t="s">
        <v>166</v>
      </c>
      <c r="AN1" s="1">
        <v>5000</v>
      </c>
    </row>
    <row r="2" spans="2:40" x14ac:dyDescent="0.15">
      <c r="C2" s="1">
        <v>0</v>
      </c>
      <c r="D2" s="1">
        <v>500</v>
      </c>
      <c r="E2" s="1">
        <f t="array" ref="E2">SUM(IF(ISBLANK(C$2:C$2000),0,1))</f>
        <v>772</v>
      </c>
      <c r="F2" s="1">
        <f t="array" ref="F2">SUM(IF(C$2:C$2000=0,1,0)*IF(ISBLANK(C$2:C$2000),0,1))</f>
        <v>502</v>
      </c>
      <c r="G2" s="1">
        <f>E2-F2</f>
        <v>270</v>
      </c>
      <c r="H2" s="1">
        <f>G2/E2</f>
        <v>0.34974093264248707</v>
      </c>
      <c r="I2" s="1">
        <f>SUM(C2:C2000)/SUM(D2:D2000)</f>
        <v>0.33121158112974214</v>
      </c>
      <c r="K2" s="1">
        <f t="array" ref="K2">SUM(IF(ISBLANK(L$2:L$2000),0,1))/E2</f>
        <v>7.7720207253886009E-3</v>
      </c>
      <c r="L2" s="1">
        <v>11</v>
      </c>
      <c r="M2" s="1">
        <v>7</v>
      </c>
      <c r="N2" s="1">
        <v>0</v>
      </c>
      <c r="O2" s="1">
        <v>4</v>
      </c>
      <c r="P2" s="1">
        <f>5150/100</f>
        <v>51.5</v>
      </c>
      <c r="Q2" s="1" t="s">
        <v>232</v>
      </c>
      <c r="S2" s="1">
        <f t="array" ref="S2">SUM(IF(ISBLANK(T$2:T$2000),0,1))/E2</f>
        <v>9.0673575129533671E-3</v>
      </c>
      <c r="T2" s="1">
        <f>10625/500</f>
        <v>21.25</v>
      </c>
      <c r="W2" s="1">
        <f>1830/20</f>
        <v>91.5</v>
      </c>
    </row>
    <row r="3" spans="2:40" x14ac:dyDescent="0.15">
      <c r="C3" s="1">
        <v>50</v>
      </c>
      <c r="D3" s="1">
        <v>500</v>
      </c>
      <c r="E3" s="1">
        <f>C3/D3</f>
        <v>0.1</v>
      </c>
      <c r="K3" s="1">
        <f>1/K2</f>
        <v>128.66666666666666</v>
      </c>
      <c r="L3" s="1">
        <v>12</v>
      </c>
      <c r="M3" s="1">
        <v>12</v>
      </c>
      <c r="N3" s="1">
        <v>3</v>
      </c>
      <c r="O3" s="1">
        <v>0</v>
      </c>
      <c r="P3" s="1">
        <f>1140/20</f>
        <v>57</v>
      </c>
      <c r="Q3" s="1" t="s">
        <v>232</v>
      </c>
      <c r="S3" s="1">
        <f>1/S2</f>
        <v>110.28571428571429</v>
      </c>
      <c r="T3" s="1">
        <f>3090/100</f>
        <v>30.9</v>
      </c>
      <c r="W3" s="1">
        <f>1340/100</f>
        <v>13.4</v>
      </c>
    </row>
    <row r="4" spans="2:40" x14ac:dyDescent="0.15">
      <c r="C4" s="1">
        <v>0</v>
      </c>
      <c r="D4" s="1">
        <v>500</v>
      </c>
      <c r="E4" s="1">
        <f t="shared" ref="E4:E67" si="0">C4/D4</f>
        <v>0</v>
      </c>
      <c r="K4" s="1">
        <f t="array" ref="K4">AVERAGE(P2:P100)</f>
        <v>43.410256410256409</v>
      </c>
      <c r="L4" s="1">
        <v>12</v>
      </c>
      <c r="M4" s="1">
        <v>5</v>
      </c>
      <c r="N4" s="1">
        <v>1</v>
      </c>
      <c r="O4" s="1">
        <v>7</v>
      </c>
      <c r="P4" s="1">
        <f>18750/500</f>
        <v>37.5</v>
      </c>
      <c r="Q4" s="1" t="s">
        <v>232</v>
      </c>
      <c r="S4" s="1">
        <f t="array" ref="S4">AVERAGE(T2:T100)</f>
        <v>25.562857142857144</v>
      </c>
      <c r="T4" s="1">
        <f>5902/200</f>
        <v>29.51</v>
      </c>
    </row>
    <row r="5" spans="2:40" x14ac:dyDescent="0.15">
      <c r="C5" s="1">
        <v>0</v>
      </c>
      <c r="D5" s="1">
        <v>500</v>
      </c>
      <c r="E5" s="1">
        <f t="shared" si="0"/>
        <v>0</v>
      </c>
      <c r="L5" s="1">
        <v>8</v>
      </c>
      <c r="M5" s="1">
        <v>3</v>
      </c>
      <c r="N5" s="1">
        <v>0</v>
      </c>
      <c r="O5" s="1">
        <v>5</v>
      </c>
      <c r="P5" s="1">
        <f>4850/100</f>
        <v>48.5</v>
      </c>
      <c r="Q5" s="1" t="s">
        <v>237</v>
      </c>
      <c r="T5" s="1">
        <f>(24376-18400)/200</f>
        <v>29.88</v>
      </c>
    </row>
    <row r="6" spans="2:40" x14ac:dyDescent="0.15">
      <c r="C6" s="1">
        <v>0</v>
      </c>
      <c r="D6" s="1">
        <v>500</v>
      </c>
      <c r="E6" s="1">
        <f t="shared" si="0"/>
        <v>0</v>
      </c>
      <c r="K6" s="1">
        <f>K4*K2</f>
        <v>0.33738541251494619</v>
      </c>
      <c r="L6" s="1">
        <v>13</v>
      </c>
      <c r="M6" s="1">
        <v>2</v>
      </c>
      <c r="N6" s="1">
        <v>0</v>
      </c>
      <c r="O6" s="1">
        <v>11</v>
      </c>
      <c r="P6" s="1">
        <f>1850/65</f>
        <v>28.46153846153846</v>
      </c>
      <c r="Q6" s="1" t="s">
        <v>237</v>
      </c>
      <c r="T6" s="1">
        <f>1949/100</f>
        <v>19.489999999999998</v>
      </c>
    </row>
    <row r="7" spans="2:40" x14ac:dyDescent="0.15">
      <c r="C7" s="1">
        <v>0</v>
      </c>
      <c r="D7" s="1">
        <v>500</v>
      </c>
      <c r="E7" s="1">
        <f t="shared" si="0"/>
        <v>0</v>
      </c>
      <c r="L7" s="1">
        <v>12</v>
      </c>
      <c r="M7" s="1">
        <v>2</v>
      </c>
      <c r="N7" s="1">
        <v>0</v>
      </c>
      <c r="O7" s="1">
        <v>10</v>
      </c>
      <c r="P7" s="1">
        <f>37.5</f>
        <v>37.5</v>
      </c>
      <c r="Q7" s="1" t="s">
        <v>232</v>
      </c>
      <c r="S7" s="1">
        <f>S4*S2</f>
        <v>0.23178756476683937</v>
      </c>
      <c r="T7" s="1">
        <f>3615/100</f>
        <v>36.15</v>
      </c>
    </row>
    <row r="8" spans="2:40" x14ac:dyDescent="0.15">
      <c r="C8" s="1">
        <v>25</v>
      </c>
      <c r="D8" s="1">
        <v>500</v>
      </c>
      <c r="E8" s="1">
        <f t="shared" si="0"/>
        <v>0.05</v>
      </c>
      <c r="T8" s="1">
        <v>11.76</v>
      </c>
    </row>
    <row r="9" spans="2:40" x14ac:dyDescent="0.15">
      <c r="C9" s="1">
        <v>25</v>
      </c>
      <c r="D9" s="1">
        <v>500</v>
      </c>
      <c r="E9" s="1">
        <f t="shared" si="0"/>
        <v>0.05</v>
      </c>
    </row>
    <row r="10" spans="2:40" x14ac:dyDescent="0.15">
      <c r="C10" s="1">
        <v>0</v>
      </c>
      <c r="D10" s="1">
        <v>500</v>
      </c>
      <c r="E10" s="1">
        <f t="shared" si="0"/>
        <v>0</v>
      </c>
    </row>
    <row r="11" spans="2:40" x14ac:dyDescent="0.15">
      <c r="C11" s="1">
        <v>1000</v>
      </c>
      <c r="D11" s="1">
        <v>500</v>
      </c>
      <c r="E11" s="1">
        <f t="shared" si="0"/>
        <v>2</v>
      </c>
    </row>
    <row r="12" spans="2:40" x14ac:dyDescent="0.15">
      <c r="C12" s="1">
        <v>1000</v>
      </c>
      <c r="D12" s="1">
        <v>500</v>
      </c>
      <c r="E12" s="1">
        <f t="shared" si="0"/>
        <v>2</v>
      </c>
    </row>
    <row r="13" spans="2:40" x14ac:dyDescent="0.15">
      <c r="C13" s="1">
        <v>0</v>
      </c>
      <c r="D13" s="1">
        <v>500</v>
      </c>
      <c r="E13" s="1">
        <f t="shared" si="0"/>
        <v>0</v>
      </c>
    </row>
    <row r="14" spans="2:40" x14ac:dyDescent="0.15">
      <c r="C14" s="1">
        <v>75</v>
      </c>
      <c r="D14" s="1">
        <v>500</v>
      </c>
      <c r="E14" s="1">
        <f t="shared" si="0"/>
        <v>0.15</v>
      </c>
    </row>
    <row r="15" spans="2:40" x14ac:dyDescent="0.15">
      <c r="C15" s="1">
        <v>0</v>
      </c>
      <c r="D15" s="1">
        <v>500</v>
      </c>
      <c r="E15" s="1">
        <f t="shared" si="0"/>
        <v>0</v>
      </c>
    </row>
    <row r="16" spans="2:40" x14ac:dyDescent="0.15">
      <c r="C16" s="1">
        <v>40</v>
      </c>
      <c r="D16" s="1">
        <v>500</v>
      </c>
      <c r="E16" s="1">
        <f t="shared" si="0"/>
        <v>0.08</v>
      </c>
    </row>
    <row r="17" spans="3:5" x14ac:dyDescent="0.15">
      <c r="C17" s="1">
        <v>0</v>
      </c>
      <c r="D17" s="1">
        <v>500</v>
      </c>
      <c r="E17" s="1">
        <f t="shared" si="0"/>
        <v>0</v>
      </c>
    </row>
    <row r="18" spans="3:5" x14ac:dyDescent="0.15">
      <c r="C18" s="1">
        <v>0</v>
      </c>
      <c r="D18" s="1">
        <v>500</v>
      </c>
      <c r="E18" s="1">
        <f t="shared" si="0"/>
        <v>0</v>
      </c>
    </row>
    <row r="19" spans="3:5" x14ac:dyDescent="0.15">
      <c r="C19" s="1">
        <v>0</v>
      </c>
      <c r="D19" s="1">
        <v>500</v>
      </c>
      <c r="E19" s="1">
        <f t="shared" si="0"/>
        <v>0</v>
      </c>
    </row>
    <row r="20" spans="3:5" x14ac:dyDescent="0.15">
      <c r="C20" s="1">
        <v>0</v>
      </c>
      <c r="D20" s="1">
        <v>500</v>
      </c>
      <c r="E20" s="1">
        <f t="shared" si="0"/>
        <v>0</v>
      </c>
    </row>
    <row r="21" spans="3:5" x14ac:dyDescent="0.15">
      <c r="C21" s="1">
        <v>150</v>
      </c>
      <c r="D21" s="1">
        <v>500</v>
      </c>
      <c r="E21" s="1">
        <f t="shared" si="0"/>
        <v>0.3</v>
      </c>
    </row>
    <row r="22" spans="3:5" x14ac:dyDescent="0.15">
      <c r="C22" s="1">
        <v>0</v>
      </c>
      <c r="D22" s="1">
        <v>500</v>
      </c>
      <c r="E22" s="1">
        <f t="shared" si="0"/>
        <v>0</v>
      </c>
    </row>
    <row r="23" spans="3:5" x14ac:dyDescent="0.15">
      <c r="C23" s="1">
        <v>0</v>
      </c>
      <c r="D23" s="1">
        <v>500</v>
      </c>
      <c r="E23" s="1">
        <f t="shared" si="0"/>
        <v>0</v>
      </c>
    </row>
    <row r="24" spans="3:5" x14ac:dyDescent="0.15">
      <c r="C24" s="1">
        <v>0</v>
      </c>
      <c r="D24" s="1">
        <v>500</v>
      </c>
      <c r="E24" s="1">
        <f t="shared" si="0"/>
        <v>0</v>
      </c>
    </row>
    <row r="25" spans="3:5" x14ac:dyDescent="0.15">
      <c r="C25" s="1">
        <v>300</v>
      </c>
      <c r="D25" s="1">
        <v>500</v>
      </c>
      <c r="E25" s="1">
        <f t="shared" si="0"/>
        <v>0.6</v>
      </c>
    </row>
    <row r="26" spans="3:5" x14ac:dyDescent="0.15">
      <c r="C26" s="1">
        <v>0</v>
      </c>
      <c r="D26" s="1">
        <v>300</v>
      </c>
      <c r="E26" s="1">
        <f t="shared" si="0"/>
        <v>0</v>
      </c>
    </row>
    <row r="27" spans="3:5" x14ac:dyDescent="0.15">
      <c r="C27" s="1">
        <v>0</v>
      </c>
      <c r="D27" s="1">
        <v>300</v>
      </c>
      <c r="E27" s="1">
        <f t="shared" si="0"/>
        <v>0</v>
      </c>
    </row>
    <row r="28" spans="3:5" x14ac:dyDescent="0.15">
      <c r="C28" s="1">
        <v>0</v>
      </c>
      <c r="D28" s="1">
        <v>300</v>
      </c>
      <c r="E28" s="1">
        <f t="shared" si="0"/>
        <v>0</v>
      </c>
    </row>
    <row r="29" spans="3:5" x14ac:dyDescent="0.15">
      <c r="C29" s="1">
        <v>0</v>
      </c>
      <c r="D29" s="1">
        <v>300</v>
      </c>
      <c r="E29" s="1">
        <f t="shared" si="0"/>
        <v>0</v>
      </c>
    </row>
    <row r="30" spans="3:5" x14ac:dyDescent="0.15">
      <c r="C30" s="1">
        <v>0</v>
      </c>
      <c r="D30" s="1">
        <v>300</v>
      </c>
      <c r="E30" s="1">
        <f t="shared" si="0"/>
        <v>0</v>
      </c>
    </row>
    <row r="31" spans="3:5" x14ac:dyDescent="0.15">
      <c r="C31" s="1">
        <v>0</v>
      </c>
      <c r="D31" s="1">
        <v>300</v>
      </c>
      <c r="E31" s="1">
        <f t="shared" si="0"/>
        <v>0</v>
      </c>
    </row>
    <row r="32" spans="3:5" x14ac:dyDescent="0.15">
      <c r="C32" s="1">
        <v>0</v>
      </c>
      <c r="D32" s="1">
        <v>300</v>
      </c>
      <c r="E32" s="1">
        <f t="shared" si="0"/>
        <v>0</v>
      </c>
    </row>
    <row r="33" spans="3:5" x14ac:dyDescent="0.15">
      <c r="C33" s="1">
        <v>0</v>
      </c>
      <c r="D33" s="1">
        <v>300</v>
      </c>
      <c r="E33" s="1">
        <f t="shared" si="0"/>
        <v>0</v>
      </c>
    </row>
    <row r="34" spans="3:5" x14ac:dyDescent="0.15">
      <c r="C34" s="1">
        <v>180</v>
      </c>
      <c r="D34" s="1">
        <v>300</v>
      </c>
      <c r="E34" s="1">
        <f t="shared" si="0"/>
        <v>0.6</v>
      </c>
    </row>
    <row r="35" spans="3:5" x14ac:dyDescent="0.15">
      <c r="C35" s="1">
        <v>0</v>
      </c>
      <c r="D35" s="1">
        <v>300</v>
      </c>
      <c r="E35" s="1">
        <f t="shared" si="0"/>
        <v>0</v>
      </c>
    </row>
    <row r="36" spans="3:5" x14ac:dyDescent="0.15">
      <c r="C36" s="1">
        <v>0</v>
      </c>
      <c r="D36" s="1">
        <v>300</v>
      </c>
      <c r="E36" s="1">
        <f t="shared" si="0"/>
        <v>0</v>
      </c>
    </row>
    <row r="37" spans="3:5" x14ac:dyDescent="0.15">
      <c r="C37" s="1">
        <v>0</v>
      </c>
      <c r="D37" s="1">
        <v>300</v>
      </c>
      <c r="E37" s="1">
        <f t="shared" si="0"/>
        <v>0</v>
      </c>
    </row>
    <row r="38" spans="3:5" x14ac:dyDescent="0.15">
      <c r="C38" s="1">
        <v>60</v>
      </c>
      <c r="D38" s="1">
        <v>300</v>
      </c>
      <c r="E38" s="1">
        <f t="shared" si="0"/>
        <v>0.2</v>
      </c>
    </row>
    <row r="39" spans="3:5" x14ac:dyDescent="0.15">
      <c r="C39" s="1">
        <v>0</v>
      </c>
      <c r="D39" s="1">
        <v>300</v>
      </c>
      <c r="E39" s="1">
        <f t="shared" si="0"/>
        <v>0</v>
      </c>
    </row>
    <row r="40" spans="3:5" x14ac:dyDescent="0.15">
      <c r="C40" s="1">
        <v>0</v>
      </c>
      <c r="D40" s="1">
        <v>300</v>
      </c>
      <c r="E40" s="1">
        <f t="shared" si="0"/>
        <v>0</v>
      </c>
    </row>
    <row r="41" spans="3:5" x14ac:dyDescent="0.15">
      <c r="C41" s="1">
        <v>0</v>
      </c>
      <c r="D41" s="1">
        <v>300</v>
      </c>
      <c r="E41" s="1">
        <f t="shared" si="0"/>
        <v>0</v>
      </c>
    </row>
    <row r="42" spans="3:5" x14ac:dyDescent="0.15">
      <c r="C42" s="1">
        <v>0</v>
      </c>
      <c r="D42" s="1">
        <v>100</v>
      </c>
      <c r="E42" s="1">
        <f t="shared" si="0"/>
        <v>0</v>
      </c>
    </row>
    <row r="43" spans="3:5" x14ac:dyDescent="0.15">
      <c r="C43" s="1">
        <v>0</v>
      </c>
      <c r="D43" s="1">
        <v>100</v>
      </c>
      <c r="E43" s="1">
        <f t="shared" si="0"/>
        <v>0</v>
      </c>
    </row>
    <row r="44" spans="3:5" x14ac:dyDescent="0.15">
      <c r="C44" s="1">
        <v>0</v>
      </c>
      <c r="D44" s="1">
        <v>100</v>
      </c>
      <c r="E44" s="1">
        <f t="shared" si="0"/>
        <v>0</v>
      </c>
    </row>
    <row r="45" spans="3:5" x14ac:dyDescent="0.15">
      <c r="C45" s="1">
        <v>0</v>
      </c>
      <c r="D45" s="1">
        <v>100</v>
      </c>
      <c r="E45" s="1">
        <f t="shared" si="0"/>
        <v>0</v>
      </c>
    </row>
    <row r="46" spans="3:5" x14ac:dyDescent="0.15">
      <c r="C46" s="1">
        <v>0</v>
      </c>
      <c r="D46" s="1">
        <v>100</v>
      </c>
      <c r="E46" s="1">
        <f t="shared" si="0"/>
        <v>0</v>
      </c>
    </row>
    <row r="47" spans="3:5" x14ac:dyDescent="0.15">
      <c r="C47" s="1">
        <v>0</v>
      </c>
      <c r="D47" s="1">
        <v>100</v>
      </c>
      <c r="E47" s="1">
        <f t="shared" si="0"/>
        <v>0</v>
      </c>
    </row>
    <row r="48" spans="3:5" x14ac:dyDescent="0.15">
      <c r="C48" s="1">
        <v>15</v>
      </c>
      <c r="D48" s="1">
        <v>100</v>
      </c>
      <c r="E48" s="1">
        <f t="shared" si="0"/>
        <v>0.15</v>
      </c>
    </row>
    <row r="49" spans="3:5" x14ac:dyDescent="0.15">
      <c r="C49" s="1">
        <v>0</v>
      </c>
      <c r="D49" s="1">
        <v>100</v>
      </c>
      <c r="E49" s="1">
        <f t="shared" si="0"/>
        <v>0</v>
      </c>
    </row>
    <row r="50" spans="3:5" x14ac:dyDescent="0.15">
      <c r="C50" s="1">
        <v>300</v>
      </c>
      <c r="D50" s="1">
        <v>100</v>
      </c>
      <c r="E50" s="1">
        <f t="shared" si="0"/>
        <v>3</v>
      </c>
    </row>
    <row r="51" spans="3:5" x14ac:dyDescent="0.15">
      <c r="C51" s="1">
        <v>10</v>
      </c>
      <c r="D51" s="1">
        <v>100</v>
      </c>
      <c r="E51" s="1">
        <f t="shared" si="0"/>
        <v>0.1</v>
      </c>
    </row>
    <row r="52" spans="3:5" x14ac:dyDescent="0.15">
      <c r="C52" s="1">
        <v>0</v>
      </c>
      <c r="D52" s="1">
        <v>100</v>
      </c>
      <c r="E52" s="1">
        <f t="shared" si="0"/>
        <v>0</v>
      </c>
    </row>
    <row r="53" spans="3:5" x14ac:dyDescent="0.15">
      <c r="C53" s="1">
        <v>0</v>
      </c>
      <c r="D53" s="1">
        <v>100</v>
      </c>
      <c r="E53" s="1">
        <f t="shared" si="0"/>
        <v>0</v>
      </c>
    </row>
    <row r="54" spans="3:5" x14ac:dyDescent="0.15">
      <c r="C54" s="1">
        <v>20</v>
      </c>
      <c r="D54" s="1">
        <v>100</v>
      </c>
      <c r="E54" s="1">
        <f t="shared" si="0"/>
        <v>0.2</v>
      </c>
    </row>
    <row r="55" spans="3:5" x14ac:dyDescent="0.15">
      <c r="C55" s="1">
        <v>830</v>
      </c>
      <c r="D55" s="1">
        <v>100</v>
      </c>
      <c r="E55" s="1">
        <f t="shared" si="0"/>
        <v>8.3000000000000007</v>
      </c>
    </row>
    <row r="56" spans="3:5" x14ac:dyDescent="0.15">
      <c r="C56" s="1">
        <v>0</v>
      </c>
      <c r="D56" s="1">
        <v>100</v>
      </c>
      <c r="E56" s="1">
        <f t="shared" si="0"/>
        <v>0</v>
      </c>
    </row>
    <row r="57" spans="3:5" x14ac:dyDescent="0.15">
      <c r="C57" s="1">
        <v>50</v>
      </c>
      <c r="D57" s="1">
        <v>100</v>
      </c>
      <c r="E57" s="1">
        <f t="shared" si="0"/>
        <v>0.5</v>
      </c>
    </row>
    <row r="58" spans="3:5" x14ac:dyDescent="0.15">
      <c r="C58" s="1">
        <v>0</v>
      </c>
      <c r="D58" s="1">
        <v>100</v>
      </c>
      <c r="E58" s="1">
        <f t="shared" si="0"/>
        <v>0</v>
      </c>
    </row>
    <row r="59" spans="3:5" x14ac:dyDescent="0.15">
      <c r="C59" s="1">
        <v>5</v>
      </c>
      <c r="D59" s="1">
        <v>100</v>
      </c>
      <c r="E59" s="1">
        <f t="shared" si="0"/>
        <v>0.05</v>
      </c>
    </row>
    <row r="60" spans="3:5" x14ac:dyDescent="0.15">
      <c r="C60" s="1">
        <v>0</v>
      </c>
      <c r="D60" s="1">
        <v>100</v>
      </c>
      <c r="E60" s="1">
        <f t="shared" si="0"/>
        <v>0</v>
      </c>
    </row>
    <row r="61" spans="3:5" x14ac:dyDescent="0.15">
      <c r="C61" s="1">
        <v>15</v>
      </c>
      <c r="D61" s="1">
        <v>100</v>
      </c>
      <c r="E61" s="1">
        <f t="shared" si="0"/>
        <v>0.15</v>
      </c>
    </row>
    <row r="62" spans="3:5" x14ac:dyDescent="0.15">
      <c r="C62" s="1">
        <v>60</v>
      </c>
      <c r="D62" s="1">
        <v>100</v>
      </c>
      <c r="E62" s="1">
        <f t="shared" si="0"/>
        <v>0.6</v>
      </c>
    </row>
    <row r="63" spans="3:5" x14ac:dyDescent="0.15">
      <c r="C63" s="1">
        <v>0</v>
      </c>
      <c r="D63" s="1">
        <v>100</v>
      </c>
      <c r="E63" s="1">
        <f t="shared" si="0"/>
        <v>0</v>
      </c>
    </row>
    <row r="64" spans="3:5" x14ac:dyDescent="0.15">
      <c r="C64" s="1">
        <v>0</v>
      </c>
      <c r="D64" s="1">
        <v>100</v>
      </c>
      <c r="E64" s="1">
        <f t="shared" si="0"/>
        <v>0</v>
      </c>
    </row>
    <row r="65" spans="3:11" x14ac:dyDescent="0.15">
      <c r="C65" s="1">
        <v>0</v>
      </c>
      <c r="D65" s="1">
        <v>100</v>
      </c>
      <c r="E65" s="1">
        <f t="shared" si="0"/>
        <v>0</v>
      </c>
    </row>
    <row r="66" spans="3:11" x14ac:dyDescent="0.15">
      <c r="C66" s="1">
        <v>0</v>
      </c>
      <c r="D66" s="1">
        <v>200</v>
      </c>
      <c r="E66" s="1">
        <f t="shared" si="0"/>
        <v>0</v>
      </c>
    </row>
    <row r="67" spans="3:11" x14ac:dyDescent="0.15">
      <c r="C67" s="1">
        <v>180</v>
      </c>
      <c r="D67" s="1">
        <v>200</v>
      </c>
      <c r="E67" s="1">
        <f t="shared" si="0"/>
        <v>0.9</v>
      </c>
    </row>
    <row r="68" spans="3:11" x14ac:dyDescent="0.15">
      <c r="C68" s="1">
        <v>20</v>
      </c>
      <c r="D68" s="1">
        <v>200</v>
      </c>
      <c r="E68" s="1">
        <f t="shared" ref="E68:E131" si="1">C68/D68</f>
        <v>0.1</v>
      </c>
    </row>
    <row r="69" spans="3:11" x14ac:dyDescent="0.15">
      <c r="C69" s="1">
        <v>0</v>
      </c>
      <c r="D69" s="1">
        <v>200</v>
      </c>
      <c r="E69" s="1">
        <f t="shared" si="1"/>
        <v>0</v>
      </c>
    </row>
    <row r="70" spans="3:11" x14ac:dyDescent="0.15">
      <c r="C70" s="1">
        <v>0</v>
      </c>
      <c r="D70" s="1">
        <v>200</v>
      </c>
      <c r="E70" s="1">
        <f t="shared" si="1"/>
        <v>0</v>
      </c>
      <c r="K70" s="1" t="s">
        <v>228</v>
      </c>
    </row>
    <row r="71" spans="3:11" x14ac:dyDescent="0.15">
      <c r="C71" s="1">
        <v>270</v>
      </c>
      <c r="D71" s="1">
        <v>200</v>
      </c>
      <c r="E71" s="1">
        <f t="shared" si="1"/>
        <v>1.35</v>
      </c>
    </row>
    <row r="72" spans="3:11" x14ac:dyDescent="0.15">
      <c r="C72" s="1">
        <v>0</v>
      </c>
      <c r="D72" s="1">
        <v>200</v>
      </c>
      <c r="E72" s="1">
        <f t="shared" si="1"/>
        <v>0</v>
      </c>
    </row>
    <row r="73" spans="3:11" x14ac:dyDescent="0.15">
      <c r="C73" s="1">
        <v>0</v>
      </c>
      <c r="D73" s="1">
        <v>100</v>
      </c>
      <c r="E73" s="1">
        <f t="shared" si="1"/>
        <v>0</v>
      </c>
    </row>
    <row r="74" spans="3:11" x14ac:dyDescent="0.15">
      <c r="C74" s="1">
        <v>0</v>
      </c>
      <c r="D74" s="1">
        <v>100</v>
      </c>
      <c r="E74" s="1">
        <f t="shared" si="1"/>
        <v>0</v>
      </c>
    </row>
    <row r="75" spans="3:11" x14ac:dyDescent="0.15">
      <c r="C75" s="1">
        <v>0</v>
      </c>
      <c r="D75" s="1">
        <v>100</v>
      </c>
      <c r="E75" s="1">
        <f t="shared" si="1"/>
        <v>0</v>
      </c>
    </row>
    <row r="76" spans="3:11" x14ac:dyDescent="0.15">
      <c r="C76" s="1">
        <v>345</v>
      </c>
      <c r="D76" s="1">
        <v>100</v>
      </c>
      <c r="E76" s="1">
        <f t="shared" si="1"/>
        <v>3.45</v>
      </c>
    </row>
    <row r="77" spans="3:11" x14ac:dyDescent="0.15">
      <c r="C77" s="1">
        <v>0</v>
      </c>
      <c r="D77" s="1">
        <v>100</v>
      </c>
      <c r="E77" s="1">
        <f t="shared" si="1"/>
        <v>0</v>
      </c>
    </row>
    <row r="78" spans="3:11" x14ac:dyDescent="0.15">
      <c r="C78" s="1">
        <v>0</v>
      </c>
      <c r="D78" s="1">
        <v>100</v>
      </c>
      <c r="E78" s="1">
        <f t="shared" si="1"/>
        <v>0</v>
      </c>
    </row>
    <row r="79" spans="3:11" x14ac:dyDescent="0.15">
      <c r="C79" s="1">
        <v>0</v>
      </c>
      <c r="D79" s="1">
        <v>100</v>
      </c>
      <c r="E79" s="1">
        <f t="shared" si="1"/>
        <v>0</v>
      </c>
    </row>
    <row r="80" spans="3:11" x14ac:dyDescent="0.15">
      <c r="C80" s="1">
        <v>60</v>
      </c>
      <c r="D80" s="1">
        <v>100</v>
      </c>
      <c r="E80" s="1">
        <f t="shared" si="1"/>
        <v>0.6</v>
      </c>
    </row>
    <row r="81" spans="3:5" x14ac:dyDescent="0.15">
      <c r="C81" s="1">
        <v>200</v>
      </c>
      <c r="D81" s="1">
        <v>100</v>
      </c>
      <c r="E81" s="1">
        <f t="shared" si="1"/>
        <v>2</v>
      </c>
    </row>
    <row r="82" spans="3:5" x14ac:dyDescent="0.15">
      <c r="C82" s="1">
        <v>0</v>
      </c>
      <c r="D82" s="1">
        <v>100</v>
      </c>
      <c r="E82" s="1">
        <f t="shared" si="1"/>
        <v>0</v>
      </c>
    </row>
    <row r="83" spans="3:5" x14ac:dyDescent="0.15">
      <c r="C83" s="1">
        <v>0</v>
      </c>
      <c r="D83" s="1">
        <v>100</v>
      </c>
      <c r="E83" s="1">
        <f t="shared" si="1"/>
        <v>0</v>
      </c>
    </row>
    <row r="84" spans="3:5" x14ac:dyDescent="0.15">
      <c r="C84" s="1">
        <v>0</v>
      </c>
      <c r="D84" s="1">
        <v>100</v>
      </c>
      <c r="E84" s="1">
        <f t="shared" si="1"/>
        <v>0</v>
      </c>
    </row>
    <row r="85" spans="3:5" x14ac:dyDescent="0.15">
      <c r="C85" s="1">
        <v>50</v>
      </c>
      <c r="D85" s="1">
        <v>100</v>
      </c>
      <c r="E85" s="1">
        <f t="shared" si="1"/>
        <v>0.5</v>
      </c>
    </row>
    <row r="86" spans="3:5" x14ac:dyDescent="0.15">
      <c r="C86" s="1">
        <v>0</v>
      </c>
      <c r="D86" s="1">
        <v>100</v>
      </c>
      <c r="E86" s="1">
        <f t="shared" si="1"/>
        <v>0</v>
      </c>
    </row>
    <row r="87" spans="3:5" x14ac:dyDescent="0.15">
      <c r="C87" s="1">
        <v>0</v>
      </c>
      <c r="D87" s="1">
        <v>100</v>
      </c>
      <c r="E87" s="1">
        <f t="shared" si="1"/>
        <v>0</v>
      </c>
    </row>
    <row r="88" spans="3:5" x14ac:dyDescent="0.15">
      <c r="C88" s="1">
        <v>0</v>
      </c>
      <c r="D88" s="1">
        <v>100</v>
      </c>
      <c r="E88" s="1">
        <f t="shared" si="1"/>
        <v>0</v>
      </c>
    </row>
    <row r="89" spans="3:5" x14ac:dyDescent="0.15">
      <c r="C89" s="1">
        <v>28</v>
      </c>
      <c r="D89" s="1">
        <v>100</v>
      </c>
      <c r="E89" s="1">
        <f t="shared" si="1"/>
        <v>0.28000000000000003</v>
      </c>
    </row>
    <row r="90" spans="3:5" x14ac:dyDescent="0.15">
      <c r="C90" s="1">
        <v>0</v>
      </c>
      <c r="D90" s="1">
        <v>100</v>
      </c>
      <c r="E90" s="1">
        <f t="shared" si="1"/>
        <v>0</v>
      </c>
    </row>
    <row r="91" spans="3:5" x14ac:dyDescent="0.15">
      <c r="C91" s="1">
        <v>0</v>
      </c>
      <c r="D91" s="1">
        <v>100</v>
      </c>
      <c r="E91" s="1">
        <f t="shared" si="1"/>
        <v>0</v>
      </c>
    </row>
    <row r="92" spans="3:5" x14ac:dyDescent="0.15">
      <c r="C92" s="1">
        <v>0</v>
      </c>
      <c r="D92" s="1">
        <v>100</v>
      </c>
      <c r="E92" s="1">
        <f t="shared" si="1"/>
        <v>0</v>
      </c>
    </row>
    <row r="93" spans="3:5" x14ac:dyDescent="0.15">
      <c r="C93" s="1">
        <v>0</v>
      </c>
      <c r="D93" s="1">
        <v>100</v>
      </c>
      <c r="E93" s="1">
        <f t="shared" si="1"/>
        <v>0</v>
      </c>
    </row>
    <row r="94" spans="3:5" x14ac:dyDescent="0.15">
      <c r="C94" s="1">
        <v>0</v>
      </c>
      <c r="D94" s="1">
        <v>100</v>
      </c>
      <c r="E94" s="1">
        <f t="shared" si="1"/>
        <v>0</v>
      </c>
    </row>
    <row r="95" spans="3:5" x14ac:dyDescent="0.15">
      <c r="C95" s="1">
        <v>0</v>
      </c>
      <c r="D95" s="1">
        <v>100</v>
      </c>
      <c r="E95" s="1">
        <f t="shared" si="1"/>
        <v>0</v>
      </c>
    </row>
    <row r="96" spans="3:5" x14ac:dyDescent="0.15">
      <c r="C96" s="1">
        <v>180</v>
      </c>
      <c r="D96" s="1">
        <v>100</v>
      </c>
      <c r="E96" s="1">
        <f t="shared" si="1"/>
        <v>1.8</v>
      </c>
    </row>
    <row r="97" spans="3:5" x14ac:dyDescent="0.15">
      <c r="C97" s="1">
        <v>0</v>
      </c>
      <c r="D97" s="1">
        <v>100</v>
      </c>
      <c r="E97" s="1">
        <f t="shared" si="1"/>
        <v>0</v>
      </c>
    </row>
    <row r="98" spans="3:5" x14ac:dyDescent="0.15">
      <c r="C98" s="1">
        <v>0</v>
      </c>
      <c r="D98" s="1">
        <v>100</v>
      </c>
      <c r="E98" s="1">
        <f t="shared" si="1"/>
        <v>0</v>
      </c>
    </row>
    <row r="99" spans="3:5" x14ac:dyDescent="0.15">
      <c r="C99" s="1">
        <v>180</v>
      </c>
      <c r="D99" s="1">
        <v>100</v>
      </c>
      <c r="E99" s="1">
        <f t="shared" si="1"/>
        <v>1.8</v>
      </c>
    </row>
    <row r="100" spans="3:5" x14ac:dyDescent="0.15">
      <c r="C100" s="1">
        <v>0</v>
      </c>
      <c r="D100" s="1">
        <v>100</v>
      </c>
      <c r="E100" s="1">
        <f t="shared" si="1"/>
        <v>0</v>
      </c>
    </row>
    <row r="101" spans="3:5" x14ac:dyDescent="0.15">
      <c r="C101" s="1">
        <v>30</v>
      </c>
      <c r="D101" s="1">
        <v>100</v>
      </c>
      <c r="E101" s="1">
        <f t="shared" si="1"/>
        <v>0.3</v>
      </c>
    </row>
    <row r="102" spans="3:5" x14ac:dyDescent="0.15">
      <c r="C102" s="1">
        <v>0</v>
      </c>
      <c r="D102" s="1">
        <v>100</v>
      </c>
      <c r="E102" s="1">
        <f t="shared" si="1"/>
        <v>0</v>
      </c>
    </row>
    <row r="103" spans="3:5" x14ac:dyDescent="0.15">
      <c r="C103" s="1">
        <v>0</v>
      </c>
      <c r="D103" s="1">
        <v>100</v>
      </c>
      <c r="E103" s="1">
        <f t="shared" si="1"/>
        <v>0</v>
      </c>
    </row>
    <row r="104" spans="3:5" x14ac:dyDescent="0.15">
      <c r="C104" s="1">
        <v>25</v>
      </c>
      <c r="D104" s="1">
        <v>500</v>
      </c>
      <c r="E104" s="1">
        <f t="shared" si="1"/>
        <v>0.05</v>
      </c>
    </row>
    <row r="105" spans="3:5" x14ac:dyDescent="0.15">
      <c r="C105" s="1">
        <v>0</v>
      </c>
      <c r="D105" s="1">
        <v>500</v>
      </c>
      <c r="E105" s="1">
        <f t="shared" si="1"/>
        <v>0</v>
      </c>
    </row>
    <row r="106" spans="3:5" x14ac:dyDescent="0.15">
      <c r="C106" s="1">
        <v>0</v>
      </c>
      <c r="D106" s="1">
        <v>500</v>
      </c>
      <c r="E106" s="1">
        <f t="shared" si="1"/>
        <v>0</v>
      </c>
    </row>
    <row r="107" spans="3:5" x14ac:dyDescent="0.15">
      <c r="C107" s="1">
        <v>0</v>
      </c>
      <c r="D107" s="1">
        <v>500</v>
      </c>
      <c r="E107" s="1">
        <f t="shared" si="1"/>
        <v>0</v>
      </c>
    </row>
    <row r="108" spans="3:5" x14ac:dyDescent="0.15">
      <c r="C108" s="1">
        <v>1625</v>
      </c>
      <c r="D108" s="1">
        <v>500</v>
      </c>
      <c r="E108" s="1">
        <f t="shared" si="1"/>
        <v>3.25</v>
      </c>
    </row>
    <row r="109" spans="3:5" x14ac:dyDescent="0.15">
      <c r="C109" s="1">
        <v>0</v>
      </c>
      <c r="D109" s="1">
        <v>500</v>
      </c>
      <c r="E109" s="1">
        <f t="shared" si="1"/>
        <v>0</v>
      </c>
    </row>
    <row r="110" spans="3:5" x14ac:dyDescent="0.15">
      <c r="C110" s="1">
        <v>50</v>
      </c>
      <c r="D110" s="1">
        <v>500</v>
      </c>
      <c r="E110" s="1">
        <f t="shared" si="1"/>
        <v>0.1</v>
      </c>
    </row>
    <row r="111" spans="3:5" x14ac:dyDescent="0.15">
      <c r="C111" s="1">
        <v>0</v>
      </c>
      <c r="D111" s="1">
        <v>500</v>
      </c>
      <c r="E111" s="1">
        <f t="shared" si="1"/>
        <v>0</v>
      </c>
    </row>
    <row r="112" spans="3:5" x14ac:dyDescent="0.15">
      <c r="C112" s="1">
        <v>0</v>
      </c>
      <c r="D112" s="1">
        <v>500</v>
      </c>
      <c r="E112" s="1">
        <f t="shared" si="1"/>
        <v>0</v>
      </c>
    </row>
    <row r="113" spans="3:5" x14ac:dyDescent="0.15">
      <c r="C113" s="1">
        <v>0</v>
      </c>
      <c r="D113" s="1">
        <v>500</v>
      </c>
      <c r="E113" s="1">
        <f t="shared" si="1"/>
        <v>0</v>
      </c>
    </row>
    <row r="114" spans="3:5" x14ac:dyDescent="0.15">
      <c r="C114" s="1">
        <v>0</v>
      </c>
      <c r="D114" s="1">
        <v>500</v>
      </c>
      <c r="E114" s="1">
        <f t="shared" si="1"/>
        <v>0</v>
      </c>
    </row>
    <row r="115" spans="3:5" x14ac:dyDescent="0.15">
      <c r="C115" s="1">
        <v>0</v>
      </c>
      <c r="D115" s="1">
        <v>500</v>
      </c>
      <c r="E115" s="1">
        <f t="shared" si="1"/>
        <v>0</v>
      </c>
    </row>
    <row r="116" spans="3:5" x14ac:dyDescent="0.15">
      <c r="C116" s="1">
        <v>0</v>
      </c>
      <c r="D116" s="1">
        <v>200</v>
      </c>
      <c r="E116" s="1">
        <f t="shared" si="1"/>
        <v>0</v>
      </c>
    </row>
    <row r="117" spans="3:5" x14ac:dyDescent="0.15">
      <c r="C117" s="1">
        <v>0</v>
      </c>
      <c r="D117" s="1">
        <v>200</v>
      </c>
      <c r="E117" s="1">
        <f t="shared" si="1"/>
        <v>0</v>
      </c>
    </row>
    <row r="118" spans="3:5" x14ac:dyDescent="0.15">
      <c r="C118" s="1">
        <v>540</v>
      </c>
      <c r="D118" s="1">
        <v>200</v>
      </c>
      <c r="E118" s="1">
        <f t="shared" si="1"/>
        <v>2.7</v>
      </c>
    </row>
    <row r="119" spans="3:5" x14ac:dyDescent="0.15">
      <c r="C119" s="1">
        <v>20</v>
      </c>
      <c r="D119" s="1">
        <v>200</v>
      </c>
      <c r="E119" s="1">
        <f t="shared" si="1"/>
        <v>0.1</v>
      </c>
    </row>
    <row r="120" spans="3:5" x14ac:dyDescent="0.15">
      <c r="C120" s="1">
        <v>0</v>
      </c>
      <c r="D120" s="1">
        <v>200</v>
      </c>
      <c r="E120" s="1">
        <f t="shared" si="1"/>
        <v>0</v>
      </c>
    </row>
    <row r="121" spans="3:5" x14ac:dyDescent="0.15">
      <c r="C121" s="1">
        <v>0</v>
      </c>
      <c r="D121" s="1">
        <v>200</v>
      </c>
      <c r="E121" s="1">
        <f t="shared" si="1"/>
        <v>0</v>
      </c>
    </row>
    <row r="122" spans="3:5" x14ac:dyDescent="0.15">
      <c r="C122" s="1">
        <v>140</v>
      </c>
      <c r="D122" s="1">
        <v>200</v>
      </c>
      <c r="E122" s="1">
        <f t="shared" si="1"/>
        <v>0.7</v>
      </c>
    </row>
    <row r="123" spans="3:5" x14ac:dyDescent="0.15">
      <c r="C123" s="1">
        <v>48</v>
      </c>
      <c r="D123" s="1">
        <v>200</v>
      </c>
      <c r="E123" s="1">
        <f t="shared" si="1"/>
        <v>0.24</v>
      </c>
    </row>
    <row r="124" spans="3:5" x14ac:dyDescent="0.15">
      <c r="C124" s="1">
        <v>0</v>
      </c>
      <c r="D124" s="1">
        <v>200</v>
      </c>
      <c r="E124" s="1">
        <f t="shared" si="1"/>
        <v>0</v>
      </c>
    </row>
    <row r="125" spans="3:5" x14ac:dyDescent="0.15">
      <c r="C125" s="1">
        <v>0</v>
      </c>
      <c r="D125" s="1">
        <v>200</v>
      </c>
      <c r="E125" s="1">
        <f t="shared" si="1"/>
        <v>0</v>
      </c>
    </row>
    <row r="126" spans="3:5" x14ac:dyDescent="0.15">
      <c r="C126" s="1">
        <v>0</v>
      </c>
      <c r="D126" s="1">
        <v>200</v>
      </c>
      <c r="E126" s="1">
        <f t="shared" si="1"/>
        <v>0</v>
      </c>
    </row>
    <row r="127" spans="3:5" x14ac:dyDescent="0.15">
      <c r="C127" s="1">
        <v>0</v>
      </c>
      <c r="D127" s="1">
        <v>200</v>
      </c>
      <c r="E127" s="1">
        <f t="shared" si="1"/>
        <v>0</v>
      </c>
    </row>
    <row r="128" spans="3:5" x14ac:dyDescent="0.15">
      <c r="C128" s="1">
        <v>180</v>
      </c>
      <c r="D128" s="1">
        <v>200</v>
      </c>
      <c r="E128" s="1">
        <f t="shared" si="1"/>
        <v>0.9</v>
      </c>
    </row>
    <row r="129" spans="3:5" x14ac:dyDescent="0.15">
      <c r="C129" s="1">
        <v>0</v>
      </c>
      <c r="D129" s="1">
        <v>300</v>
      </c>
      <c r="E129" s="1">
        <f t="shared" si="1"/>
        <v>0</v>
      </c>
    </row>
    <row r="130" spans="3:5" x14ac:dyDescent="0.15">
      <c r="C130" s="1">
        <v>60</v>
      </c>
      <c r="D130" s="1">
        <v>300</v>
      </c>
      <c r="E130" s="1">
        <f t="shared" si="1"/>
        <v>0.2</v>
      </c>
    </row>
    <row r="131" spans="3:5" x14ac:dyDescent="0.15">
      <c r="C131" s="1">
        <v>240</v>
      </c>
      <c r="D131" s="1">
        <v>300</v>
      </c>
      <c r="E131" s="1">
        <f t="shared" si="1"/>
        <v>0.8</v>
      </c>
    </row>
    <row r="132" spans="3:5" x14ac:dyDescent="0.15">
      <c r="C132" s="1">
        <v>30</v>
      </c>
      <c r="D132" s="1">
        <v>300</v>
      </c>
      <c r="E132" s="1">
        <f t="shared" ref="E132:E195" si="2">C132/D132</f>
        <v>0.1</v>
      </c>
    </row>
    <row r="133" spans="3:5" x14ac:dyDescent="0.15">
      <c r="C133" s="1">
        <v>0</v>
      </c>
      <c r="D133" s="1">
        <v>300</v>
      </c>
      <c r="E133" s="1">
        <f t="shared" si="2"/>
        <v>0</v>
      </c>
    </row>
    <row r="134" spans="3:5" x14ac:dyDescent="0.15">
      <c r="C134" s="1">
        <v>0</v>
      </c>
      <c r="D134" s="1">
        <v>300</v>
      </c>
      <c r="E134" s="1">
        <f t="shared" si="2"/>
        <v>0</v>
      </c>
    </row>
    <row r="135" spans="3:5" x14ac:dyDescent="0.15">
      <c r="C135" s="1">
        <v>0</v>
      </c>
      <c r="D135" s="1">
        <v>300</v>
      </c>
      <c r="E135" s="1">
        <f t="shared" si="2"/>
        <v>0</v>
      </c>
    </row>
    <row r="136" spans="3:5" x14ac:dyDescent="0.15">
      <c r="C136" s="1">
        <v>115</v>
      </c>
      <c r="D136" s="1">
        <v>100</v>
      </c>
      <c r="E136" s="1">
        <f t="shared" si="2"/>
        <v>1.1499999999999999</v>
      </c>
    </row>
    <row r="137" spans="3:5" x14ac:dyDescent="0.15">
      <c r="C137" s="1">
        <v>20</v>
      </c>
      <c r="D137" s="1">
        <v>100</v>
      </c>
      <c r="E137" s="1">
        <f t="shared" si="2"/>
        <v>0.2</v>
      </c>
    </row>
    <row r="138" spans="3:5" x14ac:dyDescent="0.15">
      <c r="C138" s="1">
        <v>0</v>
      </c>
      <c r="D138" s="1">
        <v>100</v>
      </c>
      <c r="E138" s="1">
        <f t="shared" si="2"/>
        <v>0</v>
      </c>
    </row>
    <row r="139" spans="3:5" x14ac:dyDescent="0.15">
      <c r="C139" s="1">
        <v>210</v>
      </c>
      <c r="D139" s="1">
        <v>100</v>
      </c>
      <c r="E139" s="1">
        <f t="shared" si="2"/>
        <v>2.1</v>
      </c>
    </row>
    <row r="140" spans="3:5" x14ac:dyDescent="0.15">
      <c r="C140" s="1">
        <v>0</v>
      </c>
      <c r="D140" s="1">
        <v>100</v>
      </c>
      <c r="E140" s="1">
        <f t="shared" si="2"/>
        <v>0</v>
      </c>
    </row>
    <row r="141" spans="3:5" x14ac:dyDescent="0.15">
      <c r="C141" s="1">
        <v>30</v>
      </c>
      <c r="D141" s="1">
        <v>100</v>
      </c>
      <c r="E141" s="1">
        <f t="shared" si="2"/>
        <v>0.3</v>
      </c>
    </row>
    <row r="142" spans="3:5" x14ac:dyDescent="0.15">
      <c r="C142" s="1">
        <v>0</v>
      </c>
      <c r="D142" s="1">
        <v>100</v>
      </c>
      <c r="E142" s="1">
        <f t="shared" si="2"/>
        <v>0</v>
      </c>
    </row>
    <row r="143" spans="3:5" x14ac:dyDescent="0.15">
      <c r="C143" s="1">
        <v>0</v>
      </c>
      <c r="D143" s="1">
        <v>100</v>
      </c>
      <c r="E143" s="1">
        <f t="shared" si="2"/>
        <v>0</v>
      </c>
    </row>
    <row r="144" spans="3:5" x14ac:dyDescent="0.15">
      <c r="C144" s="1">
        <v>200</v>
      </c>
      <c r="D144" s="1">
        <v>100</v>
      </c>
      <c r="E144" s="1">
        <f t="shared" si="2"/>
        <v>2</v>
      </c>
    </row>
    <row r="145" spans="3:5" x14ac:dyDescent="0.15">
      <c r="C145" s="1">
        <v>100</v>
      </c>
      <c r="D145" s="1">
        <v>100</v>
      </c>
      <c r="E145" s="1">
        <f t="shared" si="2"/>
        <v>1</v>
      </c>
    </row>
    <row r="146" spans="3:5" x14ac:dyDescent="0.15">
      <c r="C146" s="1">
        <v>0</v>
      </c>
      <c r="D146" s="1">
        <v>100</v>
      </c>
      <c r="E146" s="1">
        <f t="shared" si="2"/>
        <v>0</v>
      </c>
    </row>
    <row r="147" spans="3:5" x14ac:dyDescent="0.15">
      <c r="C147" s="1">
        <v>200</v>
      </c>
      <c r="D147" s="1">
        <v>100</v>
      </c>
      <c r="E147" s="1">
        <f t="shared" si="2"/>
        <v>2</v>
      </c>
    </row>
    <row r="148" spans="3:5" x14ac:dyDescent="0.15">
      <c r="C148" s="1">
        <v>0</v>
      </c>
      <c r="D148" s="1">
        <v>100</v>
      </c>
      <c r="E148" s="1">
        <f t="shared" si="2"/>
        <v>0</v>
      </c>
    </row>
    <row r="149" spans="3:5" x14ac:dyDescent="0.15">
      <c r="C149" s="1">
        <v>0</v>
      </c>
      <c r="D149" s="1">
        <v>100</v>
      </c>
      <c r="E149" s="1">
        <f t="shared" si="2"/>
        <v>0</v>
      </c>
    </row>
    <row r="150" spans="3:5" x14ac:dyDescent="0.15">
      <c r="C150" s="1">
        <v>60</v>
      </c>
      <c r="D150" s="1">
        <v>100</v>
      </c>
      <c r="E150" s="1">
        <f t="shared" si="2"/>
        <v>0.6</v>
      </c>
    </row>
    <row r="151" spans="3:5" x14ac:dyDescent="0.15">
      <c r="C151" s="1">
        <v>0</v>
      </c>
      <c r="D151" s="1">
        <v>100</v>
      </c>
      <c r="E151" s="1">
        <f t="shared" si="2"/>
        <v>0</v>
      </c>
    </row>
    <row r="152" spans="3:5" x14ac:dyDescent="0.15">
      <c r="C152" s="1">
        <v>15</v>
      </c>
      <c r="D152" s="1">
        <v>100</v>
      </c>
      <c r="E152" s="1">
        <f t="shared" si="2"/>
        <v>0.15</v>
      </c>
    </row>
    <row r="153" spans="3:5" x14ac:dyDescent="0.15">
      <c r="C153" s="1">
        <v>0</v>
      </c>
      <c r="D153" s="1">
        <v>100</v>
      </c>
      <c r="E153" s="1">
        <f t="shared" si="2"/>
        <v>0</v>
      </c>
    </row>
    <row r="154" spans="3:5" x14ac:dyDescent="0.15">
      <c r="C154" s="1">
        <v>0</v>
      </c>
      <c r="D154" s="1">
        <v>100</v>
      </c>
      <c r="E154" s="1">
        <f t="shared" si="2"/>
        <v>0</v>
      </c>
    </row>
    <row r="155" spans="3:5" x14ac:dyDescent="0.15">
      <c r="C155" s="1">
        <v>0</v>
      </c>
      <c r="D155" s="1">
        <v>100</v>
      </c>
      <c r="E155" s="1">
        <f t="shared" si="2"/>
        <v>0</v>
      </c>
    </row>
    <row r="156" spans="3:5" x14ac:dyDescent="0.15">
      <c r="C156" s="1">
        <v>35</v>
      </c>
      <c r="D156" s="1">
        <v>100</v>
      </c>
      <c r="E156" s="1">
        <f t="shared" si="2"/>
        <v>0.35</v>
      </c>
    </row>
    <row r="157" spans="3:5" x14ac:dyDescent="0.15">
      <c r="C157" s="1">
        <v>0</v>
      </c>
      <c r="D157" s="1">
        <v>100</v>
      </c>
      <c r="E157" s="1">
        <f t="shared" si="2"/>
        <v>0</v>
      </c>
    </row>
    <row r="158" spans="3:5" x14ac:dyDescent="0.15">
      <c r="C158" s="1">
        <v>0</v>
      </c>
      <c r="D158" s="1">
        <v>100</v>
      </c>
      <c r="E158" s="1">
        <f t="shared" si="2"/>
        <v>0</v>
      </c>
    </row>
    <row r="159" spans="3:5" x14ac:dyDescent="0.15">
      <c r="C159" s="1">
        <v>0</v>
      </c>
      <c r="D159" s="1">
        <v>100</v>
      </c>
      <c r="E159" s="1">
        <f t="shared" si="2"/>
        <v>0</v>
      </c>
    </row>
    <row r="160" spans="3:5" x14ac:dyDescent="0.15">
      <c r="C160" s="1">
        <v>60</v>
      </c>
      <c r="D160" s="1">
        <v>100</v>
      </c>
      <c r="E160" s="1">
        <f t="shared" si="2"/>
        <v>0.6</v>
      </c>
    </row>
    <row r="161" spans="3:5" x14ac:dyDescent="0.15">
      <c r="C161" s="1">
        <v>0</v>
      </c>
      <c r="D161" s="1">
        <v>100</v>
      </c>
      <c r="E161" s="1">
        <f t="shared" si="2"/>
        <v>0</v>
      </c>
    </row>
    <row r="162" spans="3:5" x14ac:dyDescent="0.15">
      <c r="C162" s="1">
        <v>200</v>
      </c>
      <c r="D162" s="1">
        <v>100</v>
      </c>
      <c r="E162" s="1">
        <f t="shared" si="2"/>
        <v>2</v>
      </c>
    </row>
    <row r="163" spans="3:5" x14ac:dyDescent="0.15">
      <c r="C163" s="1">
        <v>200</v>
      </c>
      <c r="D163" s="1">
        <v>100</v>
      </c>
      <c r="E163" s="1">
        <f t="shared" si="2"/>
        <v>2</v>
      </c>
    </row>
    <row r="164" spans="3:5" x14ac:dyDescent="0.15">
      <c r="C164" s="1">
        <v>0</v>
      </c>
      <c r="D164" s="1">
        <v>100</v>
      </c>
      <c r="E164" s="1">
        <f t="shared" si="2"/>
        <v>0</v>
      </c>
    </row>
    <row r="165" spans="3:5" x14ac:dyDescent="0.15">
      <c r="C165" s="1">
        <v>0</v>
      </c>
      <c r="D165" s="1">
        <v>100</v>
      </c>
      <c r="E165" s="1">
        <f t="shared" si="2"/>
        <v>0</v>
      </c>
    </row>
    <row r="166" spans="3:5" x14ac:dyDescent="0.15">
      <c r="C166" s="1">
        <v>16</v>
      </c>
      <c r="D166" s="1">
        <v>100</v>
      </c>
      <c r="E166" s="1">
        <f t="shared" si="2"/>
        <v>0.16</v>
      </c>
    </row>
    <row r="167" spans="3:5" x14ac:dyDescent="0.15">
      <c r="C167" s="1">
        <v>30</v>
      </c>
      <c r="D167" s="1">
        <v>100</v>
      </c>
      <c r="E167" s="1">
        <f t="shared" si="2"/>
        <v>0.3</v>
      </c>
    </row>
    <row r="168" spans="3:5" x14ac:dyDescent="0.15">
      <c r="C168" s="1">
        <v>0</v>
      </c>
      <c r="D168" s="1">
        <v>100</v>
      </c>
      <c r="E168" s="1">
        <f t="shared" si="2"/>
        <v>0</v>
      </c>
    </row>
    <row r="169" spans="3:5" x14ac:dyDescent="0.15">
      <c r="C169" s="1">
        <v>0</v>
      </c>
      <c r="D169" s="1">
        <v>100</v>
      </c>
      <c r="E169" s="1">
        <f t="shared" si="2"/>
        <v>0</v>
      </c>
    </row>
    <row r="170" spans="3:5" x14ac:dyDescent="0.15">
      <c r="C170" s="1">
        <v>0</v>
      </c>
      <c r="D170" s="1">
        <v>100</v>
      </c>
      <c r="E170" s="1">
        <f t="shared" si="2"/>
        <v>0</v>
      </c>
    </row>
    <row r="171" spans="3:5" x14ac:dyDescent="0.15">
      <c r="C171" s="1">
        <v>0</v>
      </c>
      <c r="D171" s="1">
        <v>100</v>
      </c>
      <c r="E171" s="1">
        <f t="shared" si="2"/>
        <v>0</v>
      </c>
    </row>
    <row r="172" spans="3:5" x14ac:dyDescent="0.15">
      <c r="C172" s="1">
        <v>0</v>
      </c>
      <c r="D172" s="1">
        <v>100</v>
      </c>
      <c r="E172" s="1">
        <f t="shared" si="2"/>
        <v>0</v>
      </c>
    </row>
    <row r="173" spans="3:5" x14ac:dyDescent="0.15">
      <c r="C173" s="1">
        <v>200</v>
      </c>
      <c r="D173" s="1">
        <v>100</v>
      </c>
      <c r="E173" s="1">
        <f t="shared" si="2"/>
        <v>2</v>
      </c>
    </row>
    <row r="174" spans="3:5" x14ac:dyDescent="0.15">
      <c r="C174" s="1">
        <v>90</v>
      </c>
      <c r="D174" s="1">
        <v>100</v>
      </c>
      <c r="E174" s="1">
        <f t="shared" si="2"/>
        <v>0.9</v>
      </c>
    </row>
    <row r="175" spans="3:5" x14ac:dyDescent="0.15">
      <c r="C175" s="1">
        <v>0</v>
      </c>
      <c r="D175" s="1">
        <v>100</v>
      </c>
      <c r="E175" s="1">
        <f t="shared" si="2"/>
        <v>0</v>
      </c>
    </row>
    <row r="176" spans="3:5" x14ac:dyDescent="0.15">
      <c r="C176" s="1">
        <v>0</v>
      </c>
      <c r="D176" s="1">
        <v>100</v>
      </c>
      <c r="E176" s="1">
        <f t="shared" si="2"/>
        <v>0</v>
      </c>
    </row>
    <row r="177" spans="3:5" x14ac:dyDescent="0.15">
      <c r="C177" s="1">
        <v>0</v>
      </c>
      <c r="D177" s="1">
        <v>100</v>
      </c>
      <c r="E177" s="1">
        <f t="shared" si="2"/>
        <v>0</v>
      </c>
    </row>
    <row r="178" spans="3:5" x14ac:dyDescent="0.15">
      <c r="C178" s="1">
        <v>0</v>
      </c>
      <c r="D178" s="1">
        <v>200</v>
      </c>
      <c r="E178" s="1">
        <f t="shared" si="2"/>
        <v>0</v>
      </c>
    </row>
    <row r="179" spans="3:5" x14ac:dyDescent="0.15">
      <c r="C179" s="1">
        <v>0</v>
      </c>
      <c r="D179" s="1">
        <v>200</v>
      </c>
      <c r="E179" s="1">
        <f t="shared" si="2"/>
        <v>0</v>
      </c>
    </row>
    <row r="180" spans="3:5" x14ac:dyDescent="0.15">
      <c r="C180" s="1">
        <v>30</v>
      </c>
      <c r="D180" s="1">
        <v>200</v>
      </c>
      <c r="E180" s="1">
        <f t="shared" si="2"/>
        <v>0.15</v>
      </c>
    </row>
    <row r="181" spans="3:5" x14ac:dyDescent="0.15">
      <c r="C181" s="1">
        <v>0</v>
      </c>
      <c r="D181" s="1">
        <v>200</v>
      </c>
      <c r="E181" s="1">
        <f t="shared" si="2"/>
        <v>0</v>
      </c>
    </row>
    <row r="182" spans="3:5" x14ac:dyDescent="0.15">
      <c r="C182" s="1">
        <v>0</v>
      </c>
      <c r="D182" s="1">
        <v>200</v>
      </c>
      <c r="E182" s="1">
        <f t="shared" si="2"/>
        <v>0</v>
      </c>
    </row>
    <row r="183" spans="3:5" x14ac:dyDescent="0.15">
      <c r="C183" s="1">
        <v>400</v>
      </c>
      <c r="D183" s="1">
        <v>200</v>
      </c>
      <c r="E183" s="1">
        <f t="shared" si="2"/>
        <v>2</v>
      </c>
    </row>
    <row r="184" spans="3:5" x14ac:dyDescent="0.15">
      <c r="C184" s="1">
        <v>0</v>
      </c>
      <c r="D184" s="1">
        <v>200</v>
      </c>
      <c r="E184" s="1">
        <f t="shared" si="2"/>
        <v>0</v>
      </c>
    </row>
    <row r="185" spans="3:5" x14ac:dyDescent="0.15">
      <c r="C185" s="1">
        <v>10</v>
      </c>
      <c r="D185" s="1">
        <v>200</v>
      </c>
      <c r="E185" s="1">
        <f t="shared" si="2"/>
        <v>0.05</v>
      </c>
    </row>
    <row r="186" spans="3:5" x14ac:dyDescent="0.15">
      <c r="C186" s="1">
        <v>270</v>
      </c>
      <c r="D186" s="1">
        <v>200</v>
      </c>
      <c r="E186" s="1">
        <f t="shared" si="2"/>
        <v>1.35</v>
      </c>
    </row>
    <row r="187" spans="3:5" x14ac:dyDescent="0.15">
      <c r="C187" s="1">
        <v>0</v>
      </c>
      <c r="D187" s="1">
        <v>200</v>
      </c>
      <c r="E187" s="1">
        <f t="shared" si="2"/>
        <v>0</v>
      </c>
    </row>
    <row r="188" spans="3:5" x14ac:dyDescent="0.15">
      <c r="C188" s="1">
        <v>50</v>
      </c>
      <c r="D188" s="1">
        <v>200</v>
      </c>
      <c r="E188" s="1">
        <f t="shared" si="2"/>
        <v>0.25</v>
      </c>
    </row>
    <row r="189" spans="3:5" x14ac:dyDescent="0.15">
      <c r="C189" s="1">
        <v>700</v>
      </c>
      <c r="D189" s="1">
        <v>200</v>
      </c>
      <c r="E189" s="1">
        <f t="shared" si="2"/>
        <v>3.5</v>
      </c>
    </row>
    <row r="190" spans="3:5" x14ac:dyDescent="0.15">
      <c r="C190" s="1">
        <v>0</v>
      </c>
      <c r="D190" s="1">
        <v>200</v>
      </c>
      <c r="E190" s="1">
        <f t="shared" si="2"/>
        <v>0</v>
      </c>
    </row>
    <row r="191" spans="3:5" x14ac:dyDescent="0.15">
      <c r="C191" s="1">
        <v>0</v>
      </c>
      <c r="D191" s="1">
        <v>200</v>
      </c>
      <c r="E191" s="1">
        <f t="shared" si="2"/>
        <v>0</v>
      </c>
    </row>
    <row r="192" spans="3:5" x14ac:dyDescent="0.15">
      <c r="C192" s="1">
        <v>0</v>
      </c>
      <c r="D192" s="1">
        <v>200</v>
      </c>
      <c r="E192" s="1">
        <f t="shared" si="2"/>
        <v>0</v>
      </c>
    </row>
    <row r="193" spans="3:5" x14ac:dyDescent="0.15">
      <c r="C193" s="1">
        <v>0</v>
      </c>
      <c r="D193" s="1">
        <v>200</v>
      </c>
      <c r="E193" s="1">
        <f t="shared" si="2"/>
        <v>0</v>
      </c>
    </row>
    <row r="194" spans="3:5" x14ac:dyDescent="0.15">
      <c r="C194" s="1">
        <v>0</v>
      </c>
      <c r="D194" s="1">
        <v>200</v>
      </c>
      <c r="E194" s="1">
        <f t="shared" si="2"/>
        <v>0</v>
      </c>
    </row>
    <row r="195" spans="3:5" x14ac:dyDescent="0.15">
      <c r="C195" s="1">
        <v>0</v>
      </c>
      <c r="D195" s="1">
        <v>200</v>
      </c>
      <c r="E195" s="1">
        <f t="shared" si="2"/>
        <v>0</v>
      </c>
    </row>
    <row r="196" spans="3:5" x14ac:dyDescent="0.15">
      <c r="C196" s="1">
        <v>0</v>
      </c>
      <c r="D196" s="1">
        <v>200</v>
      </c>
      <c r="E196" s="1">
        <f t="shared" ref="E196:E259" si="3">C196/D196</f>
        <v>0</v>
      </c>
    </row>
    <row r="197" spans="3:5" x14ac:dyDescent="0.15">
      <c r="C197" s="1">
        <v>0</v>
      </c>
      <c r="D197" s="1">
        <v>200</v>
      </c>
      <c r="E197" s="1">
        <f t="shared" si="3"/>
        <v>0</v>
      </c>
    </row>
    <row r="198" spans="3:5" x14ac:dyDescent="0.15">
      <c r="C198" s="1">
        <v>0</v>
      </c>
      <c r="D198" s="1">
        <v>200</v>
      </c>
      <c r="E198" s="1">
        <f t="shared" si="3"/>
        <v>0</v>
      </c>
    </row>
    <row r="199" spans="3:5" x14ac:dyDescent="0.15">
      <c r="C199" s="1">
        <v>0</v>
      </c>
      <c r="D199" s="1">
        <v>200</v>
      </c>
      <c r="E199" s="1">
        <f t="shared" si="3"/>
        <v>0</v>
      </c>
    </row>
    <row r="200" spans="3:5" x14ac:dyDescent="0.15">
      <c r="C200" s="1">
        <v>20</v>
      </c>
      <c r="D200" s="1">
        <v>200</v>
      </c>
      <c r="E200" s="1">
        <f t="shared" si="3"/>
        <v>0.1</v>
      </c>
    </row>
    <row r="201" spans="3:5" x14ac:dyDescent="0.15">
      <c r="C201" s="1">
        <v>0</v>
      </c>
      <c r="D201" s="1">
        <v>200</v>
      </c>
      <c r="E201" s="1">
        <f t="shared" si="3"/>
        <v>0</v>
      </c>
    </row>
    <row r="202" spans="3:5" x14ac:dyDescent="0.15">
      <c r="C202" s="1">
        <v>0</v>
      </c>
      <c r="D202" s="1">
        <v>300</v>
      </c>
      <c r="E202" s="1">
        <f t="shared" si="3"/>
        <v>0</v>
      </c>
    </row>
    <row r="203" spans="3:5" x14ac:dyDescent="0.15">
      <c r="C203" s="1">
        <v>32</v>
      </c>
      <c r="D203" s="1">
        <v>200</v>
      </c>
      <c r="E203" s="1">
        <f t="shared" si="3"/>
        <v>0.16</v>
      </c>
    </row>
    <row r="204" spans="3:5" x14ac:dyDescent="0.15">
      <c r="C204" s="1">
        <v>10</v>
      </c>
      <c r="D204" s="1">
        <v>200</v>
      </c>
      <c r="E204" s="1">
        <f t="shared" si="3"/>
        <v>0.05</v>
      </c>
    </row>
    <row r="205" spans="3:5" x14ac:dyDescent="0.15">
      <c r="C205" s="1">
        <v>0</v>
      </c>
      <c r="D205" s="1">
        <v>200</v>
      </c>
      <c r="E205" s="1">
        <f t="shared" si="3"/>
        <v>0</v>
      </c>
    </row>
    <row r="206" spans="3:5" x14ac:dyDescent="0.15">
      <c r="C206" s="1">
        <v>0</v>
      </c>
      <c r="D206" s="1">
        <v>200</v>
      </c>
      <c r="E206" s="1">
        <f t="shared" si="3"/>
        <v>0</v>
      </c>
    </row>
    <row r="207" spans="3:5" x14ac:dyDescent="0.15">
      <c r="C207" s="1">
        <v>0</v>
      </c>
      <c r="D207" s="1">
        <v>200</v>
      </c>
      <c r="E207" s="1">
        <f t="shared" si="3"/>
        <v>0</v>
      </c>
    </row>
    <row r="208" spans="3:5" x14ac:dyDescent="0.15">
      <c r="C208" s="1">
        <v>0</v>
      </c>
      <c r="D208" s="1">
        <v>200</v>
      </c>
      <c r="E208" s="1">
        <f t="shared" si="3"/>
        <v>0</v>
      </c>
    </row>
    <row r="209" spans="3:5" x14ac:dyDescent="0.15">
      <c r="C209" s="1">
        <v>0</v>
      </c>
      <c r="D209" s="1">
        <v>200</v>
      </c>
      <c r="E209" s="1">
        <f t="shared" si="3"/>
        <v>0</v>
      </c>
    </row>
    <row r="210" spans="3:5" x14ac:dyDescent="0.15">
      <c r="C210" s="1">
        <v>0</v>
      </c>
      <c r="D210" s="1">
        <v>200</v>
      </c>
      <c r="E210" s="1">
        <f t="shared" si="3"/>
        <v>0</v>
      </c>
    </row>
    <row r="211" spans="3:5" x14ac:dyDescent="0.15">
      <c r="C211" s="1">
        <v>0</v>
      </c>
      <c r="D211" s="1">
        <v>200</v>
      </c>
      <c r="E211" s="1">
        <f t="shared" si="3"/>
        <v>0</v>
      </c>
    </row>
    <row r="212" spans="3:5" x14ac:dyDescent="0.15">
      <c r="C212" s="1">
        <v>10</v>
      </c>
      <c r="D212" s="1">
        <v>200</v>
      </c>
      <c r="E212" s="1">
        <f t="shared" si="3"/>
        <v>0.05</v>
      </c>
    </row>
    <row r="213" spans="3:5" x14ac:dyDescent="0.15">
      <c r="C213" s="1">
        <v>0</v>
      </c>
      <c r="D213" s="1">
        <v>200</v>
      </c>
      <c r="E213" s="1">
        <f t="shared" si="3"/>
        <v>0</v>
      </c>
    </row>
    <row r="214" spans="3:5" x14ac:dyDescent="0.15">
      <c r="C214" s="1">
        <v>0</v>
      </c>
      <c r="D214" s="1">
        <v>200</v>
      </c>
      <c r="E214" s="1">
        <f t="shared" si="3"/>
        <v>0</v>
      </c>
    </row>
    <row r="215" spans="3:5" x14ac:dyDescent="0.15">
      <c r="C215" s="1">
        <v>60</v>
      </c>
      <c r="D215" s="1">
        <v>200</v>
      </c>
      <c r="E215" s="1">
        <f t="shared" si="3"/>
        <v>0.3</v>
      </c>
    </row>
    <row r="216" spans="3:5" x14ac:dyDescent="0.15">
      <c r="C216" s="1">
        <v>0</v>
      </c>
      <c r="D216" s="1">
        <v>200</v>
      </c>
      <c r="E216" s="1">
        <f t="shared" si="3"/>
        <v>0</v>
      </c>
    </row>
    <row r="217" spans="3:5" x14ac:dyDescent="0.15">
      <c r="C217" s="1">
        <v>0</v>
      </c>
      <c r="D217" s="1">
        <v>200</v>
      </c>
      <c r="E217" s="1">
        <f t="shared" si="3"/>
        <v>0</v>
      </c>
    </row>
    <row r="218" spans="3:5" x14ac:dyDescent="0.15">
      <c r="C218" s="1">
        <v>0</v>
      </c>
      <c r="D218" s="1">
        <v>200</v>
      </c>
      <c r="E218" s="1">
        <f t="shared" si="3"/>
        <v>0</v>
      </c>
    </row>
    <row r="219" spans="3:5" x14ac:dyDescent="0.15">
      <c r="C219" s="1">
        <v>0</v>
      </c>
      <c r="D219" s="1">
        <v>200</v>
      </c>
      <c r="E219" s="1">
        <f t="shared" si="3"/>
        <v>0</v>
      </c>
    </row>
    <row r="220" spans="3:5" x14ac:dyDescent="0.15">
      <c r="C220" s="1">
        <v>0</v>
      </c>
      <c r="D220" s="1">
        <v>200</v>
      </c>
      <c r="E220" s="1">
        <f t="shared" si="3"/>
        <v>0</v>
      </c>
    </row>
    <row r="221" spans="3:5" x14ac:dyDescent="0.15">
      <c r="C221" s="1">
        <v>0</v>
      </c>
      <c r="D221" s="1">
        <v>200</v>
      </c>
      <c r="E221" s="1">
        <f t="shared" si="3"/>
        <v>0</v>
      </c>
    </row>
    <row r="222" spans="3:5" x14ac:dyDescent="0.15">
      <c r="C222" s="1">
        <v>0</v>
      </c>
      <c r="D222" s="1">
        <v>200</v>
      </c>
      <c r="E222" s="1">
        <f t="shared" si="3"/>
        <v>0</v>
      </c>
    </row>
    <row r="223" spans="3:5" x14ac:dyDescent="0.15">
      <c r="C223" s="1">
        <v>0</v>
      </c>
      <c r="D223" s="1">
        <v>200</v>
      </c>
      <c r="E223" s="1">
        <f t="shared" si="3"/>
        <v>0</v>
      </c>
    </row>
    <row r="224" spans="3:5" x14ac:dyDescent="0.15">
      <c r="C224" s="1">
        <v>0</v>
      </c>
      <c r="D224" s="1">
        <v>200</v>
      </c>
      <c r="E224" s="1">
        <f t="shared" si="3"/>
        <v>0</v>
      </c>
    </row>
    <row r="225" spans="3:5" x14ac:dyDescent="0.15">
      <c r="C225" s="1">
        <v>0</v>
      </c>
      <c r="D225" s="1">
        <v>200</v>
      </c>
      <c r="E225" s="1">
        <f t="shared" si="3"/>
        <v>0</v>
      </c>
    </row>
    <row r="226" spans="3:5" x14ac:dyDescent="0.15">
      <c r="C226" s="1">
        <v>0</v>
      </c>
      <c r="D226" s="1">
        <v>200</v>
      </c>
      <c r="E226" s="1">
        <f t="shared" si="3"/>
        <v>0</v>
      </c>
    </row>
    <row r="227" spans="3:5" x14ac:dyDescent="0.15">
      <c r="C227" s="1">
        <v>0</v>
      </c>
      <c r="D227" s="1">
        <v>200</v>
      </c>
      <c r="E227" s="1">
        <f t="shared" si="3"/>
        <v>0</v>
      </c>
    </row>
    <row r="228" spans="3:5" x14ac:dyDescent="0.15">
      <c r="C228" s="1">
        <v>0</v>
      </c>
      <c r="D228" s="1">
        <v>200</v>
      </c>
      <c r="E228" s="1">
        <f t="shared" si="3"/>
        <v>0</v>
      </c>
    </row>
    <row r="229" spans="3:5" x14ac:dyDescent="0.15">
      <c r="C229" s="1">
        <v>0</v>
      </c>
      <c r="D229" s="1">
        <v>200</v>
      </c>
      <c r="E229" s="1">
        <f t="shared" si="3"/>
        <v>0</v>
      </c>
    </row>
    <row r="230" spans="3:5" x14ac:dyDescent="0.15">
      <c r="C230" s="1">
        <v>0</v>
      </c>
      <c r="D230" s="1">
        <v>200</v>
      </c>
      <c r="E230" s="1">
        <f t="shared" si="3"/>
        <v>0</v>
      </c>
    </row>
    <row r="231" spans="3:5" x14ac:dyDescent="0.15">
      <c r="C231" s="1">
        <v>0</v>
      </c>
      <c r="D231" s="1">
        <v>200</v>
      </c>
      <c r="E231" s="1">
        <f t="shared" si="3"/>
        <v>0</v>
      </c>
    </row>
    <row r="232" spans="3:5" x14ac:dyDescent="0.15">
      <c r="C232" s="1">
        <v>0</v>
      </c>
      <c r="D232" s="1">
        <v>200</v>
      </c>
      <c r="E232" s="1">
        <f t="shared" si="3"/>
        <v>0</v>
      </c>
    </row>
    <row r="233" spans="3:5" x14ac:dyDescent="0.15">
      <c r="C233" s="1">
        <v>0</v>
      </c>
      <c r="D233" s="1">
        <v>200</v>
      </c>
      <c r="E233" s="1">
        <f t="shared" si="3"/>
        <v>0</v>
      </c>
    </row>
    <row r="234" spans="3:5" x14ac:dyDescent="0.15">
      <c r="C234" s="1">
        <v>950</v>
      </c>
      <c r="D234" s="1">
        <v>200</v>
      </c>
      <c r="E234" s="1">
        <f t="shared" si="3"/>
        <v>4.75</v>
      </c>
    </row>
    <row r="235" spans="3:5" x14ac:dyDescent="0.15">
      <c r="C235" s="1">
        <v>0</v>
      </c>
      <c r="D235" s="1">
        <v>200</v>
      </c>
      <c r="E235" s="1">
        <f t="shared" si="3"/>
        <v>0</v>
      </c>
    </row>
    <row r="236" spans="3:5" x14ac:dyDescent="0.15">
      <c r="C236" s="1">
        <v>72</v>
      </c>
      <c r="D236" s="1">
        <v>200</v>
      </c>
      <c r="E236" s="1">
        <f t="shared" si="3"/>
        <v>0.36</v>
      </c>
    </row>
    <row r="237" spans="3:5" x14ac:dyDescent="0.15">
      <c r="C237" s="1">
        <v>0</v>
      </c>
      <c r="D237" s="1">
        <v>200</v>
      </c>
      <c r="E237" s="1">
        <f t="shared" si="3"/>
        <v>0</v>
      </c>
    </row>
    <row r="238" spans="3:5" x14ac:dyDescent="0.15">
      <c r="C238" s="1">
        <v>0</v>
      </c>
      <c r="D238" s="1">
        <v>200</v>
      </c>
      <c r="E238" s="1">
        <f t="shared" si="3"/>
        <v>0</v>
      </c>
    </row>
    <row r="239" spans="3:5" x14ac:dyDescent="0.15">
      <c r="C239" s="1">
        <v>0</v>
      </c>
      <c r="D239" s="1">
        <v>200</v>
      </c>
      <c r="E239" s="1">
        <f t="shared" si="3"/>
        <v>0</v>
      </c>
    </row>
    <row r="240" spans="3:5" x14ac:dyDescent="0.15">
      <c r="C240" s="1">
        <v>0</v>
      </c>
      <c r="D240" s="1">
        <v>200</v>
      </c>
      <c r="E240" s="1">
        <f t="shared" si="3"/>
        <v>0</v>
      </c>
    </row>
    <row r="241" spans="3:5" x14ac:dyDescent="0.15">
      <c r="C241" s="1">
        <v>0</v>
      </c>
      <c r="D241" s="1">
        <v>200</v>
      </c>
      <c r="E241" s="1">
        <f t="shared" si="3"/>
        <v>0</v>
      </c>
    </row>
    <row r="242" spans="3:5" x14ac:dyDescent="0.15">
      <c r="C242" s="1">
        <v>180</v>
      </c>
      <c r="D242" s="1">
        <v>200</v>
      </c>
      <c r="E242" s="1">
        <f t="shared" si="3"/>
        <v>0.9</v>
      </c>
    </row>
    <row r="243" spans="3:5" x14ac:dyDescent="0.15">
      <c r="C243" s="1">
        <v>100</v>
      </c>
      <c r="D243" s="1">
        <v>200</v>
      </c>
      <c r="E243" s="1">
        <f t="shared" si="3"/>
        <v>0.5</v>
      </c>
    </row>
    <row r="244" spans="3:5" x14ac:dyDescent="0.15">
      <c r="C244" s="1">
        <v>300</v>
      </c>
      <c r="D244" s="1">
        <v>200</v>
      </c>
      <c r="E244" s="1">
        <f t="shared" si="3"/>
        <v>1.5</v>
      </c>
    </row>
    <row r="245" spans="3:5" x14ac:dyDescent="0.15">
      <c r="C245" s="1">
        <v>0</v>
      </c>
      <c r="D245" s="1">
        <v>200</v>
      </c>
      <c r="E245" s="1">
        <f t="shared" si="3"/>
        <v>0</v>
      </c>
    </row>
    <row r="246" spans="3:5" x14ac:dyDescent="0.15">
      <c r="C246" s="1">
        <v>0</v>
      </c>
      <c r="D246" s="1">
        <v>200</v>
      </c>
      <c r="E246" s="1">
        <f t="shared" si="3"/>
        <v>0</v>
      </c>
    </row>
    <row r="247" spans="3:5" x14ac:dyDescent="0.15">
      <c r="C247" s="1">
        <v>0</v>
      </c>
      <c r="D247" s="1">
        <v>200</v>
      </c>
      <c r="E247" s="1">
        <f t="shared" si="3"/>
        <v>0</v>
      </c>
    </row>
    <row r="248" spans="3:5" x14ac:dyDescent="0.15">
      <c r="C248" s="1">
        <v>0</v>
      </c>
      <c r="D248" s="1">
        <v>200</v>
      </c>
      <c r="E248" s="1">
        <f t="shared" si="3"/>
        <v>0</v>
      </c>
    </row>
    <row r="249" spans="3:5" x14ac:dyDescent="0.15">
      <c r="C249" s="1">
        <v>0</v>
      </c>
      <c r="D249" s="1">
        <v>200</v>
      </c>
      <c r="E249" s="1">
        <f t="shared" si="3"/>
        <v>0</v>
      </c>
    </row>
    <row r="250" spans="3:5" x14ac:dyDescent="0.15">
      <c r="C250" s="1">
        <v>0</v>
      </c>
      <c r="D250" s="1">
        <v>200</v>
      </c>
      <c r="E250" s="1">
        <f t="shared" si="3"/>
        <v>0</v>
      </c>
    </row>
    <row r="251" spans="3:5" x14ac:dyDescent="0.15">
      <c r="C251" s="1">
        <v>120</v>
      </c>
      <c r="D251" s="1">
        <v>200</v>
      </c>
      <c r="E251" s="1">
        <f t="shared" si="3"/>
        <v>0.6</v>
      </c>
    </row>
    <row r="252" spans="3:5" x14ac:dyDescent="0.15">
      <c r="C252" s="1">
        <v>0</v>
      </c>
      <c r="D252" s="1">
        <v>200</v>
      </c>
      <c r="E252" s="1">
        <f t="shared" si="3"/>
        <v>0</v>
      </c>
    </row>
    <row r="253" spans="3:5" x14ac:dyDescent="0.15">
      <c r="C253" s="1">
        <v>80</v>
      </c>
      <c r="D253" s="1">
        <v>200</v>
      </c>
      <c r="E253" s="1">
        <f t="shared" si="3"/>
        <v>0.4</v>
      </c>
    </row>
    <row r="254" spans="3:5" x14ac:dyDescent="0.15">
      <c r="C254" s="1">
        <v>400</v>
      </c>
      <c r="D254" s="1">
        <v>200</v>
      </c>
      <c r="E254" s="1">
        <f t="shared" si="3"/>
        <v>2</v>
      </c>
    </row>
    <row r="255" spans="3:5" x14ac:dyDescent="0.15">
      <c r="C255" s="1">
        <v>0</v>
      </c>
      <c r="D255" s="1">
        <v>200</v>
      </c>
      <c r="E255" s="1">
        <f t="shared" si="3"/>
        <v>0</v>
      </c>
    </row>
    <row r="256" spans="3:5" x14ac:dyDescent="0.15">
      <c r="C256" s="1">
        <v>0</v>
      </c>
      <c r="D256" s="1">
        <v>200</v>
      </c>
      <c r="E256" s="1">
        <f t="shared" si="3"/>
        <v>0</v>
      </c>
    </row>
    <row r="257" spans="3:5" x14ac:dyDescent="0.15">
      <c r="C257" s="1">
        <v>0</v>
      </c>
      <c r="D257" s="1">
        <v>200</v>
      </c>
      <c r="E257" s="1">
        <f t="shared" si="3"/>
        <v>0</v>
      </c>
    </row>
    <row r="258" spans="3:5" x14ac:dyDescent="0.15">
      <c r="C258" s="1">
        <v>0</v>
      </c>
      <c r="D258" s="1">
        <v>200</v>
      </c>
      <c r="E258" s="1">
        <f t="shared" si="3"/>
        <v>0</v>
      </c>
    </row>
    <row r="259" spans="3:5" x14ac:dyDescent="0.15">
      <c r="C259" s="1">
        <v>150</v>
      </c>
      <c r="D259" s="1">
        <v>500</v>
      </c>
      <c r="E259" s="1">
        <f t="shared" si="3"/>
        <v>0.3</v>
      </c>
    </row>
    <row r="260" spans="3:5" x14ac:dyDescent="0.15">
      <c r="C260" s="1">
        <v>30</v>
      </c>
      <c r="D260" s="1">
        <v>100</v>
      </c>
      <c r="E260" s="1">
        <f t="shared" ref="E260:E323" si="4">C260/D260</f>
        <v>0.3</v>
      </c>
    </row>
    <row r="261" spans="3:5" x14ac:dyDescent="0.15">
      <c r="C261" s="1">
        <v>0</v>
      </c>
      <c r="D261" s="1">
        <v>500</v>
      </c>
      <c r="E261" s="1">
        <f t="shared" si="4"/>
        <v>0</v>
      </c>
    </row>
    <row r="262" spans="3:5" x14ac:dyDescent="0.15">
      <c r="C262" s="1">
        <v>0</v>
      </c>
      <c r="D262" s="1">
        <v>500</v>
      </c>
      <c r="E262" s="1">
        <f t="shared" si="4"/>
        <v>0</v>
      </c>
    </row>
    <row r="263" spans="3:5" x14ac:dyDescent="0.15">
      <c r="C263" s="1">
        <v>25</v>
      </c>
      <c r="D263" s="1">
        <v>500</v>
      </c>
      <c r="E263" s="1">
        <f t="shared" si="4"/>
        <v>0.05</v>
      </c>
    </row>
    <row r="264" spans="3:5" x14ac:dyDescent="0.15">
      <c r="C264" s="1">
        <v>25</v>
      </c>
      <c r="D264" s="1">
        <v>500</v>
      </c>
      <c r="E264" s="1">
        <f t="shared" si="4"/>
        <v>0.05</v>
      </c>
    </row>
    <row r="265" spans="3:5" x14ac:dyDescent="0.15">
      <c r="C265" s="1">
        <v>0</v>
      </c>
      <c r="D265" s="1">
        <v>500</v>
      </c>
      <c r="E265" s="1">
        <f t="shared" si="4"/>
        <v>0</v>
      </c>
    </row>
    <row r="266" spans="3:5" x14ac:dyDescent="0.15">
      <c r="C266" s="1">
        <v>1000</v>
      </c>
      <c r="D266" s="1">
        <v>500</v>
      </c>
      <c r="E266" s="1">
        <f t="shared" si="4"/>
        <v>2</v>
      </c>
    </row>
    <row r="267" spans="3:5" x14ac:dyDescent="0.15">
      <c r="C267" s="1">
        <v>1000</v>
      </c>
      <c r="D267" s="1">
        <v>500</v>
      </c>
      <c r="E267" s="1">
        <f t="shared" si="4"/>
        <v>2</v>
      </c>
    </row>
    <row r="268" spans="3:5" x14ac:dyDescent="0.15">
      <c r="C268" s="1">
        <v>0</v>
      </c>
      <c r="D268" s="1">
        <v>500</v>
      </c>
      <c r="E268" s="1">
        <f t="shared" si="4"/>
        <v>0</v>
      </c>
    </row>
    <row r="269" spans="3:5" x14ac:dyDescent="0.15">
      <c r="C269" s="1">
        <v>75</v>
      </c>
      <c r="D269" s="1">
        <v>500</v>
      </c>
      <c r="E269" s="1">
        <f t="shared" si="4"/>
        <v>0.15</v>
      </c>
    </row>
    <row r="270" spans="3:5" x14ac:dyDescent="0.15">
      <c r="C270" s="1">
        <v>0</v>
      </c>
      <c r="D270" s="1">
        <v>500</v>
      </c>
      <c r="E270" s="1">
        <f t="shared" si="4"/>
        <v>0</v>
      </c>
    </row>
    <row r="271" spans="3:5" x14ac:dyDescent="0.15">
      <c r="C271" s="1">
        <v>40</v>
      </c>
      <c r="D271" s="1">
        <v>500</v>
      </c>
      <c r="E271" s="1">
        <f t="shared" si="4"/>
        <v>0.08</v>
      </c>
    </row>
    <row r="272" spans="3:5" x14ac:dyDescent="0.15">
      <c r="C272" s="1">
        <v>0</v>
      </c>
      <c r="D272" s="1">
        <v>500</v>
      </c>
      <c r="E272" s="1">
        <f t="shared" si="4"/>
        <v>0</v>
      </c>
    </row>
    <row r="273" spans="3:7" x14ac:dyDescent="0.15">
      <c r="C273" s="1">
        <v>0</v>
      </c>
      <c r="D273" s="1">
        <v>500</v>
      </c>
      <c r="E273" s="1">
        <f t="shared" si="4"/>
        <v>0</v>
      </c>
    </row>
    <row r="274" spans="3:7" x14ac:dyDescent="0.15">
      <c r="C274" s="1">
        <v>0</v>
      </c>
      <c r="D274" s="1">
        <v>500</v>
      </c>
      <c r="E274" s="1">
        <f t="shared" si="4"/>
        <v>0</v>
      </c>
    </row>
    <row r="275" spans="3:7" x14ac:dyDescent="0.15">
      <c r="C275" s="1">
        <v>0</v>
      </c>
      <c r="D275" s="1">
        <v>500</v>
      </c>
      <c r="E275" s="1">
        <f t="shared" si="4"/>
        <v>0</v>
      </c>
    </row>
    <row r="276" spans="3:7" x14ac:dyDescent="0.15">
      <c r="C276" s="1">
        <v>150</v>
      </c>
      <c r="D276" s="1">
        <v>500</v>
      </c>
      <c r="E276" s="1">
        <f t="shared" si="4"/>
        <v>0.3</v>
      </c>
    </row>
    <row r="277" spans="3:7" x14ac:dyDescent="0.15">
      <c r="C277" s="1">
        <v>0</v>
      </c>
      <c r="D277" s="1">
        <v>500</v>
      </c>
      <c r="E277" s="1">
        <f t="shared" si="4"/>
        <v>0</v>
      </c>
    </row>
    <row r="278" spans="3:7" x14ac:dyDescent="0.15">
      <c r="C278" s="1">
        <v>600</v>
      </c>
      <c r="D278" s="1">
        <v>500</v>
      </c>
      <c r="E278" s="1">
        <f t="shared" si="4"/>
        <v>1.2</v>
      </c>
    </row>
    <row r="279" spans="3:7" x14ac:dyDescent="0.15">
      <c r="C279" s="1">
        <v>0</v>
      </c>
      <c r="D279" s="1">
        <v>500</v>
      </c>
      <c r="E279" s="1">
        <f t="shared" si="4"/>
        <v>0</v>
      </c>
      <c r="G279" s="1" t="s">
        <v>228</v>
      </c>
    </row>
    <row r="280" spans="3:7" x14ac:dyDescent="0.15">
      <c r="C280" s="1">
        <v>0</v>
      </c>
      <c r="D280" s="1">
        <v>500</v>
      </c>
      <c r="E280" s="1">
        <f t="shared" si="4"/>
        <v>0</v>
      </c>
    </row>
    <row r="281" spans="3:7" x14ac:dyDescent="0.15">
      <c r="C281" s="1">
        <v>0</v>
      </c>
      <c r="D281" s="1">
        <v>500</v>
      </c>
      <c r="E281" s="1">
        <f t="shared" si="4"/>
        <v>0</v>
      </c>
    </row>
    <row r="282" spans="3:7" x14ac:dyDescent="0.15">
      <c r="C282" s="1">
        <v>0</v>
      </c>
      <c r="D282" s="1">
        <v>500</v>
      </c>
      <c r="E282" s="1">
        <f t="shared" si="4"/>
        <v>0</v>
      </c>
    </row>
    <row r="283" spans="3:7" x14ac:dyDescent="0.15">
      <c r="C283" s="1">
        <v>0</v>
      </c>
      <c r="D283" s="1">
        <v>500</v>
      </c>
      <c r="E283" s="1">
        <f t="shared" si="4"/>
        <v>0</v>
      </c>
    </row>
    <row r="284" spans="3:7" x14ac:dyDescent="0.15">
      <c r="C284" s="1">
        <v>1275</v>
      </c>
      <c r="D284" s="1">
        <v>500</v>
      </c>
      <c r="E284" s="1">
        <f t="shared" si="4"/>
        <v>2.5499999999999998</v>
      </c>
    </row>
    <row r="285" spans="3:7" x14ac:dyDescent="0.15">
      <c r="C285" s="1">
        <v>0</v>
      </c>
      <c r="D285" s="1">
        <v>500</v>
      </c>
      <c r="E285" s="1">
        <f t="shared" si="4"/>
        <v>0</v>
      </c>
    </row>
    <row r="286" spans="3:7" x14ac:dyDescent="0.15">
      <c r="C286" s="1">
        <v>0</v>
      </c>
      <c r="D286" s="1">
        <v>500</v>
      </c>
      <c r="E286" s="1">
        <f t="shared" si="4"/>
        <v>0</v>
      </c>
    </row>
    <row r="287" spans="3:7" x14ac:dyDescent="0.15">
      <c r="C287" s="1">
        <v>0</v>
      </c>
      <c r="D287" s="1">
        <v>500</v>
      </c>
      <c r="E287" s="1">
        <f t="shared" si="4"/>
        <v>0</v>
      </c>
    </row>
    <row r="288" spans="3:7" x14ac:dyDescent="0.15">
      <c r="C288" s="1">
        <v>0</v>
      </c>
      <c r="D288" s="1">
        <v>500</v>
      </c>
      <c r="E288" s="1">
        <f t="shared" si="4"/>
        <v>0</v>
      </c>
    </row>
    <row r="289" spans="3:5" x14ac:dyDescent="0.15">
      <c r="C289" s="1">
        <v>25</v>
      </c>
      <c r="D289" s="1">
        <v>500</v>
      </c>
      <c r="E289" s="1">
        <f t="shared" si="4"/>
        <v>0.05</v>
      </c>
    </row>
    <row r="290" spans="3:5" x14ac:dyDescent="0.15">
      <c r="C290" s="1">
        <v>250</v>
      </c>
      <c r="D290" s="1">
        <v>500</v>
      </c>
      <c r="E290" s="1">
        <f t="shared" si="4"/>
        <v>0.5</v>
      </c>
    </row>
    <row r="291" spans="3:5" x14ac:dyDescent="0.15">
      <c r="C291" s="1">
        <v>0</v>
      </c>
      <c r="D291" s="1">
        <v>500</v>
      </c>
      <c r="E291" s="1">
        <f t="shared" si="4"/>
        <v>0</v>
      </c>
    </row>
    <row r="292" spans="3:5" x14ac:dyDescent="0.15">
      <c r="C292" s="1">
        <v>1700</v>
      </c>
      <c r="D292" s="1">
        <v>500</v>
      </c>
      <c r="E292" s="1">
        <f t="shared" si="4"/>
        <v>3.4</v>
      </c>
    </row>
    <row r="293" spans="3:5" x14ac:dyDescent="0.15">
      <c r="C293" s="1">
        <v>0</v>
      </c>
      <c r="D293" s="1">
        <v>500</v>
      </c>
      <c r="E293" s="1">
        <f t="shared" si="4"/>
        <v>0</v>
      </c>
    </row>
    <row r="294" spans="3:5" x14ac:dyDescent="0.15">
      <c r="C294" s="1">
        <v>0</v>
      </c>
      <c r="D294" s="1">
        <v>500</v>
      </c>
      <c r="E294" s="1">
        <f t="shared" si="4"/>
        <v>0</v>
      </c>
    </row>
    <row r="295" spans="3:5" x14ac:dyDescent="0.15">
      <c r="C295" s="1">
        <v>50</v>
      </c>
      <c r="D295" s="1">
        <v>500</v>
      </c>
      <c r="E295" s="1">
        <f t="shared" si="4"/>
        <v>0.1</v>
      </c>
    </row>
    <row r="296" spans="3:5" x14ac:dyDescent="0.15">
      <c r="C296" s="1">
        <v>750</v>
      </c>
      <c r="D296" s="1">
        <v>500</v>
      </c>
      <c r="E296" s="1">
        <f t="shared" si="4"/>
        <v>1.5</v>
      </c>
    </row>
    <row r="297" spans="3:5" x14ac:dyDescent="0.15">
      <c r="C297" s="1">
        <v>0</v>
      </c>
      <c r="D297" s="1">
        <v>500</v>
      </c>
      <c r="E297" s="1">
        <f t="shared" si="4"/>
        <v>0</v>
      </c>
    </row>
    <row r="298" spans="3:5" x14ac:dyDescent="0.15">
      <c r="C298" s="1">
        <v>0</v>
      </c>
      <c r="D298" s="1">
        <v>500</v>
      </c>
      <c r="E298" s="1">
        <f t="shared" si="4"/>
        <v>0</v>
      </c>
    </row>
    <row r="299" spans="3:5" x14ac:dyDescent="0.15">
      <c r="C299" s="1">
        <v>0</v>
      </c>
      <c r="D299" s="1">
        <v>500</v>
      </c>
      <c r="E299" s="1">
        <f t="shared" si="4"/>
        <v>0</v>
      </c>
    </row>
    <row r="300" spans="3:5" x14ac:dyDescent="0.15">
      <c r="C300" s="1">
        <v>25</v>
      </c>
      <c r="D300" s="1">
        <v>500</v>
      </c>
      <c r="E300" s="1">
        <f t="shared" si="4"/>
        <v>0.05</v>
      </c>
    </row>
    <row r="301" spans="3:5" x14ac:dyDescent="0.15">
      <c r="C301" s="1">
        <v>125</v>
      </c>
      <c r="D301" s="1">
        <v>500</v>
      </c>
      <c r="E301" s="1">
        <f t="shared" si="4"/>
        <v>0.25</v>
      </c>
    </row>
    <row r="302" spans="3:5" x14ac:dyDescent="0.15">
      <c r="C302" s="1">
        <v>525</v>
      </c>
      <c r="D302" s="1">
        <v>500</v>
      </c>
      <c r="E302" s="1">
        <f t="shared" si="4"/>
        <v>1.05</v>
      </c>
    </row>
    <row r="303" spans="3:5" x14ac:dyDescent="0.15">
      <c r="C303" s="1">
        <v>0</v>
      </c>
      <c r="D303" s="1">
        <v>500</v>
      </c>
      <c r="E303" s="1">
        <f t="shared" si="4"/>
        <v>0</v>
      </c>
    </row>
    <row r="304" spans="3:5" x14ac:dyDescent="0.15">
      <c r="C304" s="1">
        <v>0</v>
      </c>
      <c r="D304" s="1">
        <v>500</v>
      </c>
      <c r="E304" s="1">
        <f t="shared" si="4"/>
        <v>0</v>
      </c>
    </row>
    <row r="305" spans="3:5" x14ac:dyDescent="0.15">
      <c r="C305" s="1">
        <v>0</v>
      </c>
      <c r="D305" s="1">
        <v>500</v>
      </c>
      <c r="E305" s="1">
        <f t="shared" si="4"/>
        <v>0</v>
      </c>
    </row>
    <row r="306" spans="3:5" x14ac:dyDescent="0.15">
      <c r="C306" s="1">
        <v>25</v>
      </c>
      <c r="D306" s="1">
        <v>500</v>
      </c>
      <c r="E306" s="1">
        <f t="shared" si="4"/>
        <v>0.05</v>
      </c>
    </row>
    <row r="307" spans="3:5" x14ac:dyDescent="0.15">
      <c r="C307" s="1">
        <v>0</v>
      </c>
      <c r="D307" s="1">
        <v>300</v>
      </c>
      <c r="E307" s="1">
        <f t="shared" si="4"/>
        <v>0</v>
      </c>
    </row>
    <row r="308" spans="3:5" x14ac:dyDescent="0.15">
      <c r="C308" s="1">
        <v>1305</v>
      </c>
      <c r="D308" s="1">
        <v>300</v>
      </c>
      <c r="E308" s="1">
        <f t="shared" si="4"/>
        <v>4.3499999999999996</v>
      </c>
    </row>
    <row r="309" spans="3:5" x14ac:dyDescent="0.15">
      <c r="C309" s="1">
        <v>0</v>
      </c>
      <c r="D309" s="1">
        <v>300</v>
      </c>
      <c r="E309" s="1">
        <f t="shared" si="4"/>
        <v>0</v>
      </c>
    </row>
    <row r="310" spans="3:5" x14ac:dyDescent="0.15">
      <c r="C310" s="1">
        <v>360</v>
      </c>
      <c r="D310" s="1">
        <v>300</v>
      </c>
      <c r="E310" s="1">
        <f t="shared" si="4"/>
        <v>1.2</v>
      </c>
    </row>
    <row r="311" spans="3:5" x14ac:dyDescent="0.15">
      <c r="C311" s="1">
        <v>15</v>
      </c>
      <c r="D311" s="1">
        <v>300</v>
      </c>
      <c r="E311" s="1">
        <f t="shared" si="4"/>
        <v>0.05</v>
      </c>
    </row>
    <row r="312" spans="3:5" x14ac:dyDescent="0.15">
      <c r="C312" s="1">
        <v>0</v>
      </c>
      <c r="D312" s="1">
        <v>300</v>
      </c>
      <c r="E312" s="1">
        <f t="shared" si="4"/>
        <v>0</v>
      </c>
    </row>
    <row r="313" spans="3:5" x14ac:dyDescent="0.15">
      <c r="C313" s="1">
        <v>0</v>
      </c>
      <c r="D313" s="1">
        <v>300</v>
      </c>
      <c r="E313" s="1">
        <f t="shared" si="4"/>
        <v>0</v>
      </c>
    </row>
    <row r="314" spans="3:5" x14ac:dyDescent="0.15">
      <c r="C314" s="1">
        <v>90</v>
      </c>
      <c r="D314" s="1">
        <v>300</v>
      </c>
      <c r="E314" s="1">
        <f t="shared" si="4"/>
        <v>0.3</v>
      </c>
    </row>
    <row r="315" spans="3:5" x14ac:dyDescent="0.15">
      <c r="C315" s="1">
        <v>0</v>
      </c>
      <c r="D315" s="1">
        <v>300</v>
      </c>
      <c r="E315" s="1">
        <f t="shared" si="4"/>
        <v>0</v>
      </c>
    </row>
    <row r="316" spans="3:5" x14ac:dyDescent="0.15">
      <c r="C316" s="1">
        <v>270</v>
      </c>
      <c r="D316" s="1">
        <v>300</v>
      </c>
      <c r="E316" s="1">
        <f t="shared" si="4"/>
        <v>0.9</v>
      </c>
    </row>
    <row r="317" spans="3:5" x14ac:dyDescent="0.15">
      <c r="C317" s="1">
        <v>0</v>
      </c>
      <c r="D317" s="1">
        <v>300</v>
      </c>
      <c r="E317" s="1">
        <f t="shared" si="4"/>
        <v>0</v>
      </c>
    </row>
    <row r="318" spans="3:5" x14ac:dyDescent="0.15">
      <c r="C318" s="1">
        <v>0</v>
      </c>
      <c r="D318" s="1">
        <v>300</v>
      </c>
      <c r="E318" s="1">
        <f t="shared" si="4"/>
        <v>0</v>
      </c>
    </row>
    <row r="319" spans="3:5" x14ac:dyDescent="0.15">
      <c r="C319" s="1">
        <v>45</v>
      </c>
      <c r="D319" s="1">
        <v>300</v>
      </c>
      <c r="E319" s="1">
        <f t="shared" si="4"/>
        <v>0.15</v>
      </c>
    </row>
    <row r="320" spans="3:5" x14ac:dyDescent="0.15">
      <c r="C320" s="1">
        <v>0</v>
      </c>
      <c r="D320" s="1">
        <v>300</v>
      </c>
      <c r="E320" s="1">
        <f t="shared" si="4"/>
        <v>0</v>
      </c>
    </row>
    <row r="321" spans="3:5" x14ac:dyDescent="0.15">
      <c r="C321" s="1">
        <v>180</v>
      </c>
      <c r="D321" s="1">
        <v>300</v>
      </c>
      <c r="E321" s="1">
        <f t="shared" si="4"/>
        <v>0.6</v>
      </c>
    </row>
    <row r="322" spans="3:5" x14ac:dyDescent="0.15">
      <c r="C322" s="1">
        <v>180</v>
      </c>
      <c r="D322" s="1">
        <v>300</v>
      </c>
      <c r="E322" s="1">
        <f t="shared" si="4"/>
        <v>0.6</v>
      </c>
    </row>
    <row r="323" spans="3:5" x14ac:dyDescent="0.15">
      <c r="C323" s="1">
        <v>30</v>
      </c>
      <c r="D323" s="1">
        <v>300</v>
      </c>
      <c r="E323" s="1">
        <f t="shared" si="4"/>
        <v>0.1</v>
      </c>
    </row>
    <row r="324" spans="3:5" x14ac:dyDescent="0.15">
      <c r="C324" s="1">
        <v>24</v>
      </c>
      <c r="D324" s="1">
        <v>300</v>
      </c>
      <c r="E324" s="1">
        <f t="shared" ref="E324:E387" si="5">C324/D324</f>
        <v>0.08</v>
      </c>
    </row>
    <row r="325" spans="3:5" x14ac:dyDescent="0.15">
      <c r="C325" s="1">
        <v>150</v>
      </c>
      <c r="D325" s="1">
        <v>300</v>
      </c>
      <c r="E325" s="1">
        <f t="shared" si="5"/>
        <v>0.5</v>
      </c>
    </row>
    <row r="326" spans="3:5" x14ac:dyDescent="0.15">
      <c r="C326" s="1">
        <v>0</v>
      </c>
      <c r="D326" s="1">
        <v>300</v>
      </c>
      <c r="E326" s="1">
        <f t="shared" si="5"/>
        <v>0</v>
      </c>
    </row>
    <row r="327" spans="3:5" x14ac:dyDescent="0.15">
      <c r="C327" s="1">
        <v>0</v>
      </c>
      <c r="D327" s="1">
        <v>300</v>
      </c>
      <c r="E327" s="1">
        <f t="shared" si="5"/>
        <v>0</v>
      </c>
    </row>
    <row r="328" spans="3:5" x14ac:dyDescent="0.15">
      <c r="C328" s="1">
        <v>180</v>
      </c>
      <c r="D328" s="1">
        <v>300</v>
      </c>
      <c r="E328" s="1">
        <f t="shared" si="5"/>
        <v>0.6</v>
      </c>
    </row>
    <row r="329" spans="3:5" x14ac:dyDescent="0.15">
      <c r="C329" s="1">
        <v>0</v>
      </c>
      <c r="D329" s="1">
        <v>300</v>
      </c>
      <c r="E329" s="1">
        <f t="shared" si="5"/>
        <v>0</v>
      </c>
    </row>
    <row r="330" spans="3:5" x14ac:dyDescent="0.15">
      <c r="C330" s="1">
        <v>60</v>
      </c>
      <c r="D330" s="1">
        <v>300</v>
      </c>
      <c r="E330" s="1">
        <f t="shared" si="5"/>
        <v>0.2</v>
      </c>
    </row>
    <row r="331" spans="3:5" x14ac:dyDescent="0.15">
      <c r="C331" s="1">
        <v>0</v>
      </c>
      <c r="D331" s="1">
        <v>300</v>
      </c>
      <c r="E331" s="1">
        <f t="shared" si="5"/>
        <v>0</v>
      </c>
    </row>
    <row r="332" spans="3:5" x14ac:dyDescent="0.15">
      <c r="C332" s="1">
        <v>0</v>
      </c>
      <c r="D332" s="1">
        <v>300</v>
      </c>
      <c r="E332" s="1">
        <f t="shared" si="5"/>
        <v>0</v>
      </c>
    </row>
    <row r="333" spans="3:5" x14ac:dyDescent="0.15">
      <c r="C333" s="1">
        <v>0</v>
      </c>
      <c r="D333" s="1">
        <v>300</v>
      </c>
      <c r="E333" s="1">
        <f t="shared" si="5"/>
        <v>0</v>
      </c>
    </row>
    <row r="334" spans="3:5" x14ac:dyDescent="0.15">
      <c r="C334" s="1">
        <v>450</v>
      </c>
      <c r="D334" s="1">
        <v>300</v>
      </c>
      <c r="E334" s="1">
        <f t="shared" si="5"/>
        <v>1.5</v>
      </c>
    </row>
    <row r="335" spans="3:5" x14ac:dyDescent="0.15">
      <c r="C335" s="1">
        <v>0</v>
      </c>
      <c r="D335" s="1">
        <v>300</v>
      </c>
      <c r="E335" s="1">
        <f t="shared" si="5"/>
        <v>0</v>
      </c>
    </row>
    <row r="336" spans="3:5" x14ac:dyDescent="0.15">
      <c r="C336" s="1">
        <v>60</v>
      </c>
      <c r="D336" s="1">
        <v>100</v>
      </c>
      <c r="E336" s="1">
        <f t="shared" si="5"/>
        <v>0.6</v>
      </c>
    </row>
    <row r="337" spans="3:5" x14ac:dyDescent="0.15">
      <c r="C337" s="1">
        <v>10</v>
      </c>
      <c r="D337" s="1">
        <v>100</v>
      </c>
      <c r="E337" s="1">
        <f t="shared" si="5"/>
        <v>0.1</v>
      </c>
    </row>
    <row r="338" spans="3:5" x14ac:dyDescent="0.15">
      <c r="C338" s="1">
        <v>8</v>
      </c>
      <c r="D338" s="1">
        <v>100</v>
      </c>
      <c r="E338" s="1">
        <f t="shared" si="5"/>
        <v>0.08</v>
      </c>
    </row>
    <row r="339" spans="3:5" x14ac:dyDescent="0.15">
      <c r="C339" s="1">
        <v>20</v>
      </c>
      <c r="D339" s="1">
        <v>100</v>
      </c>
      <c r="E339" s="1">
        <f t="shared" si="5"/>
        <v>0.2</v>
      </c>
    </row>
    <row r="340" spans="3:5" x14ac:dyDescent="0.15">
      <c r="C340" s="1">
        <v>90</v>
      </c>
      <c r="D340" s="1">
        <v>100</v>
      </c>
      <c r="E340" s="1">
        <f t="shared" si="5"/>
        <v>0.9</v>
      </c>
    </row>
    <row r="341" spans="3:5" x14ac:dyDescent="0.15">
      <c r="C341" s="1">
        <v>0</v>
      </c>
      <c r="D341" s="1">
        <v>100</v>
      </c>
      <c r="E341" s="1">
        <f t="shared" si="5"/>
        <v>0</v>
      </c>
    </row>
    <row r="342" spans="3:5" x14ac:dyDescent="0.15">
      <c r="C342" s="1">
        <v>20</v>
      </c>
      <c r="D342" s="1">
        <v>100</v>
      </c>
      <c r="E342" s="1">
        <f t="shared" si="5"/>
        <v>0.2</v>
      </c>
    </row>
    <row r="343" spans="3:5" x14ac:dyDescent="0.15">
      <c r="C343" s="1">
        <v>0</v>
      </c>
      <c r="D343" s="1">
        <v>100</v>
      </c>
      <c r="E343" s="1">
        <f t="shared" si="5"/>
        <v>0</v>
      </c>
    </row>
    <row r="344" spans="3:5" x14ac:dyDescent="0.15">
      <c r="C344" s="1">
        <v>95</v>
      </c>
      <c r="D344" s="1">
        <v>100</v>
      </c>
      <c r="E344" s="1">
        <f t="shared" si="5"/>
        <v>0.95</v>
      </c>
    </row>
    <row r="345" spans="3:5" x14ac:dyDescent="0.15">
      <c r="C345" s="1">
        <v>10</v>
      </c>
      <c r="D345" s="1">
        <v>100</v>
      </c>
      <c r="E345" s="1">
        <f t="shared" si="5"/>
        <v>0.1</v>
      </c>
    </row>
    <row r="346" spans="3:5" x14ac:dyDescent="0.15">
      <c r="C346" s="1">
        <v>0</v>
      </c>
      <c r="D346" s="1">
        <v>100</v>
      </c>
      <c r="E346" s="1">
        <f t="shared" si="5"/>
        <v>0</v>
      </c>
    </row>
    <row r="347" spans="3:5" x14ac:dyDescent="0.15">
      <c r="C347" s="1">
        <v>0</v>
      </c>
      <c r="D347" s="1">
        <v>100</v>
      </c>
      <c r="E347" s="1">
        <f t="shared" si="5"/>
        <v>0</v>
      </c>
    </row>
    <row r="348" spans="3:5" x14ac:dyDescent="0.15">
      <c r="C348" s="1">
        <v>135</v>
      </c>
      <c r="D348" s="1">
        <v>100</v>
      </c>
      <c r="E348" s="1">
        <f t="shared" si="5"/>
        <v>1.35</v>
      </c>
    </row>
    <row r="349" spans="3:5" x14ac:dyDescent="0.15">
      <c r="C349" s="1">
        <v>0</v>
      </c>
      <c r="D349" s="1">
        <v>100</v>
      </c>
      <c r="E349" s="1">
        <f t="shared" si="5"/>
        <v>0</v>
      </c>
    </row>
    <row r="350" spans="3:5" x14ac:dyDescent="0.15">
      <c r="C350" s="1">
        <v>0</v>
      </c>
      <c r="D350" s="1">
        <v>100</v>
      </c>
      <c r="E350" s="1">
        <f t="shared" si="5"/>
        <v>0</v>
      </c>
    </row>
    <row r="351" spans="3:5" x14ac:dyDescent="0.15">
      <c r="C351" s="1">
        <v>0</v>
      </c>
      <c r="D351" s="1">
        <v>100</v>
      </c>
      <c r="E351" s="1">
        <f t="shared" si="5"/>
        <v>0</v>
      </c>
    </row>
    <row r="352" spans="3:5" x14ac:dyDescent="0.15">
      <c r="C352" s="1">
        <v>15</v>
      </c>
      <c r="D352" s="1">
        <v>100</v>
      </c>
      <c r="E352" s="1">
        <f t="shared" si="5"/>
        <v>0.15</v>
      </c>
    </row>
    <row r="353" spans="3:5" x14ac:dyDescent="0.15">
      <c r="C353" s="1">
        <v>0</v>
      </c>
      <c r="D353" s="1">
        <v>100</v>
      </c>
      <c r="E353" s="1">
        <f t="shared" si="5"/>
        <v>0</v>
      </c>
    </row>
    <row r="354" spans="3:5" x14ac:dyDescent="0.15">
      <c r="C354" s="1">
        <v>0</v>
      </c>
      <c r="D354" s="1">
        <v>100</v>
      </c>
      <c r="E354" s="1">
        <f t="shared" si="5"/>
        <v>0</v>
      </c>
    </row>
    <row r="355" spans="3:5" x14ac:dyDescent="0.15">
      <c r="C355" s="1">
        <v>0</v>
      </c>
      <c r="D355" s="1">
        <v>100</v>
      </c>
      <c r="E355" s="1">
        <f t="shared" si="5"/>
        <v>0</v>
      </c>
    </row>
    <row r="356" spans="3:5" x14ac:dyDescent="0.15">
      <c r="C356" s="1">
        <v>0</v>
      </c>
      <c r="D356" s="1">
        <v>100</v>
      </c>
      <c r="E356" s="1">
        <f t="shared" si="5"/>
        <v>0</v>
      </c>
    </row>
    <row r="357" spans="3:5" x14ac:dyDescent="0.15">
      <c r="C357" s="1">
        <v>0</v>
      </c>
      <c r="D357" s="1">
        <v>100</v>
      </c>
      <c r="E357" s="1">
        <f t="shared" si="5"/>
        <v>0</v>
      </c>
    </row>
    <row r="358" spans="3:5" x14ac:dyDescent="0.15">
      <c r="C358" s="1">
        <v>0</v>
      </c>
      <c r="D358" s="1">
        <v>100</v>
      </c>
      <c r="E358" s="1">
        <f t="shared" si="5"/>
        <v>0</v>
      </c>
    </row>
    <row r="359" spans="3:5" x14ac:dyDescent="0.15">
      <c r="C359" s="1">
        <v>10</v>
      </c>
      <c r="D359" s="1">
        <v>100</v>
      </c>
      <c r="E359" s="1">
        <f t="shared" si="5"/>
        <v>0.1</v>
      </c>
    </row>
    <row r="360" spans="3:5" x14ac:dyDescent="0.15">
      <c r="C360" s="1">
        <v>0</v>
      </c>
      <c r="D360" s="1">
        <v>100</v>
      </c>
      <c r="E360" s="1">
        <f t="shared" si="5"/>
        <v>0</v>
      </c>
    </row>
    <row r="361" spans="3:5" x14ac:dyDescent="0.15">
      <c r="C361" s="1">
        <v>0</v>
      </c>
      <c r="D361" s="1">
        <v>100</v>
      </c>
      <c r="E361" s="1">
        <f t="shared" si="5"/>
        <v>0</v>
      </c>
    </row>
    <row r="362" spans="3:5" x14ac:dyDescent="0.15">
      <c r="C362" s="1">
        <v>60</v>
      </c>
      <c r="D362" s="1">
        <v>100</v>
      </c>
      <c r="E362" s="1">
        <f t="shared" si="5"/>
        <v>0.6</v>
      </c>
    </row>
    <row r="363" spans="3:5" x14ac:dyDescent="0.15">
      <c r="C363" s="1">
        <v>90</v>
      </c>
      <c r="D363" s="1">
        <v>100</v>
      </c>
      <c r="E363" s="1">
        <f t="shared" si="5"/>
        <v>0.9</v>
      </c>
    </row>
    <row r="364" spans="3:5" x14ac:dyDescent="0.15">
      <c r="C364" s="1">
        <v>0</v>
      </c>
      <c r="D364" s="1">
        <v>100</v>
      </c>
      <c r="E364" s="1">
        <f t="shared" si="5"/>
        <v>0</v>
      </c>
    </row>
    <row r="365" spans="3:5" x14ac:dyDescent="0.15">
      <c r="C365" s="1">
        <v>5</v>
      </c>
      <c r="D365" s="1">
        <v>100</v>
      </c>
      <c r="E365" s="1">
        <f t="shared" si="5"/>
        <v>0.05</v>
      </c>
    </row>
    <row r="366" spans="3:5" x14ac:dyDescent="0.15">
      <c r="C366" s="1">
        <v>0</v>
      </c>
      <c r="D366" s="1">
        <v>100</v>
      </c>
      <c r="E366" s="1">
        <f t="shared" si="5"/>
        <v>0</v>
      </c>
    </row>
    <row r="367" spans="3:5" x14ac:dyDescent="0.15">
      <c r="C367" s="1">
        <v>0</v>
      </c>
      <c r="D367" s="1">
        <v>100</v>
      </c>
      <c r="E367" s="1">
        <f t="shared" si="5"/>
        <v>0</v>
      </c>
    </row>
    <row r="368" spans="3:5" x14ac:dyDescent="0.15">
      <c r="C368" s="1">
        <v>0</v>
      </c>
      <c r="D368" s="1">
        <v>100</v>
      </c>
      <c r="E368" s="1">
        <f t="shared" si="5"/>
        <v>0</v>
      </c>
    </row>
    <row r="369" spans="3:5" x14ac:dyDescent="0.15">
      <c r="C369" s="1">
        <v>225</v>
      </c>
      <c r="D369" s="1">
        <v>100</v>
      </c>
      <c r="E369" s="1">
        <f t="shared" si="5"/>
        <v>2.25</v>
      </c>
    </row>
    <row r="370" spans="3:5" x14ac:dyDescent="0.15">
      <c r="C370" s="1">
        <v>0</v>
      </c>
      <c r="D370" s="1">
        <v>100</v>
      </c>
      <c r="E370" s="1">
        <f t="shared" si="5"/>
        <v>0</v>
      </c>
    </row>
    <row r="371" spans="3:5" x14ac:dyDescent="0.15">
      <c r="C371" s="1">
        <v>120</v>
      </c>
      <c r="D371" s="1">
        <v>100</v>
      </c>
      <c r="E371" s="1">
        <f t="shared" si="5"/>
        <v>1.2</v>
      </c>
    </row>
    <row r="372" spans="3:5" x14ac:dyDescent="0.15">
      <c r="C372" s="1">
        <v>0</v>
      </c>
      <c r="D372" s="1">
        <v>100</v>
      </c>
      <c r="E372" s="1">
        <f t="shared" si="5"/>
        <v>0</v>
      </c>
    </row>
    <row r="373" spans="3:5" x14ac:dyDescent="0.15">
      <c r="C373" s="1">
        <v>0</v>
      </c>
      <c r="D373" s="1">
        <v>100</v>
      </c>
      <c r="E373" s="1">
        <f t="shared" si="5"/>
        <v>0</v>
      </c>
    </row>
    <row r="374" spans="3:5" x14ac:dyDescent="0.15">
      <c r="C374" s="1">
        <v>0</v>
      </c>
      <c r="D374" s="1">
        <v>100</v>
      </c>
      <c r="E374" s="1">
        <f t="shared" si="5"/>
        <v>0</v>
      </c>
    </row>
    <row r="375" spans="3:5" x14ac:dyDescent="0.15">
      <c r="C375" s="1">
        <v>0</v>
      </c>
      <c r="D375" s="1">
        <v>100</v>
      </c>
      <c r="E375" s="1">
        <f t="shared" si="5"/>
        <v>0</v>
      </c>
    </row>
    <row r="376" spans="3:5" x14ac:dyDescent="0.15">
      <c r="C376" s="1">
        <v>0</v>
      </c>
      <c r="D376" s="1">
        <v>100</v>
      </c>
      <c r="E376" s="1">
        <f t="shared" si="5"/>
        <v>0</v>
      </c>
    </row>
    <row r="377" spans="3:5" x14ac:dyDescent="0.15">
      <c r="C377" s="1">
        <v>0</v>
      </c>
      <c r="D377" s="1">
        <v>100</v>
      </c>
      <c r="E377" s="1">
        <f t="shared" si="5"/>
        <v>0</v>
      </c>
    </row>
    <row r="378" spans="3:5" x14ac:dyDescent="0.15">
      <c r="C378" s="1">
        <v>113</v>
      </c>
      <c r="D378" s="1">
        <v>100</v>
      </c>
      <c r="E378" s="1">
        <f t="shared" si="5"/>
        <v>1.1299999999999999</v>
      </c>
    </row>
    <row r="379" spans="3:5" x14ac:dyDescent="0.15">
      <c r="C379" s="1">
        <v>0</v>
      </c>
      <c r="D379" s="1">
        <v>100</v>
      </c>
      <c r="E379" s="1">
        <f t="shared" si="5"/>
        <v>0</v>
      </c>
    </row>
    <row r="380" spans="3:5" x14ac:dyDescent="0.15">
      <c r="C380" s="1">
        <v>0</v>
      </c>
      <c r="D380" s="1">
        <v>100</v>
      </c>
      <c r="E380" s="1">
        <f t="shared" si="5"/>
        <v>0</v>
      </c>
    </row>
    <row r="381" spans="3:5" x14ac:dyDescent="0.15">
      <c r="C381" s="1">
        <v>0</v>
      </c>
      <c r="D381" s="1">
        <v>100</v>
      </c>
      <c r="E381" s="1">
        <f t="shared" si="5"/>
        <v>0</v>
      </c>
    </row>
    <row r="382" spans="3:5" x14ac:dyDescent="0.15">
      <c r="C382" s="1">
        <v>5</v>
      </c>
      <c r="D382" s="1">
        <v>100</v>
      </c>
      <c r="E382" s="1">
        <f t="shared" si="5"/>
        <v>0.05</v>
      </c>
    </row>
    <row r="383" spans="3:5" x14ac:dyDescent="0.15">
      <c r="C383" s="1">
        <v>0</v>
      </c>
      <c r="D383" s="1">
        <v>100</v>
      </c>
      <c r="E383" s="1">
        <f t="shared" si="5"/>
        <v>0</v>
      </c>
    </row>
    <row r="384" spans="3:5" x14ac:dyDescent="0.15">
      <c r="C384" s="1">
        <v>0</v>
      </c>
      <c r="D384" s="1">
        <v>100</v>
      </c>
      <c r="E384" s="1">
        <f t="shared" si="5"/>
        <v>0</v>
      </c>
    </row>
    <row r="385" spans="3:5" x14ac:dyDescent="0.15">
      <c r="C385" s="1">
        <v>200</v>
      </c>
      <c r="D385" s="1">
        <v>100</v>
      </c>
      <c r="E385" s="1">
        <f t="shared" si="5"/>
        <v>2</v>
      </c>
    </row>
    <row r="386" spans="3:5" x14ac:dyDescent="0.15">
      <c r="C386" s="1">
        <v>0</v>
      </c>
      <c r="D386" s="1">
        <v>100</v>
      </c>
      <c r="E386" s="1">
        <f t="shared" si="5"/>
        <v>0</v>
      </c>
    </row>
    <row r="387" spans="3:5" x14ac:dyDescent="0.15">
      <c r="C387" s="1">
        <v>0</v>
      </c>
      <c r="D387" s="1">
        <v>100</v>
      </c>
      <c r="E387" s="1">
        <f t="shared" si="5"/>
        <v>0</v>
      </c>
    </row>
    <row r="388" spans="3:5" x14ac:dyDescent="0.15">
      <c r="C388" s="1">
        <v>0</v>
      </c>
      <c r="D388" s="1">
        <v>100</v>
      </c>
      <c r="E388" s="1">
        <f t="shared" ref="E388:E451" si="6">C388/D388</f>
        <v>0</v>
      </c>
    </row>
    <row r="389" spans="3:5" x14ac:dyDescent="0.15">
      <c r="C389" s="1">
        <v>60</v>
      </c>
      <c r="D389" s="1">
        <v>100</v>
      </c>
      <c r="E389" s="1">
        <f t="shared" si="6"/>
        <v>0.6</v>
      </c>
    </row>
    <row r="390" spans="3:5" x14ac:dyDescent="0.15">
      <c r="C390" s="1">
        <v>20</v>
      </c>
      <c r="D390" s="1">
        <v>100</v>
      </c>
      <c r="E390" s="1">
        <f t="shared" si="6"/>
        <v>0.2</v>
      </c>
    </row>
    <row r="391" spans="3:5" x14ac:dyDescent="0.15">
      <c r="C391" s="1">
        <v>0</v>
      </c>
      <c r="D391" s="1">
        <v>100</v>
      </c>
      <c r="E391" s="1">
        <f t="shared" si="6"/>
        <v>0</v>
      </c>
    </row>
    <row r="392" spans="3:5" x14ac:dyDescent="0.15">
      <c r="C392" s="1">
        <v>0</v>
      </c>
      <c r="D392" s="1">
        <v>100</v>
      </c>
      <c r="E392" s="1">
        <f t="shared" si="6"/>
        <v>0</v>
      </c>
    </row>
    <row r="393" spans="3:5" x14ac:dyDescent="0.15">
      <c r="C393" s="1">
        <v>0</v>
      </c>
      <c r="D393" s="1">
        <v>100</v>
      </c>
      <c r="E393" s="1">
        <f t="shared" si="6"/>
        <v>0</v>
      </c>
    </row>
    <row r="394" spans="3:5" x14ac:dyDescent="0.15">
      <c r="C394" s="1">
        <v>0</v>
      </c>
      <c r="D394" s="1">
        <v>100</v>
      </c>
      <c r="E394" s="1">
        <f t="shared" si="6"/>
        <v>0</v>
      </c>
    </row>
    <row r="395" spans="3:5" x14ac:dyDescent="0.15">
      <c r="C395" s="1">
        <v>0</v>
      </c>
      <c r="D395" s="1">
        <v>100</v>
      </c>
      <c r="E395" s="1">
        <f t="shared" si="6"/>
        <v>0</v>
      </c>
    </row>
    <row r="396" spans="3:5" x14ac:dyDescent="0.15">
      <c r="C396" s="1">
        <v>30</v>
      </c>
      <c r="D396" s="1">
        <v>100</v>
      </c>
      <c r="E396" s="1">
        <f t="shared" si="6"/>
        <v>0.3</v>
      </c>
    </row>
    <row r="397" spans="3:5" x14ac:dyDescent="0.15">
      <c r="C397" s="1">
        <v>0</v>
      </c>
      <c r="D397" s="1">
        <v>100</v>
      </c>
      <c r="E397" s="1">
        <f t="shared" si="6"/>
        <v>0</v>
      </c>
    </row>
    <row r="398" spans="3:5" x14ac:dyDescent="0.15">
      <c r="C398" s="1">
        <v>0</v>
      </c>
      <c r="D398" s="1">
        <v>100</v>
      </c>
      <c r="E398" s="1">
        <f t="shared" si="6"/>
        <v>0</v>
      </c>
    </row>
    <row r="399" spans="3:5" x14ac:dyDescent="0.15">
      <c r="C399" s="1">
        <v>0</v>
      </c>
      <c r="D399" s="1">
        <v>100</v>
      </c>
      <c r="E399" s="1">
        <f t="shared" si="6"/>
        <v>0</v>
      </c>
    </row>
    <row r="400" spans="3:5" x14ac:dyDescent="0.15">
      <c r="C400" s="1">
        <v>0</v>
      </c>
      <c r="D400" s="1">
        <v>100</v>
      </c>
      <c r="E400" s="1">
        <f t="shared" si="6"/>
        <v>0</v>
      </c>
    </row>
    <row r="401" spans="3:5" x14ac:dyDescent="0.15">
      <c r="C401" s="1">
        <v>10</v>
      </c>
      <c r="D401" s="1">
        <v>100</v>
      </c>
      <c r="E401" s="1">
        <f t="shared" si="6"/>
        <v>0.1</v>
      </c>
    </row>
    <row r="402" spans="3:5" x14ac:dyDescent="0.15">
      <c r="C402" s="1">
        <v>0</v>
      </c>
      <c r="D402" s="1">
        <v>100</v>
      </c>
      <c r="E402" s="1">
        <f t="shared" si="6"/>
        <v>0</v>
      </c>
    </row>
    <row r="403" spans="3:5" x14ac:dyDescent="0.15">
      <c r="C403" s="1">
        <v>10</v>
      </c>
      <c r="D403" s="1">
        <v>100</v>
      </c>
      <c r="E403" s="1">
        <f t="shared" si="6"/>
        <v>0.1</v>
      </c>
    </row>
    <row r="404" spans="3:5" x14ac:dyDescent="0.15">
      <c r="C404" s="1">
        <v>0</v>
      </c>
      <c r="D404" s="1">
        <v>100</v>
      </c>
      <c r="E404" s="1">
        <f t="shared" si="6"/>
        <v>0</v>
      </c>
    </row>
    <row r="405" spans="3:5" x14ac:dyDescent="0.15">
      <c r="C405" s="1">
        <v>0</v>
      </c>
      <c r="D405" s="1">
        <v>100</v>
      </c>
      <c r="E405" s="1">
        <f t="shared" si="6"/>
        <v>0</v>
      </c>
    </row>
    <row r="406" spans="3:5" x14ac:dyDescent="0.15">
      <c r="C406" s="1">
        <v>0</v>
      </c>
      <c r="D406" s="1">
        <v>100</v>
      </c>
      <c r="E406" s="1">
        <f t="shared" si="6"/>
        <v>0</v>
      </c>
    </row>
    <row r="407" spans="3:5" x14ac:dyDescent="0.15">
      <c r="C407" s="1">
        <v>60</v>
      </c>
      <c r="D407" s="1">
        <v>100</v>
      </c>
      <c r="E407" s="1">
        <f t="shared" si="6"/>
        <v>0.6</v>
      </c>
    </row>
    <row r="408" spans="3:5" x14ac:dyDescent="0.15">
      <c r="C408" s="1">
        <v>0</v>
      </c>
      <c r="D408" s="1">
        <v>300</v>
      </c>
      <c r="E408" s="1">
        <f t="shared" si="6"/>
        <v>0</v>
      </c>
    </row>
    <row r="409" spans="3:5" x14ac:dyDescent="0.15">
      <c r="C409" s="1">
        <v>0</v>
      </c>
      <c r="D409" s="1">
        <v>300</v>
      </c>
      <c r="E409" s="1">
        <f t="shared" si="6"/>
        <v>0</v>
      </c>
    </row>
    <row r="410" spans="3:5" x14ac:dyDescent="0.15">
      <c r="C410" s="1">
        <v>0</v>
      </c>
      <c r="D410" s="1">
        <v>300</v>
      </c>
      <c r="E410" s="1">
        <f t="shared" si="6"/>
        <v>0</v>
      </c>
    </row>
    <row r="411" spans="3:5" x14ac:dyDescent="0.15">
      <c r="C411" s="1">
        <v>0</v>
      </c>
      <c r="D411" s="1">
        <v>300</v>
      </c>
      <c r="E411" s="1">
        <f t="shared" si="6"/>
        <v>0</v>
      </c>
    </row>
    <row r="412" spans="3:5" x14ac:dyDescent="0.15">
      <c r="C412" s="1">
        <v>24</v>
      </c>
      <c r="D412" s="1">
        <v>300</v>
      </c>
      <c r="E412" s="1">
        <f t="shared" si="6"/>
        <v>0.08</v>
      </c>
    </row>
    <row r="413" spans="3:5" x14ac:dyDescent="0.15">
      <c r="C413" s="1">
        <v>0</v>
      </c>
      <c r="D413" s="1">
        <v>300</v>
      </c>
      <c r="E413" s="1">
        <f t="shared" si="6"/>
        <v>0</v>
      </c>
    </row>
    <row r="414" spans="3:5" x14ac:dyDescent="0.15">
      <c r="C414" s="1">
        <v>930</v>
      </c>
      <c r="D414" s="1">
        <v>300</v>
      </c>
      <c r="E414" s="1">
        <f t="shared" si="6"/>
        <v>3.1</v>
      </c>
    </row>
    <row r="415" spans="3:5" x14ac:dyDescent="0.15">
      <c r="C415" s="1">
        <v>0</v>
      </c>
      <c r="D415" s="1">
        <v>300</v>
      </c>
      <c r="E415" s="1">
        <f t="shared" si="6"/>
        <v>0</v>
      </c>
    </row>
    <row r="416" spans="3:5" x14ac:dyDescent="0.15">
      <c r="C416" s="1">
        <v>0</v>
      </c>
      <c r="D416" s="1">
        <v>300</v>
      </c>
      <c r="E416" s="1">
        <f t="shared" si="6"/>
        <v>0</v>
      </c>
    </row>
    <row r="417" spans="3:5" x14ac:dyDescent="0.15">
      <c r="C417" s="1">
        <v>0</v>
      </c>
      <c r="D417" s="1">
        <v>300</v>
      </c>
      <c r="E417" s="1">
        <f t="shared" si="6"/>
        <v>0</v>
      </c>
    </row>
    <row r="418" spans="3:5" x14ac:dyDescent="0.15">
      <c r="C418" s="1">
        <v>0</v>
      </c>
      <c r="D418" s="1">
        <v>300</v>
      </c>
      <c r="E418" s="1">
        <f t="shared" si="6"/>
        <v>0</v>
      </c>
    </row>
    <row r="419" spans="3:5" x14ac:dyDescent="0.15">
      <c r="C419" s="1">
        <v>1880</v>
      </c>
      <c r="D419" s="1">
        <v>500</v>
      </c>
      <c r="E419" s="1">
        <f t="shared" si="6"/>
        <v>3.76</v>
      </c>
    </row>
    <row r="420" spans="3:5" x14ac:dyDescent="0.15">
      <c r="C420" s="1">
        <v>0</v>
      </c>
      <c r="D420" s="1">
        <v>500</v>
      </c>
      <c r="E420" s="1">
        <f t="shared" si="6"/>
        <v>0</v>
      </c>
    </row>
    <row r="421" spans="3:5" x14ac:dyDescent="0.15">
      <c r="C421" s="1">
        <v>75</v>
      </c>
      <c r="D421" s="1">
        <v>500</v>
      </c>
      <c r="E421" s="1">
        <f t="shared" si="6"/>
        <v>0.15</v>
      </c>
    </row>
    <row r="422" spans="3:5" x14ac:dyDescent="0.15">
      <c r="C422" s="1">
        <v>250</v>
      </c>
      <c r="D422" s="1">
        <v>500</v>
      </c>
      <c r="E422" s="1">
        <f t="shared" si="6"/>
        <v>0.5</v>
      </c>
    </row>
    <row r="423" spans="3:5" x14ac:dyDescent="0.15">
      <c r="C423" s="1">
        <v>1000</v>
      </c>
      <c r="D423" s="1">
        <v>500</v>
      </c>
      <c r="E423" s="1">
        <f t="shared" si="6"/>
        <v>2</v>
      </c>
    </row>
    <row r="424" spans="3:5" x14ac:dyDescent="0.15">
      <c r="C424" s="1">
        <v>50</v>
      </c>
      <c r="D424" s="1">
        <v>500</v>
      </c>
      <c r="E424" s="1">
        <f t="shared" si="6"/>
        <v>0.1</v>
      </c>
    </row>
    <row r="425" spans="3:5" x14ac:dyDescent="0.15">
      <c r="C425" s="1">
        <v>225</v>
      </c>
      <c r="D425" s="1">
        <v>500</v>
      </c>
      <c r="E425" s="1">
        <f t="shared" si="6"/>
        <v>0.45</v>
      </c>
    </row>
    <row r="426" spans="3:5" x14ac:dyDescent="0.15">
      <c r="C426" s="1">
        <v>1000</v>
      </c>
      <c r="D426" s="1">
        <v>500</v>
      </c>
      <c r="E426" s="1">
        <f t="shared" si="6"/>
        <v>2</v>
      </c>
    </row>
    <row r="427" spans="3:5" x14ac:dyDescent="0.15">
      <c r="C427" s="1">
        <v>50</v>
      </c>
      <c r="D427" s="1">
        <v>500</v>
      </c>
      <c r="E427" s="1">
        <f t="shared" si="6"/>
        <v>0.1</v>
      </c>
    </row>
    <row r="428" spans="3:5" x14ac:dyDescent="0.15">
      <c r="C428" s="1">
        <v>100</v>
      </c>
      <c r="D428" s="1">
        <v>500</v>
      </c>
      <c r="E428" s="1">
        <f t="shared" si="6"/>
        <v>0.2</v>
      </c>
    </row>
    <row r="429" spans="3:5" x14ac:dyDescent="0.15">
      <c r="C429" s="1">
        <v>525</v>
      </c>
      <c r="D429" s="1">
        <v>500</v>
      </c>
      <c r="E429" s="1">
        <f t="shared" si="6"/>
        <v>1.05</v>
      </c>
    </row>
    <row r="430" spans="3:5" x14ac:dyDescent="0.15">
      <c r="C430" s="1">
        <v>0</v>
      </c>
      <c r="D430" s="1">
        <v>500</v>
      </c>
      <c r="E430" s="1">
        <f t="shared" si="6"/>
        <v>0</v>
      </c>
    </row>
    <row r="431" spans="3:5" x14ac:dyDescent="0.15">
      <c r="C431" s="1">
        <v>200</v>
      </c>
      <c r="D431" s="1">
        <v>500</v>
      </c>
      <c r="E431" s="1">
        <f t="shared" si="6"/>
        <v>0.4</v>
      </c>
    </row>
    <row r="432" spans="3:5" x14ac:dyDescent="0.15">
      <c r="C432" s="1">
        <v>50</v>
      </c>
      <c r="D432" s="1">
        <v>500</v>
      </c>
      <c r="E432" s="1">
        <f t="shared" si="6"/>
        <v>0.1</v>
      </c>
    </row>
    <row r="433" spans="3:5" x14ac:dyDescent="0.15">
      <c r="C433" s="1">
        <v>0</v>
      </c>
      <c r="D433" s="1">
        <v>500</v>
      </c>
      <c r="E433" s="1">
        <f t="shared" si="6"/>
        <v>0</v>
      </c>
    </row>
    <row r="434" spans="3:5" x14ac:dyDescent="0.15">
      <c r="C434" s="1">
        <v>0</v>
      </c>
      <c r="D434" s="1">
        <v>500</v>
      </c>
      <c r="E434" s="1">
        <f t="shared" si="6"/>
        <v>0</v>
      </c>
    </row>
    <row r="435" spans="3:5" x14ac:dyDescent="0.15">
      <c r="C435" s="1">
        <v>50</v>
      </c>
      <c r="D435" s="1">
        <v>500</v>
      </c>
      <c r="E435" s="1">
        <f t="shared" si="6"/>
        <v>0.1</v>
      </c>
    </row>
    <row r="436" spans="3:5" x14ac:dyDescent="0.15">
      <c r="C436" s="1">
        <v>0</v>
      </c>
      <c r="D436" s="1">
        <v>500</v>
      </c>
      <c r="E436" s="1">
        <f t="shared" si="6"/>
        <v>0</v>
      </c>
    </row>
    <row r="437" spans="3:5" x14ac:dyDescent="0.15">
      <c r="C437" s="1">
        <v>25</v>
      </c>
      <c r="D437" s="1">
        <v>500</v>
      </c>
      <c r="E437" s="1">
        <f t="shared" si="6"/>
        <v>0.05</v>
      </c>
    </row>
    <row r="438" spans="3:5" x14ac:dyDescent="0.15">
      <c r="C438" s="1">
        <v>0</v>
      </c>
      <c r="D438" s="1">
        <v>500</v>
      </c>
      <c r="E438" s="1">
        <f t="shared" si="6"/>
        <v>0</v>
      </c>
    </row>
    <row r="439" spans="3:5" x14ac:dyDescent="0.15">
      <c r="C439" s="1">
        <v>0</v>
      </c>
      <c r="D439" s="1">
        <v>500</v>
      </c>
      <c r="E439" s="1">
        <f t="shared" si="6"/>
        <v>0</v>
      </c>
    </row>
    <row r="440" spans="3:5" x14ac:dyDescent="0.15">
      <c r="C440" s="1">
        <v>0</v>
      </c>
      <c r="D440" s="1">
        <v>500</v>
      </c>
      <c r="E440" s="1">
        <f t="shared" si="6"/>
        <v>0</v>
      </c>
    </row>
    <row r="441" spans="3:5" x14ac:dyDescent="0.15">
      <c r="C441" s="1">
        <v>25</v>
      </c>
      <c r="D441" s="1">
        <v>500</v>
      </c>
      <c r="E441" s="1">
        <f t="shared" si="6"/>
        <v>0.05</v>
      </c>
    </row>
    <row r="442" spans="3:5" x14ac:dyDescent="0.15">
      <c r="C442" s="1">
        <v>0</v>
      </c>
      <c r="D442" s="1">
        <v>500</v>
      </c>
      <c r="E442" s="1">
        <f t="shared" si="6"/>
        <v>0</v>
      </c>
    </row>
    <row r="443" spans="3:5" x14ac:dyDescent="0.15">
      <c r="C443" s="1">
        <v>0</v>
      </c>
      <c r="D443" s="1">
        <v>500</v>
      </c>
      <c r="E443" s="1">
        <f t="shared" si="6"/>
        <v>0</v>
      </c>
    </row>
    <row r="444" spans="3:5" x14ac:dyDescent="0.15">
      <c r="C444" s="1">
        <v>0</v>
      </c>
      <c r="D444" s="1">
        <v>500</v>
      </c>
      <c r="E444" s="1">
        <f t="shared" si="6"/>
        <v>0</v>
      </c>
    </row>
    <row r="445" spans="3:5" x14ac:dyDescent="0.15">
      <c r="C445" s="1">
        <v>0</v>
      </c>
      <c r="D445" s="1">
        <v>300</v>
      </c>
      <c r="E445" s="1">
        <f t="shared" si="6"/>
        <v>0</v>
      </c>
    </row>
    <row r="446" spans="3:5" x14ac:dyDescent="0.15">
      <c r="C446" s="1">
        <v>0</v>
      </c>
      <c r="D446" s="1">
        <v>100</v>
      </c>
      <c r="E446" s="1">
        <f t="shared" si="6"/>
        <v>0</v>
      </c>
    </row>
    <row r="447" spans="3:5" x14ac:dyDescent="0.15">
      <c r="C447" s="1">
        <v>0</v>
      </c>
      <c r="D447" s="1">
        <v>100</v>
      </c>
      <c r="E447" s="1">
        <f t="shared" si="6"/>
        <v>0</v>
      </c>
    </row>
    <row r="448" spans="3:5" x14ac:dyDescent="0.15">
      <c r="C448" s="1">
        <v>0</v>
      </c>
      <c r="D448" s="1">
        <v>100</v>
      </c>
      <c r="E448" s="1">
        <f t="shared" si="6"/>
        <v>0</v>
      </c>
    </row>
    <row r="449" spans="3:5" x14ac:dyDescent="0.15">
      <c r="C449" s="1">
        <v>0</v>
      </c>
      <c r="D449" s="1">
        <v>100</v>
      </c>
      <c r="E449" s="1">
        <f t="shared" si="6"/>
        <v>0</v>
      </c>
    </row>
    <row r="450" spans="3:5" x14ac:dyDescent="0.15">
      <c r="C450" s="1">
        <v>0</v>
      </c>
      <c r="D450" s="1">
        <v>100</v>
      </c>
      <c r="E450" s="1">
        <f t="shared" si="6"/>
        <v>0</v>
      </c>
    </row>
    <row r="451" spans="3:5" x14ac:dyDescent="0.15">
      <c r="C451" s="1">
        <v>0</v>
      </c>
      <c r="D451" s="1">
        <v>100</v>
      </c>
      <c r="E451" s="1">
        <f t="shared" si="6"/>
        <v>0</v>
      </c>
    </row>
    <row r="452" spans="3:5" x14ac:dyDescent="0.15">
      <c r="C452" s="1">
        <v>200</v>
      </c>
      <c r="D452" s="1">
        <v>100</v>
      </c>
      <c r="E452" s="1">
        <f t="shared" ref="E452:E515" si="7">C452/D452</f>
        <v>2</v>
      </c>
    </row>
    <row r="453" spans="3:5" x14ac:dyDescent="0.15">
      <c r="C453" s="1">
        <v>5</v>
      </c>
      <c r="D453" s="1">
        <v>100</v>
      </c>
      <c r="E453" s="1">
        <f t="shared" si="7"/>
        <v>0.05</v>
      </c>
    </row>
    <row r="454" spans="3:5" x14ac:dyDescent="0.15">
      <c r="C454" s="1">
        <v>20</v>
      </c>
      <c r="D454" s="1">
        <v>100</v>
      </c>
      <c r="E454" s="1">
        <f t="shared" si="7"/>
        <v>0.2</v>
      </c>
    </row>
    <row r="455" spans="3:5" x14ac:dyDescent="0.15">
      <c r="C455" s="1">
        <v>0</v>
      </c>
      <c r="D455" s="1">
        <v>100</v>
      </c>
      <c r="E455" s="1">
        <f t="shared" si="7"/>
        <v>0</v>
      </c>
    </row>
    <row r="456" spans="3:5" x14ac:dyDescent="0.15">
      <c r="C456" s="1">
        <v>375</v>
      </c>
      <c r="D456" s="1">
        <v>100</v>
      </c>
      <c r="E456" s="1">
        <f t="shared" si="7"/>
        <v>3.75</v>
      </c>
    </row>
    <row r="457" spans="3:5" x14ac:dyDescent="0.15">
      <c r="C457" s="1">
        <v>60</v>
      </c>
      <c r="D457" s="1">
        <v>100</v>
      </c>
      <c r="E457" s="1">
        <f t="shared" si="7"/>
        <v>0.6</v>
      </c>
    </row>
    <row r="458" spans="3:5" x14ac:dyDescent="0.15">
      <c r="C458" s="1">
        <v>0</v>
      </c>
      <c r="D458" s="1">
        <v>100</v>
      </c>
      <c r="E458" s="1">
        <f t="shared" si="7"/>
        <v>0</v>
      </c>
    </row>
    <row r="459" spans="3:5" x14ac:dyDescent="0.15">
      <c r="C459" s="1">
        <v>0</v>
      </c>
      <c r="D459" s="1">
        <v>100</v>
      </c>
      <c r="E459" s="1">
        <f t="shared" si="7"/>
        <v>0</v>
      </c>
    </row>
    <row r="460" spans="3:5" x14ac:dyDescent="0.15">
      <c r="C460" s="1">
        <v>20</v>
      </c>
      <c r="D460" s="1">
        <v>100</v>
      </c>
      <c r="E460" s="1">
        <f t="shared" si="7"/>
        <v>0.2</v>
      </c>
    </row>
    <row r="461" spans="3:5" x14ac:dyDescent="0.15">
      <c r="C461" s="1">
        <v>0</v>
      </c>
      <c r="D461" s="1">
        <v>100</v>
      </c>
      <c r="E461" s="1">
        <f t="shared" si="7"/>
        <v>0</v>
      </c>
    </row>
    <row r="462" spans="3:5" x14ac:dyDescent="0.15">
      <c r="C462" s="1">
        <v>0</v>
      </c>
      <c r="D462" s="1">
        <v>100</v>
      </c>
      <c r="E462" s="1">
        <f t="shared" si="7"/>
        <v>0</v>
      </c>
    </row>
    <row r="463" spans="3:5" x14ac:dyDescent="0.15">
      <c r="C463" s="1">
        <v>10</v>
      </c>
      <c r="D463" s="1">
        <v>100</v>
      </c>
      <c r="E463" s="1">
        <f t="shared" si="7"/>
        <v>0.1</v>
      </c>
    </row>
    <row r="464" spans="3:5" x14ac:dyDescent="0.15">
      <c r="C464" s="1">
        <v>5</v>
      </c>
      <c r="D464" s="1">
        <v>100</v>
      </c>
      <c r="E464" s="1">
        <f t="shared" si="7"/>
        <v>0.05</v>
      </c>
    </row>
    <row r="465" spans="3:5" x14ac:dyDescent="0.15">
      <c r="C465" s="1">
        <v>0</v>
      </c>
      <c r="D465" s="1">
        <v>100</v>
      </c>
      <c r="E465" s="1">
        <f t="shared" si="7"/>
        <v>0</v>
      </c>
    </row>
    <row r="466" spans="3:5" x14ac:dyDescent="0.15">
      <c r="C466" s="1">
        <v>0</v>
      </c>
      <c r="D466" s="1">
        <v>100</v>
      </c>
      <c r="E466" s="1">
        <f t="shared" si="7"/>
        <v>0</v>
      </c>
    </row>
    <row r="467" spans="3:5" x14ac:dyDescent="0.15">
      <c r="C467" s="1">
        <v>0</v>
      </c>
      <c r="D467" s="1">
        <v>100</v>
      </c>
      <c r="E467" s="1">
        <f t="shared" si="7"/>
        <v>0</v>
      </c>
    </row>
    <row r="468" spans="3:5" x14ac:dyDescent="0.15">
      <c r="C468" s="1">
        <v>0</v>
      </c>
      <c r="D468" s="1">
        <v>100</v>
      </c>
      <c r="E468" s="1">
        <f t="shared" si="7"/>
        <v>0</v>
      </c>
    </row>
    <row r="469" spans="3:5" x14ac:dyDescent="0.15">
      <c r="C469" s="1">
        <v>90</v>
      </c>
      <c r="D469" s="1">
        <v>100</v>
      </c>
      <c r="E469" s="1">
        <f t="shared" si="7"/>
        <v>0.9</v>
      </c>
    </row>
    <row r="470" spans="3:5" x14ac:dyDescent="0.15">
      <c r="C470" s="1">
        <v>10</v>
      </c>
      <c r="D470" s="1">
        <v>100</v>
      </c>
      <c r="E470" s="1">
        <f t="shared" si="7"/>
        <v>0.1</v>
      </c>
    </row>
    <row r="471" spans="3:5" x14ac:dyDescent="0.15">
      <c r="C471" s="1">
        <v>0</v>
      </c>
      <c r="D471" s="1">
        <v>100</v>
      </c>
      <c r="E471" s="1">
        <f t="shared" si="7"/>
        <v>0</v>
      </c>
    </row>
    <row r="472" spans="3:5" x14ac:dyDescent="0.15">
      <c r="C472" s="1">
        <v>120</v>
      </c>
      <c r="D472" s="1">
        <v>100</v>
      </c>
      <c r="E472" s="1">
        <f t="shared" si="7"/>
        <v>1.2</v>
      </c>
    </row>
    <row r="473" spans="3:5" x14ac:dyDescent="0.15">
      <c r="C473" s="1">
        <v>0</v>
      </c>
      <c r="D473" s="1">
        <v>100</v>
      </c>
      <c r="E473" s="1">
        <f t="shared" si="7"/>
        <v>0</v>
      </c>
    </row>
    <row r="474" spans="3:5" x14ac:dyDescent="0.15">
      <c r="C474" s="1">
        <v>0</v>
      </c>
      <c r="D474" s="1">
        <v>100</v>
      </c>
      <c r="E474" s="1">
        <f t="shared" si="7"/>
        <v>0</v>
      </c>
    </row>
    <row r="475" spans="3:5" x14ac:dyDescent="0.15">
      <c r="C475" s="1">
        <v>5</v>
      </c>
      <c r="D475" s="1">
        <v>100</v>
      </c>
      <c r="E475" s="1">
        <f t="shared" si="7"/>
        <v>0.05</v>
      </c>
    </row>
    <row r="476" spans="3:5" x14ac:dyDescent="0.15">
      <c r="C476" s="1">
        <v>0</v>
      </c>
      <c r="D476" s="1">
        <v>100</v>
      </c>
      <c r="E476" s="1">
        <f t="shared" si="7"/>
        <v>0</v>
      </c>
    </row>
    <row r="477" spans="3:5" x14ac:dyDescent="0.15">
      <c r="C477" s="1">
        <v>0</v>
      </c>
      <c r="D477" s="1">
        <v>100</v>
      </c>
      <c r="E477" s="1">
        <f t="shared" si="7"/>
        <v>0</v>
      </c>
    </row>
    <row r="478" spans="3:5" x14ac:dyDescent="0.15">
      <c r="C478" s="1">
        <v>10</v>
      </c>
      <c r="D478" s="1">
        <v>100</v>
      </c>
      <c r="E478" s="1">
        <f t="shared" si="7"/>
        <v>0.1</v>
      </c>
    </row>
    <row r="479" spans="3:5" x14ac:dyDescent="0.15">
      <c r="C479" s="1">
        <v>10</v>
      </c>
      <c r="D479" s="1">
        <v>100</v>
      </c>
      <c r="E479" s="1">
        <f t="shared" si="7"/>
        <v>0.1</v>
      </c>
    </row>
    <row r="480" spans="3:5" x14ac:dyDescent="0.15">
      <c r="C480" s="1">
        <v>0</v>
      </c>
      <c r="D480" s="1">
        <v>100</v>
      </c>
      <c r="E480" s="1">
        <f t="shared" si="7"/>
        <v>0</v>
      </c>
    </row>
    <row r="481" spans="3:5" x14ac:dyDescent="0.15">
      <c r="C481" s="1">
        <v>0</v>
      </c>
      <c r="D481" s="1">
        <v>100</v>
      </c>
      <c r="E481" s="1">
        <f t="shared" si="7"/>
        <v>0</v>
      </c>
    </row>
    <row r="482" spans="3:5" x14ac:dyDescent="0.15">
      <c r="C482" s="1">
        <v>0</v>
      </c>
      <c r="D482" s="1">
        <v>100</v>
      </c>
      <c r="E482" s="1">
        <f t="shared" si="7"/>
        <v>0</v>
      </c>
    </row>
    <row r="483" spans="3:5" x14ac:dyDescent="0.15">
      <c r="C483" s="1">
        <v>0</v>
      </c>
      <c r="D483" s="1">
        <v>100</v>
      </c>
      <c r="E483" s="1">
        <f t="shared" si="7"/>
        <v>0</v>
      </c>
    </row>
    <row r="484" spans="3:5" x14ac:dyDescent="0.15">
      <c r="C484" s="1">
        <v>0</v>
      </c>
      <c r="D484" s="1">
        <v>100</v>
      </c>
      <c r="E484" s="1">
        <f t="shared" si="7"/>
        <v>0</v>
      </c>
    </row>
    <row r="485" spans="3:5" x14ac:dyDescent="0.15">
      <c r="C485" s="1">
        <v>100</v>
      </c>
      <c r="D485" s="1">
        <v>100</v>
      </c>
      <c r="E485" s="1">
        <f t="shared" si="7"/>
        <v>1</v>
      </c>
    </row>
    <row r="486" spans="3:5" x14ac:dyDescent="0.15">
      <c r="C486" s="1">
        <v>60</v>
      </c>
      <c r="D486" s="1">
        <v>100</v>
      </c>
      <c r="E486" s="1">
        <f t="shared" si="7"/>
        <v>0.6</v>
      </c>
    </row>
    <row r="487" spans="3:5" x14ac:dyDescent="0.15">
      <c r="C487" s="1">
        <v>0</v>
      </c>
      <c r="D487" s="1">
        <v>100</v>
      </c>
      <c r="E487" s="1">
        <f t="shared" si="7"/>
        <v>0</v>
      </c>
    </row>
    <row r="488" spans="3:5" x14ac:dyDescent="0.15">
      <c r="C488" s="1">
        <v>0</v>
      </c>
      <c r="D488" s="1">
        <v>100</v>
      </c>
      <c r="E488" s="1">
        <f t="shared" si="7"/>
        <v>0</v>
      </c>
    </row>
    <row r="489" spans="3:5" x14ac:dyDescent="0.15">
      <c r="C489" s="1">
        <v>0</v>
      </c>
      <c r="D489" s="1">
        <v>100</v>
      </c>
      <c r="E489" s="1">
        <f t="shared" si="7"/>
        <v>0</v>
      </c>
    </row>
    <row r="490" spans="3:5" x14ac:dyDescent="0.15">
      <c r="C490" s="1">
        <v>10</v>
      </c>
      <c r="D490" s="1">
        <v>100</v>
      </c>
      <c r="E490" s="1">
        <f t="shared" si="7"/>
        <v>0.1</v>
      </c>
    </row>
    <row r="491" spans="3:5" x14ac:dyDescent="0.15">
      <c r="C491" s="1">
        <v>0</v>
      </c>
      <c r="D491" s="1">
        <v>100</v>
      </c>
      <c r="E491" s="1">
        <f t="shared" si="7"/>
        <v>0</v>
      </c>
    </row>
    <row r="492" spans="3:5" x14ac:dyDescent="0.15">
      <c r="C492" s="1">
        <v>0</v>
      </c>
      <c r="D492" s="1">
        <v>100</v>
      </c>
      <c r="E492" s="1">
        <f t="shared" si="7"/>
        <v>0</v>
      </c>
    </row>
    <row r="493" spans="3:5" x14ac:dyDescent="0.15">
      <c r="C493" s="1">
        <v>10</v>
      </c>
      <c r="D493" s="1">
        <v>100</v>
      </c>
      <c r="E493" s="1">
        <f t="shared" si="7"/>
        <v>0.1</v>
      </c>
    </row>
    <row r="494" spans="3:5" x14ac:dyDescent="0.15">
      <c r="C494" s="1">
        <v>0</v>
      </c>
      <c r="D494" s="1">
        <v>100</v>
      </c>
      <c r="E494" s="1">
        <f t="shared" si="7"/>
        <v>0</v>
      </c>
    </row>
    <row r="495" spans="3:5" x14ac:dyDescent="0.15">
      <c r="C495" s="1">
        <v>0</v>
      </c>
      <c r="D495" s="1">
        <v>100</v>
      </c>
      <c r="E495" s="1">
        <f t="shared" si="7"/>
        <v>0</v>
      </c>
    </row>
    <row r="496" spans="3:5" x14ac:dyDescent="0.15">
      <c r="C496" s="1">
        <v>174</v>
      </c>
      <c r="D496" s="1">
        <v>100</v>
      </c>
      <c r="E496" s="1">
        <f t="shared" si="7"/>
        <v>1.74</v>
      </c>
    </row>
    <row r="497" spans="3:5" x14ac:dyDescent="0.15">
      <c r="C497" s="1">
        <v>0</v>
      </c>
      <c r="D497" s="1">
        <v>100</v>
      </c>
      <c r="E497" s="1">
        <f t="shared" si="7"/>
        <v>0</v>
      </c>
    </row>
    <row r="498" spans="3:5" x14ac:dyDescent="0.15">
      <c r="C498" s="1">
        <v>90</v>
      </c>
      <c r="D498" s="1">
        <v>100</v>
      </c>
      <c r="E498" s="1">
        <f t="shared" si="7"/>
        <v>0.9</v>
      </c>
    </row>
    <row r="499" spans="3:5" x14ac:dyDescent="0.15">
      <c r="C499" s="1">
        <v>15</v>
      </c>
      <c r="D499" s="1">
        <v>100</v>
      </c>
      <c r="E499" s="1">
        <f t="shared" si="7"/>
        <v>0.15</v>
      </c>
    </row>
    <row r="500" spans="3:5" x14ac:dyDescent="0.15">
      <c r="C500" s="1">
        <v>0</v>
      </c>
      <c r="D500" s="1">
        <v>100</v>
      </c>
      <c r="E500" s="1">
        <f t="shared" si="7"/>
        <v>0</v>
      </c>
    </row>
    <row r="501" spans="3:5" x14ac:dyDescent="0.15">
      <c r="C501" s="1">
        <v>0</v>
      </c>
      <c r="D501" s="1">
        <v>100</v>
      </c>
      <c r="E501" s="1">
        <f t="shared" si="7"/>
        <v>0</v>
      </c>
    </row>
    <row r="502" spans="3:5" x14ac:dyDescent="0.15">
      <c r="C502" s="1">
        <v>0</v>
      </c>
      <c r="D502" s="1">
        <v>100</v>
      </c>
      <c r="E502" s="1">
        <f t="shared" si="7"/>
        <v>0</v>
      </c>
    </row>
    <row r="503" spans="3:5" x14ac:dyDescent="0.15">
      <c r="C503" s="1">
        <v>75</v>
      </c>
      <c r="D503" s="1">
        <v>100</v>
      </c>
      <c r="E503" s="1">
        <f t="shared" si="7"/>
        <v>0.75</v>
      </c>
    </row>
    <row r="504" spans="3:5" x14ac:dyDescent="0.15">
      <c r="C504" s="1">
        <v>0</v>
      </c>
      <c r="D504" s="1">
        <v>100</v>
      </c>
      <c r="E504" s="1">
        <f t="shared" si="7"/>
        <v>0</v>
      </c>
    </row>
    <row r="505" spans="3:5" x14ac:dyDescent="0.15">
      <c r="C505" s="1">
        <v>0</v>
      </c>
      <c r="D505" s="1">
        <v>100</v>
      </c>
      <c r="E505" s="1">
        <f t="shared" si="7"/>
        <v>0</v>
      </c>
    </row>
    <row r="506" spans="3:5" x14ac:dyDescent="0.15">
      <c r="C506" s="1">
        <v>0</v>
      </c>
      <c r="D506" s="1">
        <v>100</v>
      </c>
      <c r="E506" s="1">
        <f t="shared" si="7"/>
        <v>0</v>
      </c>
    </row>
    <row r="507" spans="3:5" x14ac:dyDescent="0.15">
      <c r="C507" s="1">
        <v>0</v>
      </c>
      <c r="D507" s="1">
        <v>100</v>
      </c>
      <c r="E507" s="1">
        <f t="shared" si="7"/>
        <v>0</v>
      </c>
    </row>
    <row r="508" spans="3:5" x14ac:dyDescent="0.15">
      <c r="C508" s="1">
        <v>0</v>
      </c>
      <c r="D508" s="1">
        <v>100</v>
      </c>
      <c r="E508" s="1">
        <f t="shared" si="7"/>
        <v>0</v>
      </c>
    </row>
    <row r="509" spans="3:5" x14ac:dyDescent="0.15">
      <c r="C509" s="1">
        <v>5</v>
      </c>
      <c r="D509" s="1">
        <v>100</v>
      </c>
      <c r="E509" s="1">
        <f t="shared" si="7"/>
        <v>0.05</v>
      </c>
    </row>
    <row r="510" spans="3:5" x14ac:dyDescent="0.15">
      <c r="C510" s="1">
        <v>15</v>
      </c>
      <c r="D510" s="1">
        <v>100</v>
      </c>
      <c r="E510" s="1">
        <f t="shared" si="7"/>
        <v>0.15</v>
      </c>
    </row>
    <row r="511" spans="3:5" x14ac:dyDescent="0.15">
      <c r="C511" s="1">
        <v>0</v>
      </c>
      <c r="D511" s="1">
        <v>100</v>
      </c>
      <c r="E511" s="1">
        <f t="shared" si="7"/>
        <v>0</v>
      </c>
    </row>
    <row r="512" spans="3:5" x14ac:dyDescent="0.15">
      <c r="C512" s="1">
        <v>0</v>
      </c>
      <c r="D512" s="1">
        <v>100</v>
      </c>
      <c r="E512" s="1">
        <f t="shared" si="7"/>
        <v>0</v>
      </c>
    </row>
    <row r="513" spans="3:5" x14ac:dyDescent="0.15">
      <c r="C513" s="1">
        <v>0</v>
      </c>
      <c r="D513" s="1">
        <v>100</v>
      </c>
      <c r="E513" s="1">
        <f t="shared" si="7"/>
        <v>0</v>
      </c>
    </row>
    <row r="514" spans="3:5" x14ac:dyDescent="0.15">
      <c r="C514" s="1">
        <v>10</v>
      </c>
      <c r="D514" s="1">
        <v>100</v>
      </c>
      <c r="E514" s="1">
        <f t="shared" si="7"/>
        <v>0.1</v>
      </c>
    </row>
    <row r="515" spans="3:5" x14ac:dyDescent="0.15">
      <c r="C515" s="1">
        <v>0</v>
      </c>
      <c r="D515" s="1">
        <v>100</v>
      </c>
      <c r="E515" s="1">
        <f t="shared" si="7"/>
        <v>0</v>
      </c>
    </row>
    <row r="516" spans="3:5" x14ac:dyDescent="0.15">
      <c r="C516" s="1">
        <v>0</v>
      </c>
      <c r="D516" s="1">
        <v>100</v>
      </c>
      <c r="E516" s="1">
        <f t="shared" ref="E516:E579" si="8">C516/D516</f>
        <v>0</v>
      </c>
    </row>
    <row r="517" spans="3:5" x14ac:dyDescent="0.15">
      <c r="C517" s="1">
        <v>0</v>
      </c>
      <c r="D517" s="1">
        <v>100</v>
      </c>
      <c r="E517" s="1">
        <f t="shared" si="8"/>
        <v>0</v>
      </c>
    </row>
    <row r="518" spans="3:5" x14ac:dyDescent="0.15">
      <c r="C518" s="1">
        <v>10</v>
      </c>
      <c r="D518" s="1">
        <v>100</v>
      </c>
      <c r="E518" s="1">
        <f t="shared" si="8"/>
        <v>0.1</v>
      </c>
    </row>
    <row r="519" spans="3:5" x14ac:dyDescent="0.15">
      <c r="C519" s="1">
        <v>0</v>
      </c>
      <c r="D519" s="1">
        <v>100</v>
      </c>
      <c r="E519" s="1">
        <f t="shared" si="8"/>
        <v>0</v>
      </c>
    </row>
    <row r="520" spans="3:5" x14ac:dyDescent="0.15">
      <c r="C520" s="1">
        <v>0</v>
      </c>
      <c r="D520" s="1">
        <v>100</v>
      </c>
      <c r="E520" s="1">
        <f t="shared" si="8"/>
        <v>0</v>
      </c>
    </row>
    <row r="521" spans="3:5" x14ac:dyDescent="0.15">
      <c r="C521" s="1">
        <v>0</v>
      </c>
      <c r="D521" s="1">
        <v>100</v>
      </c>
      <c r="E521" s="1">
        <f t="shared" si="8"/>
        <v>0</v>
      </c>
    </row>
    <row r="522" spans="3:5" x14ac:dyDescent="0.15">
      <c r="C522" s="1">
        <v>0</v>
      </c>
      <c r="D522" s="1">
        <v>100</v>
      </c>
      <c r="E522" s="1">
        <f t="shared" si="8"/>
        <v>0</v>
      </c>
    </row>
    <row r="523" spans="3:5" x14ac:dyDescent="0.15">
      <c r="C523" s="1">
        <v>0</v>
      </c>
      <c r="D523" s="1">
        <v>100</v>
      </c>
      <c r="E523" s="1">
        <f t="shared" si="8"/>
        <v>0</v>
      </c>
    </row>
    <row r="524" spans="3:5" x14ac:dyDescent="0.15">
      <c r="C524" s="1">
        <v>60</v>
      </c>
      <c r="D524" s="1">
        <v>100</v>
      </c>
      <c r="E524" s="1">
        <f t="shared" si="8"/>
        <v>0.6</v>
      </c>
    </row>
    <row r="525" spans="3:5" x14ac:dyDescent="0.15">
      <c r="C525" s="1">
        <v>0</v>
      </c>
      <c r="D525" s="1">
        <v>100</v>
      </c>
      <c r="E525" s="1">
        <f t="shared" si="8"/>
        <v>0</v>
      </c>
    </row>
    <row r="526" spans="3:5" x14ac:dyDescent="0.15">
      <c r="C526" s="1">
        <v>0</v>
      </c>
      <c r="D526" s="1">
        <v>100</v>
      </c>
      <c r="E526" s="1">
        <f t="shared" si="8"/>
        <v>0</v>
      </c>
    </row>
    <row r="527" spans="3:5" x14ac:dyDescent="0.15">
      <c r="C527" s="1">
        <v>0</v>
      </c>
      <c r="D527" s="1">
        <v>100</v>
      </c>
      <c r="E527" s="1">
        <f t="shared" si="8"/>
        <v>0</v>
      </c>
    </row>
    <row r="528" spans="3:5" x14ac:dyDescent="0.15">
      <c r="C528" s="1">
        <v>0</v>
      </c>
      <c r="D528" s="1">
        <v>100</v>
      </c>
      <c r="E528" s="1">
        <f t="shared" si="8"/>
        <v>0</v>
      </c>
    </row>
    <row r="529" spans="3:5" x14ac:dyDescent="0.15">
      <c r="C529" s="1">
        <v>0</v>
      </c>
      <c r="D529" s="1">
        <v>100</v>
      </c>
      <c r="E529" s="1">
        <f t="shared" si="8"/>
        <v>0</v>
      </c>
    </row>
    <row r="530" spans="3:5" x14ac:dyDescent="0.15">
      <c r="C530" s="1">
        <v>0</v>
      </c>
      <c r="D530" s="1">
        <v>100</v>
      </c>
      <c r="E530" s="1">
        <f t="shared" si="8"/>
        <v>0</v>
      </c>
    </row>
    <row r="531" spans="3:5" x14ac:dyDescent="0.15">
      <c r="C531" s="1">
        <v>0</v>
      </c>
      <c r="D531" s="1">
        <v>100</v>
      </c>
      <c r="E531" s="1">
        <f t="shared" si="8"/>
        <v>0</v>
      </c>
    </row>
    <row r="532" spans="3:5" x14ac:dyDescent="0.15">
      <c r="C532" s="1">
        <v>30</v>
      </c>
      <c r="D532" s="1">
        <v>100</v>
      </c>
      <c r="E532" s="1">
        <f t="shared" si="8"/>
        <v>0.3</v>
      </c>
    </row>
    <row r="533" spans="3:5" x14ac:dyDescent="0.15">
      <c r="C533" s="1">
        <v>60</v>
      </c>
      <c r="D533" s="1">
        <v>100</v>
      </c>
      <c r="E533" s="1">
        <f t="shared" si="8"/>
        <v>0.6</v>
      </c>
    </row>
    <row r="534" spans="3:5" x14ac:dyDescent="0.15">
      <c r="C534" s="1">
        <v>48</v>
      </c>
      <c r="D534" s="1">
        <v>100</v>
      </c>
      <c r="E534" s="1">
        <f t="shared" si="8"/>
        <v>0.48</v>
      </c>
    </row>
    <row r="535" spans="3:5" x14ac:dyDescent="0.15">
      <c r="C535" s="1">
        <v>330</v>
      </c>
      <c r="D535" s="1">
        <v>100</v>
      </c>
      <c r="E535" s="1">
        <f t="shared" si="8"/>
        <v>3.3</v>
      </c>
    </row>
    <row r="536" spans="3:5" x14ac:dyDescent="0.15">
      <c r="C536" s="1">
        <v>10</v>
      </c>
      <c r="D536" s="1">
        <v>100</v>
      </c>
      <c r="E536" s="1">
        <f t="shared" si="8"/>
        <v>0.1</v>
      </c>
    </row>
    <row r="537" spans="3:5" x14ac:dyDescent="0.15">
      <c r="C537" s="1">
        <v>230</v>
      </c>
      <c r="D537" s="1">
        <v>80</v>
      </c>
      <c r="E537" s="1">
        <f t="shared" si="8"/>
        <v>2.875</v>
      </c>
    </row>
    <row r="538" spans="3:5" x14ac:dyDescent="0.15">
      <c r="C538" s="1">
        <v>60</v>
      </c>
      <c r="D538" s="1">
        <v>80</v>
      </c>
      <c r="E538" s="1">
        <f t="shared" si="8"/>
        <v>0.75</v>
      </c>
    </row>
    <row r="539" spans="3:5" x14ac:dyDescent="0.15">
      <c r="C539" s="1">
        <v>0</v>
      </c>
      <c r="D539" s="1">
        <v>80</v>
      </c>
      <c r="E539" s="1">
        <f t="shared" si="8"/>
        <v>0</v>
      </c>
    </row>
    <row r="540" spans="3:5" x14ac:dyDescent="0.15">
      <c r="C540" s="1">
        <v>30</v>
      </c>
      <c r="D540" s="1">
        <v>80</v>
      </c>
      <c r="E540" s="1">
        <f t="shared" si="8"/>
        <v>0.375</v>
      </c>
    </row>
    <row r="541" spans="3:5" x14ac:dyDescent="0.15">
      <c r="C541" s="1">
        <v>30</v>
      </c>
      <c r="D541" s="1">
        <v>80</v>
      </c>
      <c r="E541" s="1">
        <f t="shared" si="8"/>
        <v>0.375</v>
      </c>
    </row>
    <row r="542" spans="3:5" x14ac:dyDescent="0.15">
      <c r="C542" s="1">
        <v>0</v>
      </c>
      <c r="D542" s="1">
        <v>80</v>
      </c>
      <c r="E542" s="1">
        <f t="shared" si="8"/>
        <v>0</v>
      </c>
    </row>
    <row r="543" spans="3:5" x14ac:dyDescent="0.15">
      <c r="C543" s="1">
        <v>0</v>
      </c>
      <c r="D543" s="1">
        <v>80</v>
      </c>
      <c r="E543" s="1">
        <f t="shared" si="8"/>
        <v>0</v>
      </c>
    </row>
    <row r="544" spans="3:5" x14ac:dyDescent="0.15">
      <c r="C544" s="1">
        <v>100</v>
      </c>
      <c r="D544" s="1">
        <v>80</v>
      </c>
      <c r="E544" s="1">
        <f t="shared" si="8"/>
        <v>1.25</v>
      </c>
    </row>
    <row r="545" spans="3:5" x14ac:dyDescent="0.15">
      <c r="C545" s="1">
        <v>225</v>
      </c>
      <c r="D545" s="1">
        <v>80</v>
      </c>
      <c r="E545" s="1">
        <f t="shared" si="8"/>
        <v>2.8125</v>
      </c>
    </row>
    <row r="546" spans="3:5" x14ac:dyDescent="0.15">
      <c r="C546" s="1">
        <v>195</v>
      </c>
      <c r="D546" s="1">
        <v>80</v>
      </c>
      <c r="E546" s="1">
        <f t="shared" si="8"/>
        <v>2.4375</v>
      </c>
    </row>
    <row r="547" spans="3:5" x14ac:dyDescent="0.15">
      <c r="C547" s="1">
        <v>0</v>
      </c>
      <c r="D547" s="1">
        <v>80</v>
      </c>
      <c r="E547" s="1">
        <f t="shared" si="8"/>
        <v>0</v>
      </c>
    </row>
    <row r="548" spans="3:5" x14ac:dyDescent="0.15">
      <c r="C548" s="1">
        <v>0</v>
      </c>
      <c r="D548" s="1">
        <v>80</v>
      </c>
      <c r="E548" s="1">
        <f t="shared" si="8"/>
        <v>0</v>
      </c>
    </row>
    <row r="549" spans="3:5" x14ac:dyDescent="0.15">
      <c r="C549" s="1">
        <v>105</v>
      </c>
      <c r="D549" s="1">
        <v>80</v>
      </c>
      <c r="E549" s="1">
        <f t="shared" si="8"/>
        <v>1.3125</v>
      </c>
    </row>
    <row r="550" spans="3:5" x14ac:dyDescent="0.15">
      <c r="C550" s="1">
        <v>10</v>
      </c>
      <c r="D550" s="1">
        <v>80</v>
      </c>
      <c r="E550" s="1">
        <f t="shared" si="8"/>
        <v>0.125</v>
      </c>
    </row>
    <row r="551" spans="3:5" x14ac:dyDescent="0.15">
      <c r="C551" s="1">
        <v>40</v>
      </c>
      <c r="D551" s="1">
        <v>80</v>
      </c>
      <c r="E551" s="1">
        <f t="shared" si="8"/>
        <v>0.5</v>
      </c>
    </row>
    <row r="552" spans="3:5" x14ac:dyDescent="0.15">
      <c r="C552" s="1">
        <v>0</v>
      </c>
      <c r="D552" s="1">
        <v>80</v>
      </c>
      <c r="E552" s="1">
        <f t="shared" si="8"/>
        <v>0</v>
      </c>
    </row>
    <row r="553" spans="3:5" x14ac:dyDescent="0.15">
      <c r="C553" s="1">
        <v>105</v>
      </c>
      <c r="D553" s="1">
        <v>80</v>
      </c>
      <c r="E553" s="1">
        <f t="shared" si="8"/>
        <v>1.3125</v>
      </c>
    </row>
    <row r="554" spans="3:5" x14ac:dyDescent="0.15">
      <c r="C554" s="1">
        <v>105</v>
      </c>
      <c r="D554" s="1">
        <v>80</v>
      </c>
      <c r="E554" s="1">
        <f t="shared" si="8"/>
        <v>1.3125</v>
      </c>
    </row>
    <row r="555" spans="3:5" x14ac:dyDescent="0.15">
      <c r="C555" s="1">
        <v>0</v>
      </c>
      <c r="D555" s="1">
        <v>80</v>
      </c>
      <c r="E555" s="1">
        <f t="shared" si="8"/>
        <v>0</v>
      </c>
    </row>
    <row r="556" spans="3:5" x14ac:dyDescent="0.15">
      <c r="C556" s="1">
        <v>10</v>
      </c>
      <c r="D556" s="1">
        <v>80</v>
      </c>
      <c r="E556" s="1">
        <f t="shared" si="8"/>
        <v>0.125</v>
      </c>
    </row>
    <row r="557" spans="3:5" x14ac:dyDescent="0.15">
      <c r="C557" s="1">
        <v>0</v>
      </c>
      <c r="D557" s="1">
        <v>80</v>
      </c>
      <c r="E557" s="1">
        <f t="shared" si="8"/>
        <v>0</v>
      </c>
    </row>
    <row r="558" spans="3:5" x14ac:dyDescent="0.15">
      <c r="C558" s="1">
        <v>0</v>
      </c>
      <c r="D558" s="1">
        <v>80</v>
      </c>
      <c r="E558" s="1">
        <f t="shared" si="8"/>
        <v>0</v>
      </c>
    </row>
    <row r="559" spans="3:5" x14ac:dyDescent="0.15">
      <c r="C559" s="1">
        <v>240</v>
      </c>
      <c r="D559" s="1">
        <v>80</v>
      </c>
      <c r="E559" s="1">
        <f t="shared" si="8"/>
        <v>3</v>
      </c>
    </row>
    <row r="560" spans="3:5" x14ac:dyDescent="0.15">
      <c r="C560" s="1">
        <v>0</v>
      </c>
      <c r="D560" s="1">
        <v>80</v>
      </c>
      <c r="E560" s="1">
        <f t="shared" si="8"/>
        <v>0</v>
      </c>
    </row>
    <row r="561" spans="3:5" x14ac:dyDescent="0.15">
      <c r="C561" s="1">
        <v>0</v>
      </c>
      <c r="D561" s="1">
        <v>80</v>
      </c>
      <c r="E561" s="1">
        <f t="shared" si="8"/>
        <v>0</v>
      </c>
    </row>
    <row r="562" spans="3:5" x14ac:dyDescent="0.15">
      <c r="C562" s="1">
        <v>0</v>
      </c>
      <c r="D562" s="1">
        <v>80</v>
      </c>
      <c r="E562" s="1">
        <f t="shared" si="8"/>
        <v>0</v>
      </c>
    </row>
    <row r="563" spans="3:5" x14ac:dyDescent="0.15">
      <c r="C563" s="1">
        <v>0</v>
      </c>
      <c r="D563" s="1">
        <v>80</v>
      </c>
      <c r="E563" s="1">
        <f t="shared" si="8"/>
        <v>0</v>
      </c>
    </row>
    <row r="564" spans="3:5" x14ac:dyDescent="0.15">
      <c r="C564" s="1">
        <v>0</v>
      </c>
      <c r="D564" s="1">
        <v>80</v>
      </c>
      <c r="E564" s="1">
        <f t="shared" si="8"/>
        <v>0</v>
      </c>
    </row>
    <row r="565" spans="3:5" x14ac:dyDescent="0.15">
      <c r="C565" s="1">
        <v>0</v>
      </c>
      <c r="D565" s="1">
        <v>80</v>
      </c>
      <c r="E565" s="1">
        <f t="shared" si="8"/>
        <v>0</v>
      </c>
    </row>
    <row r="566" spans="3:5" x14ac:dyDescent="0.15">
      <c r="C566" s="1">
        <v>0</v>
      </c>
      <c r="D566" s="1">
        <v>80</v>
      </c>
      <c r="E566" s="1">
        <f t="shared" si="8"/>
        <v>0</v>
      </c>
    </row>
    <row r="567" spans="3:5" x14ac:dyDescent="0.15">
      <c r="C567" s="1">
        <v>0</v>
      </c>
      <c r="D567" s="1">
        <v>65</v>
      </c>
      <c r="E567" s="1">
        <f t="shared" si="8"/>
        <v>0</v>
      </c>
    </row>
    <row r="568" spans="3:5" x14ac:dyDescent="0.15">
      <c r="C568" s="1">
        <v>240</v>
      </c>
      <c r="D568" s="1">
        <v>65</v>
      </c>
      <c r="E568" s="1">
        <f t="shared" si="8"/>
        <v>3.6923076923076925</v>
      </c>
    </row>
    <row r="569" spans="3:5" x14ac:dyDescent="0.15">
      <c r="C569" s="1">
        <v>0</v>
      </c>
      <c r="D569" s="1">
        <v>65</v>
      </c>
      <c r="E569" s="1">
        <f t="shared" si="8"/>
        <v>0</v>
      </c>
    </row>
    <row r="570" spans="3:5" x14ac:dyDescent="0.15">
      <c r="C570" s="1">
        <v>0</v>
      </c>
      <c r="D570" s="1">
        <v>65</v>
      </c>
      <c r="E570" s="1">
        <f t="shared" si="8"/>
        <v>0</v>
      </c>
    </row>
    <row r="571" spans="3:5" x14ac:dyDescent="0.15">
      <c r="C571" s="1">
        <v>0</v>
      </c>
      <c r="D571" s="1">
        <v>65</v>
      </c>
      <c r="E571" s="1">
        <f t="shared" si="8"/>
        <v>0</v>
      </c>
    </row>
    <row r="572" spans="3:5" x14ac:dyDescent="0.15">
      <c r="C572" s="1">
        <v>0</v>
      </c>
      <c r="D572" s="1">
        <v>65</v>
      </c>
      <c r="E572" s="1">
        <f t="shared" si="8"/>
        <v>0</v>
      </c>
    </row>
    <row r="573" spans="3:5" x14ac:dyDescent="0.15">
      <c r="C573" s="1">
        <v>0</v>
      </c>
      <c r="D573" s="1">
        <v>65</v>
      </c>
      <c r="E573" s="1">
        <f t="shared" si="8"/>
        <v>0</v>
      </c>
    </row>
    <row r="574" spans="3:5" x14ac:dyDescent="0.15">
      <c r="C574" s="1">
        <v>0</v>
      </c>
      <c r="D574" s="1">
        <v>65</v>
      </c>
      <c r="E574" s="1">
        <f t="shared" si="8"/>
        <v>0</v>
      </c>
    </row>
    <row r="575" spans="3:5" x14ac:dyDescent="0.15">
      <c r="C575" s="1">
        <v>0</v>
      </c>
      <c r="D575" s="1">
        <v>65</v>
      </c>
      <c r="E575" s="1">
        <f t="shared" si="8"/>
        <v>0</v>
      </c>
    </row>
    <row r="576" spans="3:5" x14ac:dyDescent="0.15">
      <c r="C576" s="1">
        <v>0</v>
      </c>
      <c r="D576" s="1">
        <v>65</v>
      </c>
      <c r="E576" s="1">
        <f t="shared" si="8"/>
        <v>0</v>
      </c>
    </row>
    <row r="577" spans="3:5" x14ac:dyDescent="0.15">
      <c r="C577" s="1">
        <v>0</v>
      </c>
      <c r="D577" s="1">
        <v>65</v>
      </c>
      <c r="E577" s="1">
        <f t="shared" si="8"/>
        <v>0</v>
      </c>
    </row>
    <row r="578" spans="3:5" x14ac:dyDescent="0.15">
      <c r="C578" s="1">
        <v>0</v>
      </c>
      <c r="D578" s="1">
        <v>65</v>
      </c>
      <c r="E578" s="1">
        <f t="shared" si="8"/>
        <v>0</v>
      </c>
    </row>
    <row r="579" spans="3:5" x14ac:dyDescent="0.15">
      <c r="C579" s="1">
        <v>0</v>
      </c>
      <c r="D579" s="1">
        <v>65</v>
      </c>
      <c r="E579" s="1">
        <f t="shared" si="8"/>
        <v>0</v>
      </c>
    </row>
    <row r="580" spans="3:5" x14ac:dyDescent="0.15">
      <c r="C580" s="1">
        <v>0</v>
      </c>
      <c r="D580" s="1">
        <v>65</v>
      </c>
      <c r="E580" s="1">
        <f t="shared" ref="E580:E614" si="9">C580/D580</f>
        <v>0</v>
      </c>
    </row>
    <row r="581" spans="3:5" x14ac:dyDescent="0.15">
      <c r="C581" s="1">
        <v>0</v>
      </c>
      <c r="D581" s="1">
        <v>65</v>
      </c>
      <c r="E581" s="1">
        <f t="shared" si="9"/>
        <v>0</v>
      </c>
    </row>
    <row r="582" spans="3:5" x14ac:dyDescent="0.15">
      <c r="C582" s="1">
        <v>90</v>
      </c>
      <c r="D582" s="1">
        <v>65</v>
      </c>
      <c r="E582" s="1">
        <f t="shared" si="9"/>
        <v>1.3846153846153846</v>
      </c>
    </row>
    <row r="583" spans="3:5" x14ac:dyDescent="0.15">
      <c r="C583" s="1">
        <v>0</v>
      </c>
      <c r="D583" s="1">
        <v>65</v>
      </c>
      <c r="E583" s="1">
        <f t="shared" si="9"/>
        <v>0</v>
      </c>
    </row>
    <row r="584" spans="3:5" x14ac:dyDescent="0.15">
      <c r="C584" s="1">
        <v>0</v>
      </c>
      <c r="D584" s="1">
        <v>160</v>
      </c>
      <c r="E584" s="1">
        <f t="shared" si="9"/>
        <v>0</v>
      </c>
    </row>
    <row r="585" spans="3:5" x14ac:dyDescent="0.15">
      <c r="C585" s="1">
        <v>0</v>
      </c>
      <c r="D585" s="1">
        <v>160</v>
      </c>
      <c r="E585" s="1">
        <f t="shared" si="9"/>
        <v>0</v>
      </c>
    </row>
    <row r="586" spans="3:5" x14ac:dyDescent="0.15">
      <c r="C586" s="1">
        <v>120</v>
      </c>
      <c r="D586" s="1">
        <v>160</v>
      </c>
      <c r="E586" s="1">
        <f t="shared" si="9"/>
        <v>0.75</v>
      </c>
    </row>
    <row r="587" spans="3:5" x14ac:dyDescent="0.15">
      <c r="C587" s="1">
        <v>90</v>
      </c>
      <c r="D587" s="1">
        <v>160</v>
      </c>
      <c r="E587" s="1">
        <f t="shared" si="9"/>
        <v>0.5625</v>
      </c>
    </row>
    <row r="588" spans="3:5" x14ac:dyDescent="0.15">
      <c r="C588" s="1">
        <v>90</v>
      </c>
      <c r="D588" s="1">
        <v>160</v>
      </c>
      <c r="E588" s="1">
        <f t="shared" si="9"/>
        <v>0.5625</v>
      </c>
    </row>
    <row r="589" spans="3:5" x14ac:dyDescent="0.15">
      <c r="C589" s="1">
        <v>80</v>
      </c>
      <c r="D589" s="1">
        <v>160</v>
      </c>
      <c r="E589" s="1">
        <f t="shared" si="9"/>
        <v>0.5</v>
      </c>
    </row>
    <row r="590" spans="3:5" x14ac:dyDescent="0.15">
      <c r="C590" s="1">
        <v>360</v>
      </c>
      <c r="D590" s="1">
        <v>160</v>
      </c>
      <c r="E590" s="1">
        <f t="shared" si="9"/>
        <v>2.25</v>
      </c>
    </row>
    <row r="591" spans="3:5" x14ac:dyDescent="0.15">
      <c r="C591" s="1">
        <v>0</v>
      </c>
      <c r="D591" s="1">
        <v>160</v>
      </c>
      <c r="E591" s="1">
        <f t="shared" si="9"/>
        <v>0</v>
      </c>
    </row>
    <row r="592" spans="3:5" x14ac:dyDescent="0.15">
      <c r="C592" s="1">
        <v>0</v>
      </c>
      <c r="D592" s="1">
        <v>160</v>
      </c>
      <c r="E592" s="1">
        <f t="shared" si="9"/>
        <v>0</v>
      </c>
    </row>
    <row r="593" spans="3:5" x14ac:dyDescent="0.15">
      <c r="C593" s="1">
        <v>0</v>
      </c>
      <c r="D593" s="1">
        <v>160</v>
      </c>
      <c r="E593" s="1">
        <f t="shared" si="9"/>
        <v>0</v>
      </c>
    </row>
    <row r="594" spans="3:5" x14ac:dyDescent="0.15">
      <c r="C594" s="1">
        <v>320</v>
      </c>
      <c r="D594" s="1">
        <v>160</v>
      </c>
      <c r="E594" s="1">
        <f t="shared" si="9"/>
        <v>2</v>
      </c>
    </row>
    <row r="595" spans="3:5" x14ac:dyDescent="0.15">
      <c r="C595" s="1">
        <v>16</v>
      </c>
      <c r="D595" s="1">
        <v>160</v>
      </c>
      <c r="E595" s="1">
        <f t="shared" si="9"/>
        <v>0.1</v>
      </c>
    </row>
    <row r="596" spans="3:5" x14ac:dyDescent="0.15">
      <c r="C596" s="1">
        <v>20</v>
      </c>
      <c r="D596" s="1">
        <v>160</v>
      </c>
      <c r="E596" s="1">
        <f t="shared" si="9"/>
        <v>0.125</v>
      </c>
    </row>
    <row r="597" spans="3:5" x14ac:dyDescent="0.15">
      <c r="C597" s="1">
        <v>0</v>
      </c>
      <c r="D597" s="1">
        <v>160</v>
      </c>
      <c r="E597" s="1">
        <f t="shared" si="9"/>
        <v>0</v>
      </c>
    </row>
    <row r="598" spans="3:5" x14ac:dyDescent="0.15">
      <c r="C598" s="1">
        <v>0</v>
      </c>
      <c r="D598" s="1">
        <v>160</v>
      </c>
      <c r="E598" s="1">
        <f t="shared" si="9"/>
        <v>0</v>
      </c>
    </row>
    <row r="599" spans="3:5" x14ac:dyDescent="0.15">
      <c r="C599" s="1">
        <v>80</v>
      </c>
      <c r="D599" s="1">
        <v>160</v>
      </c>
      <c r="E599" s="1">
        <f t="shared" si="9"/>
        <v>0.5</v>
      </c>
    </row>
    <row r="600" spans="3:5" x14ac:dyDescent="0.15">
      <c r="C600" s="1">
        <v>0</v>
      </c>
      <c r="D600" s="1">
        <v>160</v>
      </c>
      <c r="E600" s="1">
        <f t="shared" si="9"/>
        <v>0</v>
      </c>
    </row>
    <row r="601" spans="3:5" x14ac:dyDescent="0.15">
      <c r="C601" s="1">
        <v>60</v>
      </c>
      <c r="D601" s="1">
        <v>160</v>
      </c>
      <c r="E601" s="1">
        <f t="shared" si="9"/>
        <v>0.375</v>
      </c>
    </row>
    <row r="602" spans="3:5" x14ac:dyDescent="0.15">
      <c r="C602" s="1">
        <v>0</v>
      </c>
      <c r="D602" s="1">
        <v>160</v>
      </c>
      <c r="E602" s="1">
        <f t="shared" si="9"/>
        <v>0</v>
      </c>
    </row>
    <row r="603" spans="3:5" x14ac:dyDescent="0.15">
      <c r="C603" s="1">
        <v>0</v>
      </c>
      <c r="D603" s="1">
        <v>160</v>
      </c>
      <c r="E603" s="1">
        <f t="shared" si="9"/>
        <v>0</v>
      </c>
    </row>
    <row r="604" spans="3:5" x14ac:dyDescent="0.15">
      <c r="C604" s="1">
        <v>10</v>
      </c>
      <c r="D604" s="1">
        <v>160</v>
      </c>
      <c r="E604" s="1">
        <f t="shared" si="9"/>
        <v>6.25E-2</v>
      </c>
    </row>
    <row r="605" spans="3:5" x14ac:dyDescent="0.15">
      <c r="C605" s="1">
        <v>0</v>
      </c>
      <c r="D605" s="1">
        <v>160</v>
      </c>
      <c r="E605" s="1">
        <f t="shared" si="9"/>
        <v>0</v>
      </c>
    </row>
    <row r="606" spans="3:5" x14ac:dyDescent="0.15">
      <c r="C606" s="1">
        <v>0</v>
      </c>
      <c r="D606" s="1">
        <v>160</v>
      </c>
      <c r="E606" s="1">
        <f t="shared" si="9"/>
        <v>0</v>
      </c>
    </row>
    <row r="607" spans="3:5" x14ac:dyDescent="0.15">
      <c r="C607" s="1">
        <v>0</v>
      </c>
      <c r="D607" s="1">
        <v>160</v>
      </c>
      <c r="E607" s="1">
        <f t="shared" si="9"/>
        <v>0</v>
      </c>
    </row>
    <row r="608" spans="3:5" x14ac:dyDescent="0.15">
      <c r="C608" s="1">
        <v>0</v>
      </c>
      <c r="D608" s="1">
        <v>160</v>
      </c>
      <c r="E608" s="1">
        <f t="shared" si="9"/>
        <v>0</v>
      </c>
    </row>
    <row r="609" spans="3:5" x14ac:dyDescent="0.15">
      <c r="C609" s="1">
        <v>10</v>
      </c>
      <c r="D609" s="1">
        <v>160</v>
      </c>
      <c r="E609" s="1">
        <f t="shared" si="9"/>
        <v>6.25E-2</v>
      </c>
    </row>
    <row r="610" spans="3:5" x14ac:dyDescent="0.15">
      <c r="C610" s="1">
        <v>180</v>
      </c>
      <c r="D610" s="1">
        <v>200</v>
      </c>
      <c r="E610" s="1">
        <f t="shared" si="9"/>
        <v>0.9</v>
      </c>
    </row>
    <row r="611" spans="3:5" x14ac:dyDescent="0.15">
      <c r="C611" s="1">
        <v>180</v>
      </c>
      <c r="D611" s="1">
        <v>200</v>
      </c>
      <c r="E611" s="1">
        <f t="shared" si="9"/>
        <v>0.9</v>
      </c>
    </row>
    <row r="612" spans="3:5" x14ac:dyDescent="0.15">
      <c r="C612" s="1">
        <v>0</v>
      </c>
      <c r="D612" s="1">
        <v>200</v>
      </c>
      <c r="E612" s="1">
        <f t="shared" si="9"/>
        <v>0</v>
      </c>
    </row>
    <row r="613" spans="3:5" x14ac:dyDescent="0.15">
      <c r="C613" s="1">
        <v>0</v>
      </c>
      <c r="D613" s="1">
        <v>200</v>
      </c>
      <c r="E613" s="1">
        <f t="shared" si="9"/>
        <v>0</v>
      </c>
    </row>
    <row r="614" spans="3:5" x14ac:dyDescent="0.15">
      <c r="C614" s="1">
        <v>0</v>
      </c>
      <c r="D614" s="1">
        <v>100</v>
      </c>
      <c r="E614" s="1">
        <f t="shared" si="9"/>
        <v>0</v>
      </c>
    </row>
    <row r="615" spans="3:5" x14ac:dyDescent="0.15">
      <c r="C615" s="1">
        <v>80</v>
      </c>
      <c r="D615" s="1">
        <v>100</v>
      </c>
    </row>
    <row r="616" spans="3:5" x14ac:dyDescent="0.15">
      <c r="C616" s="1">
        <v>60</v>
      </c>
      <c r="D616" s="1">
        <v>100</v>
      </c>
    </row>
    <row r="617" spans="3:5" x14ac:dyDescent="0.15">
      <c r="C617" s="1">
        <v>0</v>
      </c>
      <c r="D617" s="1">
        <v>100</v>
      </c>
    </row>
    <row r="618" spans="3:5" x14ac:dyDescent="0.15">
      <c r="C618" s="1">
        <v>5</v>
      </c>
      <c r="D618" s="1">
        <v>100</v>
      </c>
    </row>
    <row r="619" spans="3:5" x14ac:dyDescent="0.15">
      <c r="C619" s="1">
        <v>0</v>
      </c>
      <c r="D619" s="1">
        <v>100</v>
      </c>
    </row>
    <row r="620" spans="3:5" x14ac:dyDescent="0.15">
      <c r="C620" s="1">
        <v>174</v>
      </c>
      <c r="D620" s="1">
        <v>100</v>
      </c>
    </row>
    <row r="621" spans="3:5" x14ac:dyDescent="0.15">
      <c r="C621" s="1">
        <v>0</v>
      </c>
      <c r="D621" s="1">
        <v>100</v>
      </c>
    </row>
    <row r="622" spans="3:5" x14ac:dyDescent="0.15">
      <c r="C622" s="1">
        <v>0</v>
      </c>
      <c r="D622" s="1">
        <v>100</v>
      </c>
    </row>
    <row r="623" spans="3:5" x14ac:dyDescent="0.15">
      <c r="C623" s="1">
        <v>0</v>
      </c>
      <c r="D623" s="1">
        <v>100</v>
      </c>
    </row>
    <row r="624" spans="3:5" x14ac:dyDescent="0.15">
      <c r="C624" s="1">
        <v>15</v>
      </c>
      <c r="D624" s="1">
        <v>100</v>
      </c>
    </row>
    <row r="625" spans="3:4" x14ac:dyDescent="0.15">
      <c r="C625" s="1">
        <v>0</v>
      </c>
      <c r="D625" s="1">
        <v>100</v>
      </c>
    </row>
    <row r="626" spans="3:4" x14ac:dyDescent="0.15">
      <c r="C626" s="1">
        <v>0</v>
      </c>
      <c r="D626" s="1">
        <v>100</v>
      </c>
    </row>
    <row r="627" spans="3:4" x14ac:dyDescent="0.15">
      <c r="C627" s="1">
        <v>0</v>
      </c>
      <c r="D627" s="1">
        <v>100</v>
      </c>
    </row>
    <row r="628" spans="3:4" x14ac:dyDescent="0.15">
      <c r="C628" s="1">
        <v>240</v>
      </c>
      <c r="D628" s="1">
        <v>100</v>
      </c>
    </row>
    <row r="629" spans="3:4" x14ac:dyDescent="0.15">
      <c r="C629" s="1">
        <v>0</v>
      </c>
      <c r="D629" s="1">
        <v>100</v>
      </c>
    </row>
    <row r="630" spans="3:4" x14ac:dyDescent="0.15">
      <c r="C630" s="1">
        <v>0</v>
      </c>
      <c r="D630" s="1">
        <v>100</v>
      </c>
    </row>
    <row r="631" spans="3:4" x14ac:dyDescent="0.15">
      <c r="C631" s="1">
        <v>0</v>
      </c>
      <c r="D631" s="1">
        <v>100</v>
      </c>
    </row>
    <row r="632" spans="3:4" x14ac:dyDescent="0.15">
      <c r="C632" s="1">
        <v>275</v>
      </c>
      <c r="D632" s="1">
        <v>100</v>
      </c>
    </row>
    <row r="633" spans="3:4" x14ac:dyDescent="0.15">
      <c r="C633" s="1">
        <v>0</v>
      </c>
      <c r="D633" s="1">
        <v>100</v>
      </c>
    </row>
    <row r="634" spans="3:4" x14ac:dyDescent="0.15">
      <c r="C634" s="1">
        <v>410</v>
      </c>
      <c r="D634" s="1">
        <v>100</v>
      </c>
    </row>
    <row r="635" spans="3:4" x14ac:dyDescent="0.15">
      <c r="C635" s="1">
        <v>0</v>
      </c>
      <c r="D635" s="1">
        <v>100</v>
      </c>
    </row>
    <row r="636" spans="3:4" x14ac:dyDescent="0.15">
      <c r="C636" s="1">
        <v>0</v>
      </c>
      <c r="D636" s="1">
        <v>100</v>
      </c>
    </row>
    <row r="637" spans="3:4" x14ac:dyDescent="0.15">
      <c r="C637" s="1">
        <v>0</v>
      </c>
      <c r="D637" s="1">
        <v>100</v>
      </c>
    </row>
    <row r="638" spans="3:4" x14ac:dyDescent="0.15">
      <c r="C638" s="1">
        <v>0</v>
      </c>
      <c r="D638" s="1">
        <v>100</v>
      </c>
    </row>
    <row r="639" spans="3:4" x14ac:dyDescent="0.15">
      <c r="C639" s="1">
        <v>95</v>
      </c>
      <c r="D639" s="1">
        <v>100</v>
      </c>
    </row>
    <row r="640" spans="3:4" x14ac:dyDescent="0.15">
      <c r="C640" s="1">
        <v>0</v>
      </c>
      <c r="D640" s="1">
        <v>100</v>
      </c>
    </row>
    <row r="641" spans="3:4" x14ac:dyDescent="0.15">
      <c r="C641" s="1">
        <v>0</v>
      </c>
      <c r="D641" s="1">
        <v>100</v>
      </c>
    </row>
    <row r="642" spans="3:4" x14ac:dyDescent="0.15">
      <c r="C642" s="1">
        <v>0</v>
      </c>
      <c r="D642" s="1">
        <v>100</v>
      </c>
    </row>
    <row r="643" spans="3:4" x14ac:dyDescent="0.15">
      <c r="C643" s="1">
        <v>0</v>
      </c>
      <c r="D643" s="1">
        <v>100</v>
      </c>
    </row>
    <row r="644" spans="3:4" x14ac:dyDescent="0.15">
      <c r="C644" s="1">
        <v>40</v>
      </c>
      <c r="D644" s="1">
        <v>100</v>
      </c>
    </row>
    <row r="645" spans="3:4" x14ac:dyDescent="0.15">
      <c r="C645" s="1">
        <v>0</v>
      </c>
      <c r="D645" s="1">
        <v>100</v>
      </c>
    </row>
    <row r="646" spans="3:4" x14ac:dyDescent="0.15">
      <c r="C646" s="1">
        <v>660</v>
      </c>
      <c r="D646" s="1">
        <v>100</v>
      </c>
    </row>
    <row r="647" spans="3:4" x14ac:dyDescent="0.15">
      <c r="C647" s="1">
        <v>0</v>
      </c>
      <c r="D647" s="1">
        <v>100</v>
      </c>
    </row>
    <row r="648" spans="3:4" x14ac:dyDescent="0.15">
      <c r="C648" s="1">
        <v>0</v>
      </c>
      <c r="D648" s="1">
        <v>100</v>
      </c>
    </row>
    <row r="649" spans="3:4" x14ac:dyDescent="0.15">
      <c r="C649" s="1">
        <v>0</v>
      </c>
      <c r="D649" s="1">
        <v>100</v>
      </c>
    </row>
    <row r="650" spans="3:4" x14ac:dyDescent="0.15">
      <c r="C650" s="1">
        <v>425</v>
      </c>
      <c r="D650" s="1">
        <v>100</v>
      </c>
    </row>
    <row r="651" spans="3:4" x14ac:dyDescent="0.15">
      <c r="C651" s="1">
        <v>0</v>
      </c>
      <c r="D651" s="1">
        <v>100</v>
      </c>
    </row>
    <row r="652" spans="3:4" x14ac:dyDescent="0.15">
      <c r="C652" s="1">
        <v>5</v>
      </c>
      <c r="D652" s="1">
        <v>100</v>
      </c>
    </row>
    <row r="653" spans="3:4" x14ac:dyDescent="0.15">
      <c r="C653" s="1">
        <v>0</v>
      </c>
      <c r="D653" s="1">
        <v>100</v>
      </c>
    </row>
    <row r="654" spans="3:4" x14ac:dyDescent="0.15">
      <c r="C654" s="1">
        <v>0</v>
      </c>
      <c r="D654" s="1">
        <v>100</v>
      </c>
    </row>
    <row r="655" spans="3:4" x14ac:dyDescent="0.15">
      <c r="C655" s="1">
        <v>150</v>
      </c>
      <c r="D655" s="1">
        <v>100</v>
      </c>
    </row>
    <row r="656" spans="3:4" x14ac:dyDescent="0.15">
      <c r="C656" s="1">
        <v>0</v>
      </c>
      <c r="D656" s="1">
        <v>100</v>
      </c>
    </row>
    <row r="657" spans="3:4" x14ac:dyDescent="0.15">
      <c r="C657" s="1">
        <v>0</v>
      </c>
      <c r="D657" s="1">
        <v>100</v>
      </c>
    </row>
    <row r="658" spans="3:4" x14ac:dyDescent="0.15">
      <c r="C658" s="1">
        <v>5</v>
      </c>
      <c r="D658" s="1">
        <v>100</v>
      </c>
    </row>
    <row r="659" spans="3:4" x14ac:dyDescent="0.15">
      <c r="C659" s="1">
        <v>0</v>
      </c>
      <c r="D659" s="1">
        <v>100</v>
      </c>
    </row>
    <row r="660" spans="3:4" x14ac:dyDescent="0.15">
      <c r="C660" s="1">
        <v>0</v>
      </c>
      <c r="D660" s="1">
        <v>100</v>
      </c>
    </row>
    <row r="661" spans="3:4" x14ac:dyDescent="0.15">
      <c r="C661" s="1">
        <v>0</v>
      </c>
      <c r="D661" s="1">
        <v>100</v>
      </c>
    </row>
    <row r="662" spans="3:4" x14ac:dyDescent="0.15">
      <c r="C662" s="1">
        <v>230</v>
      </c>
      <c r="D662" s="1">
        <v>100</v>
      </c>
    </row>
    <row r="663" spans="3:4" x14ac:dyDescent="0.15">
      <c r="C663" s="1">
        <v>0</v>
      </c>
      <c r="D663" s="1">
        <v>100</v>
      </c>
    </row>
    <row r="664" spans="3:4" x14ac:dyDescent="0.15">
      <c r="C664" s="1">
        <v>0</v>
      </c>
      <c r="D664" s="1">
        <v>100</v>
      </c>
    </row>
    <row r="665" spans="3:4" x14ac:dyDescent="0.15">
      <c r="C665" s="1">
        <v>8</v>
      </c>
      <c r="D665" s="1">
        <v>100</v>
      </c>
    </row>
    <row r="666" spans="3:4" x14ac:dyDescent="0.15">
      <c r="C666" s="1">
        <v>150</v>
      </c>
      <c r="D666" s="1">
        <v>100</v>
      </c>
    </row>
    <row r="667" spans="3:4" x14ac:dyDescent="0.15">
      <c r="C667" s="1">
        <v>0</v>
      </c>
      <c r="D667" s="1">
        <v>100</v>
      </c>
    </row>
    <row r="668" spans="3:4" x14ac:dyDescent="0.15">
      <c r="C668" s="1">
        <v>270</v>
      </c>
      <c r="D668" s="1">
        <v>100</v>
      </c>
    </row>
    <row r="669" spans="3:4" x14ac:dyDescent="0.15">
      <c r="C669" s="1">
        <v>0</v>
      </c>
      <c r="D669" s="1">
        <v>100</v>
      </c>
    </row>
    <row r="670" spans="3:4" x14ac:dyDescent="0.15">
      <c r="C670" s="1">
        <v>0</v>
      </c>
      <c r="D670" s="1">
        <v>100</v>
      </c>
    </row>
    <row r="671" spans="3:4" x14ac:dyDescent="0.15">
      <c r="C671" s="1">
        <v>0</v>
      </c>
      <c r="D671" s="1">
        <v>100</v>
      </c>
    </row>
    <row r="672" spans="3:4" x14ac:dyDescent="0.15">
      <c r="C672" s="1">
        <v>0</v>
      </c>
      <c r="D672" s="1">
        <v>100</v>
      </c>
    </row>
    <row r="673" spans="3:4" x14ac:dyDescent="0.15">
      <c r="C673" s="1">
        <v>180</v>
      </c>
      <c r="D673" s="1">
        <v>100</v>
      </c>
    </row>
    <row r="674" spans="3:4" x14ac:dyDescent="0.15">
      <c r="C674" s="1">
        <v>36</v>
      </c>
      <c r="D674" s="1">
        <v>100</v>
      </c>
    </row>
    <row r="675" spans="3:4" x14ac:dyDescent="0.15">
      <c r="C675" s="1">
        <v>0</v>
      </c>
      <c r="D675" s="1">
        <v>100</v>
      </c>
    </row>
    <row r="676" spans="3:4" x14ac:dyDescent="0.15">
      <c r="C676" s="1">
        <v>0</v>
      </c>
      <c r="D676" s="1">
        <v>100</v>
      </c>
    </row>
    <row r="677" spans="3:4" x14ac:dyDescent="0.15">
      <c r="C677" s="1">
        <v>0</v>
      </c>
      <c r="D677" s="1">
        <v>100</v>
      </c>
    </row>
    <row r="678" spans="3:4" x14ac:dyDescent="0.15">
      <c r="C678" s="1">
        <v>0</v>
      </c>
      <c r="D678" s="1">
        <v>100</v>
      </c>
    </row>
    <row r="679" spans="3:4" x14ac:dyDescent="0.15">
      <c r="C679" s="1">
        <v>0</v>
      </c>
      <c r="D679" s="1">
        <v>100</v>
      </c>
    </row>
    <row r="680" spans="3:4" x14ac:dyDescent="0.15">
      <c r="C680" s="1">
        <v>0</v>
      </c>
      <c r="D680" s="1">
        <v>100</v>
      </c>
    </row>
    <row r="681" spans="3:4" x14ac:dyDescent="0.15">
      <c r="C681" s="1">
        <v>0</v>
      </c>
      <c r="D681" s="1">
        <v>100</v>
      </c>
    </row>
    <row r="682" spans="3:4" x14ac:dyDescent="0.15">
      <c r="C682" s="1">
        <v>0</v>
      </c>
      <c r="D682" s="1">
        <v>100</v>
      </c>
    </row>
    <row r="683" spans="3:4" x14ac:dyDescent="0.15">
      <c r="C683" s="1">
        <v>0</v>
      </c>
      <c r="D683" s="1">
        <v>100</v>
      </c>
    </row>
    <row r="684" spans="3:4" x14ac:dyDescent="0.15">
      <c r="C684" s="1">
        <v>0</v>
      </c>
      <c r="D684" s="1">
        <v>100</v>
      </c>
    </row>
    <row r="685" spans="3:4" x14ac:dyDescent="0.15">
      <c r="C685" s="1">
        <v>70</v>
      </c>
      <c r="D685" s="1">
        <v>100</v>
      </c>
    </row>
    <row r="686" spans="3:4" x14ac:dyDescent="0.15">
      <c r="C686" s="1">
        <v>0</v>
      </c>
      <c r="D686" s="1">
        <v>100</v>
      </c>
    </row>
    <row r="687" spans="3:4" x14ac:dyDescent="0.15">
      <c r="C687" s="1">
        <v>8</v>
      </c>
      <c r="D687" s="1">
        <v>100</v>
      </c>
    </row>
    <row r="688" spans="3:4" x14ac:dyDescent="0.15">
      <c r="C688" s="1">
        <v>0</v>
      </c>
      <c r="D688" s="1">
        <v>100</v>
      </c>
    </row>
    <row r="689" spans="3:4" x14ac:dyDescent="0.15">
      <c r="C689" s="1">
        <v>150</v>
      </c>
      <c r="D689" s="1">
        <v>100</v>
      </c>
    </row>
    <row r="690" spans="3:4" x14ac:dyDescent="0.15">
      <c r="C690" s="1">
        <v>0</v>
      </c>
      <c r="D690" s="1">
        <v>100</v>
      </c>
    </row>
    <row r="691" spans="3:4" x14ac:dyDescent="0.15">
      <c r="C691" s="1">
        <v>36</v>
      </c>
      <c r="D691" s="1">
        <v>100</v>
      </c>
    </row>
    <row r="692" spans="3:4" x14ac:dyDescent="0.15">
      <c r="C692" s="1">
        <v>0</v>
      </c>
      <c r="D692" s="1">
        <v>100</v>
      </c>
    </row>
    <row r="693" spans="3:4" x14ac:dyDescent="0.15">
      <c r="C693" s="1">
        <v>0</v>
      </c>
      <c r="D693" s="1">
        <v>100</v>
      </c>
    </row>
    <row r="694" spans="3:4" x14ac:dyDescent="0.15">
      <c r="C694" s="1">
        <v>0</v>
      </c>
      <c r="D694" s="1">
        <v>100</v>
      </c>
    </row>
    <row r="695" spans="3:4" x14ac:dyDescent="0.15">
      <c r="C695" s="1">
        <v>70</v>
      </c>
      <c r="D695" s="1">
        <v>100</v>
      </c>
    </row>
    <row r="696" spans="3:4" x14ac:dyDescent="0.15">
      <c r="C696" s="1">
        <v>270</v>
      </c>
      <c r="D696" s="1">
        <v>100</v>
      </c>
    </row>
    <row r="697" spans="3:4" x14ac:dyDescent="0.15">
      <c r="C697" s="1">
        <v>0</v>
      </c>
      <c r="D697" s="1">
        <v>100</v>
      </c>
    </row>
    <row r="698" spans="3:4" x14ac:dyDescent="0.15">
      <c r="C698" s="1">
        <v>0</v>
      </c>
      <c r="D698" s="1">
        <v>100</v>
      </c>
    </row>
    <row r="699" spans="3:4" x14ac:dyDescent="0.15">
      <c r="C699" s="1">
        <v>0</v>
      </c>
      <c r="D699" s="1">
        <v>100</v>
      </c>
    </row>
    <row r="700" spans="3:4" x14ac:dyDescent="0.15">
      <c r="C700" s="1">
        <v>0</v>
      </c>
      <c r="D700" s="1">
        <v>100</v>
      </c>
    </row>
    <row r="701" spans="3:4" x14ac:dyDescent="0.15">
      <c r="C701" s="1">
        <v>500</v>
      </c>
      <c r="D701" s="1">
        <v>100</v>
      </c>
    </row>
    <row r="702" spans="3:4" x14ac:dyDescent="0.15">
      <c r="C702" s="1">
        <v>180</v>
      </c>
      <c r="D702" s="1">
        <v>100</v>
      </c>
    </row>
    <row r="703" spans="3:4" x14ac:dyDescent="0.15">
      <c r="C703" s="1">
        <v>0</v>
      </c>
    </row>
    <row r="704" spans="3:4" x14ac:dyDescent="0.15">
      <c r="C704" s="1">
        <v>0</v>
      </c>
    </row>
    <row r="705" spans="3:3" x14ac:dyDescent="0.15">
      <c r="C705" s="1">
        <v>0</v>
      </c>
    </row>
    <row r="706" spans="3:3" x14ac:dyDescent="0.15">
      <c r="C706" s="1">
        <v>10</v>
      </c>
    </row>
    <row r="707" spans="3:3" x14ac:dyDescent="0.15">
      <c r="C707" s="1">
        <v>0</v>
      </c>
    </row>
    <row r="708" spans="3:3" x14ac:dyDescent="0.15">
      <c r="C708" s="1">
        <v>230</v>
      </c>
    </row>
    <row r="709" spans="3:3" x14ac:dyDescent="0.15">
      <c r="C709" s="1">
        <v>45</v>
      </c>
    </row>
    <row r="710" spans="3:3" x14ac:dyDescent="0.15">
      <c r="C710" s="1">
        <v>90</v>
      </c>
    </row>
    <row r="711" spans="3:3" x14ac:dyDescent="0.15">
      <c r="C711" s="1">
        <v>0</v>
      </c>
    </row>
    <row r="712" spans="3:3" x14ac:dyDescent="0.15">
      <c r="C712" s="1">
        <v>0</v>
      </c>
    </row>
    <row r="713" spans="3:3" x14ac:dyDescent="0.15">
      <c r="C713" s="1">
        <v>0</v>
      </c>
    </row>
    <row r="714" spans="3:3" x14ac:dyDescent="0.15">
      <c r="C714" s="1">
        <v>25</v>
      </c>
    </row>
    <row r="715" spans="3:3" x14ac:dyDescent="0.15">
      <c r="C715" s="1">
        <v>0</v>
      </c>
    </row>
    <row r="716" spans="3:3" x14ac:dyDescent="0.15">
      <c r="C716" s="1">
        <v>0</v>
      </c>
    </row>
    <row r="717" spans="3:3" x14ac:dyDescent="0.15">
      <c r="C717" s="1">
        <v>10</v>
      </c>
    </row>
    <row r="718" spans="3:3" x14ac:dyDescent="0.15">
      <c r="C718" s="1">
        <v>0</v>
      </c>
    </row>
    <row r="719" spans="3:3" x14ac:dyDescent="0.15">
      <c r="C719" s="1">
        <v>0</v>
      </c>
    </row>
    <row r="720" spans="3:3" x14ac:dyDescent="0.15">
      <c r="C720" s="1">
        <v>0</v>
      </c>
    </row>
    <row r="721" spans="3:3" x14ac:dyDescent="0.15">
      <c r="C721" s="1">
        <v>0</v>
      </c>
    </row>
    <row r="722" spans="3:3" x14ac:dyDescent="0.15">
      <c r="C722" s="1">
        <v>0</v>
      </c>
    </row>
    <row r="723" spans="3:3" x14ac:dyDescent="0.15">
      <c r="C723" s="1">
        <v>30</v>
      </c>
    </row>
    <row r="724" spans="3:3" x14ac:dyDescent="0.15">
      <c r="C724" s="1">
        <v>255</v>
      </c>
    </row>
    <row r="725" spans="3:3" x14ac:dyDescent="0.15">
      <c r="C725" s="1">
        <v>0</v>
      </c>
    </row>
    <row r="726" spans="3:3" x14ac:dyDescent="0.15">
      <c r="C726" s="1">
        <v>5</v>
      </c>
    </row>
    <row r="727" spans="3:3" x14ac:dyDescent="0.15">
      <c r="C727" s="1">
        <v>45</v>
      </c>
    </row>
    <row r="728" spans="3:3" x14ac:dyDescent="0.15">
      <c r="C728" s="1">
        <v>0</v>
      </c>
    </row>
    <row r="729" spans="3:3" x14ac:dyDescent="0.15">
      <c r="C729" s="1">
        <v>10</v>
      </c>
    </row>
    <row r="730" spans="3:3" x14ac:dyDescent="0.15">
      <c r="C730" s="1">
        <v>0</v>
      </c>
    </row>
    <row r="731" spans="3:3" x14ac:dyDescent="0.15">
      <c r="C731" s="1">
        <v>0</v>
      </c>
    </row>
    <row r="732" spans="3:3" x14ac:dyDescent="0.15">
      <c r="C732" s="1">
        <v>0</v>
      </c>
    </row>
    <row r="733" spans="3:3" x14ac:dyDescent="0.15">
      <c r="C733" s="1">
        <v>15</v>
      </c>
    </row>
    <row r="734" spans="3:3" x14ac:dyDescent="0.15">
      <c r="C734" s="1">
        <v>0</v>
      </c>
    </row>
    <row r="735" spans="3:3" x14ac:dyDescent="0.15">
      <c r="C735" s="1">
        <v>0</v>
      </c>
    </row>
    <row r="736" spans="3:3" x14ac:dyDescent="0.15">
      <c r="C736" s="1">
        <v>0</v>
      </c>
    </row>
    <row r="737" spans="3:3" x14ac:dyDescent="0.15">
      <c r="C737" s="1">
        <v>0</v>
      </c>
    </row>
    <row r="738" spans="3:3" x14ac:dyDescent="0.15">
      <c r="C738" s="1">
        <v>0</v>
      </c>
    </row>
    <row r="739" spans="3:3" x14ac:dyDescent="0.15">
      <c r="C739" s="1">
        <v>375</v>
      </c>
    </row>
    <row r="740" spans="3:3" x14ac:dyDescent="0.15">
      <c r="C740" s="1">
        <v>0</v>
      </c>
    </row>
    <row r="741" spans="3:3" x14ac:dyDescent="0.15">
      <c r="C741" s="1">
        <v>85</v>
      </c>
    </row>
    <row r="742" spans="3:3" x14ac:dyDescent="0.15">
      <c r="C742" s="1">
        <v>0</v>
      </c>
    </row>
    <row r="743" spans="3:3" x14ac:dyDescent="0.15">
      <c r="C743" s="1">
        <v>0</v>
      </c>
    </row>
    <row r="744" spans="3:3" x14ac:dyDescent="0.15">
      <c r="C744" s="1">
        <v>0</v>
      </c>
    </row>
    <row r="745" spans="3:3" x14ac:dyDescent="0.15">
      <c r="C745" s="1">
        <v>0</v>
      </c>
    </row>
    <row r="746" spans="3:3" x14ac:dyDescent="0.15">
      <c r="C746" s="1">
        <v>60</v>
      </c>
    </row>
    <row r="747" spans="3:3" x14ac:dyDescent="0.15">
      <c r="C747" s="1">
        <v>45</v>
      </c>
    </row>
    <row r="748" spans="3:3" x14ac:dyDescent="0.15">
      <c r="C748" s="1">
        <v>15</v>
      </c>
    </row>
    <row r="749" spans="3:3" x14ac:dyDescent="0.15">
      <c r="C749" s="1">
        <v>30</v>
      </c>
    </row>
    <row r="750" spans="3:3" x14ac:dyDescent="0.15">
      <c r="C750" s="1">
        <v>0</v>
      </c>
    </row>
    <row r="751" spans="3:3" x14ac:dyDescent="0.15">
      <c r="C751" s="1">
        <v>0</v>
      </c>
    </row>
    <row r="752" spans="3:3" x14ac:dyDescent="0.15">
      <c r="C752" s="1">
        <v>0</v>
      </c>
    </row>
    <row r="753" spans="3:3" x14ac:dyDescent="0.15">
      <c r="C753" s="1">
        <v>0</v>
      </c>
    </row>
    <row r="754" spans="3:3" x14ac:dyDescent="0.15">
      <c r="C754" s="1">
        <v>180</v>
      </c>
    </row>
    <row r="755" spans="3:3" x14ac:dyDescent="0.15">
      <c r="C755" s="1">
        <v>0</v>
      </c>
    </row>
    <row r="756" spans="3:3" x14ac:dyDescent="0.15">
      <c r="C756" s="1">
        <v>5</v>
      </c>
    </row>
    <row r="757" spans="3:3" x14ac:dyDescent="0.15">
      <c r="C757" s="1">
        <v>30</v>
      </c>
    </row>
    <row r="758" spans="3:3" x14ac:dyDescent="0.15">
      <c r="C758" s="1">
        <v>0</v>
      </c>
    </row>
    <row r="759" spans="3:3" x14ac:dyDescent="0.15">
      <c r="C759" s="1">
        <v>90</v>
      </c>
    </row>
    <row r="760" spans="3:3" x14ac:dyDescent="0.15">
      <c r="C760" s="1">
        <v>0</v>
      </c>
    </row>
    <row r="761" spans="3:3" x14ac:dyDescent="0.15">
      <c r="C761" s="1">
        <v>110</v>
      </c>
    </row>
    <row r="762" spans="3:3" x14ac:dyDescent="0.15">
      <c r="C762" s="1">
        <v>20</v>
      </c>
    </row>
    <row r="763" spans="3:3" x14ac:dyDescent="0.15">
      <c r="C763" s="1">
        <v>0</v>
      </c>
    </row>
    <row r="764" spans="3:3" x14ac:dyDescent="0.15">
      <c r="C764" s="1">
        <v>0</v>
      </c>
    </row>
    <row r="765" spans="3:3" x14ac:dyDescent="0.15">
      <c r="C765" s="1">
        <v>0</v>
      </c>
    </row>
    <row r="766" spans="3:3" x14ac:dyDescent="0.15">
      <c r="C766" s="1">
        <v>0</v>
      </c>
    </row>
    <row r="767" spans="3:3" x14ac:dyDescent="0.15">
      <c r="C767" s="1">
        <v>0</v>
      </c>
    </row>
    <row r="768" spans="3:3" x14ac:dyDescent="0.15">
      <c r="C768" s="1">
        <v>0</v>
      </c>
    </row>
    <row r="769" spans="3:3" x14ac:dyDescent="0.15">
      <c r="C769" s="1">
        <v>25</v>
      </c>
    </row>
    <row r="770" spans="3:3" x14ac:dyDescent="0.15">
      <c r="C770" s="1">
        <v>0</v>
      </c>
    </row>
    <row r="771" spans="3:3" x14ac:dyDescent="0.15">
      <c r="C771" s="1">
        <v>0</v>
      </c>
    </row>
    <row r="772" spans="3:3" x14ac:dyDescent="0.15">
      <c r="C772" s="1">
        <v>0</v>
      </c>
    </row>
    <row r="773" spans="3:3" x14ac:dyDescent="0.15">
      <c r="C773" s="1">
        <v>0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5CD0-F254-44AE-9B17-8F0098858857}">
  <dimension ref="A1:AO151"/>
  <sheetViews>
    <sheetView zoomScaleNormal="100" workbookViewId="0">
      <selection activeCell="B8" sqref="B8:D12"/>
    </sheetView>
  </sheetViews>
  <sheetFormatPr defaultRowHeight="13.5" x14ac:dyDescent="0.15"/>
  <sheetData>
    <row r="1" spans="1:41" ht="15" x14ac:dyDescent="0.15">
      <c r="A1" s="103"/>
      <c r="B1" s="10" t="s">
        <v>115</v>
      </c>
      <c r="C1" s="103"/>
      <c r="D1" s="10"/>
      <c r="E1" s="103"/>
      <c r="F1" s="10" t="s">
        <v>116</v>
      </c>
      <c r="I1" s="103"/>
    </row>
    <row r="2" spans="1:41" ht="15" x14ac:dyDescent="0.15">
      <c r="A2" s="103"/>
      <c r="B2" s="10" t="s">
        <v>142</v>
      </c>
      <c r="C2" s="103" t="str">
        <f>_xlfn.TEXTJOIN(",",TRUE,K9:K200)</f>
        <v>4,3,6,"v","v","v",6,8,4,1,1,1,8,7,5,7,5,5,1,1,1,7,4,7,3,3,4,9,3,5,5,6,7,3,8,2,2,2,6,7,"v",4,"v",9,3,2,2,8,4,7,8,3,5,5,1,6,3,4,6,3,4</v>
      </c>
      <c r="D2" s="10" t="s">
        <v>88</v>
      </c>
      <c r="E2" s="103"/>
      <c r="F2" s="10" t="s">
        <v>142</v>
      </c>
      <c r="G2" t="str">
        <f>_xlfn.TEXTJOIN(",",TRUE,AC9:AC200)</f>
        <v>2,4,8,"v","v","v",7,8,3,5,4,9,6,4,5,7,1,1,3,9,3,4,3,8,7,2,2,5,5,9,2,7,5,3,6,2,2,2,6,5,3,7,"v",9,3,4,5,8,9,4,1,1,1,9,8,5,3,4,6,7,4</v>
      </c>
      <c r="H2" s="10" t="s">
        <v>88</v>
      </c>
      <c r="I2" s="103"/>
    </row>
    <row r="3" spans="1:41" ht="15" x14ac:dyDescent="0.15">
      <c r="A3" s="103"/>
      <c r="B3" s="10" t="s">
        <v>144</v>
      </c>
      <c r="C3" s="103" t="str">
        <f>_xlfn.TEXTJOIN(",",TRUE,L9:L200)</f>
        <v>2,8,"w",6,"s",7,5,5,3,7,6,3,3,9,6,8,5,9,"w",3,5,9,8,2,2,2,4,6,"s",7,2,2,2,7,"v","v","v",4,4,8,"s",8,1,9,"v",3,"v",5,5,"w",7,5,1,1,1,6,3,9</v>
      </c>
      <c r="D3" s="10" t="s">
        <v>88</v>
      </c>
      <c r="E3" s="103"/>
      <c r="F3" s="10" t="s">
        <v>144</v>
      </c>
      <c r="G3" t="str">
        <f>_xlfn.TEXTJOIN(",",TRUE,AD9:AD200)</f>
        <v>4,1,1,1,5,7,5,"w","w",3,6,9,2,2,2,8,9,7,"w",8,4,5,5,1,1,1,7,6,8,3,2,4,4,7,"v","v","v",9,7,3,1,5,9,2,3,3,"v",9,"w","w","w",8,6,2,2,2,7,4</v>
      </c>
      <c r="H3" s="10" t="s">
        <v>88</v>
      </c>
      <c r="I3" s="103"/>
    </row>
    <row r="4" spans="1:41" ht="15" x14ac:dyDescent="0.15">
      <c r="A4" s="103"/>
      <c r="B4" s="10" t="s">
        <v>143</v>
      </c>
      <c r="C4" s="103" t="str">
        <f t="array" ref="C4">_xlfn.TEXTJOIN(",",TRUE,M9:M200)</f>
        <v>1,1,1,6,"s",9,3,4,1,1,8,4,8,9,8,"w",8,1,1,1,6,2,5,5,3,"s",8,2,2,2,7,6,"v",8,"v",7,4,"w",7,2,2,2,7,9,4,5,4,7,"s",9,1,"w",6,"v","v","v",7</v>
      </c>
      <c r="D4" s="10" t="s">
        <v>88</v>
      </c>
      <c r="E4" s="103"/>
      <c r="F4" s="10" t="s">
        <v>143</v>
      </c>
      <c r="G4" t="str">
        <f>_xlfn.TEXTJOIN(",",TRUE,AE9:AE200)</f>
        <v>5,"w","w","w",3,9,4,4,2,2,2,7,4,6,3,1,1,5,9,6,"w",1,1,1,3,8,7,1,1,1,7,6,3,8,"v",7,"w",9,7,1,1,3,3,9,5,7,8,2,2,2,3,5,5,"v","v","v",8</v>
      </c>
      <c r="H4" s="10" t="s">
        <v>88</v>
      </c>
      <c r="I4" s="103"/>
    </row>
    <row r="5" spans="1:41" ht="15" x14ac:dyDescent="0.15">
      <c r="A5" s="103"/>
      <c r="B5" s="10" t="s">
        <v>145</v>
      </c>
      <c r="C5" s="103" t="str">
        <f>_xlfn.TEXTJOIN(",",TRUE,N9:N200)</f>
        <v>2,2,8,9,6,4,4,6,5,1,5,3,6,"w",5,9,6,5,1,1,1,6,2,2,2,7,"s",6,5,3,"w",4,8,1,1,1,9,"v",7,"v",7,4,9,8,"s",7,4,7,2,2,9,"v","v","v",6,4,8,9,8,"w",8,9,7,2,2,2,5,9,8,3,3,8,7,5,1,1,1,6,7,2</v>
      </c>
      <c r="D5" s="10" t="s">
        <v>88</v>
      </c>
      <c r="E5" s="103"/>
      <c r="F5" s="10" t="s">
        <v>145</v>
      </c>
      <c r="G5" t="str">
        <f>_xlfn.TEXTJOIN(",",TRUE,AF9:AF200)</f>
        <v>7,1,1,1,6,4,7,"w","w","w",9,3,7,5,3,1,"w",5,6,8,1,6,9,3,8,2,2,"w",5,3,9,4,2,2,2,4,4,3,7,"v",7,3,3,2,6,7,1,1,1,3,9,"v","v","v",7,9,3,"w",5,6,3,"w",4,9,5,5,1,1,1,7,3,8,7,"w",7,8,9,2,2,2</v>
      </c>
      <c r="H5" s="10" t="s">
        <v>88</v>
      </c>
      <c r="I5" s="103"/>
    </row>
    <row r="6" spans="1:41" ht="15" x14ac:dyDescent="0.15">
      <c r="A6" s="103"/>
      <c r="B6" s="10" t="s">
        <v>146</v>
      </c>
      <c r="C6" s="103" t="str">
        <f>_xlfn.TEXTJOIN(",",TRUE,O9:O200)</f>
        <v>4,7,"v","v","v",8,1,6,7,2,2,2,7,9,3,3,4,"w",7,9,"v",4,"v",9,8,2,2,2,3,3,6,8,7,1,1,1,5,2,9,3,7,6,4,4,9,1,1,1,"w",5,2,4,5,5,1,1,1,8,2,2,2,8,7,"w",7,8,1,1,1,7,6</v>
      </c>
      <c r="D6" s="10" t="s">
        <v>88</v>
      </c>
      <c r="E6" s="103"/>
      <c r="F6" s="10" t="s">
        <v>146</v>
      </c>
      <c r="G6" t="str">
        <f>_xlfn.TEXTJOIN(",",TRUE,AG9:AG200)</f>
        <v>2,7,"v","v","v",5,8,9,6,5,2,2,7,9,"w",1,1,1,7,6,3,3,"v",9,8,7,"w","w","w",4,6,5,1,1,1,7,5,2,2,2,6,7,3,9,"w",6,8,4,4,2,2,2,7,3,5,1,1,1,8,5,5,4,7,"w",3,8,6,5,4,2,2</v>
      </c>
      <c r="H6" s="10" t="s">
        <v>88</v>
      </c>
      <c r="I6" s="103"/>
    </row>
    <row r="7" spans="1:41" ht="15" x14ac:dyDescent="0.15">
      <c r="A7" s="103"/>
      <c r="C7" s="103"/>
      <c r="D7" s="10"/>
      <c r="E7" s="103"/>
      <c r="F7" s="10"/>
      <c r="G7" s="103"/>
      <c r="H7" s="10"/>
      <c r="I7" s="103"/>
      <c r="M7" t="str">
        <f>IFERROR(VLOOKUP('Base Game '!E6,'Pay Table'!$M$3:$O$18,3,FALSE),"")</f>
        <v/>
      </c>
      <c r="O7" t="str">
        <f>IFERROR(VLOOKUP('Base Game '!G6,'Pay Table'!$M$3:$O$18,3,FALSE),"")</f>
        <v/>
      </c>
      <c r="Q7" t="str">
        <f>IFERROR(VLOOKUP('Base Game '!I6,'Pay Table'!$M$3:$O$18,3,FALSE),"")</f>
        <v/>
      </c>
      <c r="S7" t="str">
        <f>IFERROR(VLOOKUP('Base Game '!K6,'Pay Table'!$M$3:$O$18,3,FALSE),"")</f>
        <v/>
      </c>
      <c r="T7" t="str">
        <f>IFERROR(VLOOKUP('Base Game '!L6,'Pay Table'!$M$3:$O$18,3,FALSE),"")</f>
        <v/>
      </c>
      <c r="U7" t="str">
        <f>IFERROR(VLOOKUP('Base Game '!M6,'Pay Table'!$M$3:$O$18,3,FALSE),"")</f>
        <v/>
      </c>
    </row>
    <row r="8" spans="1:41" ht="15" x14ac:dyDescent="0.15">
      <c r="A8" s="103"/>
      <c r="B8" s="10" t="s">
        <v>142</v>
      </c>
      <c r="C8" s="103" t="str">
        <f>_xlfn.TEXTJOIN(",",TRUE,Q9:Q200)</f>
        <v>100,100,100,15,25,50,100,100,100,100,100,100,100,100,100,100,100,100,100,100,100,100,100,100,100,100,100,100,100,100,100,100,100,100,100,100,100,100,100,100,50,100,100,100,100,100,100,100,100,100,100,100,100,100,100,100,100,100,100,100,100</v>
      </c>
      <c r="D8" s="10" t="s">
        <v>88</v>
      </c>
      <c r="E8" s="103"/>
      <c r="F8" s="10" t="s">
        <v>142</v>
      </c>
      <c r="G8" s="103" t="str">
        <f>_xlfn.TEXTJOIN(",",TRUE,AI9:AI200)</f>
        <v>100,100,100,5,10,25,100,100,100,100,100,100,100,100,100,100,100,100,100,100,100,100,100,100,100,100,100,100,100,100,100,100,100,100,100,100,100,100,100,100,25,25,25,100,100,100,100,100,100,100,100,100,100,100,100,100,100,100,100,100,100</v>
      </c>
      <c r="H8" s="10" t="s">
        <v>88</v>
      </c>
      <c r="I8" s="103"/>
    </row>
    <row r="9" spans="1:41" ht="15" x14ac:dyDescent="0.15">
      <c r="A9" s="103"/>
      <c r="B9" s="10" t="s">
        <v>144</v>
      </c>
      <c r="C9" s="103" t="str">
        <f>_xlfn.TEXTJOIN(",",TRUE,R9:R200)</f>
        <v>100,100,100,140,144,100,100,100,100,100,100,100,100,100,100,100,100,100,100,100,100,100,100,100,100,100,100,140,150,100,100,100,100,100,15,25,50,100,100,150,200,100,100,100,50,100,100,100,200,100,100,100,100,100,100,100,100,100</v>
      </c>
      <c r="D9" s="10" t="s">
        <v>88</v>
      </c>
      <c r="E9" s="103"/>
      <c r="F9" s="10" t="s">
        <v>144</v>
      </c>
      <c r="G9" s="103" t="str">
        <f>_xlfn.TEXTJOIN(",",TRUE,AJ9:AJ200)</f>
        <v>100,100,100,100,100,100,100,100,100,100,100,100,100,100,100,100,100,100,100,100,100,100,100,100,100,100,100,100,100,100,100,100,100,100,5,10,25,100,100,100,100,100,100,100,25,25,25,100,100,100,100,100,100,100,100,100,100,100</v>
      </c>
      <c r="H9" s="10" t="s">
        <v>88</v>
      </c>
      <c r="I9" s="103"/>
      <c r="K9">
        <f>IFERROR(VLOOKUP('Base Game '!B6,'Pay Table'!$M$3:$O$18,3,FALSE),"")</f>
        <v>4</v>
      </c>
      <c r="L9">
        <f>IFERROR(VLOOKUP('Base Game '!D6,'Pay Table'!$M$3:$O$18,3,FALSE),"")</f>
        <v>2</v>
      </c>
      <c r="M9">
        <f t="array" ref="M9">IFERROR(VLOOKUP('Base Game '!F6,'Pay Table'!$M$3:$O$18,3,FALSE),"")</f>
        <v>1</v>
      </c>
      <c r="N9">
        <f t="array" ref="N9">IFERROR(VLOOKUP('Base Game '!H6,'Pay Table'!$M$3:$O$18,3,FALSE),"")</f>
        <v>2</v>
      </c>
      <c r="O9">
        <f t="array" ref="O9">IFERROR(VLOOKUP('Base Game '!J6,'Pay Table'!$M$3:$O$18,3,FALSE),"")</f>
        <v>4</v>
      </c>
      <c r="Q9">
        <f t="array" ref="Q9">IF('Base Game '!C6=0,"",'Base Game '!C6)</f>
        <v>100</v>
      </c>
      <c r="R9">
        <f>IF('Base Game '!E6=0,"",'Base Game '!E6)</f>
        <v>100</v>
      </c>
      <c r="S9">
        <f>IF('Base Game '!G6=0,"",'Base Game '!G6)</f>
        <v>100</v>
      </c>
      <c r="T9">
        <f>IF('Base Game '!I6=0,"",'Base Game '!I6)</f>
        <v>100</v>
      </c>
      <c r="U9">
        <f>IF('Base Game '!K6=0,"",'Base Game '!K6)</f>
        <v>100</v>
      </c>
      <c r="W9" t="e">
        <f>VLOOKUP(#REF!,'Pay Table'!$M$3:$O$18,3,FALSE)</f>
        <v>#REF!</v>
      </c>
      <c r="X9" t="e">
        <f>VLOOKUP(#REF!,'Pay Table'!$M$3:$O$18,3,FALSE)</f>
        <v>#REF!</v>
      </c>
      <c r="Y9" t="e">
        <f>VLOOKUP(#REF!,'Pay Table'!$M$3:$O$18,3,FALSE)</f>
        <v>#REF!</v>
      </c>
      <c r="Z9" t="e">
        <f>VLOOKUP(#REF!,'Pay Table'!$M$3:$O$18,3,FALSE)</f>
        <v>#REF!</v>
      </c>
      <c r="AA9" t="e">
        <f>VLOOKUP(#REF!,'Pay Table'!$M$3:$O$18,3,FALSE)</f>
        <v>#REF!</v>
      </c>
      <c r="AC9">
        <f t="array" ref="AC9">IFERROR(VLOOKUP('Free Game'!B5,'Pay Table'!$M$3:$O$18,3,FALSE),"")</f>
        <v>2</v>
      </c>
      <c r="AD9">
        <f>IFERROR(VLOOKUP('Free Game'!D5,'Pay Table'!$M$3:$O$18,3,FALSE),"")</f>
        <v>4</v>
      </c>
      <c r="AE9">
        <f>IFERROR(VLOOKUP('Free Game'!F5,'Pay Table'!$M$3:$O$18,3,FALSE),"")</f>
        <v>5</v>
      </c>
      <c r="AF9">
        <f t="array" ref="AF9">IFERROR(VLOOKUP('Free Game'!H5,'Pay Table'!$M$3:$O$18,3,FALSE),"")</f>
        <v>7</v>
      </c>
      <c r="AG9">
        <f t="array" ref="AG9">IFERROR(VLOOKUP('Free Game'!J5,'Pay Table'!$M$3:$O$18,3,FALSE),"")</f>
        <v>2</v>
      </c>
      <c r="AI9">
        <f>IF('Free Game'!C5=0,"",'Free Game'!C5)</f>
        <v>100</v>
      </c>
      <c r="AJ9">
        <f>IF('Free Game'!E5=0,"",'Free Game'!E5)</f>
        <v>100</v>
      </c>
      <c r="AK9">
        <f>IF('Free Game'!G5=0,"",'Free Game'!G5)</f>
        <v>100</v>
      </c>
      <c r="AL9">
        <f>IF('Free Game'!I5=0,"",'Free Game'!I5)</f>
        <v>100</v>
      </c>
      <c r="AM9">
        <f>IF('Free Game'!K5=0,"",'Free Game'!K5)</f>
        <v>100</v>
      </c>
      <c r="AO9" t="str">
        <f>IF('Free Game'!L5=0,"",'Free Game'!L5)</f>
        <v/>
      </c>
    </row>
    <row r="10" spans="1:41" ht="15" x14ac:dyDescent="0.15">
      <c r="A10" s="103"/>
      <c r="B10" s="10" t="s">
        <v>143</v>
      </c>
      <c r="C10" s="103" t="str">
        <f>_xlfn.TEXTJOIN(",",TRUE,S9:S200)</f>
        <v>100,100,100,140,144,100,100,100,100,100,100,100,100,100,100,100,100,100,100,100,100,100,100,100,130,135,100,100,100,100,100,100,50,100,100,100,100,100,100,100,100,100,100,100,100,100,100,180,195,100,100,100,100,15,25,50,100</v>
      </c>
      <c r="D10" s="10" t="s">
        <v>88</v>
      </c>
      <c r="E10" s="103"/>
      <c r="F10" s="10" t="s">
        <v>143</v>
      </c>
      <c r="G10" s="103" t="str">
        <f>_xlfn.TEXTJOIN(",",TRUE,AK9:AK200)</f>
        <v>100,100,100,100,100,100,100,100,100,100,100,100,100,100,100,100,100,100,100,100,100,100,100,100,100,100,100,100,100,100,100,100,10,25,25,100,100,100,100,100,100,100,100,100,100,100,100,100,100,100,100,100,100,5,10,25,100</v>
      </c>
      <c r="H10" s="10" t="s">
        <v>88</v>
      </c>
      <c r="I10" s="103"/>
      <c r="K10">
        <f>IFERROR(VLOOKUP('Base Game '!B7,'Pay Table'!$M$3:$O$18,3,FALSE),"")</f>
        <v>3</v>
      </c>
      <c r="L10">
        <f>IFERROR(VLOOKUP('Base Game '!D7,'Pay Table'!$M$3:$O$18,3,FALSE),"")</f>
        <v>8</v>
      </c>
      <c r="M10">
        <f t="array" ref="M10">IFERROR(VLOOKUP('Base Game '!F7,'Pay Table'!$M$3:$O$18,3,FALSE),"")</f>
        <v>1</v>
      </c>
      <c r="N10">
        <f t="array" ref="N10">IFERROR(VLOOKUP('Base Game '!H7,'Pay Table'!$M$3:$O$18,3,FALSE),"")</f>
        <v>2</v>
      </c>
      <c r="O10">
        <f t="array" ref="O10">IFERROR(VLOOKUP('Base Game '!J7,'Pay Table'!$M$3:$O$18,3,FALSE),"")</f>
        <v>7</v>
      </c>
      <c r="Q10">
        <f t="array" ref="Q10">IF('Base Game '!C7=0,"",'Base Game '!C7)</f>
        <v>100</v>
      </c>
      <c r="R10">
        <f>IF('Base Game '!E7=0,"",'Base Game '!E7)</f>
        <v>100</v>
      </c>
      <c r="S10">
        <f>IF('Base Game '!G7=0,"",'Base Game '!G7)</f>
        <v>100</v>
      </c>
      <c r="T10">
        <f>IF('Base Game '!I7=0,"",'Base Game '!I7)</f>
        <v>100</v>
      </c>
      <c r="U10">
        <f>IF('Base Game '!K7=0,"",'Base Game '!K7)</f>
        <v>100</v>
      </c>
      <c r="W10" t="e">
        <f>VLOOKUP(#REF!,'Pay Table'!$M$3:$O$18,3,FALSE)</f>
        <v>#REF!</v>
      </c>
      <c r="X10" t="e">
        <f>VLOOKUP(#REF!,'Pay Table'!$M$3:$O$18,3,FALSE)</f>
        <v>#REF!</v>
      </c>
      <c r="Y10" t="e">
        <f>VLOOKUP(#REF!,'Pay Table'!$M$3:$O$18,3,FALSE)</f>
        <v>#REF!</v>
      </c>
      <c r="Z10" t="e">
        <f>VLOOKUP(#REF!,'Pay Table'!$M$3:$O$18,3,FALSE)</f>
        <v>#REF!</v>
      </c>
      <c r="AA10" t="e">
        <f>VLOOKUP(#REF!,'Pay Table'!$M$3:$O$18,3,FALSE)</f>
        <v>#REF!</v>
      </c>
      <c r="AC10">
        <f t="array" ref="AC10">IFERROR(VLOOKUP('Free Game'!B6,'Pay Table'!$M$3:$O$18,3,FALSE),"")</f>
        <v>4</v>
      </c>
      <c r="AD10">
        <f>IFERROR(VLOOKUP('Free Game'!D6,'Pay Table'!$M$3:$O$18,3,FALSE),"")</f>
        <v>1</v>
      </c>
      <c r="AE10" t="str">
        <f>IFERROR(VLOOKUP('Free Game'!F6,'Pay Table'!$M$3:$O$18,3,FALSE),"")</f>
        <v>"w"</v>
      </c>
      <c r="AF10">
        <f t="array" ref="AF10">IFERROR(VLOOKUP('Free Game'!H6,'Pay Table'!$M$3:$O$18,3,FALSE),"")</f>
        <v>1</v>
      </c>
      <c r="AG10">
        <f t="array" ref="AG10">IFERROR(VLOOKUP('Free Game'!J6,'Pay Table'!$M$3:$O$18,3,FALSE),"")</f>
        <v>7</v>
      </c>
      <c r="AI10">
        <f>IF('Free Game'!C6=0,"",'Free Game'!C6)</f>
        <v>100</v>
      </c>
      <c r="AJ10">
        <f>IF('Free Game'!E6=0,"",'Free Game'!E6)</f>
        <v>100</v>
      </c>
      <c r="AK10">
        <f>IF('Free Game'!G6=0,"",'Free Game'!G6)</f>
        <v>100</v>
      </c>
      <c r="AL10">
        <f>IF('Free Game'!I6=0,"",'Free Game'!I6)</f>
        <v>100</v>
      </c>
      <c r="AM10">
        <f>IF('Free Game'!K6=0,"",'Free Game'!K6)</f>
        <v>100</v>
      </c>
    </row>
    <row r="11" spans="1:41" ht="15" x14ac:dyDescent="0.15">
      <c r="A11" s="103"/>
      <c r="B11" s="10" t="s">
        <v>145</v>
      </c>
      <c r="C11" s="103" t="str">
        <f>_xlfn.TEXTJOIN(",",TRUE,T9:T200)</f>
        <v>100,100,100,100,100,100,100,100,100,100,100,100,100,100,100,100,100,100,100,100,100,100,100,100,200,190,200,100,100,100,100,100,100,100,100,100,100,50,100,100,100,100,210,210,200,100,100,100,100,100,100,15,25,50,100,100,100,100,100,100,100,100,100,100,100,100,100,100,100,100,100,100,100,100,100,100,100,100,100,100</v>
      </c>
      <c r="D11" s="10" t="s">
        <v>88</v>
      </c>
      <c r="E11" s="103"/>
      <c r="F11" s="10" t="s">
        <v>145</v>
      </c>
      <c r="G11" s="103" t="str">
        <f>_xlfn.TEXTJOIN(",",TRUE,AL9:AL200)</f>
        <v>100,100,100,100,100,100,100,100,100,100,100,100,100,100,100,100,100,100,100,100,100,100,100,100,100,100,100,100,100,100,100,100,100,100,100,100,100,25,25,25,100,100,100,100,100,100,100,100,100,100,100,5,10,25,100,100,100,100,100,100,100,100,100,100,100,100,100,100,100,100,100,100,100,100,100,100,100,100,100,100</v>
      </c>
      <c r="H11" s="10" t="s">
        <v>88</v>
      </c>
      <c r="I11" s="103"/>
      <c r="K11">
        <f>IFERROR(VLOOKUP('Base Game '!B8,'Pay Table'!$M$3:$O$18,3,FALSE),"")</f>
        <v>6</v>
      </c>
      <c r="L11" t="str">
        <f>IFERROR(VLOOKUP('Base Game '!D8,'Pay Table'!$M$3:$O$18,3,FALSE),"")</f>
        <v>"w"</v>
      </c>
      <c r="M11">
        <f t="array" ref="M11">IFERROR(VLOOKUP('Base Game '!F8,'Pay Table'!$M$3:$O$18,3,FALSE),"")</f>
        <v>1</v>
      </c>
      <c r="N11">
        <f t="array" ref="N11">IFERROR(VLOOKUP('Base Game '!H8,'Pay Table'!$M$3:$O$18,3,FALSE),"")</f>
        <v>8</v>
      </c>
      <c r="O11" t="str">
        <f t="array" ref="O11">IFERROR(VLOOKUP('Base Game '!J8,'Pay Table'!$M$3:$O$18,3,FALSE),"")</f>
        <v>"v"</v>
      </c>
      <c r="Q11">
        <f t="array" ref="Q11">IF('Base Game '!C8=0,"",'Base Game '!C8)</f>
        <v>100</v>
      </c>
      <c r="R11">
        <f>IF('Base Game '!E8=0,"",'Base Game '!E8)</f>
        <v>100</v>
      </c>
      <c r="S11">
        <f>IF('Base Game '!G8=0,"",'Base Game '!G8)</f>
        <v>100</v>
      </c>
      <c r="T11">
        <f>IF('Base Game '!I8=0,"",'Base Game '!I8)</f>
        <v>100</v>
      </c>
      <c r="U11">
        <f>IF('Base Game '!K8=0,"",'Base Game '!K8)</f>
        <v>15</v>
      </c>
      <c r="W11" t="e">
        <f>VLOOKUP(#REF!,'Pay Table'!$M$3:$O$18,3,FALSE)</f>
        <v>#REF!</v>
      </c>
      <c r="X11" t="e">
        <f>VLOOKUP(#REF!,'Pay Table'!$M$3:$O$18,3,FALSE)</f>
        <v>#REF!</v>
      </c>
      <c r="Y11" t="e">
        <f>VLOOKUP(#REF!,'Pay Table'!$M$3:$O$18,3,FALSE)</f>
        <v>#REF!</v>
      </c>
      <c r="Z11" t="e">
        <f>VLOOKUP(#REF!,'Pay Table'!$M$3:$O$18,3,FALSE)</f>
        <v>#REF!</v>
      </c>
      <c r="AA11" t="e">
        <f>VLOOKUP(#REF!,'Pay Table'!$M$3:$O$18,3,FALSE)</f>
        <v>#REF!</v>
      </c>
      <c r="AC11">
        <f t="array" ref="AC11">IFERROR(VLOOKUP('Free Game'!B7,'Pay Table'!$M$3:$O$18,3,FALSE),"")</f>
        <v>8</v>
      </c>
      <c r="AD11">
        <f>IFERROR(VLOOKUP('Free Game'!D7,'Pay Table'!$M$3:$O$18,3,FALSE),"")</f>
        <v>1</v>
      </c>
      <c r="AE11" t="str">
        <f>IFERROR(VLOOKUP('Free Game'!F7,'Pay Table'!$M$3:$O$18,3,FALSE),"")</f>
        <v>"w"</v>
      </c>
      <c r="AF11">
        <f t="array" ref="AF11">IFERROR(VLOOKUP('Free Game'!H7,'Pay Table'!$M$3:$O$18,3,FALSE),"")</f>
        <v>1</v>
      </c>
      <c r="AG11" t="str">
        <f t="array" ref="AG11">IFERROR(VLOOKUP('Free Game'!J7,'Pay Table'!$M$3:$O$18,3,FALSE),"")</f>
        <v>"v"</v>
      </c>
      <c r="AI11">
        <f>IF('Free Game'!C7=0,"",'Free Game'!C7)</f>
        <v>100</v>
      </c>
      <c r="AJ11">
        <f>IF('Free Game'!E7=0,"",'Free Game'!E7)</f>
        <v>100</v>
      </c>
      <c r="AK11">
        <f>IF('Free Game'!G7=0,"",'Free Game'!G7)</f>
        <v>100</v>
      </c>
      <c r="AL11">
        <f>IF('Free Game'!I7=0,"",'Free Game'!I7)</f>
        <v>100</v>
      </c>
      <c r="AM11">
        <f>IF('Free Game'!K7=0,"",'Free Game'!K7)</f>
        <v>5</v>
      </c>
    </row>
    <row r="12" spans="1:41" ht="15" x14ac:dyDescent="0.15">
      <c r="A12" s="103"/>
      <c r="B12" s="10" t="s">
        <v>146</v>
      </c>
      <c r="C12" s="103" t="str">
        <f>_xlfn.TEXTJOIN(",",TRUE,U9:U200)</f>
        <v>100,100,15,25,50,100,100,100,100,100,100,100,100,100,100,100,100,100,100,100,50,100,100,100,100,100,100,100,100,100,100,100,100,100,100,100,100,100,100,100,100,100,100,100,100,100,100,100,100,100,100,100,100,100,100,100,100,100,100,100,100,100,100,100,100,100,100,100,100,100,100</v>
      </c>
      <c r="D12" s="10" t="s">
        <v>88</v>
      </c>
      <c r="E12" s="103"/>
      <c r="F12" s="10" t="s">
        <v>146</v>
      </c>
      <c r="G12" s="103" t="str">
        <f>_xlfn.TEXTJOIN(",",TRUE,AM9:AM200)</f>
        <v>100,100,5,10,25,100,100,100,100,100,100,100,100,100,100,100,100,100,100,100,25,25,25,100,100,100,100,100,100,100,100,100,100,100,100,100,100,100,100,100,100,100,100,100,100,100,100,100,100,100,100,100,100,100,100,100,100,100,100,100,100,100,100,100,100,100,100,100,100,100,100</v>
      </c>
      <c r="H12" s="10" t="s">
        <v>88</v>
      </c>
      <c r="I12" s="103"/>
      <c r="K12" t="str">
        <f>IFERROR(VLOOKUP('Base Game '!B9,'Pay Table'!$M$3:$O$18,3,FALSE),"")</f>
        <v>"v"</v>
      </c>
      <c r="L12">
        <f>IFERROR(VLOOKUP('Base Game '!D9,'Pay Table'!$M$3:$O$18,3,FALSE),"")</f>
        <v>6</v>
      </c>
      <c r="M12">
        <f t="array" ref="M12">IFERROR(VLOOKUP('Base Game '!F9,'Pay Table'!$M$3:$O$18,3,FALSE),"")</f>
        <v>6</v>
      </c>
      <c r="N12">
        <f t="array" ref="N12">IFERROR(VLOOKUP('Base Game '!H9,'Pay Table'!$M$3:$O$18,3,FALSE),"")</f>
        <v>9</v>
      </c>
      <c r="O12" t="str">
        <f t="array" ref="O12">IFERROR(VLOOKUP('Base Game '!J9,'Pay Table'!$M$3:$O$18,3,FALSE),"")</f>
        <v>"v"</v>
      </c>
      <c r="Q12">
        <f t="array" ref="Q12">IF('Base Game '!C9=0,"",'Base Game '!C9)</f>
        <v>15</v>
      </c>
      <c r="R12">
        <f>IF('Base Game '!E9=0,"",'Base Game '!E9)</f>
        <v>140</v>
      </c>
      <c r="S12">
        <f>IF('Base Game '!G9=0,"",'Base Game '!G9)</f>
        <v>140</v>
      </c>
      <c r="T12">
        <f>IF('Base Game '!I9=0,"",'Base Game '!I9)</f>
        <v>100</v>
      </c>
      <c r="U12">
        <f>IF('Base Game '!K9=0,"",'Base Game '!K9)</f>
        <v>25</v>
      </c>
      <c r="W12" t="e">
        <f>VLOOKUP(#REF!,'Pay Table'!$M$3:$O$18,3,FALSE)</f>
        <v>#REF!</v>
      </c>
      <c r="X12" t="e">
        <f>VLOOKUP(#REF!,'Pay Table'!$M$3:$O$18,3,FALSE)</f>
        <v>#REF!</v>
      </c>
      <c r="Y12" t="e">
        <f>VLOOKUP(#REF!,'Pay Table'!$M$3:$O$18,3,FALSE)</f>
        <v>#REF!</v>
      </c>
      <c r="Z12" t="e">
        <f>VLOOKUP(#REF!,'Pay Table'!$M$3:$O$18,3,FALSE)</f>
        <v>#REF!</v>
      </c>
      <c r="AA12" t="e">
        <f>VLOOKUP(#REF!,'Pay Table'!$M$3:$O$18,3,FALSE)</f>
        <v>#REF!</v>
      </c>
      <c r="AC12" t="str">
        <f t="array" ref="AC12">IFERROR(VLOOKUP('Free Game'!B8,'Pay Table'!$M$3:$O$18,3,FALSE),"")</f>
        <v>"v"</v>
      </c>
      <c r="AD12">
        <f>IFERROR(VLOOKUP('Free Game'!D8,'Pay Table'!$M$3:$O$18,3,FALSE),"")</f>
        <v>1</v>
      </c>
      <c r="AE12" t="str">
        <f>IFERROR(VLOOKUP('Free Game'!F8,'Pay Table'!$M$3:$O$18,3,FALSE),"")</f>
        <v>"w"</v>
      </c>
      <c r="AF12">
        <f t="array" ref="AF12">IFERROR(VLOOKUP('Free Game'!H8,'Pay Table'!$M$3:$O$18,3,FALSE),"")</f>
        <v>1</v>
      </c>
      <c r="AG12" t="str">
        <f t="array" ref="AG12">IFERROR(VLOOKUP('Free Game'!J8,'Pay Table'!$M$3:$O$18,3,FALSE),"")</f>
        <v>"v"</v>
      </c>
      <c r="AI12">
        <f>IF('Free Game'!C8=0,"",'Free Game'!C8)</f>
        <v>5</v>
      </c>
      <c r="AJ12">
        <f>IF('Free Game'!E8=0,"",'Free Game'!E8)</f>
        <v>100</v>
      </c>
      <c r="AK12">
        <f>IF('Free Game'!G8=0,"",'Free Game'!G8)</f>
        <v>100</v>
      </c>
      <c r="AL12">
        <f>IF('Free Game'!I8=0,"",'Free Game'!I8)</f>
        <v>100</v>
      </c>
      <c r="AM12">
        <f>IF('Free Game'!K8=0,"",'Free Game'!K8)</f>
        <v>10</v>
      </c>
    </row>
    <row r="13" spans="1:41" ht="15" x14ac:dyDescent="0.15">
      <c r="A13" s="103"/>
      <c r="B13" s="10"/>
      <c r="C13" s="103"/>
      <c r="D13" s="10"/>
      <c r="E13" s="103"/>
      <c r="F13" s="10"/>
      <c r="G13" s="103"/>
      <c r="H13" s="10"/>
      <c r="I13" s="103"/>
      <c r="K13" t="str">
        <f>IFERROR(VLOOKUP('Base Game '!B10,'Pay Table'!$M$3:$O$18,3,FALSE),"")</f>
        <v>"v"</v>
      </c>
      <c r="L13" t="str">
        <f>IFERROR(VLOOKUP('Base Game '!D10,'Pay Table'!$M$3:$O$18,3,FALSE),"")</f>
        <v>"s"</v>
      </c>
      <c r="M13" t="str">
        <f t="array" ref="M13">IFERROR(VLOOKUP('Base Game '!F10,'Pay Table'!$M$3:$O$18,3,FALSE),"")</f>
        <v>"s"</v>
      </c>
      <c r="N13">
        <f t="array" ref="N13">IFERROR(VLOOKUP('Base Game '!H10,'Pay Table'!$M$3:$O$18,3,FALSE),"")</f>
        <v>6</v>
      </c>
      <c r="O13" t="str">
        <f t="array" ref="O13">IFERROR(VLOOKUP('Base Game '!J10,'Pay Table'!$M$3:$O$18,3,FALSE),"")</f>
        <v>"v"</v>
      </c>
      <c r="Q13">
        <f t="array" ref="Q13">IF('Base Game '!C10=0,"",'Base Game '!C10)</f>
        <v>25</v>
      </c>
      <c r="R13">
        <f>IF('Base Game '!E10=0,"",'Base Game '!E10)</f>
        <v>144</v>
      </c>
      <c r="S13">
        <f>IF('Base Game '!G10=0,"",'Base Game '!G10)</f>
        <v>144</v>
      </c>
      <c r="T13">
        <f>IF('Base Game '!I10=0,"",'Base Game '!I10)</f>
        <v>100</v>
      </c>
      <c r="U13">
        <f>IF('Base Game '!K10=0,"",'Base Game '!K10)</f>
        <v>50</v>
      </c>
      <c r="W13" t="e">
        <f>VLOOKUP(#REF!,'Pay Table'!$M$3:$O$18,3,FALSE)</f>
        <v>#REF!</v>
      </c>
      <c r="X13" t="e">
        <f>VLOOKUP(#REF!,'Pay Table'!$M$3:$O$18,3,FALSE)</f>
        <v>#REF!</v>
      </c>
      <c r="Y13" t="e">
        <f>VLOOKUP(#REF!,'Pay Table'!$M$3:$O$18,3,FALSE)</f>
        <v>#REF!</v>
      </c>
      <c r="Z13" t="e">
        <f>VLOOKUP(#REF!,'Pay Table'!$M$3:$O$18,3,FALSE)</f>
        <v>#REF!</v>
      </c>
      <c r="AA13" t="e">
        <f>VLOOKUP(#REF!,'Pay Table'!$M$3:$O$18,3,FALSE)</f>
        <v>#REF!</v>
      </c>
      <c r="AC13" t="str">
        <f t="array" ref="AC13">IFERROR(VLOOKUP('Free Game'!B9,'Pay Table'!$M$3:$O$18,3,FALSE),"")</f>
        <v>"v"</v>
      </c>
      <c r="AD13">
        <f>IFERROR(VLOOKUP('Free Game'!D9,'Pay Table'!$M$3:$O$18,3,FALSE),"")</f>
        <v>5</v>
      </c>
      <c r="AE13">
        <f>IFERROR(VLOOKUP('Free Game'!F9,'Pay Table'!$M$3:$O$18,3,FALSE),"")</f>
        <v>3</v>
      </c>
      <c r="AF13">
        <f t="array" ref="AF13">IFERROR(VLOOKUP('Free Game'!H9,'Pay Table'!$M$3:$O$18,3,FALSE),"")</f>
        <v>6</v>
      </c>
      <c r="AG13" t="str">
        <f t="array" ref="AG13">IFERROR(VLOOKUP('Free Game'!J9,'Pay Table'!$M$3:$O$18,3,FALSE),"")</f>
        <v>"v"</v>
      </c>
      <c r="AI13">
        <f>IF('Free Game'!C9=0,"",'Free Game'!C9)</f>
        <v>10</v>
      </c>
      <c r="AJ13">
        <f>IF('Free Game'!E9=0,"",'Free Game'!E9)</f>
        <v>100</v>
      </c>
      <c r="AK13">
        <f>IF('Free Game'!G9=0,"",'Free Game'!G9)</f>
        <v>100</v>
      </c>
      <c r="AL13">
        <f>IF('Free Game'!I9=0,"",'Free Game'!I9)</f>
        <v>100</v>
      </c>
      <c r="AM13">
        <f>IF('Free Game'!K9=0,"",'Free Game'!K9)</f>
        <v>25</v>
      </c>
    </row>
    <row r="14" spans="1:41" ht="15" x14ac:dyDescent="0.15">
      <c r="A14" s="103"/>
      <c r="B14" s="10" t="s">
        <v>158</v>
      </c>
      <c r="C14" s="103"/>
      <c r="D14" s="10"/>
      <c r="E14" s="103"/>
      <c r="F14" s="10"/>
      <c r="G14" s="103"/>
      <c r="H14" s="10"/>
      <c r="I14" s="103"/>
      <c r="K14" t="str">
        <f>IFERROR(VLOOKUP('Base Game '!B11,'Pay Table'!$M$3:$O$18,3,FALSE),"")</f>
        <v>"v"</v>
      </c>
      <c r="L14">
        <f>IFERROR(VLOOKUP('Base Game '!D11,'Pay Table'!$M$3:$O$18,3,FALSE),"")</f>
        <v>7</v>
      </c>
      <c r="M14">
        <f t="array" ref="M14">IFERROR(VLOOKUP('Base Game '!F11,'Pay Table'!$M$3:$O$18,3,FALSE),"")</f>
        <v>9</v>
      </c>
      <c r="N14">
        <f t="array" ref="N14">IFERROR(VLOOKUP('Base Game '!H11,'Pay Table'!$M$3:$O$18,3,FALSE),"")</f>
        <v>4</v>
      </c>
      <c r="O14">
        <f t="array" ref="O14">IFERROR(VLOOKUP('Base Game '!J11,'Pay Table'!$M$3:$O$18,3,FALSE),"")</f>
        <v>8</v>
      </c>
      <c r="Q14">
        <f t="array" ref="Q14">IF('Base Game '!C11=0,"",'Base Game '!C11)</f>
        <v>50</v>
      </c>
      <c r="R14">
        <f>IF('Base Game '!E11=0,"",'Base Game '!E11)</f>
        <v>100</v>
      </c>
      <c r="S14">
        <f>IF('Base Game '!G11=0,"",'Base Game '!G11)</f>
        <v>100</v>
      </c>
      <c r="T14">
        <f>IF('Base Game '!I11=0,"",'Base Game '!I11)</f>
        <v>100</v>
      </c>
      <c r="U14">
        <f>IF('Base Game '!K11=0,"",'Base Game '!K11)</f>
        <v>100</v>
      </c>
      <c r="W14" t="e">
        <f>VLOOKUP(#REF!,'Pay Table'!$M$3:$O$18,3,FALSE)</f>
        <v>#REF!</v>
      </c>
      <c r="X14" t="e">
        <f>VLOOKUP(#REF!,'Pay Table'!$M$3:$O$18,3,FALSE)</f>
        <v>#REF!</v>
      </c>
      <c r="Y14" t="e">
        <f>VLOOKUP(#REF!,'Pay Table'!$M$3:$O$18,3,FALSE)</f>
        <v>#REF!</v>
      </c>
      <c r="Z14" t="e">
        <f>VLOOKUP(#REF!,'Pay Table'!$M$3:$O$18,3,FALSE)</f>
        <v>#REF!</v>
      </c>
      <c r="AA14" t="e">
        <f>VLOOKUP(#REF!,'Pay Table'!$M$3:$O$18,3,FALSE)</f>
        <v>#REF!</v>
      </c>
      <c r="AC14" t="str">
        <f t="array" ref="AC14">IFERROR(VLOOKUP('Free Game'!B10,'Pay Table'!$M$3:$O$18,3,FALSE),"")</f>
        <v>"v"</v>
      </c>
      <c r="AD14">
        <f>IFERROR(VLOOKUP('Free Game'!D10,'Pay Table'!$M$3:$O$18,3,FALSE),"")</f>
        <v>7</v>
      </c>
      <c r="AE14">
        <f>IFERROR(VLOOKUP('Free Game'!F10,'Pay Table'!$M$3:$O$18,3,FALSE),"")</f>
        <v>9</v>
      </c>
      <c r="AF14">
        <f t="array" ref="AF14">IFERROR(VLOOKUP('Free Game'!H10,'Pay Table'!$M$3:$O$18,3,FALSE),"")</f>
        <v>4</v>
      </c>
      <c r="AG14">
        <f t="array" ref="AG14">IFERROR(VLOOKUP('Free Game'!J10,'Pay Table'!$M$3:$O$18,3,FALSE),"")</f>
        <v>5</v>
      </c>
      <c r="AI14">
        <f>IF('Free Game'!C10=0,"",'Free Game'!C10)</f>
        <v>25</v>
      </c>
      <c r="AJ14">
        <f>IF('Free Game'!E10=0,"",'Free Game'!E10)</f>
        <v>100</v>
      </c>
      <c r="AK14">
        <f>IF('Free Game'!G10=0,"",'Free Game'!G10)</f>
        <v>100</v>
      </c>
      <c r="AL14">
        <f>IF('Free Game'!I10=0,"",'Free Game'!I10)</f>
        <v>100</v>
      </c>
      <c r="AM14">
        <f>IF('Free Game'!K10=0,"",'Free Game'!K10)</f>
        <v>100</v>
      </c>
    </row>
    <row r="15" spans="1:41" ht="15" x14ac:dyDescent="0.15">
      <c r="A15" s="103"/>
      <c r="B15" s="10" t="s">
        <v>142</v>
      </c>
      <c r="C15" s="103" t="e">
        <f>_xlfn.TEXTJOIN(",",TRUE,W9:W200)</f>
        <v>#REF!</v>
      </c>
      <c r="D15" s="10" t="s">
        <v>88</v>
      </c>
      <c r="E15" s="103"/>
      <c r="F15" s="10"/>
      <c r="G15" s="103"/>
      <c r="H15" s="10"/>
      <c r="I15" s="103"/>
      <c r="K15">
        <f>IFERROR(VLOOKUP('Base Game '!B12,'Pay Table'!$M$3:$O$18,3,FALSE),"")</f>
        <v>6</v>
      </c>
      <c r="L15">
        <f>IFERROR(VLOOKUP('Base Game '!D12,'Pay Table'!$M$3:$O$18,3,FALSE),"")</f>
        <v>5</v>
      </c>
      <c r="M15">
        <f t="array" ref="M15">IFERROR(VLOOKUP('Base Game '!F12,'Pay Table'!$M$3:$O$18,3,FALSE),"")</f>
        <v>3</v>
      </c>
      <c r="N15">
        <f t="array" ref="N15">IFERROR(VLOOKUP('Base Game '!H12,'Pay Table'!$M$3:$O$18,3,FALSE),"")</f>
        <v>4</v>
      </c>
      <c r="O15">
        <f t="array" ref="O15">IFERROR(VLOOKUP('Base Game '!J12,'Pay Table'!$M$3:$O$18,3,FALSE),"")</f>
        <v>1</v>
      </c>
      <c r="Q15">
        <f t="array" ref="Q15">IF('Base Game '!C12=0,"",'Base Game '!C12)</f>
        <v>100</v>
      </c>
      <c r="R15">
        <f>IF('Base Game '!E12=0,"",'Base Game '!E12)</f>
        <v>100</v>
      </c>
      <c r="S15">
        <f>IF('Base Game '!G12=0,"",'Base Game '!G12)</f>
        <v>100</v>
      </c>
      <c r="T15">
        <f>IF('Base Game '!I12=0,"",'Base Game '!I12)</f>
        <v>100</v>
      </c>
      <c r="U15">
        <f>IF('Base Game '!K12=0,"",'Base Game '!K12)</f>
        <v>100</v>
      </c>
      <c r="W15" t="e">
        <f>VLOOKUP(#REF!,'Pay Table'!$M$3:$O$18,3,FALSE)</f>
        <v>#REF!</v>
      </c>
      <c r="X15" t="e">
        <f>VLOOKUP(#REF!,'Pay Table'!$M$3:$O$18,3,FALSE)</f>
        <v>#REF!</v>
      </c>
      <c r="Y15" t="e">
        <f>VLOOKUP(#REF!,'Pay Table'!$M$3:$O$18,3,FALSE)</f>
        <v>#REF!</v>
      </c>
      <c r="Z15" t="e">
        <f>VLOOKUP(#REF!,'Pay Table'!$M$3:$O$18,3,FALSE)</f>
        <v>#REF!</v>
      </c>
      <c r="AA15" t="e">
        <f>VLOOKUP(#REF!,'Pay Table'!$M$3:$O$18,3,FALSE)</f>
        <v>#REF!</v>
      </c>
      <c r="AC15">
        <f t="array" ref="AC15">IFERROR(VLOOKUP('Free Game'!B11,'Pay Table'!$M$3:$O$18,3,FALSE),"")</f>
        <v>7</v>
      </c>
      <c r="AD15">
        <f>IFERROR(VLOOKUP('Free Game'!D11,'Pay Table'!$M$3:$O$18,3,FALSE),"")</f>
        <v>5</v>
      </c>
      <c r="AE15">
        <f>IFERROR(VLOOKUP('Free Game'!F11,'Pay Table'!$M$3:$O$18,3,FALSE),"")</f>
        <v>4</v>
      </c>
      <c r="AF15">
        <f t="array" ref="AF15">IFERROR(VLOOKUP('Free Game'!H11,'Pay Table'!$M$3:$O$18,3,FALSE),"")</f>
        <v>7</v>
      </c>
      <c r="AG15">
        <f t="array" ref="AG15">IFERROR(VLOOKUP('Free Game'!J11,'Pay Table'!$M$3:$O$18,3,FALSE),"")</f>
        <v>8</v>
      </c>
      <c r="AI15">
        <f>IF('Free Game'!C11=0,"",'Free Game'!C11)</f>
        <v>100</v>
      </c>
      <c r="AJ15">
        <f>IF('Free Game'!E11=0,"",'Free Game'!E11)</f>
        <v>100</v>
      </c>
      <c r="AK15">
        <f>IF('Free Game'!G11=0,"",'Free Game'!G11)</f>
        <v>100</v>
      </c>
      <c r="AL15">
        <f>IF('Free Game'!I11=0,"",'Free Game'!I11)</f>
        <v>100</v>
      </c>
      <c r="AM15">
        <f>IF('Free Game'!K11=0,"",'Free Game'!K11)</f>
        <v>100</v>
      </c>
    </row>
    <row r="16" spans="1:41" ht="15" x14ac:dyDescent="0.15">
      <c r="A16" s="103"/>
      <c r="B16" s="10" t="s">
        <v>144</v>
      </c>
      <c r="C16" s="103" t="e">
        <f>_xlfn.TEXTJOIN(",",TRUE,X9:X200)</f>
        <v>#REF!</v>
      </c>
      <c r="D16" s="10" t="s">
        <v>88</v>
      </c>
      <c r="E16" s="103"/>
      <c r="F16" s="10"/>
      <c r="G16" s="103"/>
      <c r="H16" s="10"/>
      <c r="I16" s="103"/>
      <c r="K16">
        <f>IFERROR(VLOOKUP('Base Game '!B13,'Pay Table'!$M$3:$O$18,3,FALSE),"")</f>
        <v>8</v>
      </c>
      <c r="L16">
        <f>IFERROR(VLOOKUP('Base Game '!D13,'Pay Table'!$M$3:$O$18,3,FALSE),"")</f>
        <v>5</v>
      </c>
      <c r="M16">
        <f t="array" ref="M16">IFERROR(VLOOKUP('Base Game '!F13,'Pay Table'!$M$3:$O$18,3,FALSE),"")</f>
        <v>4</v>
      </c>
      <c r="N16">
        <f t="array" ref="N16">IFERROR(VLOOKUP('Base Game '!H13,'Pay Table'!$M$3:$O$18,3,FALSE),"")</f>
        <v>6</v>
      </c>
      <c r="O16">
        <f t="array" ref="O16">IFERROR(VLOOKUP('Base Game '!J13,'Pay Table'!$M$3:$O$18,3,FALSE),"")</f>
        <v>6</v>
      </c>
      <c r="Q16">
        <f t="array" ref="Q16">IF('Base Game '!C13=0,"",'Base Game '!C13)</f>
        <v>100</v>
      </c>
      <c r="R16">
        <f>IF('Base Game '!E13=0,"",'Base Game '!E13)</f>
        <v>100</v>
      </c>
      <c r="S16">
        <f>IF('Base Game '!G13=0,"",'Base Game '!G13)</f>
        <v>100</v>
      </c>
      <c r="T16">
        <f>IF('Base Game '!I13=0,"",'Base Game '!I13)</f>
        <v>100</v>
      </c>
      <c r="U16">
        <f>IF('Base Game '!K13=0,"",'Base Game '!K13)</f>
        <v>100</v>
      </c>
      <c r="W16" t="e">
        <f>VLOOKUP(#REF!,'Pay Table'!$M$3:$O$18,3,FALSE)</f>
        <v>#REF!</v>
      </c>
      <c r="X16" t="e">
        <f>VLOOKUP(#REF!,'Pay Table'!$M$3:$O$18,3,FALSE)</f>
        <v>#REF!</v>
      </c>
      <c r="Y16" t="e">
        <f>VLOOKUP(#REF!,'Pay Table'!$M$3:$O$18,3,FALSE)</f>
        <v>#REF!</v>
      </c>
      <c r="Z16" t="e">
        <f>VLOOKUP(#REF!,'Pay Table'!$M$3:$O$18,3,FALSE)</f>
        <v>#REF!</v>
      </c>
      <c r="AA16" t="e">
        <f>VLOOKUP(#REF!,'Pay Table'!$M$3:$O$18,3,FALSE)</f>
        <v>#REF!</v>
      </c>
      <c r="AC16">
        <f t="array" ref="AC16">IFERROR(VLOOKUP('Free Game'!B12,'Pay Table'!$M$3:$O$18,3,FALSE),"")</f>
        <v>8</v>
      </c>
      <c r="AD16" t="str">
        <f>IFERROR(VLOOKUP('Free Game'!D12,'Pay Table'!$M$3:$O$18,3,FALSE),"")</f>
        <v>"w"</v>
      </c>
      <c r="AE16">
        <f>IFERROR(VLOOKUP('Free Game'!F12,'Pay Table'!$M$3:$O$18,3,FALSE),"")</f>
        <v>4</v>
      </c>
      <c r="AF16" t="str">
        <f t="array" ref="AF16">IFERROR(VLOOKUP('Free Game'!H12,'Pay Table'!$M$3:$O$18,3,FALSE),"")</f>
        <v>"w"</v>
      </c>
      <c r="AG16">
        <f t="array" ref="AG16">IFERROR(VLOOKUP('Free Game'!J12,'Pay Table'!$M$3:$O$18,3,FALSE),"")</f>
        <v>9</v>
      </c>
      <c r="AI16">
        <f>IF('Free Game'!C12=0,"",'Free Game'!C12)</f>
        <v>100</v>
      </c>
      <c r="AJ16">
        <f>IF('Free Game'!E12=0,"",'Free Game'!E12)</f>
        <v>100</v>
      </c>
      <c r="AK16">
        <f>IF('Free Game'!G12=0,"",'Free Game'!G12)</f>
        <v>100</v>
      </c>
      <c r="AL16">
        <f>IF('Free Game'!I12=0,"",'Free Game'!I12)</f>
        <v>100</v>
      </c>
      <c r="AM16">
        <f>IF('Free Game'!K12=0,"",'Free Game'!K12)</f>
        <v>100</v>
      </c>
    </row>
    <row r="17" spans="1:39" ht="15" x14ac:dyDescent="0.15">
      <c r="A17" s="103"/>
      <c r="B17" s="10" t="s">
        <v>143</v>
      </c>
      <c r="C17" s="103" t="e">
        <f>_xlfn.TEXTJOIN(",",TRUE,Y9:Y200)</f>
        <v>#REF!</v>
      </c>
      <c r="D17" s="10" t="s">
        <v>88</v>
      </c>
      <c r="E17" s="103"/>
      <c r="F17" s="10"/>
      <c r="G17" s="103"/>
      <c r="H17" s="10"/>
      <c r="I17" s="103"/>
      <c r="K17">
        <f>IFERROR(VLOOKUP('Base Game '!B14,'Pay Table'!$M$3:$O$18,3,FALSE),"")</f>
        <v>4</v>
      </c>
      <c r="L17">
        <f>IFERROR(VLOOKUP('Base Game '!D14,'Pay Table'!$M$3:$O$18,3,FALSE),"")</f>
        <v>3</v>
      </c>
      <c r="M17">
        <f t="array" ref="M17">IFERROR(VLOOKUP('Base Game '!F14,'Pay Table'!$M$3:$O$18,3,FALSE),"")</f>
        <v>1</v>
      </c>
      <c r="N17">
        <f t="array" ref="N17">IFERROR(VLOOKUP('Base Game '!H14,'Pay Table'!$M$3:$O$18,3,FALSE),"")</f>
        <v>5</v>
      </c>
      <c r="O17">
        <f t="array" ref="O17">IFERROR(VLOOKUP('Base Game '!J14,'Pay Table'!$M$3:$O$18,3,FALSE),"")</f>
        <v>7</v>
      </c>
      <c r="Q17">
        <f t="array" ref="Q17">IF('Base Game '!C14=0,"",'Base Game '!C14)</f>
        <v>100</v>
      </c>
      <c r="R17">
        <f>IF('Base Game '!E14=0,"",'Base Game '!E14)</f>
        <v>100</v>
      </c>
      <c r="S17">
        <f>IF('Base Game '!G14=0,"",'Base Game '!G14)</f>
        <v>100</v>
      </c>
      <c r="T17">
        <f>IF('Base Game '!I14=0,"",'Base Game '!I14)</f>
        <v>100</v>
      </c>
      <c r="U17">
        <f>IF('Base Game '!K14=0,"",'Base Game '!K14)</f>
        <v>100</v>
      </c>
      <c r="W17" t="e">
        <f>VLOOKUP(#REF!,'Pay Table'!$M$3:$O$18,3,FALSE)</f>
        <v>#REF!</v>
      </c>
      <c r="X17" t="e">
        <f>VLOOKUP(#REF!,'Pay Table'!$M$3:$O$18,3,FALSE)</f>
        <v>#REF!</v>
      </c>
      <c r="Y17" t="e">
        <f>VLOOKUP(#REF!,'Pay Table'!$M$3:$O$18,3,FALSE)</f>
        <v>#REF!</v>
      </c>
      <c r="Z17" t="e">
        <f>VLOOKUP(#REF!,'Pay Table'!$M$3:$O$18,3,FALSE)</f>
        <v>#REF!</v>
      </c>
      <c r="AA17" t="e">
        <f>VLOOKUP(#REF!,'Pay Table'!$M$3:$O$18,3,FALSE)</f>
        <v>#REF!</v>
      </c>
      <c r="AC17">
        <f t="array" ref="AC17">IFERROR(VLOOKUP('Free Game'!B13,'Pay Table'!$M$3:$O$18,3,FALSE),"")</f>
        <v>3</v>
      </c>
      <c r="AD17" t="str">
        <f>IFERROR(VLOOKUP('Free Game'!D13,'Pay Table'!$M$3:$O$18,3,FALSE),"")</f>
        <v>"w"</v>
      </c>
      <c r="AE17">
        <f>IFERROR(VLOOKUP('Free Game'!F13,'Pay Table'!$M$3:$O$18,3,FALSE),"")</f>
        <v>2</v>
      </c>
      <c r="AF17" t="str">
        <f t="array" ref="AF17">IFERROR(VLOOKUP('Free Game'!H13,'Pay Table'!$M$3:$O$18,3,FALSE),"")</f>
        <v>"w"</v>
      </c>
      <c r="AG17">
        <f t="array" ref="AG17">IFERROR(VLOOKUP('Free Game'!J13,'Pay Table'!$M$3:$O$18,3,FALSE),"")</f>
        <v>6</v>
      </c>
      <c r="AI17">
        <f>IF('Free Game'!C13=0,"",'Free Game'!C13)</f>
        <v>100</v>
      </c>
      <c r="AJ17">
        <f>IF('Free Game'!E13=0,"",'Free Game'!E13)</f>
        <v>100</v>
      </c>
      <c r="AK17">
        <f>IF('Free Game'!G13=0,"",'Free Game'!G13)</f>
        <v>100</v>
      </c>
      <c r="AL17">
        <f>IF('Free Game'!I13=0,"",'Free Game'!I13)</f>
        <v>100</v>
      </c>
      <c r="AM17">
        <f>IF('Free Game'!K13=0,"",'Free Game'!K13)</f>
        <v>100</v>
      </c>
    </row>
    <row r="18" spans="1:39" ht="15" x14ac:dyDescent="0.15">
      <c r="A18" s="103"/>
      <c r="B18" s="10" t="s">
        <v>145</v>
      </c>
      <c r="C18" s="103" t="e">
        <f>_xlfn.TEXTJOIN(",",TRUE,Z9:Z200)</f>
        <v>#REF!</v>
      </c>
      <c r="D18" s="10" t="s">
        <v>88</v>
      </c>
      <c r="E18" s="103"/>
      <c r="F18" s="10"/>
      <c r="G18" s="103"/>
      <c r="H18" s="10"/>
      <c r="I18" s="103"/>
      <c r="K18">
        <f>IFERROR(VLOOKUP('Base Game '!B15,'Pay Table'!$M$3:$O$18,3,FALSE),"")</f>
        <v>1</v>
      </c>
      <c r="L18">
        <f>IFERROR(VLOOKUP('Base Game '!D15,'Pay Table'!$M$3:$O$18,3,FALSE),"")</f>
        <v>7</v>
      </c>
      <c r="M18">
        <f t="array" ref="M18">IFERROR(VLOOKUP('Base Game '!F15,'Pay Table'!$M$3:$O$18,3,FALSE),"")</f>
        <v>1</v>
      </c>
      <c r="N18">
        <f t="array" ref="N18">IFERROR(VLOOKUP('Base Game '!H15,'Pay Table'!$M$3:$O$18,3,FALSE),"")</f>
        <v>1</v>
      </c>
      <c r="O18">
        <f t="array" ref="O18">IFERROR(VLOOKUP('Base Game '!J15,'Pay Table'!$M$3:$O$18,3,FALSE),"")</f>
        <v>2</v>
      </c>
      <c r="Q18">
        <f t="array" ref="Q18">IF('Base Game '!C15=0,"",'Base Game '!C15)</f>
        <v>100</v>
      </c>
      <c r="R18">
        <f>IF('Base Game '!E15=0,"",'Base Game '!E15)</f>
        <v>100</v>
      </c>
      <c r="S18">
        <f>IF('Base Game '!G15=0,"",'Base Game '!G15)</f>
        <v>100</v>
      </c>
      <c r="T18">
        <f>IF('Base Game '!I15=0,"",'Base Game '!I15)</f>
        <v>100</v>
      </c>
      <c r="U18">
        <f>IF('Base Game '!K15=0,"",'Base Game '!K15)</f>
        <v>100</v>
      </c>
      <c r="W18" t="e">
        <f>VLOOKUP(#REF!,'Pay Table'!$M$3:$O$18,3,FALSE)</f>
        <v>#REF!</v>
      </c>
      <c r="X18" t="e">
        <f>VLOOKUP(#REF!,'Pay Table'!$M$3:$O$18,3,FALSE)</f>
        <v>#REF!</v>
      </c>
      <c r="Y18" t="e">
        <f>VLOOKUP(#REF!,'Pay Table'!$M$3:$O$18,3,FALSE)</f>
        <v>#REF!</v>
      </c>
      <c r="Z18" t="e">
        <f>VLOOKUP(#REF!,'Pay Table'!$M$3:$O$18,3,FALSE)</f>
        <v>#REF!</v>
      </c>
      <c r="AA18" t="e">
        <f>VLOOKUP(#REF!,'Pay Table'!$M$3:$O$18,3,FALSE)</f>
        <v>#REF!</v>
      </c>
      <c r="AC18">
        <f t="array" ref="AC18">IFERROR(VLOOKUP('Free Game'!B14,'Pay Table'!$M$3:$O$18,3,FALSE),"")</f>
        <v>5</v>
      </c>
      <c r="AD18">
        <f>IFERROR(VLOOKUP('Free Game'!D14,'Pay Table'!$M$3:$O$18,3,FALSE),"")</f>
        <v>3</v>
      </c>
      <c r="AE18">
        <f>IFERROR(VLOOKUP('Free Game'!F14,'Pay Table'!$M$3:$O$18,3,FALSE),"")</f>
        <v>2</v>
      </c>
      <c r="AF18" t="str">
        <f t="array" ref="AF18">IFERROR(VLOOKUP('Free Game'!H14,'Pay Table'!$M$3:$O$18,3,FALSE),"")</f>
        <v>"w"</v>
      </c>
      <c r="AG18">
        <f t="array" ref="AG18">IFERROR(VLOOKUP('Free Game'!J14,'Pay Table'!$M$3:$O$18,3,FALSE),"")</f>
        <v>5</v>
      </c>
      <c r="AI18">
        <f>IF('Free Game'!C14=0,"",'Free Game'!C14)</f>
        <v>100</v>
      </c>
      <c r="AJ18">
        <f>IF('Free Game'!E14=0,"",'Free Game'!E14)</f>
        <v>100</v>
      </c>
      <c r="AK18">
        <f>IF('Free Game'!G14=0,"",'Free Game'!G14)</f>
        <v>100</v>
      </c>
      <c r="AL18">
        <f>IF('Free Game'!I14=0,"",'Free Game'!I14)</f>
        <v>100</v>
      </c>
      <c r="AM18">
        <f>IF('Free Game'!K14=0,"",'Free Game'!K14)</f>
        <v>100</v>
      </c>
    </row>
    <row r="19" spans="1:39" ht="15" x14ac:dyDescent="0.15">
      <c r="A19" s="103"/>
      <c r="B19" s="10" t="s">
        <v>146</v>
      </c>
      <c r="C19" s="103" t="e">
        <f>_xlfn.TEXTJOIN(",",TRUE,AA9:AA200)</f>
        <v>#REF!</v>
      </c>
      <c r="D19" s="10" t="s">
        <v>88</v>
      </c>
      <c r="E19" s="103"/>
      <c r="F19" s="10"/>
      <c r="G19" s="103"/>
      <c r="H19" s="10"/>
      <c r="I19" s="103"/>
      <c r="K19">
        <f>IFERROR(VLOOKUP('Base Game '!B16,'Pay Table'!$M$3:$O$18,3,FALSE),"")</f>
        <v>1</v>
      </c>
      <c r="L19">
        <f>IFERROR(VLOOKUP('Base Game '!D16,'Pay Table'!$M$3:$O$18,3,FALSE),"")</f>
        <v>6</v>
      </c>
      <c r="M19">
        <f t="array" ref="M19">IFERROR(VLOOKUP('Base Game '!F16,'Pay Table'!$M$3:$O$18,3,FALSE),"")</f>
        <v>8</v>
      </c>
      <c r="N19">
        <f t="array" ref="N19">IFERROR(VLOOKUP('Base Game '!H16,'Pay Table'!$M$3:$O$18,3,FALSE),"")</f>
        <v>5</v>
      </c>
      <c r="O19">
        <f t="array" ref="O19">IFERROR(VLOOKUP('Base Game '!J16,'Pay Table'!$M$3:$O$18,3,FALSE),"")</f>
        <v>2</v>
      </c>
      <c r="Q19">
        <f t="array" ref="Q19">IF('Base Game '!C16=0,"",'Base Game '!C16)</f>
        <v>100</v>
      </c>
      <c r="R19">
        <f>IF('Base Game '!E16=0,"",'Base Game '!E16)</f>
        <v>100</v>
      </c>
      <c r="S19">
        <f>IF('Base Game '!G16=0,"",'Base Game '!G16)</f>
        <v>100</v>
      </c>
      <c r="T19">
        <f>IF('Base Game '!I16=0,"",'Base Game '!I16)</f>
        <v>100</v>
      </c>
      <c r="U19">
        <f>IF('Base Game '!K16=0,"",'Base Game '!K16)</f>
        <v>100</v>
      </c>
      <c r="W19" t="e">
        <f>VLOOKUP(#REF!,'Pay Table'!$M$3:$O$18,3,FALSE)</f>
        <v>#REF!</v>
      </c>
      <c r="X19" t="e">
        <f>VLOOKUP(#REF!,'Pay Table'!$M$3:$O$18,3,FALSE)</f>
        <v>#REF!</v>
      </c>
      <c r="Y19" t="e">
        <f>VLOOKUP(#REF!,'Pay Table'!$M$3:$O$18,3,FALSE)</f>
        <v>#REF!</v>
      </c>
      <c r="Z19" t="e">
        <f>VLOOKUP(#REF!,'Pay Table'!$M$3:$O$18,3,FALSE)</f>
        <v>#REF!</v>
      </c>
      <c r="AA19" t="e">
        <f>VLOOKUP(#REF!,'Pay Table'!$M$3:$O$18,3,FALSE)</f>
        <v>#REF!</v>
      </c>
      <c r="AC19">
        <f t="array" ref="AC19">IFERROR(VLOOKUP('Free Game'!B15,'Pay Table'!$M$3:$O$18,3,FALSE),"")</f>
        <v>4</v>
      </c>
      <c r="AD19">
        <f>IFERROR(VLOOKUP('Free Game'!D15,'Pay Table'!$M$3:$O$18,3,FALSE),"")</f>
        <v>6</v>
      </c>
      <c r="AE19">
        <f>IFERROR(VLOOKUP('Free Game'!F15,'Pay Table'!$M$3:$O$18,3,FALSE),"")</f>
        <v>2</v>
      </c>
      <c r="AF19">
        <f t="array" ref="AF19">IFERROR(VLOOKUP('Free Game'!H15,'Pay Table'!$M$3:$O$18,3,FALSE),"")</f>
        <v>9</v>
      </c>
      <c r="AG19">
        <f t="array" ref="AG19">IFERROR(VLOOKUP('Free Game'!J15,'Pay Table'!$M$3:$O$18,3,FALSE),"")</f>
        <v>2</v>
      </c>
      <c r="AI19">
        <f>IF('Free Game'!C15=0,"",'Free Game'!C15)</f>
        <v>100</v>
      </c>
      <c r="AJ19">
        <f>IF('Free Game'!E15=0,"",'Free Game'!E15)</f>
        <v>100</v>
      </c>
      <c r="AK19">
        <f>IF('Free Game'!G15=0,"",'Free Game'!G15)</f>
        <v>100</v>
      </c>
      <c r="AL19">
        <f>IF('Free Game'!I15=0,"",'Free Game'!I15)</f>
        <v>100</v>
      </c>
      <c r="AM19">
        <f>IF('Free Game'!K15=0,"",'Free Game'!K15)</f>
        <v>100</v>
      </c>
    </row>
    <row r="20" spans="1:39" ht="15" x14ac:dyDescent="0.15">
      <c r="A20" s="103"/>
      <c r="B20" s="10"/>
      <c r="C20" s="103"/>
      <c r="D20" s="10"/>
      <c r="E20" s="103"/>
      <c r="F20" s="10"/>
      <c r="G20" s="103"/>
      <c r="H20" s="10"/>
      <c r="I20" s="103"/>
      <c r="K20">
        <f>IFERROR(VLOOKUP('Base Game '!B17,'Pay Table'!$M$3:$O$18,3,FALSE),"")</f>
        <v>1</v>
      </c>
      <c r="L20">
        <f>IFERROR(VLOOKUP('Base Game '!D17,'Pay Table'!$M$3:$O$18,3,FALSE),"")</f>
        <v>3</v>
      </c>
      <c r="M20">
        <f t="array" ref="M20">IFERROR(VLOOKUP('Base Game '!F17,'Pay Table'!$M$3:$O$18,3,FALSE),"")</f>
        <v>4</v>
      </c>
      <c r="N20">
        <f t="array" ref="N20">IFERROR(VLOOKUP('Base Game '!H17,'Pay Table'!$M$3:$O$18,3,FALSE),"")</f>
        <v>3</v>
      </c>
      <c r="O20">
        <f t="array" ref="O20">IFERROR(VLOOKUP('Base Game '!J17,'Pay Table'!$M$3:$O$18,3,FALSE),"")</f>
        <v>2</v>
      </c>
      <c r="Q20">
        <f t="array" ref="Q20">IF('Base Game '!C17=0,"",'Base Game '!C17)</f>
        <v>100</v>
      </c>
      <c r="R20">
        <f>IF('Base Game '!E17=0,"",'Base Game '!E17)</f>
        <v>100</v>
      </c>
      <c r="S20">
        <f>IF('Base Game '!G17=0,"",'Base Game '!G17)</f>
        <v>100</v>
      </c>
      <c r="T20">
        <f>IF('Base Game '!I17=0,"",'Base Game '!I17)</f>
        <v>100</v>
      </c>
      <c r="U20">
        <f>IF('Base Game '!K17=0,"",'Base Game '!K17)</f>
        <v>100</v>
      </c>
      <c r="W20" t="e">
        <f>VLOOKUP(#REF!,'Pay Table'!$M$3:$O$18,3,FALSE)</f>
        <v>#REF!</v>
      </c>
      <c r="X20" t="e">
        <f>VLOOKUP(#REF!,'Pay Table'!$M$3:$O$18,3,FALSE)</f>
        <v>#REF!</v>
      </c>
      <c r="Y20" t="e">
        <f>VLOOKUP(#REF!,'Pay Table'!$M$3:$O$18,3,FALSE)</f>
        <v>#REF!</v>
      </c>
      <c r="Z20" t="e">
        <f>VLOOKUP(#REF!,'Pay Table'!$M$3:$O$18,3,FALSE)</f>
        <v>#REF!</v>
      </c>
      <c r="AA20" t="e">
        <f>VLOOKUP(#REF!,'Pay Table'!$M$3:$O$18,3,FALSE)</f>
        <v>#REF!</v>
      </c>
      <c r="AC20">
        <f t="array" ref="AC20">IFERROR(VLOOKUP('Free Game'!B16,'Pay Table'!$M$3:$O$18,3,FALSE),"")</f>
        <v>9</v>
      </c>
      <c r="AD20">
        <f>IFERROR(VLOOKUP('Free Game'!D16,'Pay Table'!$M$3:$O$18,3,FALSE),"")</f>
        <v>9</v>
      </c>
      <c r="AE20">
        <f>IFERROR(VLOOKUP('Free Game'!F16,'Pay Table'!$M$3:$O$18,3,FALSE),"")</f>
        <v>7</v>
      </c>
      <c r="AF20">
        <f t="array" ref="AF20">IFERROR(VLOOKUP('Free Game'!H16,'Pay Table'!$M$3:$O$18,3,FALSE),"")</f>
        <v>3</v>
      </c>
      <c r="AG20">
        <f t="array" ref="AG20">IFERROR(VLOOKUP('Free Game'!J16,'Pay Table'!$M$3:$O$18,3,FALSE),"")</f>
        <v>2</v>
      </c>
      <c r="AI20">
        <f>IF('Free Game'!C16=0,"",'Free Game'!C16)</f>
        <v>100</v>
      </c>
      <c r="AJ20">
        <f>IF('Free Game'!E16=0,"",'Free Game'!E16)</f>
        <v>100</v>
      </c>
      <c r="AK20">
        <f>IF('Free Game'!G16=0,"",'Free Game'!G16)</f>
        <v>100</v>
      </c>
      <c r="AL20">
        <f>IF('Free Game'!I16=0,"",'Free Game'!I16)</f>
        <v>100</v>
      </c>
      <c r="AM20">
        <f>IF('Free Game'!K16=0,"",'Free Game'!K16)</f>
        <v>100</v>
      </c>
    </row>
    <row r="21" spans="1:39" ht="15" x14ac:dyDescent="0.15">
      <c r="A21" s="103"/>
      <c r="B21" s="10"/>
      <c r="C21" s="103"/>
      <c r="D21" s="10"/>
      <c r="E21" s="103"/>
      <c r="F21" s="10"/>
      <c r="G21" s="103"/>
      <c r="H21" s="10"/>
      <c r="I21" s="103"/>
      <c r="K21">
        <f>IFERROR(VLOOKUP('Base Game '!B18,'Pay Table'!$M$3:$O$18,3,FALSE),"")</f>
        <v>8</v>
      </c>
      <c r="L21">
        <f>IFERROR(VLOOKUP('Base Game '!D18,'Pay Table'!$M$3:$O$18,3,FALSE),"")</f>
        <v>3</v>
      </c>
      <c r="M21">
        <f t="array" ref="M21">IFERROR(VLOOKUP('Base Game '!F18,'Pay Table'!$M$3:$O$18,3,FALSE),"")</f>
        <v>8</v>
      </c>
      <c r="N21">
        <f t="array" ref="N21">IFERROR(VLOOKUP('Base Game '!H18,'Pay Table'!$M$3:$O$18,3,FALSE),"")</f>
        <v>6</v>
      </c>
      <c r="O21">
        <f t="array" ref="O21">IFERROR(VLOOKUP('Base Game '!J18,'Pay Table'!$M$3:$O$18,3,FALSE),"")</f>
        <v>7</v>
      </c>
      <c r="Q21">
        <f t="array" ref="Q21">IF('Base Game '!C18=0,"",'Base Game '!C18)</f>
        <v>100</v>
      </c>
      <c r="R21">
        <f>IF('Base Game '!E18=0,"",'Base Game '!E18)</f>
        <v>100</v>
      </c>
      <c r="S21">
        <f>IF('Base Game '!G18=0,"",'Base Game '!G18)</f>
        <v>100</v>
      </c>
      <c r="T21">
        <f>IF('Base Game '!I18=0,"",'Base Game '!I18)</f>
        <v>100</v>
      </c>
      <c r="U21">
        <f>IF('Base Game '!K18=0,"",'Base Game '!K18)</f>
        <v>100</v>
      </c>
      <c r="W21" t="e">
        <f>VLOOKUP(#REF!,'Pay Table'!$M$3:$O$18,3,FALSE)</f>
        <v>#REF!</v>
      </c>
      <c r="X21" t="e">
        <f>VLOOKUP(#REF!,'Pay Table'!$M$3:$O$18,3,FALSE)</f>
        <v>#REF!</v>
      </c>
      <c r="Y21" t="e">
        <f>VLOOKUP(#REF!,'Pay Table'!$M$3:$O$18,3,FALSE)</f>
        <v>#REF!</v>
      </c>
      <c r="Z21" t="e">
        <f>VLOOKUP(#REF!,'Pay Table'!$M$3:$O$18,3,FALSE)</f>
        <v>#REF!</v>
      </c>
      <c r="AA21" t="e">
        <f>VLOOKUP(#REF!,'Pay Table'!$M$3:$O$18,3,FALSE)</f>
        <v>#REF!</v>
      </c>
      <c r="AC21">
        <f t="array" ref="AC21">IFERROR(VLOOKUP('Free Game'!B17,'Pay Table'!$M$3:$O$18,3,FALSE),"")</f>
        <v>6</v>
      </c>
      <c r="AD21">
        <f>IFERROR(VLOOKUP('Free Game'!D17,'Pay Table'!$M$3:$O$18,3,FALSE),"")</f>
        <v>2</v>
      </c>
      <c r="AE21">
        <f>IFERROR(VLOOKUP('Free Game'!F17,'Pay Table'!$M$3:$O$18,3,FALSE),"")</f>
        <v>4</v>
      </c>
      <c r="AF21">
        <f t="array" ref="AF21">IFERROR(VLOOKUP('Free Game'!H17,'Pay Table'!$M$3:$O$18,3,FALSE),"")</f>
        <v>7</v>
      </c>
      <c r="AG21">
        <f t="array" ref="AG21">IFERROR(VLOOKUP('Free Game'!J17,'Pay Table'!$M$3:$O$18,3,FALSE),"")</f>
        <v>7</v>
      </c>
      <c r="AI21">
        <f>IF('Free Game'!C17=0,"",'Free Game'!C17)</f>
        <v>100</v>
      </c>
      <c r="AJ21">
        <f>IF('Free Game'!E17=0,"",'Free Game'!E17)</f>
        <v>100</v>
      </c>
      <c r="AK21">
        <f>IF('Free Game'!G17=0,"",'Free Game'!G17)</f>
        <v>100</v>
      </c>
      <c r="AL21">
        <f>IF('Free Game'!I17=0,"",'Free Game'!I17)</f>
        <v>100</v>
      </c>
      <c r="AM21">
        <f>IF('Free Game'!K17=0,"",'Free Game'!K17)</f>
        <v>100</v>
      </c>
    </row>
    <row r="22" spans="1:39" ht="15" x14ac:dyDescent="0.15">
      <c r="A22" s="103"/>
      <c r="B22" s="10"/>
      <c r="C22" s="103"/>
      <c r="D22" s="10"/>
      <c r="E22" s="103"/>
      <c r="F22" s="10"/>
      <c r="G22" s="103"/>
      <c r="H22" s="10"/>
      <c r="I22" s="103"/>
      <c r="K22">
        <f>IFERROR(VLOOKUP('Base Game '!B19,'Pay Table'!$M$3:$O$18,3,FALSE),"")</f>
        <v>7</v>
      </c>
      <c r="L22">
        <f>IFERROR(VLOOKUP('Base Game '!D19,'Pay Table'!$M$3:$O$18,3,FALSE),"")</f>
        <v>9</v>
      </c>
      <c r="M22">
        <f t="array" ref="M22">IFERROR(VLOOKUP('Base Game '!F19,'Pay Table'!$M$3:$O$18,3,FALSE),"")</f>
        <v>9</v>
      </c>
      <c r="N22" t="str">
        <f t="array" ref="N22">IFERROR(VLOOKUP('Base Game '!H19,'Pay Table'!$M$3:$O$18,3,FALSE),"")</f>
        <v>"w"</v>
      </c>
      <c r="O22">
        <f t="array" ref="O22">IFERROR(VLOOKUP('Base Game '!J19,'Pay Table'!$M$3:$O$18,3,FALSE),"")</f>
        <v>9</v>
      </c>
      <c r="Q22">
        <f t="array" ref="Q22">IF('Base Game '!C19=0,"",'Base Game '!C19)</f>
        <v>100</v>
      </c>
      <c r="R22">
        <f>IF('Base Game '!E19=0,"",'Base Game '!E19)</f>
        <v>100</v>
      </c>
      <c r="S22">
        <f>IF('Base Game '!G19=0,"",'Base Game '!G19)</f>
        <v>100</v>
      </c>
      <c r="T22">
        <f>IF('Base Game '!I19=0,"",'Base Game '!I19)</f>
        <v>100</v>
      </c>
      <c r="U22">
        <f>IF('Base Game '!K19=0,"",'Base Game '!K19)</f>
        <v>100</v>
      </c>
      <c r="W22" t="e">
        <f>VLOOKUP(#REF!,'Pay Table'!$M$3:$O$18,3,FALSE)</f>
        <v>#REF!</v>
      </c>
      <c r="X22" t="e">
        <f>VLOOKUP(#REF!,'Pay Table'!$M$3:$O$18,3,FALSE)</f>
        <v>#REF!</v>
      </c>
      <c r="Y22" t="e">
        <f>VLOOKUP(#REF!,'Pay Table'!$M$3:$O$18,3,FALSE)</f>
        <v>#REF!</v>
      </c>
      <c r="Z22" t="e">
        <f>VLOOKUP(#REF!,'Pay Table'!$M$3:$O$18,3,FALSE)</f>
        <v>#REF!</v>
      </c>
      <c r="AA22" t="e">
        <f>VLOOKUP(#REF!,'Pay Table'!$M$3:$O$18,3,FALSE)</f>
        <v>#REF!</v>
      </c>
      <c r="AC22">
        <f t="array" ref="AC22">IFERROR(VLOOKUP('Free Game'!B18,'Pay Table'!$M$3:$O$18,3,FALSE),"")</f>
        <v>4</v>
      </c>
      <c r="AD22">
        <f>IFERROR(VLOOKUP('Free Game'!D18,'Pay Table'!$M$3:$O$18,3,FALSE),"")</f>
        <v>2</v>
      </c>
      <c r="AE22">
        <f>IFERROR(VLOOKUP('Free Game'!F18,'Pay Table'!$M$3:$O$18,3,FALSE),"")</f>
        <v>6</v>
      </c>
      <c r="AF22">
        <f t="array" ref="AF22">IFERROR(VLOOKUP('Free Game'!H18,'Pay Table'!$M$3:$O$18,3,FALSE),"")</f>
        <v>5</v>
      </c>
      <c r="AG22">
        <f t="array" ref="AG22">IFERROR(VLOOKUP('Free Game'!J18,'Pay Table'!$M$3:$O$18,3,FALSE),"")</f>
        <v>9</v>
      </c>
      <c r="AI22">
        <f>IF('Free Game'!C18=0,"",'Free Game'!C18)</f>
        <v>100</v>
      </c>
      <c r="AJ22">
        <f>IF('Free Game'!E18=0,"",'Free Game'!E18)</f>
        <v>100</v>
      </c>
      <c r="AK22">
        <f>IF('Free Game'!G18=0,"",'Free Game'!G18)</f>
        <v>100</v>
      </c>
      <c r="AL22">
        <f>IF('Free Game'!I18=0,"",'Free Game'!I18)</f>
        <v>100</v>
      </c>
      <c r="AM22">
        <f>IF('Free Game'!K18=0,"",'Free Game'!K18)</f>
        <v>100</v>
      </c>
    </row>
    <row r="23" spans="1:39" ht="15" x14ac:dyDescent="0.15">
      <c r="A23" s="103"/>
      <c r="B23" s="10"/>
      <c r="C23" s="103"/>
      <c r="D23" s="10"/>
      <c r="E23" s="103"/>
      <c r="F23" s="10"/>
      <c r="G23" s="103"/>
      <c r="H23" s="10"/>
      <c r="I23" s="103"/>
      <c r="K23">
        <f>IFERROR(VLOOKUP('Base Game '!B20,'Pay Table'!$M$3:$O$18,3,FALSE),"")</f>
        <v>5</v>
      </c>
      <c r="L23">
        <f>IFERROR(VLOOKUP('Base Game '!D20,'Pay Table'!$M$3:$O$18,3,FALSE),"")</f>
        <v>6</v>
      </c>
      <c r="M23">
        <f t="array" ref="M23">IFERROR(VLOOKUP('Base Game '!F20,'Pay Table'!$M$3:$O$18,3,FALSE),"")</f>
        <v>8</v>
      </c>
      <c r="N23">
        <f t="array" ref="N23">IFERROR(VLOOKUP('Base Game '!H20,'Pay Table'!$M$3:$O$18,3,FALSE),"")</f>
        <v>5</v>
      </c>
      <c r="O23">
        <f t="array" ref="O23">IFERROR(VLOOKUP('Base Game '!J20,'Pay Table'!$M$3:$O$18,3,FALSE),"")</f>
        <v>3</v>
      </c>
      <c r="Q23">
        <f t="array" ref="Q23">IF('Base Game '!C20=0,"",'Base Game '!C20)</f>
        <v>100</v>
      </c>
      <c r="R23">
        <f>IF('Base Game '!E20=0,"",'Base Game '!E20)</f>
        <v>100</v>
      </c>
      <c r="S23">
        <f>IF('Base Game '!G20=0,"",'Base Game '!G20)</f>
        <v>100</v>
      </c>
      <c r="T23">
        <f>IF('Base Game '!I20=0,"",'Base Game '!I20)</f>
        <v>100</v>
      </c>
      <c r="U23">
        <f>IF('Base Game '!K20=0,"",'Base Game '!K20)</f>
        <v>100</v>
      </c>
      <c r="W23" t="e">
        <f>VLOOKUP(#REF!,'Pay Table'!$M$3:$O$18,3,FALSE)</f>
        <v>#REF!</v>
      </c>
      <c r="X23" t="e">
        <f>VLOOKUP(#REF!,'Pay Table'!$M$3:$O$18,3,FALSE)</f>
        <v>#REF!</v>
      </c>
      <c r="Y23" t="e">
        <f>VLOOKUP(#REF!,'Pay Table'!$M$3:$O$18,3,FALSE)</f>
        <v>#REF!</v>
      </c>
      <c r="Z23" t="e">
        <f>VLOOKUP(#REF!,'Pay Table'!$M$3:$O$18,3,FALSE)</f>
        <v>#REF!</v>
      </c>
      <c r="AA23" t="e">
        <f>VLOOKUP(#REF!,'Pay Table'!$M$3:$O$18,3,FALSE)</f>
        <v>#REF!</v>
      </c>
      <c r="AC23">
        <f t="array" ref="AC23">IFERROR(VLOOKUP('Free Game'!B19,'Pay Table'!$M$3:$O$18,3,FALSE),"")</f>
        <v>5</v>
      </c>
      <c r="AD23">
        <f>IFERROR(VLOOKUP('Free Game'!D19,'Pay Table'!$M$3:$O$18,3,FALSE),"")</f>
        <v>2</v>
      </c>
      <c r="AE23">
        <f>IFERROR(VLOOKUP('Free Game'!F19,'Pay Table'!$M$3:$O$18,3,FALSE),"")</f>
        <v>3</v>
      </c>
      <c r="AF23">
        <f t="array" ref="AF23">IFERROR(VLOOKUP('Free Game'!H19,'Pay Table'!$M$3:$O$18,3,FALSE),"")</f>
        <v>3</v>
      </c>
      <c r="AG23" t="str">
        <f t="array" ref="AG23">IFERROR(VLOOKUP('Free Game'!J19,'Pay Table'!$M$3:$O$18,3,FALSE),"")</f>
        <v>"w"</v>
      </c>
      <c r="AI23">
        <f>IF('Free Game'!C19=0,"",'Free Game'!C19)</f>
        <v>100</v>
      </c>
      <c r="AJ23">
        <f>IF('Free Game'!E19=0,"",'Free Game'!E19)</f>
        <v>100</v>
      </c>
      <c r="AK23">
        <f>IF('Free Game'!G19=0,"",'Free Game'!G19)</f>
        <v>100</v>
      </c>
      <c r="AL23">
        <f>IF('Free Game'!I19=0,"",'Free Game'!I19)</f>
        <v>100</v>
      </c>
      <c r="AM23">
        <f>IF('Free Game'!K19=0,"",'Free Game'!K19)</f>
        <v>100</v>
      </c>
    </row>
    <row r="24" spans="1:39" ht="15" x14ac:dyDescent="0.15">
      <c r="A24" s="103"/>
      <c r="B24" s="10"/>
      <c r="C24" s="103"/>
      <c r="D24" s="10"/>
      <c r="E24" s="103"/>
      <c r="F24" s="10"/>
      <c r="G24" s="103"/>
      <c r="H24" s="10"/>
      <c r="I24" s="103"/>
      <c r="K24">
        <f>IFERROR(VLOOKUP('Base Game '!B21,'Pay Table'!$M$3:$O$18,3,FALSE),"")</f>
        <v>7</v>
      </c>
      <c r="L24">
        <f>IFERROR(VLOOKUP('Base Game '!D21,'Pay Table'!$M$3:$O$18,3,FALSE),"")</f>
        <v>8</v>
      </c>
      <c r="M24" t="str">
        <f t="array" ref="M24">IFERROR(VLOOKUP('Base Game '!F21,'Pay Table'!$M$3:$O$18,3,FALSE),"")</f>
        <v>"w"</v>
      </c>
      <c r="N24">
        <f t="array" ref="N24">IFERROR(VLOOKUP('Base Game '!H21,'Pay Table'!$M$3:$O$18,3,FALSE),"")</f>
        <v>9</v>
      </c>
      <c r="O24">
        <f t="array" ref="O24">IFERROR(VLOOKUP('Base Game '!J21,'Pay Table'!$M$3:$O$18,3,FALSE),"")</f>
        <v>3</v>
      </c>
      <c r="Q24">
        <f t="array" ref="Q24">IF('Base Game '!C21=0,"",'Base Game '!C21)</f>
        <v>100</v>
      </c>
      <c r="R24">
        <f>IF('Base Game '!E21=0,"",'Base Game '!E21)</f>
        <v>100</v>
      </c>
      <c r="S24">
        <f>IF('Base Game '!G21=0,"",'Base Game '!G21)</f>
        <v>100</v>
      </c>
      <c r="T24">
        <f>IF('Base Game '!I21=0,"",'Base Game '!I21)</f>
        <v>100</v>
      </c>
      <c r="U24">
        <f>IF('Base Game '!K21=0,"",'Base Game '!K21)</f>
        <v>100</v>
      </c>
      <c r="W24" t="e">
        <f>VLOOKUP(#REF!,'Pay Table'!$M$3:$O$18,3,FALSE)</f>
        <v>#REF!</v>
      </c>
      <c r="X24" t="e">
        <f>VLOOKUP(#REF!,'Pay Table'!$M$3:$O$18,3,FALSE)</f>
        <v>#REF!</v>
      </c>
      <c r="Y24" t="e">
        <f>VLOOKUP(#REF!,'Pay Table'!$M$3:$O$18,3,FALSE)</f>
        <v>#REF!</v>
      </c>
      <c r="Z24" t="e">
        <f>VLOOKUP(#REF!,'Pay Table'!$M$3:$O$18,3,FALSE)</f>
        <v>#REF!</v>
      </c>
      <c r="AA24" t="e">
        <f>VLOOKUP(#REF!,'Pay Table'!$M$3:$O$18,3,FALSE)</f>
        <v>#REF!</v>
      </c>
      <c r="AC24">
        <f t="array" ref="AC24">IFERROR(VLOOKUP('Free Game'!B20,'Pay Table'!$M$3:$O$18,3,FALSE),"")</f>
        <v>7</v>
      </c>
      <c r="AD24">
        <f>IFERROR(VLOOKUP('Free Game'!D20,'Pay Table'!$M$3:$O$18,3,FALSE),"")</f>
        <v>8</v>
      </c>
      <c r="AE24">
        <f>IFERROR(VLOOKUP('Free Game'!F20,'Pay Table'!$M$3:$O$18,3,FALSE),"")</f>
        <v>1</v>
      </c>
      <c r="AF24">
        <f t="array" ref="AF24">IFERROR(VLOOKUP('Free Game'!H20,'Pay Table'!$M$3:$O$18,3,FALSE),"")</f>
        <v>1</v>
      </c>
      <c r="AG24">
        <f t="array" ref="AG24">IFERROR(VLOOKUP('Free Game'!J20,'Pay Table'!$M$3:$O$18,3,FALSE),"")</f>
        <v>1</v>
      </c>
      <c r="AI24">
        <f>IF('Free Game'!C20=0,"",'Free Game'!C20)</f>
        <v>100</v>
      </c>
      <c r="AJ24">
        <f>IF('Free Game'!E20=0,"",'Free Game'!E20)</f>
        <v>100</v>
      </c>
      <c r="AK24">
        <f>IF('Free Game'!G20=0,"",'Free Game'!G20)</f>
        <v>100</v>
      </c>
      <c r="AL24">
        <f>IF('Free Game'!I20=0,"",'Free Game'!I20)</f>
        <v>100</v>
      </c>
      <c r="AM24">
        <f>IF('Free Game'!K20=0,"",'Free Game'!K20)</f>
        <v>100</v>
      </c>
    </row>
    <row r="25" spans="1:39" ht="15" x14ac:dyDescent="0.15">
      <c r="A25" s="103"/>
      <c r="B25" s="10"/>
      <c r="C25" s="103"/>
      <c r="D25" s="10"/>
      <c r="E25" s="103"/>
      <c r="F25" s="10"/>
      <c r="G25" s="103"/>
      <c r="H25" s="10"/>
      <c r="I25" s="103"/>
      <c r="K25">
        <f>IFERROR(VLOOKUP('Base Game '!B22,'Pay Table'!$M$3:$O$18,3,FALSE),"")</f>
        <v>5</v>
      </c>
      <c r="L25">
        <f>IFERROR(VLOOKUP('Base Game '!D22,'Pay Table'!$M$3:$O$18,3,FALSE),"")</f>
        <v>5</v>
      </c>
      <c r="M25">
        <f t="array" ref="M25">IFERROR(VLOOKUP('Base Game '!F22,'Pay Table'!$M$3:$O$18,3,FALSE),"")</f>
        <v>8</v>
      </c>
      <c r="N25">
        <f t="array" ref="N25">IFERROR(VLOOKUP('Base Game '!H22,'Pay Table'!$M$3:$O$18,3,FALSE),"")</f>
        <v>6</v>
      </c>
      <c r="O25">
        <f t="array" ref="O25">IFERROR(VLOOKUP('Base Game '!J22,'Pay Table'!$M$3:$O$18,3,FALSE),"")</f>
        <v>4</v>
      </c>
      <c r="Q25">
        <f t="array" ref="Q25">IF('Base Game '!C22=0,"",'Base Game '!C22)</f>
        <v>100</v>
      </c>
      <c r="R25">
        <f>IF('Base Game '!E22=0,"",'Base Game '!E22)</f>
        <v>100</v>
      </c>
      <c r="S25">
        <f>IF('Base Game '!G22=0,"",'Base Game '!G22)</f>
        <v>100</v>
      </c>
      <c r="T25">
        <f>IF('Base Game '!I22=0,"",'Base Game '!I22)</f>
        <v>100</v>
      </c>
      <c r="U25">
        <f>IF('Base Game '!K22=0,"",'Base Game '!K22)</f>
        <v>100</v>
      </c>
      <c r="W25" t="e">
        <f>VLOOKUP(#REF!,'Pay Table'!$M$3:$O$18,3,FALSE)</f>
        <v>#REF!</v>
      </c>
      <c r="X25" t="e">
        <f>VLOOKUP(#REF!,'Pay Table'!$M$3:$O$18,3,FALSE)</f>
        <v>#REF!</v>
      </c>
      <c r="Y25" t="e">
        <f>VLOOKUP(#REF!,'Pay Table'!$M$3:$O$18,3,FALSE)</f>
        <v>#REF!</v>
      </c>
      <c r="Z25" t="e">
        <f>VLOOKUP(#REF!,'Pay Table'!$M$3:$O$18,3,FALSE)</f>
        <v>#REF!</v>
      </c>
      <c r="AA25" t="e">
        <f>VLOOKUP(#REF!,'Pay Table'!$M$3:$O$18,3,FALSE)</f>
        <v>#REF!</v>
      </c>
      <c r="AC25">
        <f t="array" ref="AC25">IFERROR(VLOOKUP('Free Game'!B21,'Pay Table'!$M$3:$O$18,3,FALSE),"")</f>
        <v>1</v>
      </c>
      <c r="AD25">
        <f>IFERROR(VLOOKUP('Free Game'!D21,'Pay Table'!$M$3:$O$18,3,FALSE),"")</f>
        <v>9</v>
      </c>
      <c r="AE25">
        <f>IFERROR(VLOOKUP('Free Game'!F21,'Pay Table'!$M$3:$O$18,3,FALSE),"")</f>
        <v>1</v>
      </c>
      <c r="AF25" t="str">
        <f t="array" ref="AF25">IFERROR(VLOOKUP('Free Game'!H21,'Pay Table'!$M$3:$O$18,3,FALSE),"")</f>
        <v>"w"</v>
      </c>
      <c r="AG25">
        <f t="array" ref="AG25">IFERROR(VLOOKUP('Free Game'!J21,'Pay Table'!$M$3:$O$18,3,FALSE),"")</f>
        <v>1</v>
      </c>
      <c r="AI25">
        <f>IF('Free Game'!C21=0,"",'Free Game'!C21)</f>
        <v>100</v>
      </c>
      <c r="AJ25">
        <f>IF('Free Game'!E21=0,"",'Free Game'!E21)</f>
        <v>100</v>
      </c>
      <c r="AK25">
        <f>IF('Free Game'!G21=0,"",'Free Game'!G21)</f>
        <v>100</v>
      </c>
      <c r="AL25">
        <f>IF('Free Game'!I21=0,"",'Free Game'!I21)</f>
        <v>100</v>
      </c>
      <c r="AM25">
        <f>IF('Free Game'!K21=0,"",'Free Game'!K21)</f>
        <v>100</v>
      </c>
    </row>
    <row r="26" spans="1:39" ht="15" x14ac:dyDescent="0.15">
      <c r="A26" s="103"/>
      <c r="B26" s="10"/>
      <c r="C26" s="103"/>
      <c r="D26" s="10"/>
      <c r="E26" s="103"/>
      <c r="F26" s="10"/>
      <c r="G26" s="103"/>
      <c r="H26" s="10"/>
      <c r="I26" s="103"/>
      <c r="K26">
        <f>IFERROR(VLOOKUP('Base Game '!B23,'Pay Table'!$M$3:$O$18,3,FALSE),"")</f>
        <v>5</v>
      </c>
      <c r="L26">
        <f>IFERROR(VLOOKUP('Base Game '!D23,'Pay Table'!$M$3:$O$18,3,FALSE),"")</f>
        <v>9</v>
      </c>
      <c r="M26">
        <f t="array" ref="M26">IFERROR(VLOOKUP('Base Game '!F23,'Pay Table'!$M$3:$O$18,3,FALSE),"")</f>
        <v>1</v>
      </c>
      <c r="N26">
        <f t="array" ref="N26">IFERROR(VLOOKUP('Base Game '!H23,'Pay Table'!$M$3:$O$18,3,FALSE),"")</f>
        <v>5</v>
      </c>
      <c r="O26" t="str">
        <f t="array" ref="O26">IFERROR(VLOOKUP('Base Game '!J23,'Pay Table'!$M$3:$O$18,3,FALSE),"")</f>
        <v>"w"</v>
      </c>
      <c r="Q26">
        <f t="array" ref="Q26">IF('Base Game '!C23=0,"",'Base Game '!C23)</f>
        <v>100</v>
      </c>
      <c r="R26">
        <f>IF('Base Game '!E23=0,"",'Base Game '!E23)</f>
        <v>100</v>
      </c>
      <c r="S26">
        <f>IF('Base Game '!G23=0,"",'Base Game '!G23)</f>
        <v>100</v>
      </c>
      <c r="T26">
        <f>IF('Base Game '!I23=0,"",'Base Game '!I23)</f>
        <v>100</v>
      </c>
      <c r="U26">
        <f>IF('Base Game '!K23=0,"",'Base Game '!K23)</f>
        <v>100</v>
      </c>
      <c r="W26" t="e">
        <f>VLOOKUP(#REF!,'Pay Table'!$M$3:$O$18,3,FALSE)</f>
        <v>#REF!</v>
      </c>
      <c r="X26" t="e">
        <f>VLOOKUP(#REF!,'Pay Table'!$M$3:$O$18,3,FALSE)</f>
        <v>#REF!</v>
      </c>
      <c r="Y26" t="e">
        <f>VLOOKUP(#REF!,'Pay Table'!$M$3:$O$18,3,FALSE)</f>
        <v>#REF!</v>
      </c>
      <c r="Z26" t="e">
        <f>VLOOKUP(#REF!,'Pay Table'!$M$3:$O$18,3,FALSE)</f>
        <v>#REF!</v>
      </c>
      <c r="AA26" t="e">
        <f>VLOOKUP(#REF!,'Pay Table'!$M$3:$O$18,3,FALSE)</f>
        <v>#REF!</v>
      </c>
      <c r="AC26">
        <f t="array" ref="AC26">IFERROR(VLOOKUP('Free Game'!B22,'Pay Table'!$M$3:$O$18,3,FALSE),"")</f>
        <v>1</v>
      </c>
      <c r="AD26">
        <f>IFERROR(VLOOKUP('Free Game'!D22,'Pay Table'!$M$3:$O$18,3,FALSE),"")</f>
        <v>7</v>
      </c>
      <c r="AE26">
        <f>IFERROR(VLOOKUP('Free Game'!F22,'Pay Table'!$M$3:$O$18,3,FALSE),"")</f>
        <v>5</v>
      </c>
      <c r="AF26">
        <f t="array" ref="AF26">IFERROR(VLOOKUP('Free Game'!H22,'Pay Table'!$M$3:$O$18,3,FALSE),"")</f>
        <v>5</v>
      </c>
      <c r="AG26">
        <f t="array" ref="AG26">IFERROR(VLOOKUP('Free Game'!J22,'Pay Table'!$M$3:$O$18,3,FALSE),"")</f>
        <v>1</v>
      </c>
      <c r="AI26">
        <f>IF('Free Game'!C22=0,"",'Free Game'!C22)</f>
        <v>100</v>
      </c>
      <c r="AJ26">
        <f>IF('Free Game'!E22=0,"",'Free Game'!E22)</f>
        <v>100</v>
      </c>
      <c r="AK26">
        <f>IF('Free Game'!G22=0,"",'Free Game'!G22)</f>
        <v>100</v>
      </c>
      <c r="AL26">
        <f>IF('Free Game'!I22=0,"",'Free Game'!I22)</f>
        <v>100</v>
      </c>
      <c r="AM26">
        <f>IF('Free Game'!K22=0,"",'Free Game'!K22)</f>
        <v>100</v>
      </c>
    </row>
    <row r="27" spans="1:39" ht="15" x14ac:dyDescent="0.15">
      <c r="A27" s="103"/>
      <c r="B27" s="10"/>
      <c r="C27" s="103"/>
      <c r="D27" s="10"/>
      <c r="E27" s="103"/>
      <c r="F27" s="10"/>
      <c r="G27" s="103"/>
      <c r="H27" s="10"/>
      <c r="I27" s="103"/>
      <c r="K27">
        <f>IFERROR(VLOOKUP('Base Game '!B24,'Pay Table'!$M$3:$O$18,3,FALSE),"")</f>
        <v>1</v>
      </c>
      <c r="L27" t="str">
        <f>IFERROR(VLOOKUP('Base Game '!D24,'Pay Table'!$M$3:$O$18,3,FALSE),"")</f>
        <v>"w"</v>
      </c>
      <c r="M27">
        <f t="array" ref="M27">IFERROR(VLOOKUP('Base Game '!F24,'Pay Table'!$M$3:$O$18,3,FALSE),"")</f>
        <v>1</v>
      </c>
      <c r="N27">
        <f t="array" ref="N27">IFERROR(VLOOKUP('Base Game '!H24,'Pay Table'!$M$3:$O$18,3,FALSE),"")</f>
        <v>1</v>
      </c>
      <c r="O27">
        <f t="array" ref="O27">IFERROR(VLOOKUP('Base Game '!J24,'Pay Table'!$M$3:$O$18,3,FALSE),"")</f>
        <v>7</v>
      </c>
      <c r="Q27">
        <f t="array" ref="Q27">IF('Base Game '!C24=0,"",'Base Game '!C24)</f>
        <v>100</v>
      </c>
      <c r="R27">
        <f>IF('Base Game '!E24=0,"",'Base Game '!E24)</f>
        <v>100</v>
      </c>
      <c r="S27">
        <f>IF('Base Game '!G24=0,"",'Base Game '!G24)</f>
        <v>100</v>
      </c>
      <c r="T27">
        <f>IF('Base Game '!I24=0,"",'Base Game '!I24)</f>
        <v>100</v>
      </c>
      <c r="U27">
        <f>IF('Base Game '!K24=0,"",'Base Game '!K24)</f>
        <v>100</v>
      </c>
      <c r="W27" t="e">
        <f>VLOOKUP(#REF!,'Pay Table'!$M$3:$O$18,3,FALSE)</f>
        <v>#REF!</v>
      </c>
      <c r="X27" t="e">
        <f>VLOOKUP(#REF!,'Pay Table'!$M$3:$O$18,3,FALSE)</f>
        <v>#REF!</v>
      </c>
      <c r="Y27" t="e">
        <f>VLOOKUP(#REF!,'Pay Table'!$M$3:$O$18,3,FALSE)</f>
        <v>#REF!</v>
      </c>
      <c r="Z27" t="e">
        <f>VLOOKUP(#REF!,'Pay Table'!$M$3:$O$18,3,FALSE)</f>
        <v>#REF!</v>
      </c>
      <c r="AA27" t="e">
        <f>VLOOKUP(#REF!,'Pay Table'!$M$3:$O$18,3,FALSE)</f>
        <v>#REF!</v>
      </c>
      <c r="AC27">
        <f t="array" ref="AC27">IFERROR(VLOOKUP('Free Game'!B23,'Pay Table'!$M$3:$O$18,3,FALSE),"")</f>
        <v>3</v>
      </c>
      <c r="AD27" t="str">
        <f>IFERROR(VLOOKUP('Free Game'!D23,'Pay Table'!$M$3:$O$18,3,FALSE),"")</f>
        <v>"w"</v>
      </c>
      <c r="AE27">
        <f>IFERROR(VLOOKUP('Free Game'!F23,'Pay Table'!$M$3:$O$18,3,FALSE),"")</f>
        <v>9</v>
      </c>
      <c r="AF27">
        <f t="array" ref="AF27">IFERROR(VLOOKUP('Free Game'!H23,'Pay Table'!$M$3:$O$18,3,FALSE),"")</f>
        <v>6</v>
      </c>
      <c r="AG27">
        <f t="array" ref="AG27">IFERROR(VLOOKUP('Free Game'!J23,'Pay Table'!$M$3:$O$18,3,FALSE),"")</f>
        <v>7</v>
      </c>
      <c r="AI27">
        <f>IF('Free Game'!C23=0,"",'Free Game'!C23)</f>
        <v>100</v>
      </c>
      <c r="AJ27">
        <f>IF('Free Game'!E23=0,"",'Free Game'!E23)</f>
        <v>100</v>
      </c>
      <c r="AK27">
        <f>IF('Free Game'!G23=0,"",'Free Game'!G23)</f>
        <v>100</v>
      </c>
      <c r="AL27">
        <f>IF('Free Game'!I23=0,"",'Free Game'!I23)</f>
        <v>100</v>
      </c>
      <c r="AM27">
        <f>IF('Free Game'!K23=0,"",'Free Game'!K23)</f>
        <v>100</v>
      </c>
    </row>
    <row r="28" spans="1:39" ht="15" x14ac:dyDescent="0.15">
      <c r="A28" s="103"/>
      <c r="B28" s="10"/>
      <c r="C28" s="103"/>
      <c r="D28" s="10"/>
      <c r="E28" s="103"/>
      <c r="F28" s="10"/>
      <c r="G28" s="103"/>
      <c r="H28" s="10"/>
      <c r="I28" s="103"/>
      <c r="K28">
        <f>IFERROR(VLOOKUP('Base Game '!B25,'Pay Table'!$M$3:$O$18,3,FALSE),"")</f>
        <v>1</v>
      </c>
      <c r="L28">
        <f>IFERROR(VLOOKUP('Base Game '!D25,'Pay Table'!$M$3:$O$18,3,FALSE),"")</f>
        <v>3</v>
      </c>
      <c r="M28">
        <f t="array" ref="M28">IFERROR(VLOOKUP('Base Game '!F25,'Pay Table'!$M$3:$O$18,3,FALSE),"")</f>
        <v>1</v>
      </c>
      <c r="N28">
        <f t="array" ref="N28">IFERROR(VLOOKUP('Base Game '!H25,'Pay Table'!$M$3:$O$18,3,FALSE),"")</f>
        <v>1</v>
      </c>
      <c r="O28">
        <f t="array" ref="O28">IFERROR(VLOOKUP('Base Game '!J25,'Pay Table'!$M$3:$O$18,3,FALSE),"")</f>
        <v>9</v>
      </c>
      <c r="Q28">
        <f t="array" ref="Q28">IF('Base Game '!C25=0,"",'Base Game '!C25)</f>
        <v>100</v>
      </c>
      <c r="R28">
        <f>IF('Base Game '!E25=0,"",'Base Game '!E25)</f>
        <v>100</v>
      </c>
      <c r="S28">
        <f>IF('Base Game '!G25=0,"",'Base Game '!G25)</f>
        <v>100</v>
      </c>
      <c r="T28">
        <f>IF('Base Game '!I25=0,"",'Base Game '!I25)</f>
        <v>100</v>
      </c>
      <c r="U28">
        <f>IF('Base Game '!K25=0,"",'Base Game '!K25)</f>
        <v>100</v>
      </c>
      <c r="W28" t="e">
        <f>VLOOKUP(#REF!,'Pay Table'!$M$3:$O$18,3,FALSE)</f>
        <v>#REF!</v>
      </c>
      <c r="X28" t="e">
        <f>VLOOKUP(#REF!,'Pay Table'!$M$3:$O$18,3,FALSE)</f>
        <v>#REF!</v>
      </c>
      <c r="Y28" t="e">
        <f>VLOOKUP(#REF!,'Pay Table'!$M$3:$O$18,3,FALSE)</f>
        <v>#REF!</v>
      </c>
      <c r="Z28" t="e">
        <f>VLOOKUP(#REF!,'Pay Table'!$M$3:$O$18,3,FALSE)</f>
        <v>#REF!</v>
      </c>
      <c r="AA28" t="e">
        <f>VLOOKUP(#REF!,'Pay Table'!$M$3:$O$18,3,FALSE)</f>
        <v>#REF!</v>
      </c>
      <c r="AC28">
        <f t="array" ref="AC28">IFERROR(VLOOKUP('Free Game'!B24,'Pay Table'!$M$3:$O$18,3,FALSE),"")</f>
        <v>9</v>
      </c>
      <c r="AD28">
        <f>IFERROR(VLOOKUP('Free Game'!D24,'Pay Table'!$M$3:$O$18,3,FALSE),"")</f>
        <v>8</v>
      </c>
      <c r="AE28">
        <f>IFERROR(VLOOKUP('Free Game'!F24,'Pay Table'!$M$3:$O$18,3,FALSE),"")</f>
        <v>6</v>
      </c>
      <c r="AF28">
        <f t="array" ref="AF28">IFERROR(VLOOKUP('Free Game'!H24,'Pay Table'!$M$3:$O$18,3,FALSE),"")</f>
        <v>8</v>
      </c>
      <c r="AG28">
        <f t="array" ref="AG28">IFERROR(VLOOKUP('Free Game'!J24,'Pay Table'!$M$3:$O$18,3,FALSE),"")</f>
        <v>6</v>
      </c>
      <c r="AI28">
        <f>IF('Free Game'!C24=0,"",'Free Game'!C24)</f>
        <v>100</v>
      </c>
      <c r="AJ28">
        <f>IF('Free Game'!E24=0,"",'Free Game'!E24)</f>
        <v>100</v>
      </c>
      <c r="AK28">
        <f>IF('Free Game'!G24=0,"",'Free Game'!G24)</f>
        <v>100</v>
      </c>
      <c r="AL28">
        <f>IF('Free Game'!I24=0,"",'Free Game'!I24)</f>
        <v>100</v>
      </c>
      <c r="AM28">
        <f>IF('Free Game'!K24=0,"",'Free Game'!K24)</f>
        <v>100</v>
      </c>
    </row>
    <row r="29" spans="1:39" ht="15" x14ac:dyDescent="0.15">
      <c r="A29" s="103"/>
      <c r="B29" s="10"/>
      <c r="C29" s="103"/>
      <c r="D29" s="10"/>
      <c r="E29" s="103"/>
      <c r="F29" s="10"/>
      <c r="G29" s="103"/>
      <c r="H29" s="10"/>
      <c r="I29" s="103"/>
      <c r="K29">
        <f>IFERROR(VLOOKUP('Base Game '!B26,'Pay Table'!$M$3:$O$18,3,FALSE),"")</f>
        <v>1</v>
      </c>
      <c r="L29">
        <f>IFERROR(VLOOKUP('Base Game '!D26,'Pay Table'!$M$3:$O$18,3,FALSE),"")</f>
        <v>5</v>
      </c>
      <c r="M29">
        <f t="array" ref="M29">IFERROR(VLOOKUP('Base Game '!F26,'Pay Table'!$M$3:$O$18,3,FALSE),"")</f>
        <v>6</v>
      </c>
      <c r="N29">
        <f t="array" ref="N29">IFERROR(VLOOKUP('Base Game '!H26,'Pay Table'!$M$3:$O$18,3,FALSE),"")</f>
        <v>1</v>
      </c>
      <c r="O29" t="str">
        <f t="array" ref="O29">IFERROR(VLOOKUP('Base Game '!J26,'Pay Table'!$M$3:$O$18,3,FALSE),"")</f>
        <v>"v"</v>
      </c>
      <c r="Q29">
        <f t="array" ref="Q29">IF('Base Game '!C26=0,"",'Base Game '!C26)</f>
        <v>100</v>
      </c>
      <c r="R29">
        <f>IF('Base Game '!E26=0,"",'Base Game '!E26)</f>
        <v>100</v>
      </c>
      <c r="S29">
        <f>IF('Base Game '!G26=0,"",'Base Game '!G26)</f>
        <v>100</v>
      </c>
      <c r="T29">
        <f>IF('Base Game '!I26=0,"",'Base Game '!I26)</f>
        <v>100</v>
      </c>
      <c r="U29">
        <f>IF('Base Game '!K26=0,"",'Base Game '!K26)</f>
        <v>50</v>
      </c>
      <c r="W29" t="e">
        <f>VLOOKUP(#REF!,'Pay Table'!$M$3:$O$18,3,FALSE)</f>
        <v>#REF!</v>
      </c>
      <c r="X29" t="e">
        <f>VLOOKUP(#REF!,'Pay Table'!$M$3:$O$18,3,FALSE)</f>
        <v>#REF!</v>
      </c>
      <c r="Y29" t="e">
        <f>VLOOKUP(#REF!,'Pay Table'!$M$3:$O$18,3,FALSE)</f>
        <v>#REF!</v>
      </c>
      <c r="Z29" t="e">
        <f>VLOOKUP(#REF!,'Pay Table'!$M$3:$O$18,3,FALSE)</f>
        <v>#REF!</v>
      </c>
      <c r="AA29" t="e">
        <f>VLOOKUP(#REF!,'Pay Table'!$M$3:$O$18,3,FALSE)</f>
        <v>#REF!</v>
      </c>
      <c r="AC29">
        <f t="array" ref="AC29">IFERROR(VLOOKUP('Free Game'!B25,'Pay Table'!$M$3:$O$18,3,FALSE),"")</f>
        <v>3</v>
      </c>
      <c r="AD29">
        <f>IFERROR(VLOOKUP('Free Game'!D25,'Pay Table'!$M$3:$O$18,3,FALSE),"")</f>
        <v>4</v>
      </c>
      <c r="AE29" t="str">
        <f>IFERROR(VLOOKUP('Free Game'!F25,'Pay Table'!$M$3:$O$18,3,FALSE),"")</f>
        <v>"w"</v>
      </c>
      <c r="AF29">
        <f t="array" ref="AF29">IFERROR(VLOOKUP('Free Game'!H25,'Pay Table'!$M$3:$O$18,3,FALSE),"")</f>
        <v>1</v>
      </c>
      <c r="AG29">
        <f t="array" ref="AG29">IFERROR(VLOOKUP('Free Game'!J25,'Pay Table'!$M$3:$O$18,3,FALSE),"")</f>
        <v>3</v>
      </c>
      <c r="AI29">
        <f>IF('Free Game'!C25=0,"",'Free Game'!C25)</f>
        <v>100</v>
      </c>
      <c r="AJ29">
        <f>IF('Free Game'!E25=0,"",'Free Game'!E25)</f>
        <v>100</v>
      </c>
      <c r="AK29">
        <f>IF('Free Game'!G25=0,"",'Free Game'!G25)</f>
        <v>100</v>
      </c>
      <c r="AL29">
        <f>IF('Free Game'!I25=0,"",'Free Game'!I25)</f>
        <v>100</v>
      </c>
      <c r="AM29">
        <f>IF('Free Game'!K25=0,"",'Free Game'!K25)</f>
        <v>25</v>
      </c>
    </row>
    <row r="30" spans="1:39" ht="15" x14ac:dyDescent="0.15">
      <c r="A30" s="103"/>
      <c r="B30" s="10"/>
      <c r="C30" s="103"/>
      <c r="D30" s="10"/>
      <c r="E30" s="103"/>
      <c r="F30" s="10"/>
      <c r="G30" s="103"/>
      <c r="H30" s="10"/>
      <c r="I30" s="103"/>
      <c r="K30">
        <f>IFERROR(VLOOKUP('Base Game '!B27,'Pay Table'!$M$3:$O$18,3,FALSE),"")</f>
        <v>7</v>
      </c>
      <c r="L30">
        <f>IFERROR(VLOOKUP('Base Game '!D27,'Pay Table'!$M$3:$O$18,3,FALSE),"")</f>
        <v>9</v>
      </c>
      <c r="M30">
        <f t="array" ref="M30">IFERROR(VLOOKUP('Base Game '!F27,'Pay Table'!$M$3:$O$18,3,FALSE),"")</f>
        <v>2</v>
      </c>
      <c r="N30">
        <f t="array" ref="N30">IFERROR(VLOOKUP('Base Game '!H27,'Pay Table'!$M$3:$O$18,3,FALSE),"")</f>
        <v>6</v>
      </c>
      <c r="O30">
        <f t="array" ref="O30">IFERROR(VLOOKUP('Base Game '!J27,'Pay Table'!$M$3:$O$18,3,FALSE),"")</f>
        <v>4</v>
      </c>
      <c r="Q30">
        <f t="array" ref="Q30">IF('Base Game '!C27=0,"",'Base Game '!C27)</f>
        <v>100</v>
      </c>
      <c r="R30">
        <f>IF('Base Game '!E27=0,"",'Base Game '!E27)</f>
        <v>100</v>
      </c>
      <c r="S30">
        <f>IF('Base Game '!G27=0,"",'Base Game '!G27)</f>
        <v>100</v>
      </c>
      <c r="T30">
        <f>IF('Base Game '!I27=0,"",'Base Game '!I27)</f>
        <v>100</v>
      </c>
      <c r="U30">
        <f>IF('Base Game '!K27=0,"",'Base Game '!K27)</f>
        <v>100</v>
      </c>
      <c r="W30" t="e">
        <f>VLOOKUP(#REF!,'Pay Table'!$M$3:$O$18,3,FALSE)</f>
        <v>#REF!</v>
      </c>
      <c r="X30" t="e">
        <f>VLOOKUP(#REF!,'Pay Table'!$M$3:$O$18,3,FALSE)</f>
        <v>#REF!</v>
      </c>
      <c r="Y30" t="e">
        <f>VLOOKUP(#REF!,'Pay Table'!$M$3:$O$18,3,FALSE)</f>
        <v>#REF!</v>
      </c>
      <c r="Z30" t="e">
        <f>VLOOKUP(#REF!,'Pay Table'!$M$3:$O$18,3,FALSE)</f>
        <v>#REF!</v>
      </c>
      <c r="AA30" t="e">
        <f>VLOOKUP(#REF!,'Pay Table'!$M$3:$O$18,3,FALSE)</f>
        <v>#REF!</v>
      </c>
      <c r="AC30">
        <f t="array" ref="AC30">IFERROR(VLOOKUP('Free Game'!B26,'Pay Table'!$M$3:$O$18,3,FALSE),"")</f>
        <v>4</v>
      </c>
      <c r="AD30">
        <f>IFERROR(VLOOKUP('Free Game'!D26,'Pay Table'!$M$3:$O$18,3,FALSE),"")</f>
        <v>5</v>
      </c>
      <c r="AE30">
        <f>IFERROR(VLOOKUP('Free Game'!F26,'Pay Table'!$M$3:$O$18,3,FALSE),"")</f>
        <v>1</v>
      </c>
      <c r="AF30">
        <f t="array" ref="AF30">IFERROR(VLOOKUP('Free Game'!H26,'Pay Table'!$M$3:$O$18,3,FALSE),"")</f>
        <v>6</v>
      </c>
      <c r="AG30">
        <f t="array" ref="AG30">IFERROR(VLOOKUP('Free Game'!J26,'Pay Table'!$M$3:$O$18,3,FALSE),"")</f>
        <v>3</v>
      </c>
      <c r="AI30">
        <f>IF('Free Game'!C26=0,"",'Free Game'!C26)</f>
        <v>100</v>
      </c>
      <c r="AJ30">
        <f>IF('Free Game'!E26=0,"",'Free Game'!E26)</f>
        <v>100</v>
      </c>
      <c r="AK30">
        <f>IF('Free Game'!G26=0,"",'Free Game'!G26)</f>
        <v>100</v>
      </c>
      <c r="AL30">
        <f>IF('Free Game'!I26=0,"",'Free Game'!I26)</f>
        <v>100</v>
      </c>
      <c r="AM30">
        <f>IF('Free Game'!K26=0,"",'Free Game'!K26)</f>
        <v>25</v>
      </c>
    </row>
    <row r="31" spans="1:39" ht="15" x14ac:dyDescent="0.15">
      <c r="A31" s="103"/>
      <c r="B31" s="10"/>
      <c r="C31" s="103"/>
      <c r="D31" s="10"/>
      <c r="E31" s="103"/>
      <c r="F31" s="10"/>
      <c r="G31" s="103"/>
      <c r="H31" s="10"/>
      <c r="I31" s="103"/>
      <c r="K31">
        <f>IFERROR(VLOOKUP('Base Game '!B28,'Pay Table'!$M$3:$O$18,3,FALSE),"")</f>
        <v>4</v>
      </c>
      <c r="L31">
        <f>IFERROR(VLOOKUP('Base Game '!D28,'Pay Table'!$M$3:$O$18,3,FALSE),"")</f>
        <v>8</v>
      </c>
      <c r="M31">
        <f t="array" ref="M31">IFERROR(VLOOKUP('Base Game '!F28,'Pay Table'!$M$3:$O$18,3,FALSE),"")</f>
        <v>5</v>
      </c>
      <c r="N31">
        <f t="array" ref="N31">IFERROR(VLOOKUP('Base Game '!H28,'Pay Table'!$M$3:$O$18,3,FALSE),"")</f>
        <v>2</v>
      </c>
      <c r="O31" t="str">
        <f t="array" ref="O31">IFERROR(VLOOKUP('Base Game '!J28,'Pay Table'!$M$3:$O$18,3,FALSE),"")</f>
        <v>"v"</v>
      </c>
      <c r="Q31">
        <f t="array" ref="Q31">IF('Base Game '!C28=0,"",'Base Game '!C28)</f>
        <v>100</v>
      </c>
      <c r="R31">
        <f>IF('Base Game '!E28=0,"",'Base Game '!E28)</f>
        <v>100</v>
      </c>
      <c r="S31">
        <f>IF('Base Game '!G28=0,"",'Base Game '!G28)</f>
        <v>100</v>
      </c>
      <c r="T31">
        <f>IF('Base Game '!I28=0,"",'Base Game '!I28)</f>
        <v>100</v>
      </c>
      <c r="U31">
        <f>IF('Base Game '!K28=0,"",'Base Game '!K28)</f>
        <v>100</v>
      </c>
      <c r="W31" t="e">
        <f>VLOOKUP(#REF!,'Pay Table'!$M$3:$O$18,3,FALSE)</f>
        <v>#REF!</v>
      </c>
      <c r="X31" t="e">
        <f>VLOOKUP(#REF!,'Pay Table'!$M$3:$O$18,3,FALSE)</f>
        <v>#REF!</v>
      </c>
      <c r="Y31" t="e">
        <f>VLOOKUP(#REF!,'Pay Table'!$M$3:$O$18,3,FALSE)</f>
        <v>#REF!</v>
      </c>
      <c r="Z31" t="e">
        <f>VLOOKUP(#REF!,'Pay Table'!$M$3:$O$18,3,FALSE)</f>
        <v>#REF!</v>
      </c>
      <c r="AA31" t="e">
        <f>VLOOKUP(#REF!,'Pay Table'!$M$3:$O$18,3,FALSE)</f>
        <v>#REF!</v>
      </c>
      <c r="AC31">
        <f t="array" ref="AC31">IFERROR(VLOOKUP('Free Game'!B27,'Pay Table'!$M$3:$O$18,3,FALSE),"")</f>
        <v>3</v>
      </c>
      <c r="AD31">
        <f>IFERROR(VLOOKUP('Free Game'!D27,'Pay Table'!$M$3:$O$18,3,FALSE),"")</f>
        <v>5</v>
      </c>
      <c r="AE31">
        <f>IFERROR(VLOOKUP('Free Game'!F27,'Pay Table'!$M$3:$O$18,3,FALSE),"")</f>
        <v>1</v>
      </c>
      <c r="AF31">
        <f t="array" ref="AF31">IFERROR(VLOOKUP('Free Game'!H27,'Pay Table'!$M$3:$O$18,3,FALSE),"")</f>
        <v>9</v>
      </c>
      <c r="AG31" t="str">
        <f t="array" ref="AG31">IFERROR(VLOOKUP('Free Game'!J27,'Pay Table'!$M$3:$O$18,3,FALSE),"")</f>
        <v>"v"</v>
      </c>
      <c r="AI31">
        <f>IF('Free Game'!C27=0,"",'Free Game'!C27)</f>
        <v>100</v>
      </c>
      <c r="AJ31">
        <f>IF('Free Game'!E27=0,"",'Free Game'!E27)</f>
        <v>100</v>
      </c>
      <c r="AK31">
        <f>IF('Free Game'!G27=0,"",'Free Game'!G27)</f>
        <v>100</v>
      </c>
      <c r="AL31">
        <f>IF('Free Game'!I27=0,"",'Free Game'!I27)</f>
        <v>100</v>
      </c>
      <c r="AM31">
        <f>IF('Free Game'!K27=0,"",'Free Game'!K27)</f>
        <v>25</v>
      </c>
    </row>
    <row r="32" spans="1:39" ht="15" x14ac:dyDescent="0.15">
      <c r="A32" s="103"/>
      <c r="B32" s="10"/>
      <c r="C32" s="103"/>
      <c r="D32" s="10"/>
      <c r="E32" s="103"/>
      <c r="F32" s="10"/>
      <c r="G32" s="103"/>
      <c r="H32" s="10"/>
      <c r="I32" s="103"/>
      <c r="K32">
        <f>IFERROR(VLOOKUP('Base Game '!B29,'Pay Table'!$M$3:$O$18,3,FALSE),"")</f>
        <v>7</v>
      </c>
      <c r="L32">
        <f>IFERROR(VLOOKUP('Base Game '!D29,'Pay Table'!$M$3:$O$18,3,FALSE),"")</f>
        <v>2</v>
      </c>
      <c r="M32">
        <f t="array" ref="M32">IFERROR(VLOOKUP('Base Game '!F29,'Pay Table'!$M$3:$O$18,3,FALSE),"")</f>
        <v>5</v>
      </c>
      <c r="N32">
        <f t="array" ref="N32">IFERROR(VLOOKUP('Base Game '!H29,'Pay Table'!$M$3:$O$18,3,FALSE),"")</f>
        <v>2</v>
      </c>
      <c r="O32">
        <f t="array" ref="O32">IFERROR(VLOOKUP('Base Game '!J29,'Pay Table'!$M$3:$O$18,3,FALSE),"")</f>
        <v>9</v>
      </c>
      <c r="Q32">
        <f t="array" ref="Q32">IF('Base Game '!C29=0,"",'Base Game '!C29)</f>
        <v>100</v>
      </c>
      <c r="R32">
        <f>IF('Base Game '!E29=0,"",'Base Game '!E29)</f>
        <v>100</v>
      </c>
      <c r="S32">
        <f>IF('Base Game '!G29=0,"",'Base Game '!G29)</f>
        <v>100</v>
      </c>
      <c r="T32">
        <f>IF('Base Game '!I29=0,"",'Base Game '!I29)</f>
        <v>100</v>
      </c>
      <c r="U32">
        <f>IF('Base Game '!K29=0,"",'Base Game '!K29)</f>
        <v>100</v>
      </c>
      <c r="W32" t="e">
        <f>VLOOKUP(#REF!,'Pay Table'!$M$3:$O$18,3,FALSE)</f>
        <v>#REF!</v>
      </c>
      <c r="X32" t="e">
        <f>VLOOKUP(#REF!,'Pay Table'!$M$3:$O$18,3,FALSE)</f>
        <v>#REF!</v>
      </c>
      <c r="Y32" t="e">
        <f>VLOOKUP(#REF!,'Pay Table'!$M$3:$O$18,3,FALSE)</f>
        <v>#REF!</v>
      </c>
      <c r="Z32" t="e">
        <f>VLOOKUP(#REF!,'Pay Table'!$M$3:$O$18,3,FALSE)</f>
        <v>#REF!</v>
      </c>
      <c r="AA32" t="e">
        <f>VLOOKUP(#REF!,'Pay Table'!$M$3:$O$18,3,FALSE)</f>
        <v>#REF!</v>
      </c>
      <c r="AC32">
        <f t="array" ref="AC32">IFERROR(VLOOKUP('Free Game'!B28,'Pay Table'!$M$3:$O$18,3,FALSE),"")</f>
        <v>8</v>
      </c>
      <c r="AD32">
        <f>IFERROR(VLOOKUP('Free Game'!D28,'Pay Table'!$M$3:$O$18,3,FALSE),"")</f>
        <v>1</v>
      </c>
      <c r="AE32">
        <f>IFERROR(VLOOKUP('Free Game'!F28,'Pay Table'!$M$3:$O$18,3,FALSE),"")</f>
        <v>1</v>
      </c>
      <c r="AF32">
        <f t="array" ref="AF32">IFERROR(VLOOKUP('Free Game'!H28,'Pay Table'!$M$3:$O$18,3,FALSE),"")</f>
        <v>3</v>
      </c>
      <c r="AG32">
        <f t="array" ref="AG32">IFERROR(VLOOKUP('Free Game'!J28,'Pay Table'!$M$3:$O$18,3,FALSE),"")</f>
        <v>9</v>
      </c>
      <c r="AI32">
        <f>IF('Free Game'!C28=0,"",'Free Game'!C28)</f>
        <v>100</v>
      </c>
      <c r="AJ32">
        <f>IF('Free Game'!E28=0,"",'Free Game'!E28)</f>
        <v>100</v>
      </c>
      <c r="AK32">
        <f>IF('Free Game'!G28=0,"",'Free Game'!G28)</f>
        <v>100</v>
      </c>
      <c r="AL32">
        <f>IF('Free Game'!I28=0,"",'Free Game'!I28)</f>
        <v>100</v>
      </c>
      <c r="AM32">
        <f>IF('Free Game'!K28=0,"",'Free Game'!K28)</f>
        <v>100</v>
      </c>
    </row>
    <row r="33" spans="1:39" ht="15" x14ac:dyDescent="0.15">
      <c r="A33" s="103"/>
      <c r="B33" s="10"/>
      <c r="C33" s="103"/>
      <c r="D33" s="10"/>
      <c r="E33" s="103"/>
      <c r="F33" s="10"/>
      <c r="G33" s="103"/>
      <c r="H33" s="10"/>
      <c r="I33" s="103"/>
      <c r="K33">
        <f>IFERROR(VLOOKUP('Base Game '!B30,'Pay Table'!$M$3:$O$18,3,FALSE),"")</f>
        <v>3</v>
      </c>
      <c r="L33">
        <f>IFERROR(VLOOKUP('Base Game '!D30,'Pay Table'!$M$3:$O$18,3,FALSE),"")</f>
        <v>2</v>
      </c>
      <c r="M33">
        <f t="array" ref="M33">IFERROR(VLOOKUP('Base Game '!F30,'Pay Table'!$M$3:$O$18,3,FALSE),"")</f>
        <v>3</v>
      </c>
      <c r="N33">
        <f t="array" ref="N33">IFERROR(VLOOKUP('Base Game '!H30,'Pay Table'!$M$3:$O$18,3,FALSE),"")</f>
        <v>2</v>
      </c>
      <c r="O33">
        <f t="array" ref="O33">IFERROR(VLOOKUP('Base Game '!J30,'Pay Table'!$M$3:$O$18,3,FALSE),"")</f>
        <v>8</v>
      </c>
      <c r="Q33">
        <f t="array" ref="Q33">IF('Base Game '!C30=0,"",'Base Game '!C30)</f>
        <v>100</v>
      </c>
      <c r="R33">
        <f>IF('Base Game '!E30=0,"",'Base Game '!E30)</f>
        <v>100</v>
      </c>
      <c r="S33">
        <f>IF('Base Game '!G30=0,"",'Base Game '!G30)</f>
        <v>130</v>
      </c>
      <c r="T33">
        <f>IF('Base Game '!I30=0,"",'Base Game '!I30)</f>
        <v>200</v>
      </c>
      <c r="U33">
        <f>IF('Base Game '!K30=0,"",'Base Game '!K30)</f>
        <v>100</v>
      </c>
      <c r="W33" t="e">
        <f>VLOOKUP(#REF!,'Pay Table'!$M$3:$O$18,3,FALSE)</f>
        <v>#REF!</v>
      </c>
      <c r="X33" t="e">
        <f>VLOOKUP(#REF!,'Pay Table'!$M$3:$O$18,3,FALSE)</f>
        <v>#REF!</v>
      </c>
      <c r="Y33" t="e">
        <f>VLOOKUP(#REF!,'Pay Table'!$M$3:$O$18,3,FALSE)</f>
        <v>#REF!</v>
      </c>
      <c r="Z33" t="e">
        <f>VLOOKUP(#REF!,'Pay Table'!$M$3:$O$18,3,FALSE)</f>
        <v>#REF!</v>
      </c>
      <c r="AA33" t="e">
        <f>VLOOKUP(#REF!,'Pay Table'!$M$3:$O$18,3,FALSE)</f>
        <v>#REF!</v>
      </c>
      <c r="AC33">
        <f t="array" ref="AC33">IFERROR(VLOOKUP('Free Game'!B29,'Pay Table'!$M$3:$O$18,3,FALSE),"")</f>
        <v>7</v>
      </c>
      <c r="AD33">
        <f>IFERROR(VLOOKUP('Free Game'!D29,'Pay Table'!$M$3:$O$18,3,FALSE),"")</f>
        <v>1</v>
      </c>
      <c r="AE33">
        <f>IFERROR(VLOOKUP('Free Game'!F29,'Pay Table'!$M$3:$O$18,3,FALSE),"")</f>
        <v>3</v>
      </c>
      <c r="AF33">
        <f t="array" ref="AF33">IFERROR(VLOOKUP('Free Game'!H29,'Pay Table'!$M$3:$O$18,3,FALSE),"")</f>
        <v>8</v>
      </c>
      <c r="AG33">
        <f t="array" ref="AG33">IFERROR(VLOOKUP('Free Game'!J29,'Pay Table'!$M$3:$O$18,3,FALSE),"")</f>
        <v>8</v>
      </c>
      <c r="AI33">
        <f>IF('Free Game'!C29=0,"",'Free Game'!C29)</f>
        <v>100</v>
      </c>
      <c r="AJ33">
        <f>IF('Free Game'!E29=0,"",'Free Game'!E29)</f>
        <v>100</v>
      </c>
      <c r="AK33">
        <f>IF('Free Game'!G29=0,"",'Free Game'!G29)</f>
        <v>100</v>
      </c>
      <c r="AL33">
        <f>IF('Free Game'!I29=0,"",'Free Game'!I29)</f>
        <v>100</v>
      </c>
      <c r="AM33">
        <f>IF('Free Game'!K29=0,"",'Free Game'!K29)</f>
        <v>100</v>
      </c>
    </row>
    <row r="34" spans="1:39" ht="15" x14ac:dyDescent="0.15">
      <c r="A34" s="103"/>
      <c r="B34" s="10"/>
      <c r="C34" s="103"/>
      <c r="D34" s="10"/>
      <c r="E34" s="103"/>
      <c r="F34" s="10"/>
      <c r="G34" s="103"/>
      <c r="H34" s="10"/>
      <c r="I34" s="103"/>
      <c r="K34">
        <f>IFERROR(VLOOKUP('Base Game '!B31,'Pay Table'!$M$3:$O$18,3,FALSE),"")</f>
        <v>3</v>
      </c>
      <c r="L34">
        <f>IFERROR(VLOOKUP('Base Game '!D31,'Pay Table'!$M$3:$O$18,3,FALSE),"")</f>
        <v>2</v>
      </c>
      <c r="M34" t="str">
        <f t="array" ref="M34">IFERROR(VLOOKUP('Base Game '!F31,'Pay Table'!$M$3:$O$18,3,FALSE),"")</f>
        <v>"s"</v>
      </c>
      <c r="N34">
        <f t="array" ref="N34">IFERROR(VLOOKUP('Base Game '!H31,'Pay Table'!$M$3:$O$18,3,FALSE),"")</f>
        <v>7</v>
      </c>
      <c r="O34">
        <f t="array" ref="O34">IFERROR(VLOOKUP('Base Game '!J31,'Pay Table'!$M$3:$O$18,3,FALSE),"")</f>
        <v>2</v>
      </c>
      <c r="Q34">
        <f t="array" ref="Q34">IF('Base Game '!C31=0,"",'Base Game '!C31)</f>
        <v>100</v>
      </c>
      <c r="R34">
        <f>IF('Base Game '!E31=0,"",'Base Game '!E31)</f>
        <v>100</v>
      </c>
      <c r="S34">
        <f>IF('Base Game '!G31=0,"",'Base Game '!G31)</f>
        <v>135</v>
      </c>
      <c r="T34">
        <f>IF('Base Game '!I31=0,"",'Base Game '!I31)</f>
        <v>190</v>
      </c>
      <c r="U34">
        <f>IF('Base Game '!K31=0,"",'Base Game '!K31)</f>
        <v>100</v>
      </c>
      <c r="W34" t="e">
        <f>VLOOKUP(#REF!,'Pay Table'!$M$3:$O$18,3,FALSE)</f>
        <v>#REF!</v>
      </c>
      <c r="X34" t="e">
        <f>VLOOKUP(#REF!,'Pay Table'!$M$3:$O$18,3,FALSE)</f>
        <v>#REF!</v>
      </c>
      <c r="Y34" t="e">
        <f>VLOOKUP(#REF!,'Pay Table'!$M$3:$O$18,3,FALSE)</f>
        <v>#REF!</v>
      </c>
      <c r="Z34" t="e">
        <f>VLOOKUP(#REF!,'Pay Table'!$M$3:$O$18,3,FALSE)</f>
        <v>#REF!</v>
      </c>
      <c r="AA34" t="e">
        <f>VLOOKUP(#REF!,'Pay Table'!$M$3:$O$18,3,FALSE)</f>
        <v>#REF!</v>
      </c>
      <c r="AC34">
        <f t="array" ref="AC34">IFERROR(VLOOKUP('Free Game'!B30,'Pay Table'!$M$3:$O$18,3,FALSE),"")</f>
        <v>2</v>
      </c>
      <c r="AD34">
        <f>IFERROR(VLOOKUP('Free Game'!D30,'Pay Table'!$M$3:$O$18,3,FALSE),"")</f>
        <v>1</v>
      </c>
      <c r="AE34">
        <f>IFERROR(VLOOKUP('Free Game'!F30,'Pay Table'!$M$3:$O$18,3,FALSE),"")</f>
        <v>8</v>
      </c>
      <c r="AF34">
        <f t="array" ref="AF34">IFERROR(VLOOKUP('Free Game'!H30,'Pay Table'!$M$3:$O$18,3,FALSE),"")</f>
        <v>2</v>
      </c>
      <c r="AG34">
        <f t="array" ref="AG34">IFERROR(VLOOKUP('Free Game'!J30,'Pay Table'!$M$3:$O$18,3,FALSE),"")</f>
        <v>7</v>
      </c>
      <c r="AI34">
        <f>IF('Free Game'!C30=0,"",'Free Game'!C30)</f>
        <v>100</v>
      </c>
      <c r="AJ34">
        <f>IF('Free Game'!E30=0,"",'Free Game'!E30)</f>
        <v>100</v>
      </c>
      <c r="AK34">
        <f>IF('Free Game'!G30=0,"",'Free Game'!G30)</f>
        <v>100</v>
      </c>
      <c r="AL34">
        <f>IF('Free Game'!I30=0,"",'Free Game'!I30)</f>
        <v>100</v>
      </c>
      <c r="AM34">
        <f>IF('Free Game'!K30=0,"",'Free Game'!K30)</f>
        <v>100</v>
      </c>
    </row>
    <row r="35" spans="1:39" ht="15" x14ac:dyDescent="0.15">
      <c r="A35" s="103"/>
      <c r="B35" s="10"/>
      <c r="C35" s="103"/>
      <c r="D35" s="10"/>
      <c r="E35" s="103"/>
      <c r="F35" s="10"/>
      <c r="G35" s="103"/>
      <c r="H35" s="10"/>
      <c r="I35" s="103"/>
      <c r="K35">
        <f>IFERROR(VLOOKUP('Base Game '!B32,'Pay Table'!$M$3:$O$18,3,FALSE),"")</f>
        <v>4</v>
      </c>
      <c r="L35">
        <f>IFERROR(VLOOKUP('Base Game '!D32,'Pay Table'!$M$3:$O$18,3,FALSE),"")</f>
        <v>4</v>
      </c>
      <c r="M35">
        <f t="array" ref="M35">IFERROR(VLOOKUP('Base Game '!F32,'Pay Table'!$M$3:$O$18,3,FALSE),"")</f>
        <v>8</v>
      </c>
      <c r="N35" t="str">
        <f t="array" ref="N35">IFERROR(VLOOKUP('Base Game '!H32,'Pay Table'!$M$3:$O$18,3,FALSE),"")</f>
        <v>"s"</v>
      </c>
      <c r="O35">
        <f t="array" ref="O35">IFERROR(VLOOKUP('Base Game '!J32,'Pay Table'!$M$3:$O$18,3,FALSE),"")</f>
        <v>2</v>
      </c>
      <c r="Q35">
        <f t="array" ref="Q35">IF('Base Game '!C32=0,"",'Base Game '!C32)</f>
        <v>100</v>
      </c>
      <c r="R35">
        <f>IF('Base Game '!E32=0,"",'Base Game '!E32)</f>
        <v>100</v>
      </c>
      <c r="S35">
        <f>IF('Base Game '!G32=0,"",'Base Game '!G32)</f>
        <v>100</v>
      </c>
      <c r="T35">
        <f>IF('Base Game '!I32=0,"",'Base Game '!I32)</f>
        <v>200</v>
      </c>
      <c r="U35">
        <f>IF('Base Game '!K32=0,"",'Base Game '!K32)</f>
        <v>100</v>
      </c>
      <c r="W35" t="e">
        <f>VLOOKUP(#REF!,'Pay Table'!$M$3:$O$18,3,FALSE)</f>
        <v>#REF!</v>
      </c>
      <c r="X35" t="e">
        <f>VLOOKUP(#REF!,'Pay Table'!$M$3:$O$18,3,FALSE)</f>
        <v>#REF!</v>
      </c>
      <c r="Y35" t="e">
        <f>VLOOKUP(#REF!,'Pay Table'!$M$3:$O$18,3,FALSE)</f>
        <v>#REF!</v>
      </c>
      <c r="Z35" t="e">
        <f>VLOOKUP(#REF!,'Pay Table'!$M$3:$O$18,3,FALSE)</f>
        <v>#REF!</v>
      </c>
      <c r="AA35" t="e">
        <f>VLOOKUP(#REF!,'Pay Table'!$M$3:$O$18,3,FALSE)</f>
        <v>#REF!</v>
      </c>
      <c r="AC35">
        <f t="array" ref="AC35">IFERROR(VLOOKUP('Free Game'!B31,'Pay Table'!$M$3:$O$18,3,FALSE),"")</f>
        <v>2</v>
      </c>
      <c r="AD35">
        <f>IFERROR(VLOOKUP('Free Game'!D31,'Pay Table'!$M$3:$O$18,3,FALSE),"")</f>
        <v>7</v>
      </c>
      <c r="AE35">
        <f>IFERROR(VLOOKUP('Free Game'!F31,'Pay Table'!$M$3:$O$18,3,FALSE),"")</f>
        <v>7</v>
      </c>
      <c r="AF35">
        <f t="array" ref="AF35">IFERROR(VLOOKUP('Free Game'!H31,'Pay Table'!$M$3:$O$18,3,FALSE),"")</f>
        <v>2</v>
      </c>
      <c r="AG35" t="str">
        <f t="array" ref="AG35">IFERROR(VLOOKUP('Free Game'!J31,'Pay Table'!$M$3:$O$18,3,FALSE),"")</f>
        <v>"w"</v>
      </c>
      <c r="AI35">
        <f>IF('Free Game'!C31=0,"",'Free Game'!C31)</f>
        <v>100</v>
      </c>
      <c r="AJ35">
        <f>IF('Free Game'!E31=0,"",'Free Game'!E31)</f>
        <v>100</v>
      </c>
      <c r="AK35">
        <f>IF('Free Game'!G31=0,"",'Free Game'!G31)</f>
        <v>100</v>
      </c>
      <c r="AL35">
        <f>IF('Free Game'!I31=0,"",'Free Game'!I31)</f>
        <v>100</v>
      </c>
      <c r="AM35">
        <f>IF('Free Game'!K31=0,"",'Free Game'!K31)</f>
        <v>100</v>
      </c>
    </row>
    <row r="36" spans="1:39" ht="15" x14ac:dyDescent="0.15">
      <c r="A36" s="103"/>
      <c r="B36" s="10"/>
      <c r="C36" s="103"/>
      <c r="D36" s="10"/>
      <c r="E36" s="103"/>
      <c r="F36" s="10"/>
      <c r="G36" s="103"/>
      <c r="H36" s="10"/>
      <c r="I36" s="103"/>
      <c r="K36">
        <f>IFERROR(VLOOKUP('Base Game '!B33,'Pay Table'!$M$3:$O$18,3,FALSE),"")</f>
        <v>9</v>
      </c>
      <c r="L36">
        <f>IFERROR(VLOOKUP('Base Game '!D33,'Pay Table'!$M$3:$O$18,3,FALSE),"")</f>
        <v>6</v>
      </c>
      <c r="M36">
        <f t="array" ref="M36">IFERROR(VLOOKUP('Base Game '!F33,'Pay Table'!$M$3:$O$18,3,FALSE),"")</f>
        <v>2</v>
      </c>
      <c r="N36">
        <f t="array" ref="N36">IFERROR(VLOOKUP('Base Game '!H33,'Pay Table'!$M$3:$O$18,3,FALSE),"")</f>
        <v>6</v>
      </c>
      <c r="O36">
        <f t="array" ref="O36">IFERROR(VLOOKUP('Base Game '!J33,'Pay Table'!$M$3:$O$18,3,FALSE),"")</f>
        <v>2</v>
      </c>
      <c r="Q36">
        <f t="array" ref="Q36">IF('Base Game '!C33=0,"",'Base Game '!C33)</f>
        <v>100</v>
      </c>
      <c r="R36">
        <f>IF('Base Game '!E33=0,"",'Base Game '!E33)</f>
        <v>140</v>
      </c>
      <c r="S36">
        <f>IF('Base Game '!G33=0,"",'Base Game '!G33)</f>
        <v>100</v>
      </c>
      <c r="T36">
        <f>IF('Base Game '!I33=0,"",'Base Game '!I33)</f>
        <v>100</v>
      </c>
      <c r="U36">
        <f>IF('Base Game '!K33=0,"",'Base Game '!K33)</f>
        <v>100</v>
      </c>
      <c r="W36" t="e">
        <f>VLOOKUP(#REF!,'Pay Table'!$M$3:$O$18,3,FALSE)</f>
        <v>#REF!</v>
      </c>
      <c r="X36" t="e">
        <f>VLOOKUP(#REF!,'Pay Table'!$M$3:$O$18,3,FALSE)</f>
        <v>#REF!</v>
      </c>
      <c r="Y36" t="e">
        <f>VLOOKUP(#REF!,'Pay Table'!$M$3:$O$18,3,FALSE)</f>
        <v>#REF!</v>
      </c>
      <c r="Z36" t="e">
        <f>VLOOKUP(#REF!,'Pay Table'!$M$3:$O$18,3,FALSE)</f>
        <v>#REF!</v>
      </c>
      <c r="AA36" t="e">
        <f>VLOOKUP(#REF!,'Pay Table'!$M$3:$O$18,3,FALSE)</f>
        <v>#REF!</v>
      </c>
      <c r="AC36">
        <f t="array" ref="AC36">IFERROR(VLOOKUP('Free Game'!B32,'Pay Table'!$M$3:$O$18,3,FALSE),"")</f>
        <v>5</v>
      </c>
      <c r="AD36">
        <f>IFERROR(VLOOKUP('Free Game'!D32,'Pay Table'!$M$3:$O$18,3,FALSE),"")</f>
        <v>6</v>
      </c>
      <c r="AE36">
        <f>IFERROR(VLOOKUP('Free Game'!F32,'Pay Table'!$M$3:$O$18,3,FALSE),"")</f>
        <v>1</v>
      </c>
      <c r="AF36" t="str">
        <f t="array" ref="AF36">IFERROR(VLOOKUP('Free Game'!H32,'Pay Table'!$M$3:$O$18,3,FALSE),"")</f>
        <v>"w"</v>
      </c>
      <c r="AG36" t="str">
        <f t="array" ref="AG36">IFERROR(VLOOKUP('Free Game'!J32,'Pay Table'!$M$3:$O$18,3,FALSE),"")</f>
        <v>"w"</v>
      </c>
      <c r="AI36">
        <f>IF('Free Game'!C32=0,"",'Free Game'!C32)</f>
        <v>100</v>
      </c>
      <c r="AJ36">
        <f>IF('Free Game'!E32=0,"",'Free Game'!E32)</f>
        <v>100</v>
      </c>
      <c r="AK36">
        <f>IF('Free Game'!G32=0,"",'Free Game'!G32)</f>
        <v>100</v>
      </c>
      <c r="AL36">
        <f>IF('Free Game'!I32=0,"",'Free Game'!I32)</f>
        <v>100</v>
      </c>
      <c r="AM36">
        <f>IF('Free Game'!K32=0,"",'Free Game'!K32)</f>
        <v>100</v>
      </c>
    </row>
    <row r="37" spans="1:39" ht="15" x14ac:dyDescent="0.15">
      <c r="A37" s="103"/>
      <c r="B37" s="10"/>
      <c r="C37" s="103"/>
      <c r="D37" s="10"/>
      <c r="E37" s="103"/>
      <c r="F37" s="10"/>
      <c r="G37" s="103"/>
      <c r="H37" s="10"/>
      <c r="I37" s="103"/>
      <c r="K37">
        <f>IFERROR(VLOOKUP('Base Game '!B34,'Pay Table'!$M$3:$O$18,3,FALSE),"")</f>
        <v>3</v>
      </c>
      <c r="L37" t="str">
        <f>IFERROR(VLOOKUP('Base Game '!D34,'Pay Table'!$M$3:$O$18,3,FALSE),"")</f>
        <v>"s"</v>
      </c>
      <c r="M37">
        <f t="array" ref="M37">IFERROR(VLOOKUP('Base Game '!F34,'Pay Table'!$M$3:$O$18,3,FALSE),"")</f>
        <v>2</v>
      </c>
      <c r="N37">
        <f t="array" ref="N37">IFERROR(VLOOKUP('Base Game '!H34,'Pay Table'!$M$3:$O$18,3,FALSE),"")</f>
        <v>5</v>
      </c>
      <c r="O37">
        <f t="array" ref="O37">IFERROR(VLOOKUP('Base Game '!J34,'Pay Table'!$M$3:$O$18,3,FALSE),"")</f>
        <v>3</v>
      </c>
      <c r="Q37">
        <f t="array" ref="Q37">IF('Base Game '!C34=0,"",'Base Game '!C34)</f>
        <v>100</v>
      </c>
      <c r="R37">
        <f>IF('Base Game '!E34=0,"",'Base Game '!E34)</f>
        <v>150</v>
      </c>
      <c r="S37">
        <f>IF('Base Game '!G34=0,"",'Base Game '!G34)</f>
        <v>100</v>
      </c>
      <c r="T37">
        <f>IF('Base Game '!I34=0,"",'Base Game '!I34)</f>
        <v>100</v>
      </c>
      <c r="U37">
        <f>IF('Base Game '!K34=0,"",'Base Game '!K34)</f>
        <v>100</v>
      </c>
      <c r="W37" t="e">
        <f>VLOOKUP(#REF!,'Pay Table'!$M$3:$O$18,3,FALSE)</f>
        <v>#REF!</v>
      </c>
      <c r="X37" t="e">
        <f>VLOOKUP(#REF!,'Pay Table'!$M$3:$O$18,3,FALSE)</f>
        <v>#REF!</v>
      </c>
      <c r="Y37" t="e">
        <f>VLOOKUP(#REF!,'Pay Table'!$M$3:$O$18,3,FALSE)</f>
        <v>#REF!</v>
      </c>
      <c r="Z37" t="e">
        <f>VLOOKUP(#REF!,'Pay Table'!$M$3:$O$18,3,FALSE)</f>
        <v>#REF!</v>
      </c>
      <c r="AA37" t="e">
        <f>VLOOKUP(#REF!,'Pay Table'!$M$3:$O$18,3,FALSE)</f>
        <v>#REF!</v>
      </c>
      <c r="AC37">
        <f t="array" ref="AC37">IFERROR(VLOOKUP('Free Game'!B33,'Pay Table'!$M$3:$O$18,3,FALSE),"")</f>
        <v>5</v>
      </c>
      <c r="AD37">
        <f>IFERROR(VLOOKUP('Free Game'!D33,'Pay Table'!$M$3:$O$18,3,FALSE),"")</f>
        <v>8</v>
      </c>
      <c r="AE37">
        <f>IFERROR(VLOOKUP('Free Game'!F33,'Pay Table'!$M$3:$O$18,3,FALSE),"")</f>
        <v>1</v>
      </c>
      <c r="AF37">
        <f t="array" ref="AF37">IFERROR(VLOOKUP('Free Game'!H33,'Pay Table'!$M$3:$O$18,3,FALSE),"")</f>
        <v>5</v>
      </c>
      <c r="AG37" t="str">
        <f t="array" ref="AG37">IFERROR(VLOOKUP('Free Game'!J33,'Pay Table'!$M$3:$O$18,3,FALSE),"")</f>
        <v>"w"</v>
      </c>
      <c r="AI37">
        <f>IF('Free Game'!C33=0,"",'Free Game'!C33)</f>
        <v>100</v>
      </c>
      <c r="AJ37">
        <f>IF('Free Game'!E33=0,"",'Free Game'!E33)</f>
        <v>100</v>
      </c>
      <c r="AK37">
        <f>IF('Free Game'!G33=0,"",'Free Game'!G33)</f>
        <v>100</v>
      </c>
      <c r="AL37">
        <f>IF('Free Game'!I33=0,"",'Free Game'!I33)</f>
        <v>100</v>
      </c>
      <c r="AM37">
        <f>IF('Free Game'!K33=0,"",'Free Game'!K33)</f>
        <v>100</v>
      </c>
    </row>
    <row r="38" spans="1:39" ht="15" x14ac:dyDescent="0.15">
      <c r="A38" s="103"/>
      <c r="B38" s="10"/>
      <c r="C38" s="103"/>
      <c r="D38" s="10"/>
      <c r="E38" s="103"/>
      <c r="F38" s="10"/>
      <c r="G38" s="103"/>
      <c r="H38" s="10"/>
      <c r="I38" s="103"/>
      <c r="K38">
        <f>IFERROR(VLOOKUP('Base Game '!B35,'Pay Table'!$M$3:$O$18,3,FALSE),"")</f>
        <v>5</v>
      </c>
      <c r="L38">
        <f>IFERROR(VLOOKUP('Base Game '!D35,'Pay Table'!$M$3:$O$18,3,FALSE),"")</f>
        <v>7</v>
      </c>
      <c r="M38">
        <f t="array" ref="M38">IFERROR(VLOOKUP('Base Game '!F35,'Pay Table'!$M$3:$O$18,3,FALSE),"")</f>
        <v>2</v>
      </c>
      <c r="N38">
        <f t="array" ref="N38">IFERROR(VLOOKUP('Base Game '!H35,'Pay Table'!$M$3:$O$18,3,FALSE),"")</f>
        <v>3</v>
      </c>
      <c r="O38">
        <f t="array" ref="O38">IFERROR(VLOOKUP('Base Game '!J35,'Pay Table'!$M$3:$O$18,3,FALSE),"")</f>
        <v>3</v>
      </c>
      <c r="Q38">
        <f t="array" ref="Q38">IF('Base Game '!C35=0,"",'Base Game '!C35)</f>
        <v>100</v>
      </c>
      <c r="R38">
        <f>IF('Base Game '!E35=0,"",'Base Game '!E35)</f>
        <v>100</v>
      </c>
      <c r="S38">
        <f>IF('Base Game '!G35=0,"",'Base Game '!G35)</f>
        <v>100</v>
      </c>
      <c r="T38">
        <f>IF('Base Game '!I35=0,"",'Base Game '!I35)</f>
        <v>100</v>
      </c>
      <c r="U38">
        <f>IF('Base Game '!K35=0,"",'Base Game '!K35)</f>
        <v>100</v>
      </c>
      <c r="W38" t="e">
        <f>VLOOKUP(#REF!,'Pay Table'!$M$3:$O$18,3,FALSE)</f>
        <v>#REF!</v>
      </c>
      <c r="X38" t="e">
        <f>VLOOKUP(#REF!,'Pay Table'!$M$3:$O$18,3,FALSE)</f>
        <v>#REF!</v>
      </c>
      <c r="Y38" t="e">
        <f>VLOOKUP(#REF!,'Pay Table'!$M$3:$O$18,3,FALSE)</f>
        <v>#REF!</v>
      </c>
      <c r="Z38" t="e">
        <f>VLOOKUP(#REF!,'Pay Table'!$M$3:$O$18,3,FALSE)</f>
        <v>#REF!</v>
      </c>
      <c r="AA38" t="e">
        <f>VLOOKUP(#REF!,'Pay Table'!$M$3:$O$18,3,FALSE)</f>
        <v>#REF!</v>
      </c>
      <c r="AC38">
        <f t="array" ref="AC38">IFERROR(VLOOKUP('Free Game'!B34,'Pay Table'!$M$3:$O$18,3,FALSE),"")</f>
        <v>9</v>
      </c>
      <c r="AD38">
        <f>IFERROR(VLOOKUP('Free Game'!D34,'Pay Table'!$M$3:$O$18,3,FALSE),"")</f>
        <v>3</v>
      </c>
      <c r="AE38">
        <f>IFERROR(VLOOKUP('Free Game'!F34,'Pay Table'!$M$3:$O$18,3,FALSE),"")</f>
        <v>1</v>
      </c>
      <c r="AF38">
        <f t="array" ref="AF38">IFERROR(VLOOKUP('Free Game'!H34,'Pay Table'!$M$3:$O$18,3,FALSE),"")</f>
        <v>3</v>
      </c>
      <c r="AG38">
        <f t="array" ref="AG38">IFERROR(VLOOKUP('Free Game'!J34,'Pay Table'!$M$3:$O$18,3,FALSE),"")</f>
        <v>4</v>
      </c>
      <c r="AI38">
        <f>IF('Free Game'!C34=0,"",'Free Game'!C34)</f>
        <v>100</v>
      </c>
      <c r="AJ38">
        <f>IF('Free Game'!E34=0,"",'Free Game'!E34)</f>
        <v>100</v>
      </c>
      <c r="AK38">
        <f>IF('Free Game'!G34=0,"",'Free Game'!G34)</f>
        <v>100</v>
      </c>
      <c r="AL38">
        <f>IF('Free Game'!I34=0,"",'Free Game'!I34)</f>
        <v>100</v>
      </c>
      <c r="AM38">
        <f>IF('Free Game'!K34=0,"",'Free Game'!K34)</f>
        <v>100</v>
      </c>
    </row>
    <row r="39" spans="1:39" ht="15" x14ac:dyDescent="0.15">
      <c r="A39" s="103"/>
      <c r="B39" s="10"/>
      <c r="C39" s="103"/>
      <c r="D39" s="10"/>
      <c r="E39" s="103"/>
      <c r="F39" s="10"/>
      <c r="G39" s="103"/>
      <c r="H39" s="10"/>
      <c r="I39" s="103"/>
      <c r="K39">
        <f>IFERROR(VLOOKUP('Base Game '!B36,'Pay Table'!$M$3:$O$18,3,FALSE),"")</f>
        <v>5</v>
      </c>
      <c r="L39">
        <f>IFERROR(VLOOKUP('Base Game '!D36,'Pay Table'!$M$3:$O$18,3,FALSE),"")</f>
        <v>2</v>
      </c>
      <c r="M39">
        <f t="array" ref="M39">IFERROR(VLOOKUP('Base Game '!F36,'Pay Table'!$M$3:$O$18,3,FALSE),"")</f>
        <v>7</v>
      </c>
      <c r="N39" t="str">
        <f t="array" ref="N39">IFERROR(VLOOKUP('Base Game '!H36,'Pay Table'!$M$3:$O$18,3,FALSE),"")</f>
        <v>"w"</v>
      </c>
      <c r="O39">
        <f t="array" ref="O39">IFERROR(VLOOKUP('Base Game '!J36,'Pay Table'!$M$3:$O$18,3,FALSE),"")</f>
        <v>6</v>
      </c>
      <c r="Q39">
        <f t="array" ref="Q39">IF('Base Game '!C36=0,"",'Base Game '!C36)</f>
        <v>100</v>
      </c>
      <c r="R39">
        <f>IF('Base Game '!E36=0,"",'Base Game '!E36)</f>
        <v>100</v>
      </c>
      <c r="S39">
        <f>IF('Base Game '!G36=0,"",'Base Game '!G36)</f>
        <v>100</v>
      </c>
      <c r="T39">
        <f>IF('Base Game '!I36=0,"",'Base Game '!I36)</f>
        <v>100</v>
      </c>
      <c r="U39">
        <f>IF('Base Game '!K36=0,"",'Base Game '!K36)</f>
        <v>100</v>
      </c>
      <c r="W39" t="e">
        <f>VLOOKUP(#REF!,'Pay Table'!$M$3:$O$18,3,FALSE)</f>
        <v>#REF!</v>
      </c>
      <c r="X39" t="e">
        <f>VLOOKUP(#REF!,'Pay Table'!$M$3:$O$18,3,FALSE)</f>
        <v>#REF!</v>
      </c>
      <c r="Y39" t="e">
        <f>VLOOKUP(#REF!,'Pay Table'!$M$3:$O$18,3,FALSE)</f>
        <v>#REF!</v>
      </c>
      <c r="Z39" t="e">
        <f>VLOOKUP(#REF!,'Pay Table'!$M$3:$O$18,3,FALSE)</f>
        <v>#REF!</v>
      </c>
      <c r="AA39" t="e">
        <f>VLOOKUP(#REF!,'Pay Table'!$M$3:$O$18,3,FALSE)</f>
        <v>#REF!</v>
      </c>
      <c r="AC39">
        <f t="array" ref="AC39">IFERROR(VLOOKUP('Free Game'!B35,'Pay Table'!$M$3:$O$18,3,FALSE),"")</f>
        <v>2</v>
      </c>
      <c r="AD39">
        <f>IFERROR(VLOOKUP('Free Game'!D35,'Pay Table'!$M$3:$O$18,3,FALSE),"")</f>
        <v>2</v>
      </c>
      <c r="AE39">
        <f>IFERROR(VLOOKUP('Free Game'!F35,'Pay Table'!$M$3:$O$18,3,FALSE),"")</f>
        <v>7</v>
      </c>
      <c r="AF39">
        <f t="array" ref="AF39">IFERROR(VLOOKUP('Free Game'!H35,'Pay Table'!$M$3:$O$18,3,FALSE),"")</f>
        <v>9</v>
      </c>
      <c r="AG39">
        <f t="array" ref="AG39">IFERROR(VLOOKUP('Free Game'!J35,'Pay Table'!$M$3:$O$18,3,FALSE),"")</f>
        <v>6</v>
      </c>
      <c r="AI39">
        <f>IF('Free Game'!C35=0,"",'Free Game'!C35)</f>
        <v>100</v>
      </c>
      <c r="AJ39">
        <f>IF('Free Game'!E35=0,"",'Free Game'!E35)</f>
        <v>100</v>
      </c>
      <c r="AK39">
        <f>IF('Free Game'!G35=0,"",'Free Game'!G35)</f>
        <v>100</v>
      </c>
      <c r="AL39">
        <f>IF('Free Game'!I35=0,"",'Free Game'!I35)</f>
        <v>100</v>
      </c>
      <c r="AM39">
        <f>IF('Free Game'!K35=0,"",'Free Game'!K35)</f>
        <v>100</v>
      </c>
    </row>
    <row r="40" spans="1:39" ht="15" x14ac:dyDescent="0.15">
      <c r="A40" s="103"/>
      <c r="B40" s="10"/>
      <c r="C40" s="103"/>
      <c r="D40" s="10"/>
      <c r="E40" s="103"/>
      <c r="F40" s="10"/>
      <c r="G40" s="103"/>
      <c r="H40" s="10"/>
      <c r="I40" s="103"/>
      <c r="K40">
        <f>IFERROR(VLOOKUP('Base Game '!B37,'Pay Table'!$M$3:$O$18,3,FALSE),"")</f>
        <v>6</v>
      </c>
      <c r="L40">
        <f>IFERROR(VLOOKUP('Base Game '!D37,'Pay Table'!$M$3:$O$18,3,FALSE),"")</f>
        <v>2</v>
      </c>
      <c r="M40">
        <f t="array" ref="M40">IFERROR(VLOOKUP('Base Game '!F37,'Pay Table'!$M$3:$O$18,3,FALSE),"")</f>
        <v>6</v>
      </c>
      <c r="N40">
        <f t="array" ref="N40">IFERROR(VLOOKUP('Base Game '!H37,'Pay Table'!$M$3:$O$18,3,FALSE),"")</f>
        <v>4</v>
      </c>
      <c r="O40">
        <f t="array" ref="O40">IFERROR(VLOOKUP('Base Game '!J37,'Pay Table'!$M$3:$O$18,3,FALSE),"")</f>
        <v>8</v>
      </c>
      <c r="Q40">
        <f t="array" ref="Q40">IF('Base Game '!C37=0,"",'Base Game '!C37)</f>
        <v>100</v>
      </c>
      <c r="R40">
        <f>IF('Base Game '!E37=0,"",'Base Game '!E37)</f>
        <v>100</v>
      </c>
      <c r="S40">
        <f>IF('Base Game '!G37=0,"",'Base Game '!G37)</f>
        <v>100</v>
      </c>
      <c r="T40">
        <f>IF('Base Game '!I37=0,"",'Base Game '!I37)</f>
        <v>100</v>
      </c>
      <c r="U40">
        <f>IF('Base Game '!K37=0,"",'Base Game '!K37)</f>
        <v>100</v>
      </c>
      <c r="W40" t="e">
        <f>VLOOKUP(#REF!,'Pay Table'!$M$3:$O$18,3,FALSE)</f>
        <v>#REF!</v>
      </c>
      <c r="X40" t="e">
        <f>VLOOKUP(#REF!,'Pay Table'!$M$3:$O$18,3,FALSE)</f>
        <v>#REF!</v>
      </c>
      <c r="Y40" t="e">
        <f>VLOOKUP(#REF!,'Pay Table'!$M$3:$O$18,3,FALSE)</f>
        <v>#REF!</v>
      </c>
      <c r="Z40" t="e">
        <f>VLOOKUP(#REF!,'Pay Table'!$M$3:$O$18,3,FALSE)</f>
        <v>#REF!</v>
      </c>
      <c r="AA40" t="e">
        <f>VLOOKUP(#REF!,'Pay Table'!$M$3:$O$18,3,FALSE)</f>
        <v>#REF!</v>
      </c>
      <c r="AC40">
        <f t="array" ref="AC40">IFERROR(VLOOKUP('Free Game'!B36,'Pay Table'!$M$3:$O$18,3,FALSE),"")</f>
        <v>7</v>
      </c>
      <c r="AD40">
        <f>IFERROR(VLOOKUP('Free Game'!D36,'Pay Table'!$M$3:$O$18,3,FALSE),"")</f>
        <v>4</v>
      </c>
      <c r="AE40">
        <f>IFERROR(VLOOKUP('Free Game'!F36,'Pay Table'!$M$3:$O$18,3,FALSE),"")</f>
        <v>6</v>
      </c>
      <c r="AF40">
        <f t="array" ref="AF40">IFERROR(VLOOKUP('Free Game'!H36,'Pay Table'!$M$3:$O$18,3,FALSE),"")</f>
        <v>4</v>
      </c>
      <c r="AG40">
        <f t="array" ref="AG40">IFERROR(VLOOKUP('Free Game'!J36,'Pay Table'!$M$3:$O$18,3,FALSE),"")</f>
        <v>5</v>
      </c>
      <c r="AI40">
        <f>IF('Free Game'!C36=0,"",'Free Game'!C36)</f>
        <v>100</v>
      </c>
      <c r="AJ40">
        <f>IF('Free Game'!E36=0,"",'Free Game'!E36)</f>
        <v>100</v>
      </c>
      <c r="AK40">
        <f>IF('Free Game'!G36=0,"",'Free Game'!G36)</f>
        <v>100</v>
      </c>
      <c r="AL40">
        <f>IF('Free Game'!I36=0,"",'Free Game'!I36)</f>
        <v>100</v>
      </c>
      <c r="AM40">
        <f>IF('Free Game'!K36=0,"",'Free Game'!K36)</f>
        <v>100</v>
      </c>
    </row>
    <row r="41" spans="1:39" ht="15" x14ac:dyDescent="0.15">
      <c r="A41" s="103"/>
      <c r="B41" s="10"/>
      <c r="C41" s="103"/>
      <c r="D41" s="10"/>
      <c r="E41" s="103"/>
      <c r="F41" s="10"/>
      <c r="G41" s="103"/>
      <c r="H41" s="10"/>
      <c r="I41" s="103"/>
      <c r="K41">
        <f>IFERROR(VLOOKUP('Base Game '!B38,'Pay Table'!$M$3:$O$18,3,FALSE),"")</f>
        <v>7</v>
      </c>
      <c r="L41">
        <f>IFERROR(VLOOKUP('Base Game '!D38,'Pay Table'!$M$3:$O$18,3,FALSE),"")</f>
        <v>2</v>
      </c>
      <c r="M41" t="str">
        <f t="array" ref="M41">IFERROR(VLOOKUP('Base Game '!F38,'Pay Table'!$M$3:$O$18,3,FALSE),"")</f>
        <v>"v"</v>
      </c>
      <c r="N41">
        <f t="array" ref="N41">IFERROR(VLOOKUP('Base Game '!H38,'Pay Table'!$M$3:$O$18,3,FALSE),"")</f>
        <v>8</v>
      </c>
      <c r="O41">
        <f t="array" ref="O41">IFERROR(VLOOKUP('Base Game '!J38,'Pay Table'!$M$3:$O$18,3,FALSE),"")</f>
        <v>7</v>
      </c>
      <c r="Q41">
        <f t="array" ref="Q41">IF('Base Game '!C38=0,"",'Base Game '!C38)</f>
        <v>100</v>
      </c>
      <c r="R41">
        <f>IF('Base Game '!E38=0,"",'Base Game '!E38)</f>
        <v>100</v>
      </c>
      <c r="S41">
        <f>IF('Base Game '!G38=0,"",'Base Game '!G38)</f>
        <v>50</v>
      </c>
      <c r="T41">
        <f>IF('Base Game '!I38=0,"",'Base Game '!I38)</f>
        <v>100</v>
      </c>
      <c r="U41">
        <f>IF('Base Game '!K38=0,"",'Base Game '!K38)</f>
        <v>100</v>
      </c>
      <c r="W41" t="e">
        <f>VLOOKUP(#REF!,'Pay Table'!$M$3:$O$18,3,FALSE)</f>
        <v>#REF!</v>
      </c>
      <c r="X41" t="e">
        <f>VLOOKUP(#REF!,'Pay Table'!$M$3:$O$18,3,FALSE)</f>
        <v>#REF!</v>
      </c>
      <c r="Y41" t="e">
        <f>VLOOKUP(#REF!,'Pay Table'!$M$3:$O$18,3,FALSE)</f>
        <v>#REF!</v>
      </c>
      <c r="Z41" t="e">
        <f>VLOOKUP(#REF!,'Pay Table'!$M$3:$O$18,3,FALSE)</f>
        <v>#REF!</v>
      </c>
      <c r="AA41" t="e">
        <f>VLOOKUP(#REF!,'Pay Table'!$M$3:$O$18,3,FALSE)</f>
        <v>#REF!</v>
      </c>
      <c r="AC41">
        <f t="array" ref="AC41">IFERROR(VLOOKUP('Free Game'!B37,'Pay Table'!$M$3:$O$18,3,FALSE),"")</f>
        <v>5</v>
      </c>
      <c r="AD41">
        <f>IFERROR(VLOOKUP('Free Game'!D37,'Pay Table'!$M$3:$O$18,3,FALSE),"")</f>
        <v>4</v>
      </c>
      <c r="AE41">
        <f>IFERROR(VLOOKUP('Free Game'!F37,'Pay Table'!$M$3:$O$18,3,FALSE),"")</f>
        <v>3</v>
      </c>
      <c r="AF41">
        <f t="array" ref="AF41">IFERROR(VLOOKUP('Free Game'!H37,'Pay Table'!$M$3:$O$18,3,FALSE),"")</f>
        <v>2</v>
      </c>
      <c r="AG41">
        <f t="array" ref="AG41">IFERROR(VLOOKUP('Free Game'!J37,'Pay Table'!$M$3:$O$18,3,FALSE),"")</f>
        <v>1</v>
      </c>
      <c r="AI41">
        <f>IF('Free Game'!C37=0,"",'Free Game'!C37)</f>
        <v>100</v>
      </c>
      <c r="AJ41">
        <f>IF('Free Game'!E37=0,"",'Free Game'!E37)</f>
        <v>100</v>
      </c>
      <c r="AK41">
        <f>IF('Free Game'!G37=0,"",'Free Game'!G37)</f>
        <v>10</v>
      </c>
      <c r="AL41">
        <f>IF('Free Game'!I37=0,"",'Free Game'!I37)</f>
        <v>100</v>
      </c>
      <c r="AM41">
        <f>IF('Free Game'!K37=0,"",'Free Game'!K37)</f>
        <v>100</v>
      </c>
    </row>
    <row r="42" spans="1:39" ht="15" x14ac:dyDescent="0.15">
      <c r="A42" s="103"/>
      <c r="B42" s="10"/>
      <c r="C42" s="103"/>
      <c r="D42" s="10"/>
      <c r="E42" s="103"/>
      <c r="F42" s="10"/>
      <c r="G42" s="103"/>
      <c r="H42" s="10"/>
      <c r="I42" s="103"/>
      <c r="K42">
        <f>IFERROR(VLOOKUP('Base Game '!B39,'Pay Table'!$M$3:$O$18,3,FALSE),"")</f>
        <v>3</v>
      </c>
      <c r="L42">
        <f>IFERROR(VLOOKUP('Base Game '!D39,'Pay Table'!$M$3:$O$18,3,FALSE),"")</f>
        <v>7</v>
      </c>
      <c r="M42">
        <f t="array" ref="M42">IFERROR(VLOOKUP('Base Game '!F39,'Pay Table'!$M$3:$O$18,3,FALSE),"")</f>
        <v>8</v>
      </c>
      <c r="N42">
        <f t="array" ref="N42">IFERROR(VLOOKUP('Base Game '!H39,'Pay Table'!$M$3:$O$18,3,FALSE),"")</f>
        <v>1</v>
      </c>
      <c r="O42">
        <f t="array" ref="O42">IFERROR(VLOOKUP('Base Game '!J39,'Pay Table'!$M$3:$O$18,3,FALSE),"")</f>
        <v>1</v>
      </c>
      <c r="Q42">
        <f t="array" ref="Q42">IF('Base Game '!C39=0,"",'Base Game '!C39)</f>
        <v>100</v>
      </c>
      <c r="R42">
        <f>IF('Base Game '!E39=0,"",'Base Game '!E39)</f>
        <v>100</v>
      </c>
      <c r="S42">
        <f>IF('Base Game '!G39=0,"",'Base Game '!G39)</f>
        <v>100</v>
      </c>
      <c r="T42">
        <f>IF('Base Game '!I39=0,"",'Base Game '!I39)</f>
        <v>100</v>
      </c>
      <c r="U42">
        <f>IF('Base Game '!K39=0,"",'Base Game '!K39)</f>
        <v>100</v>
      </c>
      <c r="W42" t="e">
        <f>VLOOKUP(#REF!,'Pay Table'!$M$3:$O$18,3,FALSE)</f>
        <v>#REF!</v>
      </c>
      <c r="X42" t="e">
        <f>VLOOKUP(#REF!,'Pay Table'!$M$3:$O$18,3,FALSE)</f>
        <v>#REF!</v>
      </c>
      <c r="Y42" t="e">
        <f>VLOOKUP(#REF!,'Pay Table'!$M$3:$O$18,3,FALSE)</f>
        <v>#REF!</v>
      </c>
      <c r="Z42" t="e">
        <f>VLOOKUP(#REF!,'Pay Table'!$M$3:$O$18,3,FALSE)</f>
        <v>#REF!</v>
      </c>
      <c r="AA42" t="e">
        <f>VLOOKUP(#REF!,'Pay Table'!$M$3:$O$18,3,FALSE)</f>
        <v>#REF!</v>
      </c>
      <c r="AC42">
        <f t="array" ref="AC42">IFERROR(VLOOKUP('Free Game'!B38,'Pay Table'!$M$3:$O$18,3,FALSE),"")</f>
        <v>3</v>
      </c>
      <c r="AD42">
        <f>IFERROR(VLOOKUP('Free Game'!D38,'Pay Table'!$M$3:$O$18,3,FALSE),"")</f>
        <v>7</v>
      </c>
      <c r="AE42">
        <f>IFERROR(VLOOKUP('Free Game'!F38,'Pay Table'!$M$3:$O$18,3,FALSE),"")</f>
        <v>8</v>
      </c>
      <c r="AF42">
        <f t="array" ref="AF42">IFERROR(VLOOKUP('Free Game'!H38,'Pay Table'!$M$3:$O$18,3,FALSE),"")</f>
        <v>2</v>
      </c>
      <c r="AG42">
        <f t="array" ref="AG42">IFERROR(VLOOKUP('Free Game'!J38,'Pay Table'!$M$3:$O$18,3,FALSE),"")</f>
        <v>1</v>
      </c>
      <c r="AI42">
        <f>IF('Free Game'!C38=0,"",'Free Game'!C38)</f>
        <v>100</v>
      </c>
      <c r="AJ42">
        <f>IF('Free Game'!E38=0,"",'Free Game'!E38)</f>
        <v>100</v>
      </c>
      <c r="AK42">
        <f>IF('Free Game'!G38=0,"",'Free Game'!G38)</f>
        <v>25</v>
      </c>
      <c r="AL42">
        <f>IF('Free Game'!I38=0,"",'Free Game'!I38)</f>
        <v>100</v>
      </c>
      <c r="AM42">
        <f>IF('Free Game'!K38=0,"",'Free Game'!K38)</f>
        <v>100</v>
      </c>
    </row>
    <row r="43" spans="1:39" ht="15" x14ac:dyDescent="0.15">
      <c r="A43" s="103"/>
      <c r="B43" s="10"/>
      <c r="C43" s="103"/>
      <c r="D43" s="10"/>
      <c r="E43" s="103"/>
      <c r="F43" s="10"/>
      <c r="G43" s="103"/>
      <c r="H43" s="10"/>
      <c r="I43" s="103"/>
      <c r="K43">
        <f>IFERROR(VLOOKUP('Base Game '!B40,'Pay Table'!$M$3:$O$18,3,FALSE),"")</f>
        <v>8</v>
      </c>
      <c r="L43" t="str">
        <f>IFERROR(VLOOKUP('Base Game '!D40,'Pay Table'!$M$3:$O$18,3,FALSE),"")</f>
        <v>"v"</v>
      </c>
      <c r="M43" t="str">
        <f t="array" ref="M43">IFERROR(VLOOKUP('Base Game '!F40,'Pay Table'!$M$3:$O$18,3,FALSE),"")</f>
        <v>"v"</v>
      </c>
      <c r="N43">
        <f t="array" ref="N43">IFERROR(VLOOKUP('Base Game '!H40,'Pay Table'!$M$3:$O$18,3,FALSE),"")</f>
        <v>1</v>
      </c>
      <c r="O43">
        <f t="array" ref="O43">IFERROR(VLOOKUP('Base Game '!J40,'Pay Table'!$M$3:$O$18,3,FALSE),"")</f>
        <v>1</v>
      </c>
      <c r="Q43">
        <f t="array" ref="Q43">IF('Base Game '!C40=0,"",'Base Game '!C40)</f>
        <v>100</v>
      </c>
      <c r="R43">
        <f>IF('Base Game '!E40=0,"",'Base Game '!E40)</f>
        <v>15</v>
      </c>
      <c r="S43">
        <f>IF('Base Game '!G40=0,"",'Base Game '!G40)</f>
        <v>100</v>
      </c>
      <c r="T43">
        <f>IF('Base Game '!I40=0,"",'Base Game '!I40)</f>
        <v>100</v>
      </c>
      <c r="U43">
        <f>IF('Base Game '!K40=0,"",'Base Game '!K40)</f>
        <v>100</v>
      </c>
      <c r="W43" t="e">
        <f>VLOOKUP(#REF!,'Pay Table'!$M$3:$O$18,3,FALSE)</f>
        <v>#REF!</v>
      </c>
      <c r="X43" t="e">
        <f>VLOOKUP(#REF!,'Pay Table'!$M$3:$O$18,3,FALSE)</f>
        <v>#REF!</v>
      </c>
      <c r="Y43" t="e">
        <f>VLOOKUP(#REF!,'Pay Table'!$M$3:$O$18,3,FALSE)</f>
        <v>#REF!</v>
      </c>
      <c r="Z43" t="e">
        <f>VLOOKUP(#REF!,'Pay Table'!$M$3:$O$18,3,FALSE)</f>
        <v>#REF!</v>
      </c>
      <c r="AA43" t="e">
        <f>VLOOKUP(#REF!,'Pay Table'!$M$3:$O$18,3,FALSE)</f>
        <v>#REF!</v>
      </c>
      <c r="AC43">
        <f t="array" ref="AC43">IFERROR(VLOOKUP('Free Game'!B39,'Pay Table'!$M$3:$O$18,3,FALSE),"")</f>
        <v>6</v>
      </c>
      <c r="AD43" t="str">
        <f>IFERROR(VLOOKUP('Free Game'!D39,'Pay Table'!$M$3:$O$18,3,FALSE),"")</f>
        <v>"v"</v>
      </c>
      <c r="AE43" t="str">
        <f>IFERROR(VLOOKUP('Free Game'!F39,'Pay Table'!$M$3:$O$18,3,FALSE),"")</f>
        <v>"v"</v>
      </c>
      <c r="AF43">
        <f t="array" ref="AF43">IFERROR(VLOOKUP('Free Game'!H39,'Pay Table'!$M$3:$O$18,3,FALSE),"")</f>
        <v>2</v>
      </c>
      <c r="AG43">
        <f t="array" ref="AG43">IFERROR(VLOOKUP('Free Game'!J39,'Pay Table'!$M$3:$O$18,3,FALSE),"")</f>
        <v>1</v>
      </c>
      <c r="AI43">
        <f>IF('Free Game'!C39=0,"",'Free Game'!C39)</f>
        <v>100</v>
      </c>
      <c r="AJ43">
        <f>IF('Free Game'!E39=0,"",'Free Game'!E39)</f>
        <v>5</v>
      </c>
      <c r="AK43">
        <f>IF('Free Game'!G39=0,"",'Free Game'!G39)</f>
        <v>25</v>
      </c>
      <c r="AL43">
        <f>IF('Free Game'!I39=0,"",'Free Game'!I39)</f>
        <v>100</v>
      </c>
      <c r="AM43">
        <f>IF('Free Game'!K39=0,"",'Free Game'!K39)</f>
        <v>100</v>
      </c>
    </row>
    <row r="44" spans="1:39" ht="15" x14ac:dyDescent="0.15">
      <c r="A44" s="103"/>
      <c r="B44" s="10"/>
      <c r="C44" s="103"/>
      <c r="D44" s="10"/>
      <c r="E44" s="103"/>
      <c r="F44" s="10"/>
      <c r="G44" s="103"/>
      <c r="H44" s="10"/>
      <c r="I44" s="103"/>
      <c r="K44">
        <f>IFERROR(VLOOKUP('Base Game '!B41,'Pay Table'!$M$3:$O$18,3,FALSE),"")</f>
        <v>2</v>
      </c>
      <c r="L44" t="str">
        <f>IFERROR(VLOOKUP('Base Game '!D41,'Pay Table'!$M$3:$O$18,3,FALSE),"")</f>
        <v>"v"</v>
      </c>
      <c r="M44">
        <f t="array" ref="M44">IFERROR(VLOOKUP('Base Game '!F41,'Pay Table'!$M$3:$O$18,3,FALSE),"")</f>
        <v>7</v>
      </c>
      <c r="N44">
        <f t="array" ref="N44">IFERROR(VLOOKUP('Base Game '!H41,'Pay Table'!$M$3:$O$18,3,FALSE),"")</f>
        <v>1</v>
      </c>
      <c r="O44">
        <f t="array" ref="O44">IFERROR(VLOOKUP('Base Game '!J41,'Pay Table'!$M$3:$O$18,3,FALSE),"")</f>
        <v>1</v>
      </c>
      <c r="Q44">
        <f t="array" ref="Q44">IF('Base Game '!C41=0,"",'Base Game '!C41)</f>
        <v>100</v>
      </c>
      <c r="R44">
        <f>IF('Base Game '!E41=0,"",'Base Game '!E41)</f>
        <v>25</v>
      </c>
      <c r="S44">
        <f>IF('Base Game '!G41=0,"",'Base Game '!G41)</f>
        <v>100</v>
      </c>
      <c r="T44">
        <f>IF('Base Game '!I41=0,"",'Base Game '!I41)</f>
        <v>100</v>
      </c>
      <c r="U44">
        <f>IF('Base Game '!K41=0,"",'Base Game '!K41)</f>
        <v>100</v>
      </c>
      <c r="W44" t="e">
        <f>VLOOKUP(#REF!,'Pay Table'!$M$3:$O$18,3,FALSE)</f>
        <v>#REF!</v>
      </c>
      <c r="X44" t="e">
        <f>VLOOKUP(#REF!,'Pay Table'!$M$3:$O$18,3,FALSE)</f>
        <v>#REF!</v>
      </c>
      <c r="Y44" t="e">
        <f>VLOOKUP(#REF!,'Pay Table'!$M$3:$O$18,3,FALSE)</f>
        <v>#REF!</v>
      </c>
      <c r="Z44" t="e">
        <f>VLOOKUP(#REF!,'Pay Table'!$M$3:$O$18,3,FALSE)</f>
        <v>#REF!</v>
      </c>
      <c r="AA44" t="e">
        <f>VLOOKUP(#REF!,'Pay Table'!$M$3:$O$18,3,FALSE)</f>
        <v>#REF!</v>
      </c>
      <c r="AC44">
        <f t="array" ref="AC44">IFERROR(VLOOKUP('Free Game'!B40,'Pay Table'!$M$3:$O$18,3,FALSE),"")</f>
        <v>2</v>
      </c>
      <c r="AD44" t="str">
        <f>IFERROR(VLOOKUP('Free Game'!D40,'Pay Table'!$M$3:$O$18,3,FALSE),"")</f>
        <v>"v"</v>
      </c>
      <c r="AE44">
        <f>IFERROR(VLOOKUP('Free Game'!F40,'Pay Table'!$M$3:$O$18,3,FALSE),"")</f>
        <v>7</v>
      </c>
      <c r="AF44">
        <f t="array" ref="AF44">IFERROR(VLOOKUP('Free Game'!H40,'Pay Table'!$M$3:$O$18,3,FALSE),"")</f>
        <v>4</v>
      </c>
      <c r="AG44">
        <f t="array" ref="AG44">IFERROR(VLOOKUP('Free Game'!J40,'Pay Table'!$M$3:$O$18,3,FALSE),"")</f>
        <v>7</v>
      </c>
      <c r="AI44">
        <f>IF('Free Game'!C40=0,"",'Free Game'!C40)</f>
        <v>100</v>
      </c>
      <c r="AJ44">
        <f>IF('Free Game'!E40=0,"",'Free Game'!E40)</f>
        <v>10</v>
      </c>
      <c r="AK44">
        <f>IF('Free Game'!G40=0,"",'Free Game'!G40)</f>
        <v>100</v>
      </c>
      <c r="AL44">
        <f>IF('Free Game'!I40=0,"",'Free Game'!I40)</f>
        <v>100</v>
      </c>
      <c r="AM44">
        <f>IF('Free Game'!K40=0,"",'Free Game'!K40)</f>
        <v>100</v>
      </c>
    </row>
    <row r="45" spans="1:39" ht="15" x14ac:dyDescent="0.15">
      <c r="A45" s="103"/>
      <c r="B45" s="10"/>
      <c r="C45" s="103"/>
      <c r="D45" s="10"/>
      <c r="E45" s="103"/>
      <c r="F45" s="10"/>
      <c r="G45" s="103"/>
      <c r="H45" s="10"/>
      <c r="I45" s="103"/>
      <c r="K45">
        <f>IFERROR(VLOOKUP('Base Game '!B42,'Pay Table'!$M$3:$O$18,3,FALSE),"")</f>
        <v>2</v>
      </c>
      <c r="L45" t="str">
        <f>IFERROR(VLOOKUP('Base Game '!D42,'Pay Table'!$M$3:$O$18,3,FALSE),"")</f>
        <v>"v"</v>
      </c>
      <c r="M45">
        <f t="array" ref="M45">IFERROR(VLOOKUP('Base Game '!F42,'Pay Table'!$M$3:$O$18,3,FALSE),"")</f>
        <v>4</v>
      </c>
      <c r="N45">
        <f t="array" ref="N45">IFERROR(VLOOKUP('Base Game '!H42,'Pay Table'!$M$3:$O$18,3,FALSE),"")</f>
        <v>9</v>
      </c>
      <c r="O45">
        <f t="array" ref="O45">IFERROR(VLOOKUP('Base Game '!J42,'Pay Table'!$M$3:$O$18,3,FALSE),"")</f>
        <v>5</v>
      </c>
      <c r="Q45">
        <f t="array" ref="Q45">IF('Base Game '!C42=0,"",'Base Game '!C42)</f>
        <v>100</v>
      </c>
      <c r="R45">
        <f>IF('Base Game '!E42=0,"",'Base Game '!E42)</f>
        <v>50</v>
      </c>
      <c r="S45">
        <f>IF('Base Game '!G42=0,"",'Base Game '!G42)</f>
        <v>100</v>
      </c>
      <c r="T45">
        <f>IF('Base Game '!I42=0,"",'Base Game '!I42)</f>
        <v>100</v>
      </c>
      <c r="U45">
        <f>IF('Base Game '!K42=0,"",'Base Game '!K42)</f>
        <v>100</v>
      </c>
      <c r="W45" t="e">
        <f>VLOOKUP(#REF!,'Pay Table'!$M$3:$O$18,3,FALSE)</f>
        <v>#REF!</v>
      </c>
      <c r="X45" t="e">
        <f>VLOOKUP(#REF!,'Pay Table'!$M$3:$O$18,3,FALSE)</f>
        <v>#REF!</v>
      </c>
      <c r="Y45" t="e">
        <f>VLOOKUP(#REF!,'Pay Table'!$M$3:$O$18,3,FALSE)</f>
        <v>#REF!</v>
      </c>
      <c r="Z45" t="e">
        <f>VLOOKUP(#REF!,'Pay Table'!$M$3:$O$18,3,FALSE)</f>
        <v>#REF!</v>
      </c>
      <c r="AA45" t="e">
        <f>VLOOKUP(#REF!,'Pay Table'!$M$3:$O$18,3,FALSE)</f>
        <v>#REF!</v>
      </c>
      <c r="AC45">
        <f t="array" ref="AC45">IFERROR(VLOOKUP('Free Game'!B41,'Pay Table'!$M$3:$O$18,3,FALSE),"")</f>
        <v>2</v>
      </c>
      <c r="AD45" t="str">
        <f>IFERROR(VLOOKUP('Free Game'!D41,'Pay Table'!$M$3:$O$18,3,FALSE),"")</f>
        <v>"v"</v>
      </c>
      <c r="AE45" t="str">
        <f>IFERROR(VLOOKUP('Free Game'!F41,'Pay Table'!$M$3:$O$18,3,FALSE),"")</f>
        <v>"w"</v>
      </c>
      <c r="AF45">
        <f t="array" ref="AF45">IFERROR(VLOOKUP('Free Game'!H41,'Pay Table'!$M$3:$O$18,3,FALSE),"")</f>
        <v>4</v>
      </c>
      <c r="AG45">
        <f t="array" ref="AG45">IFERROR(VLOOKUP('Free Game'!J41,'Pay Table'!$M$3:$O$18,3,FALSE),"")</f>
        <v>5</v>
      </c>
      <c r="AI45">
        <f>IF('Free Game'!C41=0,"",'Free Game'!C41)</f>
        <v>100</v>
      </c>
      <c r="AJ45">
        <f>IF('Free Game'!E41=0,"",'Free Game'!E41)</f>
        <v>25</v>
      </c>
      <c r="AK45">
        <f>IF('Free Game'!G41=0,"",'Free Game'!G41)</f>
        <v>100</v>
      </c>
      <c r="AL45">
        <f>IF('Free Game'!I41=0,"",'Free Game'!I41)</f>
        <v>100</v>
      </c>
      <c r="AM45">
        <f>IF('Free Game'!K41=0,"",'Free Game'!K41)</f>
        <v>100</v>
      </c>
    </row>
    <row r="46" spans="1:39" ht="15" x14ac:dyDescent="0.15">
      <c r="A46" s="103"/>
      <c r="B46" s="10"/>
      <c r="C46" s="103"/>
      <c r="D46" s="10"/>
      <c r="E46" s="103"/>
      <c r="F46" s="10"/>
      <c r="G46" s="103"/>
      <c r="H46" s="10"/>
      <c r="I46" s="103"/>
      <c r="K46">
        <f>IFERROR(VLOOKUP('Base Game '!B43,'Pay Table'!$M$3:$O$18,3,FALSE),"")</f>
        <v>2</v>
      </c>
      <c r="L46">
        <f>IFERROR(VLOOKUP('Base Game '!D43,'Pay Table'!$M$3:$O$18,3,FALSE),"")</f>
        <v>4</v>
      </c>
      <c r="M46" t="str">
        <f t="array" ref="M46">IFERROR(VLOOKUP('Base Game '!F43,'Pay Table'!$M$3:$O$18,3,FALSE),"")</f>
        <v>"w"</v>
      </c>
      <c r="N46" t="str">
        <f t="array" ref="N46">IFERROR(VLOOKUP('Base Game '!H43,'Pay Table'!$M$3:$O$18,3,FALSE),"")</f>
        <v>"v"</v>
      </c>
      <c r="O46">
        <f t="array" ref="O46">IFERROR(VLOOKUP('Base Game '!J43,'Pay Table'!$M$3:$O$18,3,FALSE),"")</f>
        <v>2</v>
      </c>
      <c r="Q46">
        <f t="array" ref="Q46">IF('Base Game '!C43=0,"",'Base Game '!C43)</f>
        <v>100</v>
      </c>
      <c r="R46">
        <f>IF('Base Game '!E43=0,"",'Base Game '!E43)</f>
        <v>100</v>
      </c>
      <c r="S46">
        <f>IF('Base Game '!G43=0,"",'Base Game '!G43)</f>
        <v>100</v>
      </c>
      <c r="T46">
        <f>IF('Base Game '!I43=0,"",'Base Game '!I43)</f>
        <v>50</v>
      </c>
      <c r="U46">
        <f>IF('Base Game '!K43=0,"",'Base Game '!K43)</f>
        <v>100</v>
      </c>
      <c r="W46" t="e">
        <f>VLOOKUP(#REF!,'Pay Table'!$M$3:$O$18,3,FALSE)</f>
        <v>#REF!</v>
      </c>
      <c r="X46" t="e">
        <f>VLOOKUP(#REF!,'Pay Table'!$M$3:$O$18,3,FALSE)</f>
        <v>#REF!</v>
      </c>
      <c r="Y46" t="e">
        <f>VLOOKUP(#REF!,'Pay Table'!$M$3:$O$18,3,FALSE)</f>
        <v>#REF!</v>
      </c>
      <c r="Z46" t="e">
        <f>VLOOKUP(#REF!,'Pay Table'!$M$3:$O$18,3,FALSE)</f>
        <v>#REF!</v>
      </c>
      <c r="AA46" t="e">
        <f>VLOOKUP(#REF!,'Pay Table'!$M$3:$O$18,3,FALSE)</f>
        <v>#REF!</v>
      </c>
      <c r="AC46">
        <f t="array" ref="AC46">IFERROR(VLOOKUP('Free Game'!B42,'Pay Table'!$M$3:$O$18,3,FALSE),"")</f>
        <v>2</v>
      </c>
      <c r="AD46">
        <f>IFERROR(VLOOKUP('Free Game'!D42,'Pay Table'!$M$3:$O$18,3,FALSE),"")</f>
        <v>9</v>
      </c>
      <c r="AE46">
        <f>IFERROR(VLOOKUP('Free Game'!F42,'Pay Table'!$M$3:$O$18,3,FALSE),"")</f>
        <v>9</v>
      </c>
      <c r="AF46">
        <f t="array" ref="AF46">IFERROR(VLOOKUP('Free Game'!H42,'Pay Table'!$M$3:$O$18,3,FALSE),"")</f>
        <v>3</v>
      </c>
      <c r="AG46">
        <f t="array" ref="AG46">IFERROR(VLOOKUP('Free Game'!J42,'Pay Table'!$M$3:$O$18,3,FALSE),"")</f>
        <v>2</v>
      </c>
      <c r="AI46">
        <f>IF('Free Game'!C42=0,"",'Free Game'!C42)</f>
        <v>100</v>
      </c>
      <c r="AJ46">
        <f>IF('Free Game'!E42=0,"",'Free Game'!E42)</f>
        <v>100</v>
      </c>
      <c r="AK46">
        <f>IF('Free Game'!G42=0,"",'Free Game'!G42)</f>
        <v>100</v>
      </c>
      <c r="AL46">
        <f>IF('Free Game'!I42=0,"",'Free Game'!I42)</f>
        <v>25</v>
      </c>
      <c r="AM46">
        <f>IF('Free Game'!K42=0,"",'Free Game'!K42)</f>
        <v>100</v>
      </c>
    </row>
    <row r="47" spans="1:39" ht="15" x14ac:dyDescent="0.15">
      <c r="A47" s="103"/>
      <c r="B47" s="10"/>
      <c r="C47" s="103"/>
      <c r="D47" s="10"/>
      <c r="E47" s="103"/>
      <c r="F47" s="10"/>
      <c r="G47" s="103"/>
      <c r="H47" s="10"/>
      <c r="I47" s="103"/>
      <c r="K47">
        <f>IFERROR(VLOOKUP('Base Game '!B44,'Pay Table'!$M$3:$O$18,3,FALSE),"")</f>
        <v>6</v>
      </c>
      <c r="L47">
        <f>IFERROR(VLOOKUP('Base Game '!D44,'Pay Table'!$M$3:$O$18,3,FALSE),"")</f>
        <v>4</v>
      </c>
      <c r="M47">
        <f t="array" ref="M47">IFERROR(VLOOKUP('Base Game '!F44,'Pay Table'!$M$3:$O$18,3,FALSE),"")</f>
        <v>7</v>
      </c>
      <c r="N47">
        <f t="array" ref="N47">IFERROR(VLOOKUP('Base Game '!H44,'Pay Table'!$M$3:$O$18,3,FALSE),"")</f>
        <v>7</v>
      </c>
      <c r="O47">
        <f t="array" ref="O47">IFERROR(VLOOKUP('Base Game '!J44,'Pay Table'!$M$3:$O$18,3,FALSE),"")</f>
        <v>9</v>
      </c>
      <c r="Q47">
        <f t="array" ref="Q47">IF('Base Game '!C44=0,"",'Base Game '!C44)</f>
        <v>100</v>
      </c>
      <c r="R47">
        <f>IF('Base Game '!E44=0,"",'Base Game '!E44)</f>
        <v>100</v>
      </c>
      <c r="S47">
        <f>IF('Base Game '!G44=0,"",'Base Game '!G44)</f>
        <v>100</v>
      </c>
      <c r="T47">
        <f>IF('Base Game '!I44=0,"",'Base Game '!I44)</f>
        <v>100</v>
      </c>
      <c r="U47">
        <f>IF('Base Game '!K44=0,"",'Base Game '!K44)</f>
        <v>100</v>
      </c>
      <c r="W47" t="e">
        <f>VLOOKUP(#REF!,'Pay Table'!$M$3:$O$18,3,FALSE)</f>
        <v>#REF!</v>
      </c>
      <c r="X47" t="e">
        <f>VLOOKUP(#REF!,'Pay Table'!$M$3:$O$18,3,FALSE)</f>
        <v>#REF!</v>
      </c>
      <c r="Y47" t="e">
        <f>VLOOKUP(#REF!,'Pay Table'!$M$3:$O$18,3,FALSE)</f>
        <v>#REF!</v>
      </c>
      <c r="Z47" t="e">
        <f>VLOOKUP(#REF!,'Pay Table'!$M$3:$O$18,3,FALSE)</f>
        <v>#REF!</v>
      </c>
      <c r="AA47" t="e">
        <f>VLOOKUP(#REF!,'Pay Table'!$M$3:$O$18,3,FALSE)</f>
        <v>#REF!</v>
      </c>
      <c r="AC47">
        <f t="array" ref="AC47">IFERROR(VLOOKUP('Free Game'!B43,'Pay Table'!$M$3:$O$18,3,FALSE),"")</f>
        <v>6</v>
      </c>
      <c r="AD47">
        <f>IFERROR(VLOOKUP('Free Game'!D43,'Pay Table'!$M$3:$O$18,3,FALSE),"")</f>
        <v>7</v>
      </c>
      <c r="AE47">
        <f>IFERROR(VLOOKUP('Free Game'!F43,'Pay Table'!$M$3:$O$18,3,FALSE),"")</f>
        <v>7</v>
      </c>
      <c r="AF47">
        <f t="array" ref="AF47">IFERROR(VLOOKUP('Free Game'!H43,'Pay Table'!$M$3:$O$18,3,FALSE),"")</f>
        <v>7</v>
      </c>
      <c r="AG47">
        <f t="array" ref="AG47">IFERROR(VLOOKUP('Free Game'!J43,'Pay Table'!$M$3:$O$18,3,FALSE),"")</f>
        <v>2</v>
      </c>
      <c r="AI47">
        <f>IF('Free Game'!C43=0,"",'Free Game'!C43)</f>
        <v>100</v>
      </c>
      <c r="AJ47">
        <f>IF('Free Game'!E43=0,"",'Free Game'!E43)</f>
        <v>100</v>
      </c>
      <c r="AK47">
        <f>IF('Free Game'!G43=0,"",'Free Game'!G43)</f>
        <v>100</v>
      </c>
      <c r="AL47">
        <f>IF('Free Game'!I43=0,"",'Free Game'!I43)</f>
        <v>25</v>
      </c>
      <c r="AM47">
        <f>IF('Free Game'!K43=0,"",'Free Game'!K43)</f>
        <v>100</v>
      </c>
    </row>
    <row r="48" spans="1:39" ht="15" x14ac:dyDescent="0.15">
      <c r="A48" s="103"/>
      <c r="B48" s="10"/>
      <c r="C48" s="103"/>
      <c r="D48" s="10"/>
      <c r="E48" s="103"/>
      <c r="F48" s="10"/>
      <c r="G48" s="103"/>
      <c r="H48" s="10"/>
      <c r="I48" s="103"/>
      <c r="K48">
        <f>IFERROR(VLOOKUP('Base Game '!B45,'Pay Table'!$M$3:$O$18,3,FALSE),"")</f>
        <v>7</v>
      </c>
      <c r="L48">
        <f>IFERROR(VLOOKUP('Base Game '!D45,'Pay Table'!$M$3:$O$18,3,FALSE),"")</f>
        <v>8</v>
      </c>
      <c r="M48">
        <f t="array" ref="M48">IFERROR(VLOOKUP('Base Game '!F45,'Pay Table'!$M$3:$O$18,3,FALSE),"")</f>
        <v>2</v>
      </c>
      <c r="N48" t="str">
        <f t="array" ref="N48">IFERROR(VLOOKUP('Base Game '!H45,'Pay Table'!$M$3:$O$18,3,FALSE),"")</f>
        <v>"v"</v>
      </c>
      <c r="O48">
        <f t="array" ref="O48">IFERROR(VLOOKUP('Base Game '!J45,'Pay Table'!$M$3:$O$18,3,FALSE),"")</f>
        <v>3</v>
      </c>
      <c r="Q48">
        <f t="array" ref="Q48">IF('Base Game '!C45=0,"",'Base Game '!C45)</f>
        <v>100</v>
      </c>
      <c r="R48">
        <f>IF('Base Game '!E45=0,"",'Base Game '!E45)</f>
        <v>150</v>
      </c>
      <c r="S48">
        <f>IF('Base Game '!G45=0,"",'Base Game '!G45)</f>
        <v>100</v>
      </c>
      <c r="T48">
        <f>IF('Base Game '!I45=0,"",'Base Game '!I45)</f>
        <v>100</v>
      </c>
      <c r="U48">
        <f>IF('Base Game '!K45=0,"",'Base Game '!K45)</f>
        <v>100</v>
      </c>
      <c r="W48" t="e">
        <f>VLOOKUP(#REF!,'Pay Table'!$M$3:$O$18,3,FALSE)</f>
        <v>#REF!</v>
      </c>
      <c r="X48" t="e">
        <f>VLOOKUP(#REF!,'Pay Table'!$M$3:$O$18,3,FALSE)</f>
        <v>#REF!</v>
      </c>
      <c r="Y48" t="e">
        <f>VLOOKUP(#REF!,'Pay Table'!$M$3:$O$18,3,FALSE)</f>
        <v>#REF!</v>
      </c>
      <c r="Z48" t="e">
        <f>VLOOKUP(#REF!,'Pay Table'!$M$3:$O$18,3,FALSE)</f>
        <v>#REF!</v>
      </c>
      <c r="AA48" t="e">
        <f>VLOOKUP(#REF!,'Pay Table'!$M$3:$O$18,3,FALSE)</f>
        <v>#REF!</v>
      </c>
      <c r="AC48">
        <f t="array" ref="AC48">IFERROR(VLOOKUP('Free Game'!B44,'Pay Table'!$M$3:$O$18,3,FALSE),"")</f>
        <v>5</v>
      </c>
      <c r="AD48">
        <f>IFERROR(VLOOKUP('Free Game'!D44,'Pay Table'!$M$3:$O$18,3,FALSE),"")</f>
        <v>3</v>
      </c>
      <c r="AE48">
        <f>IFERROR(VLOOKUP('Free Game'!F44,'Pay Table'!$M$3:$O$18,3,FALSE),"")</f>
        <v>1</v>
      </c>
      <c r="AF48" t="str">
        <f t="array" ref="AF48">IFERROR(VLOOKUP('Free Game'!H44,'Pay Table'!$M$3:$O$18,3,FALSE),"")</f>
        <v>"v"</v>
      </c>
      <c r="AG48">
        <f t="array" ref="AG48">IFERROR(VLOOKUP('Free Game'!J44,'Pay Table'!$M$3:$O$18,3,FALSE),"")</f>
        <v>2</v>
      </c>
      <c r="AI48">
        <f>IF('Free Game'!C44=0,"",'Free Game'!C44)</f>
        <v>100</v>
      </c>
      <c r="AJ48">
        <f>IF('Free Game'!E44=0,"",'Free Game'!E44)</f>
        <v>100</v>
      </c>
      <c r="AK48">
        <f>IF('Free Game'!G44=0,"",'Free Game'!G44)</f>
        <v>100</v>
      </c>
      <c r="AL48">
        <f>IF('Free Game'!I44=0,"",'Free Game'!I44)</f>
        <v>25</v>
      </c>
      <c r="AM48">
        <f>IF('Free Game'!K44=0,"",'Free Game'!K44)</f>
        <v>100</v>
      </c>
    </row>
    <row r="49" spans="1:39" ht="15" x14ac:dyDescent="0.15">
      <c r="A49" s="103"/>
      <c r="B49" s="10"/>
      <c r="C49" s="103"/>
      <c r="D49" s="10"/>
      <c r="E49" s="103"/>
      <c r="F49" s="10"/>
      <c r="G49" s="103"/>
      <c r="H49" s="10"/>
      <c r="I49" s="103"/>
      <c r="K49" t="str">
        <f>IFERROR(VLOOKUP('Base Game '!B46,'Pay Table'!$M$3:$O$18,3,FALSE),"")</f>
        <v>"v"</v>
      </c>
      <c r="L49" t="str">
        <f>IFERROR(VLOOKUP('Base Game '!D46,'Pay Table'!$M$3:$O$18,3,FALSE),"")</f>
        <v>"s"</v>
      </c>
      <c r="M49">
        <f t="array" ref="M49">IFERROR(VLOOKUP('Base Game '!F46,'Pay Table'!$M$3:$O$18,3,FALSE),"")</f>
        <v>2</v>
      </c>
      <c r="N49">
        <f t="array" ref="N49">IFERROR(VLOOKUP('Base Game '!H46,'Pay Table'!$M$3:$O$18,3,FALSE),"")</f>
        <v>7</v>
      </c>
      <c r="O49">
        <f t="array" ref="O49">IFERROR(VLOOKUP('Base Game '!J46,'Pay Table'!$M$3:$O$18,3,FALSE),"")</f>
        <v>7</v>
      </c>
      <c r="Q49">
        <f t="array" ref="Q49">IF('Base Game '!C46=0,"",'Base Game '!C46)</f>
        <v>50</v>
      </c>
      <c r="R49">
        <f>IF('Base Game '!E46=0,"",'Base Game '!E46)</f>
        <v>200</v>
      </c>
      <c r="S49">
        <f>IF('Base Game '!G46=0,"",'Base Game '!G46)</f>
        <v>100</v>
      </c>
      <c r="T49">
        <f>IF('Base Game '!I46=0,"",'Base Game '!I46)</f>
        <v>100</v>
      </c>
      <c r="U49">
        <f>IF('Base Game '!K46=0,"",'Base Game '!K46)</f>
        <v>100</v>
      </c>
      <c r="W49" t="e">
        <f>VLOOKUP(#REF!,'Pay Table'!$M$3:$O$18,3,FALSE)</f>
        <v>#REF!</v>
      </c>
      <c r="X49" t="e">
        <f>VLOOKUP(#REF!,'Pay Table'!$M$3:$O$18,3,FALSE)</f>
        <v>#REF!</v>
      </c>
      <c r="Y49" t="e">
        <f>VLOOKUP(#REF!,'Pay Table'!$M$3:$O$18,3,FALSE)</f>
        <v>#REF!</v>
      </c>
      <c r="Z49" t="e">
        <f>VLOOKUP(#REF!,'Pay Table'!$M$3:$O$18,3,FALSE)</f>
        <v>#REF!</v>
      </c>
      <c r="AA49" t="e">
        <f>VLOOKUP(#REF!,'Pay Table'!$M$3:$O$18,3,FALSE)</f>
        <v>#REF!</v>
      </c>
      <c r="AC49">
        <f t="array" ref="AC49">IFERROR(VLOOKUP('Free Game'!B45,'Pay Table'!$M$3:$O$18,3,FALSE),"")</f>
        <v>3</v>
      </c>
      <c r="AD49">
        <f>IFERROR(VLOOKUP('Free Game'!D45,'Pay Table'!$M$3:$O$18,3,FALSE),"")</f>
        <v>1</v>
      </c>
      <c r="AE49">
        <f>IFERROR(VLOOKUP('Free Game'!F45,'Pay Table'!$M$3:$O$18,3,FALSE),"")</f>
        <v>1</v>
      </c>
      <c r="AF49">
        <f t="array" ref="AF49">IFERROR(VLOOKUP('Free Game'!H45,'Pay Table'!$M$3:$O$18,3,FALSE),"")</f>
        <v>7</v>
      </c>
      <c r="AG49">
        <f t="array" ref="AG49">IFERROR(VLOOKUP('Free Game'!J45,'Pay Table'!$M$3:$O$18,3,FALSE),"")</f>
        <v>6</v>
      </c>
      <c r="AI49">
        <f>IF('Free Game'!C45=0,"",'Free Game'!C45)</f>
        <v>25</v>
      </c>
      <c r="AJ49">
        <f>IF('Free Game'!E45=0,"",'Free Game'!E45)</f>
        <v>100</v>
      </c>
      <c r="AK49">
        <f>IF('Free Game'!G45=0,"",'Free Game'!G45)</f>
        <v>100</v>
      </c>
      <c r="AL49">
        <f>IF('Free Game'!I45=0,"",'Free Game'!I45)</f>
        <v>100</v>
      </c>
      <c r="AM49">
        <f>IF('Free Game'!K45=0,"",'Free Game'!K45)</f>
        <v>100</v>
      </c>
    </row>
    <row r="50" spans="1:39" ht="15" x14ac:dyDescent="0.15">
      <c r="A50" s="103"/>
      <c r="B50" s="10"/>
      <c r="C50" s="103"/>
      <c r="D50" s="10"/>
      <c r="E50" s="103"/>
      <c r="F50" s="10"/>
      <c r="G50" s="103"/>
      <c r="H50" s="10"/>
      <c r="I50" s="103"/>
      <c r="K50">
        <f>IFERROR(VLOOKUP('Base Game '!B47,'Pay Table'!$M$3:$O$18,3,FALSE),"")</f>
        <v>4</v>
      </c>
      <c r="L50">
        <f>IFERROR(VLOOKUP('Base Game '!D47,'Pay Table'!$M$3:$O$18,3,FALSE),"")</f>
        <v>8</v>
      </c>
      <c r="M50">
        <f t="array" ref="M50">IFERROR(VLOOKUP('Base Game '!F47,'Pay Table'!$M$3:$O$18,3,FALSE),"")</f>
        <v>2</v>
      </c>
      <c r="N50">
        <f t="array" ref="N50">IFERROR(VLOOKUP('Base Game '!H47,'Pay Table'!$M$3:$O$18,3,FALSE),"")</f>
        <v>4</v>
      </c>
      <c r="O50">
        <f t="array" ref="O50">IFERROR(VLOOKUP('Base Game '!J47,'Pay Table'!$M$3:$O$18,3,FALSE),"")</f>
        <v>6</v>
      </c>
      <c r="Q50">
        <f t="array" ref="Q50">IF('Base Game '!C47=0,"",'Base Game '!C47)</f>
        <v>100</v>
      </c>
      <c r="R50">
        <f>IF('Base Game '!E47=0,"",'Base Game '!E47)</f>
        <v>100</v>
      </c>
      <c r="S50">
        <f>IF('Base Game '!G47=0,"",'Base Game '!G47)</f>
        <v>100</v>
      </c>
      <c r="T50">
        <f>IF('Base Game '!I47=0,"",'Base Game '!I47)</f>
        <v>100</v>
      </c>
      <c r="U50">
        <f>IF('Base Game '!K47=0,"",'Base Game '!K47)</f>
        <v>100</v>
      </c>
      <c r="W50" t="e">
        <f>VLOOKUP(#REF!,'Pay Table'!$M$3:$O$18,3,FALSE)</f>
        <v>#REF!</v>
      </c>
      <c r="X50" t="e">
        <f>VLOOKUP(#REF!,'Pay Table'!$M$3:$O$18,3,FALSE)</f>
        <v>#REF!</v>
      </c>
      <c r="Y50" t="e">
        <f>VLOOKUP(#REF!,'Pay Table'!$M$3:$O$18,3,FALSE)</f>
        <v>#REF!</v>
      </c>
      <c r="Z50" t="e">
        <f>VLOOKUP(#REF!,'Pay Table'!$M$3:$O$18,3,FALSE)</f>
        <v>#REF!</v>
      </c>
      <c r="AA50" t="e">
        <f>VLOOKUP(#REF!,'Pay Table'!$M$3:$O$18,3,FALSE)</f>
        <v>#REF!</v>
      </c>
      <c r="AC50">
        <f t="array" ref="AC50">IFERROR(VLOOKUP('Free Game'!B46,'Pay Table'!$M$3:$O$18,3,FALSE),"")</f>
        <v>7</v>
      </c>
      <c r="AD50">
        <f>IFERROR(VLOOKUP('Free Game'!D46,'Pay Table'!$M$3:$O$18,3,FALSE),"")</f>
        <v>5</v>
      </c>
      <c r="AE50">
        <f>IFERROR(VLOOKUP('Free Game'!F46,'Pay Table'!$M$3:$O$18,3,FALSE),"")</f>
        <v>3</v>
      </c>
      <c r="AF50">
        <f t="array" ref="AF50">IFERROR(VLOOKUP('Free Game'!H46,'Pay Table'!$M$3:$O$18,3,FALSE),"")</f>
        <v>3</v>
      </c>
      <c r="AG50">
        <f t="array" ref="AG50">IFERROR(VLOOKUP('Free Game'!J46,'Pay Table'!$M$3:$O$18,3,FALSE),"")</f>
        <v>7</v>
      </c>
      <c r="AI50">
        <f>IF('Free Game'!C46=0,"",'Free Game'!C46)</f>
        <v>25</v>
      </c>
      <c r="AJ50">
        <f>IF('Free Game'!E46=0,"",'Free Game'!E46)</f>
        <v>100</v>
      </c>
      <c r="AK50">
        <f>IF('Free Game'!G46=0,"",'Free Game'!G46)</f>
        <v>100</v>
      </c>
      <c r="AL50">
        <f>IF('Free Game'!I46=0,"",'Free Game'!I46)</f>
        <v>100</v>
      </c>
      <c r="AM50">
        <f>IF('Free Game'!K46=0,"",'Free Game'!K46)</f>
        <v>100</v>
      </c>
    </row>
    <row r="51" spans="1:39" ht="15" x14ac:dyDescent="0.15">
      <c r="A51" s="103"/>
      <c r="B51" s="10"/>
      <c r="C51" s="103"/>
      <c r="D51" s="10"/>
      <c r="E51" s="103"/>
      <c r="F51" s="10"/>
      <c r="G51" s="103"/>
      <c r="H51" s="10"/>
      <c r="I51" s="103"/>
      <c r="K51" t="str">
        <f>IFERROR(VLOOKUP('Base Game '!B48,'Pay Table'!$M$3:$O$18,3,FALSE),"")</f>
        <v>"v"</v>
      </c>
      <c r="L51">
        <f>IFERROR(VLOOKUP('Base Game '!D48,'Pay Table'!$M$3:$O$18,3,FALSE),"")</f>
        <v>1</v>
      </c>
      <c r="M51">
        <f t="array" ref="M51">IFERROR(VLOOKUP('Base Game '!F48,'Pay Table'!$M$3:$O$18,3,FALSE),"")</f>
        <v>7</v>
      </c>
      <c r="N51">
        <f t="array" ref="N51">IFERROR(VLOOKUP('Base Game '!H48,'Pay Table'!$M$3:$O$18,3,FALSE),"")</f>
        <v>9</v>
      </c>
      <c r="O51">
        <f t="array" ref="O51">IFERROR(VLOOKUP('Base Game '!J48,'Pay Table'!$M$3:$O$18,3,FALSE),"")</f>
        <v>4</v>
      </c>
      <c r="Q51">
        <f t="array" ref="Q51">IF('Base Game '!C48=0,"",'Base Game '!C48)</f>
        <v>100</v>
      </c>
      <c r="R51">
        <f>IF('Base Game '!E48=0,"",'Base Game '!E48)</f>
        <v>100</v>
      </c>
      <c r="S51">
        <f>IF('Base Game '!G48=0,"",'Base Game '!G48)</f>
        <v>100</v>
      </c>
      <c r="T51">
        <f>IF('Base Game '!I48=0,"",'Base Game '!I48)</f>
        <v>210</v>
      </c>
      <c r="U51">
        <f>IF('Base Game '!K48=0,"",'Base Game '!K48)</f>
        <v>100</v>
      </c>
      <c r="W51" t="e">
        <f>VLOOKUP(#REF!,'Pay Table'!$M$3:$O$18,3,FALSE)</f>
        <v>#REF!</v>
      </c>
      <c r="X51" t="e">
        <f>VLOOKUP(#REF!,'Pay Table'!$M$3:$O$18,3,FALSE)</f>
        <v>#REF!</v>
      </c>
      <c r="Y51" t="e">
        <f>VLOOKUP(#REF!,'Pay Table'!$M$3:$O$18,3,FALSE)</f>
        <v>#REF!</v>
      </c>
      <c r="Z51" t="e">
        <f>VLOOKUP(#REF!,'Pay Table'!$M$3:$O$18,3,FALSE)</f>
        <v>#REF!</v>
      </c>
      <c r="AA51" t="e">
        <f>VLOOKUP(#REF!,'Pay Table'!$M$3:$O$18,3,FALSE)</f>
        <v>#REF!</v>
      </c>
      <c r="AC51" t="str">
        <f t="array" ref="AC51">IFERROR(VLOOKUP('Free Game'!B47,'Pay Table'!$M$3:$O$18,3,FALSE),"")</f>
        <v>"v"</v>
      </c>
      <c r="AD51">
        <f>IFERROR(VLOOKUP('Free Game'!D47,'Pay Table'!$M$3:$O$18,3,FALSE),"")</f>
        <v>9</v>
      </c>
      <c r="AE51">
        <f>IFERROR(VLOOKUP('Free Game'!F47,'Pay Table'!$M$3:$O$18,3,FALSE),"")</f>
        <v>3</v>
      </c>
      <c r="AF51">
        <f t="array" ref="AF51">IFERROR(VLOOKUP('Free Game'!H47,'Pay Table'!$M$3:$O$18,3,FALSE),"")</f>
        <v>3</v>
      </c>
      <c r="AG51">
        <f t="array" ref="AG51">IFERROR(VLOOKUP('Free Game'!J47,'Pay Table'!$M$3:$O$18,3,FALSE),"")</f>
        <v>3</v>
      </c>
      <c r="AI51">
        <f>IF('Free Game'!C47=0,"",'Free Game'!C47)</f>
        <v>25</v>
      </c>
      <c r="AJ51">
        <f>IF('Free Game'!E47=0,"",'Free Game'!E47)</f>
        <v>100</v>
      </c>
      <c r="AK51">
        <f>IF('Free Game'!G47=0,"",'Free Game'!G47)</f>
        <v>100</v>
      </c>
      <c r="AL51">
        <f>IF('Free Game'!I47=0,"",'Free Game'!I47)</f>
        <v>100</v>
      </c>
      <c r="AM51">
        <f>IF('Free Game'!K47=0,"",'Free Game'!K47)</f>
        <v>100</v>
      </c>
    </row>
    <row r="52" spans="1:39" ht="15" x14ac:dyDescent="0.15">
      <c r="A52" s="103"/>
      <c r="B52" s="10"/>
      <c r="C52" s="103"/>
      <c r="D52" s="10"/>
      <c r="E52" s="103"/>
      <c r="F52" s="10"/>
      <c r="G52" s="103"/>
      <c r="H52" s="10"/>
      <c r="I52" s="103"/>
      <c r="K52">
        <f>IFERROR(VLOOKUP('Base Game '!B49,'Pay Table'!$M$3:$O$18,3,FALSE),"")</f>
        <v>9</v>
      </c>
      <c r="L52">
        <f>IFERROR(VLOOKUP('Base Game '!D49,'Pay Table'!$M$3:$O$18,3,FALSE),"")</f>
        <v>9</v>
      </c>
      <c r="M52">
        <f t="array" ref="M52">IFERROR(VLOOKUP('Base Game '!F49,'Pay Table'!$M$3:$O$18,3,FALSE),"")</f>
        <v>9</v>
      </c>
      <c r="N52">
        <f t="array" ref="N52">IFERROR(VLOOKUP('Base Game '!H49,'Pay Table'!$M$3:$O$18,3,FALSE),"")</f>
        <v>8</v>
      </c>
      <c r="O52">
        <f t="array" ref="O52">IFERROR(VLOOKUP('Base Game '!J49,'Pay Table'!$M$3:$O$18,3,FALSE),"")</f>
        <v>4</v>
      </c>
      <c r="Q52">
        <f t="array" ref="Q52">IF('Base Game '!C49=0,"",'Base Game '!C49)</f>
        <v>100</v>
      </c>
      <c r="R52">
        <f>IF('Base Game '!E49=0,"",'Base Game '!E49)</f>
        <v>100</v>
      </c>
      <c r="S52">
        <f>IF('Base Game '!G49=0,"",'Base Game '!G49)</f>
        <v>100</v>
      </c>
      <c r="T52">
        <f>IF('Base Game '!I49=0,"",'Base Game '!I49)</f>
        <v>210</v>
      </c>
      <c r="U52">
        <f>IF('Base Game '!K49=0,"",'Base Game '!K49)</f>
        <v>100</v>
      </c>
      <c r="W52" t="e">
        <f>VLOOKUP(#REF!,'Pay Table'!$M$3:$O$18,3,FALSE)</f>
        <v>#REF!</v>
      </c>
      <c r="X52" t="e">
        <f>VLOOKUP(#REF!,'Pay Table'!$M$3:$O$18,3,FALSE)</f>
        <v>#REF!</v>
      </c>
      <c r="Y52" t="e">
        <f>VLOOKUP(#REF!,'Pay Table'!$M$3:$O$18,3,FALSE)</f>
        <v>#REF!</v>
      </c>
      <c r="Z52" t="e">
        <f>VLOOKUP(#REF!,'Pay Table'!$M$3:$O$18,3,FALSE)</f>
        <v>#REF!</v>
      </c>
      <c r="AA52" t="e">
        <f>VLOOKUP(#REF!,'Pay Table'!$M$3:$O$18,3,FALSE)</f>
        <v>#REF!</v>
      </c>
      <c r="AC52">
        <f t="array" ref="AC52">IFERROR(VLOOKUP('Free Game'!B48,'Pay Table'!$M$3:$O$18,3,FALSE),"")</f>
        <v>9</v>
      </c>
      <c r="AD52">
        <f>IFERROR(VLOOKUP('Free Game'!D48,'Pay Table'!$M$3:$O$18,3,FALSE),"")</f>
        <v>2</v>
      </c>
      <c r="AE52">
        <f>IFERROR(VLOOKUP('Free Game'!F48,'Pay Table'!$M$3:$O$18,3,FALSE),"")</f>
        <v>9</v>
      </c>
      <c r="AF52">
        <f t="array" ref="AF52">IFERROR(VLOOKUP('Free Game'!H48,'Pay Table'!$M$3:$O$18,3,FALSE),"")</f>
        <v>2</v>
      </c>
      <c r="AG52">
        <f t="array" ref="AG52">IFERROR(VLOOKUP('Free Game'!J48,'Pay Table'!$M$3:$O$18,3,FALSE),"")</f>
        <v>9</v>
      </c>
      <c r="AI52">
        <f>IF('Free Game'!C48=0,"",'Free Game'!C48)</f>
        <v>100</v>
      </c>
      <c r="AJ52">
        <f>IF('Free Game'!E48=0,"",'Free Game'!E48)</f>
        <v>100</v>
      </c>
      <c r="AK52">
        <f>IF('Free Game'!G48=0,"",'Free Game'!G48)</f>
        <v>100</v>
      </c>
      <c r="AL52">
        <f>IF('Free Game'!I48=0,"",'Free Game'!I48)</f>
        <v>100</v>
      </c>
      <c r="AM52">
        <f>IF('Free Game'!K48=0,"",'Free Game'!K48)</f>
        <v>100</v>
      </c>
    </row>
    <row r="53" spans="1:39" ht="15" x14ac:dyDescent="0.15">
      <c r="A53" s="103"/>
      <c r="B53" s="10"/>
      <c r="C53" s="103"/>
      <c r="D53" s="10"/>
      <c r="E53" s="103"/>
      <c r="F53" s="10"/>
      <c r="G53" s="103"/>
      <c r="H53" s="10"/>
      <c r="I53" s="103"/>
      <c r="K53">
        <f>IFERROR(VLOOKUP('Base Game '!B50,'Pay Table'!$M$3:$O$18,3,FALSE),"")</f>
        <v>3</v>
      </c>
      <c r="L53" t="str">
        <f>IFERROR(VLOOKUP('Base Game '!D50,'Pay Table'!$M$3:$O$18,3,FALSE),"")</f>
        <v>"v"</v>
      </c>
      <c r="M53">
        <f t="array" ref="M53">IFERROR(VLOOKUP('Base Game '!F50,'Pay Table'!$M$3:$O$18,3,FALSE),"")</f>
        <v>4</v>
      </c>
      <c r="N53" t="str">
        <f t="array" ref="N53">IFERROR(VLOOKUP('Base Game '!H50,'Pay Table'!$M$3:$O$18,3,FALSE),"")</f>
        <v>"s"</v>
      </c>
      <c r="O53">
        <f t="array" ref="O53">IFERROR(VLOOKUP('Base Game '!J50,'Pay Table'!$M$3:$O$18,3,FALSE),"")</f>
        <v>9</v>
      </c>
      <c r="Q53">
        <f t="array" ref="Q53">IF('Base Game '!C50=0,"",'Base Game '!C50)</f>
        <v>100</v>
      </c>
      <c r="R53">
        <f>IF('Base Game '!E50=0,"",'Base Game '!E50)</f>
        <v>50</v>
      </c>
      <c r="S53">
        <f>IF('Base Game '!G50=0,"",'Base Game '!G50)</f>
        <v>100</v>
      </c>
      <c r="T53">
        <f>IF('Base Game '!I50=0,"",'Base Game '!I50)</f>
        <v>200</v>
      </c>
      <c r="U53">
        <f>IF('Base Game '!K50=0,"",'Base Game '!K50)</f>
        <v>100</v>
      </c>
      <c r="W53" t="e">
        <f>VLOOKUP(#REF!,'Pay Table'!$M$3:$O$18,3,FALSE)</f>
        <v>#REF!</v>
      </c>
      <c r="X53" t="e">
        <f>VLOOKUP(#REF!,'Pay Table'!$M$3:$O$18,3,FALSE)</f>
        <v>#REF!</v>
      </c>
      <c r="Y53" t="e">
        <f>VLOOKUP(#REF!,'Pay Table'!$M$3:$O$18,3,FALSE)</f>
        <v>#REF!</v>
      </c>
      <c r="Z53" t="e">
        <f>VLOOKUP(#REF!,'Pay Table'!$M$3:$O$18,3,FALSE)</f>
        <v>#REF!</v>
      </c>
      <c r="AA53" t="e">
        <f>VLOOKUP(#REF!,'Pay Table'!$M$3:$O$18,3,FALSE)</f>
        <v>#REF!</v>
      </c>
      <c r="AC53">
        <f t="array" ref="AC53">IFERROR(VLOOKUP('Free Game'!B49,'Pay Table'!$M$3:$O$18,3,FALSE),"")</f>
        <v>3</v>
      </c>
      <c r="AD53">
        <f>IFERROR(VLOOKUP('Free Game'!D49,'Pay Table'!$M$3:$O$18,3,FALSE),"")</f>
        <v>3</v>
      </c>
      <c r="AE53">
        <f>IFERROR(VLOOKUP('Free Game'!F49,'Pay Table'!$M$3:$O$18,3,FALSE),"")</f>
        <v>5</v>
      </c>
      <c r="AF53">
        <f t="array" ref="AF53">IFERROR(VLOOKUP('Free Game'!H49,'Pay Table'!$M$3:$O$18,3,FALSE),"")</f>
        <v>6</v>
      </c>
      <c r="AG53" t="str">
        <f t="array" ref="AG53">IFERROR(VLOOKUP('Free Game'!J49,'Pay Table'!$M$3:$O$18,3,FALSE),"")</f>
        <v>"w"</v>
      </c>
      <c r="AI53">
        <f>IF('Free Game'!C49=0,"",'Free Game'!C49)</f>
        <v>100</v>
      </c>
      <c r="AJ53">
        <f>IF('Free Game'!E49=0,"",'Free Game'!E49)</f>
        <v>25</v>
      </c>
      <c r="AK53">
        <f>IF('Free Game'!G49=0,"",'Free Game'!G49)</f>
        <v>100</v>
      </c>
      <c r="AL53">
        <f>IF('Free Game'!I49=0,"",'Free Game'!I49)</f>
        <v>100</v>
      </c>
      <c r="AM53">
        <f>IF('Free Game'!K49=0,"",'Free Game'!K49)</f>
        <v>100</v>
      </c>
    </row>
    <row r="54" spans="1:39" ht="15" x14ac:dyDescent="0.15">
      <c r="A54" s="103"/>
      <c r="B54" s="10"/>
      <c r="C54" s="103"/>
      <c r="D54" s="10"/>
      <c r="E54" s="103"/>
      <c r="F54" s="10"/>
      <c r="G54" s="103"/>
      <c r="H54" s="10"/>
      <c r="I54" s="103"/>
      <c r="K54">
        <f>IFERROR(VLOOKUP('Base Game '!B51,'Pay Table'!$M$3:$O$18,3,FALSE),"")</f>
        <v>2</v>
      </c>
      <c r="L54">
        <f>IFERROR(VLOOKUP('Base Game '!D51,'Pay Table'!$M$3:$O$18,3,FALSE),"")</f>
        <v>3</v>
      </c>
      <c r="M54">
        <f t="array" ref="M54">IFERROR(VLOOKUP('Base Game '!F51,'Pay Table'!$M$3:$O$18,3,FALSE),"")</f>
        <v>5</v>
      </c>
      <c r="N54">
        <f t="array" ref="N54">IFERROR(VLOOKUP('Base Game '!H51,'Pay Table'!$M$3:$O$18,3,FALSE),"")</f>
        <v>7</v>
      </c>
      <c r="O54">
        <f t="array" ref="O54">IFERROR(VLOOKUP('Base Game '!J51,'Pay Table'!$M$3:$O$18,3,FALSE),"")</f>
        <v>1</v>
      </c>
      <c r="Q54">
        <f t="array" ref="Q54">IF('Base Game '!C51=0,"",'Base Game '!C51)</f>
        <v>100</v>
      </c>
      <c r="R54">
        <f>IF('Base Game '!E51=0,"",'Base Game '!E51)</f>
        <v>100</v>
      </c>
      <c r="S54">
        <f>IF('Base Game '!G51=0,"",'Base Game '!G51)</f>
        <v>100</v>
      </c>
      <c r="T54">
        <f>IF('Base Game '!I51=0,"",'Base Game '!I51)</f>
        <v>100</v>
      </c>
      <c r="U54">
        <f>IF('Base Game '!K51=0,"",'Base Game '!K51)</f>
        <v>100</v>
      </c>
      <c r="W54" t="e">
        <f>VLOOKUP(#REF!,'Pay Table'!$M$3:$O$18,3,FALSE)</f>
        <v>#REF!</v>
      </c>
      <c r="X54" t="e">
        <f>VLOOKUP(#REF!,'Pay Table'!$M$3:$O$18,3,FALSE)</f>
        <v>#REF!</v>
      </c>
      <c r="Y54" t="e">
        <f>VLOOKUP(#REF!,'Pay Table'!$M$3:$O$18,3,FALSE)</f>
        <v>#REF!</v>
      </c>
      <c r="Z54" t="e">
        <f>VLOOKUP(#REF!,'Pay Table'!$M$3:$O$18,3,FALSE)</f>
        <v>#REF!</v>
      </c>
      <c r="AA54" t="e">
        <f>VLOOKUP(#REF!,'Pay Table'!$M$3:$O$18,3,FALSE)</f>
        <v>#REF!</v>
      </c>
      <c r="AC54">
        <f t="array" ref="AC54">IFERROR(VLOOKUP('Free Game'!B50,'Pay Table'!$M$3:$O$18,3,FALSE),"")</f>
        <v>4</v>
      </c>
      <c r="AD54">
        <f>IFERROR(VLOOKUP('Free Game'!D50,'Pay Table'!$M$3:$O$18,3,FALSE),"")</f>
        <v>3</v>
      </c>
      <c r="AE54">
        <f>IFERROR(VLOOKUP('Free Game'!F50,'Pay Table'!$M$3:$O$18,3,FALSE),"")</f>
        <v>7</v>
      </c>
      <c r="AF54">
        <f t="array" ref="AF54">IFERROR(VLOOKUP('Free Game'!H50,'Pay Table'!$M$3:$O$18,3,FALSE),"")</f>
        <v>7</v>
      </c>
      <c r="AG54">
        <f t="array" ref="AG54">IFERROR(VLOOKUP('Free Game'!J50,'Pay Table'!$M$3:$O$18,3,FALSE),"")</f>
        <v>6</v>
      </c>
      <c r="AI54">
        <f>IF('Free Game'!C50=0,"",'Free Game'!C50)</f>
        <v>100</v>
      </c>
      <c r="AJ54">
        <f>IF('Free Game'!E50=0,"",'Free Game'!E50)</f>
        <v>25</v>
      </c>
      <c r="AK54">
        <f>IF('Free Game'!G50=0,"",'Free Game'!G50)</f>
        <v>100</v>
      </c>
      <c r="AL54">
        <f>IF('Free Game'!I50=0,"",'Free Game'!I50)</f>
        <v>100</v>
      </c>
      <c r="AM54">
        <f>IF('Free Game'!K50=0,"",'Free Game'!K50)</f>
        <v>100</v>
      </c>
    </row>
    <row r="55" spans="1:39" ht="15" x14ac:dyDescent="0.15">
      <c r="A55" s="103"/>
      <c r="B55" s="10"/>
      <c r="C55" s="103"/>
      <c r="D55" s="10"/>
      <c r="E55" s="103"/>
      <c r="F55" s="10"/>
      <c r="G55" s="103"/>
      <c r="H55" s="10"/>
      <c r="I55" s="103"/>
      <c r="K55">
        <f>IFERROR(VLOOKUP('Base Game '!B52,'Pay Table'!$M$3:$O$18,3,FALSE),"")</f>
        <v>2</v>
      </c>
      <c r="L55" t="str">
        <f>IFERROR(VLOOKUP('Base Game '!D52,'Pay Table'!$M$3:$O$18,3,FALSE),"")</f>
        <v>"v"</v>
      </c>
      <c r="M55">
        <f t="array" ref="M55">IFERROR(VLOOKUP('Base Game '!F52,'Pay Table'!$M$3:$O$18,3,FALSE),"")</f>
        <v>4</v>
      </c>
      <c r="N55">
        <f t="array" ref="N55">IFERROR(VLOOKUP('Base Game '!H52,'Pay Table'!$M$3:$O$18,3,FALSE),"")</f>
        <v>4</v>
      </c>
      <c r="O55">
        <f t="array" ref="O55">IFERROR(VLOOKUP('Base Game '!J52,'Pay Table'!$M$3:$O$18,3,FALSE),"")</f>
        <v>1</v>
      </c>
      <c r="Q55">
        <f t="array" ref="Q55">IF('Base Game '!C52=0,"",'Base Game '!C52)</f>
        <v>100</v>
      </c>
      <c r="R55">
        <f>IF('Base Game '!E52=0,"",'Base Game '!E52)</f>
        <v>100</v>
      </c>
      <c r="S55">
        <f>IF('Base Game '!G52=0,"",'Base Game '!G52)</f>
        <v>100</v>
      </c>
      <c r="T55">
        <f>IF('Base Game '!I52=0,"",'Base Game '!I52)</f>
        <v>100</v>
      </c>
      <c r="U55">
        <f>IF('Base Game '!K52=0,"",'Base Game '!K52)</f>
        <v>100</v>
      </c>
      <c r="W55" t="e">
        <f>VLOOKUP(#REF!,'Pay Table'!$M$3:$O$18,3,FALSE)</f>
        <v>#REF!</v>
      </c>
      <c r="X55" t="e">
        <f>VLOOKUP(#REF!,'Pay Table'!$M$3:$O$18,3,FALSE)</f>
        <v>#REF!</v>
      </c>
      <c r="Y55" t="e">
        <f>VLOOKUP(#REF!,'Pay Table'!$M$3:$O$18,3,FALSE)</f>
        <v>#REF!</v>
      </c>
      <c r="Z55" t="e">
        <f>VLOOKUP(#REF!,'Pay Table'!$M$3:$O$18,3,FALSE)</f>
        <v>#REF!</v>
      </c>
      <c r="AA55" t="e">
        <f>VLOOKUP(#REF!,'Pay Table'!$M$3:$O$18,3,FALSE)</f>
        <v>#REF!</v>
      </c>
      <c r="AC55">
        <f t="array" ref="AC55">IFERROR(VLOOKUP('Free Game'!B51,'Pay Table'!$M$3:$O$18,3,FALSE),"")</f>
        <v>5</v>
      </c>
      <c r="AD55" t="str">
        <f>IFERROR(VLOOKUP('Free Game'!D51,'Pay Table'!$M$3:$O$18,3,FALSE),"")</f>
        <v>"v"</v>
      </c>
      <c r="AE55">
        <f>IFERROR(VLOOKUP('Free Game'!F51,'Pay Table'!$M$3:$O$18,3,FALSE),"")</f>
        <v>8</v>
      </c>
      <c r="AF55">
        <f t="array" ref="AF55">IFERROR(VLOOKUP('Free Game'!H51,'Pay Table'!$M$3:$O$18,3,FALSE),"")</f>
        <v>1</v>
      </c>
      <c r="AG55">
        <f t="array" ref="AG55">IFERROR(VLOOKUP('Free Game'!J51,'Pay Table'!$M$3:$O$18,3,FALSE),"")</f>
        <v>8</v>
      </c>
      <c r="AI55">
        <f>IF('Free Game'!C51=0,"",'Free Game'!C51)</f>
        <v>100</v>
      </c>
      <c r="AJ55">
        <f>IF('Free Game'!E51=0,"",'Free Game'!E51)</f>
        <v>25</v>
      </c>
      <c r="AK55">
        <f>IF('Free Game'!G51=0,"",'Free Game'!G51)</f>
        <v>100</v>
      </c>
      <c r="AL55">
        <f>IF('Free Game'!I51=0,"",'Free Game'!I51)</f>
        <v>100</v>
      </c>
      <c r="AM55">
        <f>IF('Free Game'!K51=0,"",'Free Game'!K51)</f>
        <v>100</v>
      </c>
    </row>
    <row r="56" spans="1:39" ht="15" x14ac:dyDescent="0.15">
      <c r="A56" s="103"/>
      <c r="B56" s="10"/>
      <c r="C56" s="103"/>
      <c r="D56" s="10"/>
      <c r="E56" s="103"/>
      <c r="F56" s="10"/>
      <c r="G56" s="103"/>
      <c r="H56" s="10"/>
      <c r="I56" s="103"/>
      <c r="K56">
        <f>IFERROR(VLOOKUP('Base Game '!B53,'Pay Table'!$M$3:$O$18,3,FALSE),"")</f>
        <v>8</v>
      </c>
      <c r="L56">
        <f>IFERROR(VLOOKUP('Base Game '!D53,'Pay Table'!$M$3:$O$18,3,FALSE),"")</f>
        <v>5</v>
      </c>
      <c r="M56">
        <f t="array" ref="M56">IFERROR(VLOOKUP('Base Game '!F53,'Pay Table'!$M$3:$O$18,3,FALSE),"")</f>
        <v>7</v>
      </c>
      <c r="N56">
        <f t="array" ref="N56">IFERROR(VLOOKUP('Base Game '!H53,'Pay Table'!$M$3:$O$18,3,FALSE),"")</f>
        <v>7</v>
      </c>
      <c r="O56">
        <f t="array" ref="O56">IFERROR(VLOOKUP('Base Game '!J53,'Pay Table'!$M$3:$O$18,3,FALSE),"")</f>
        <v>1</v>
      </c>
      <c r="Q56">
        <f t="array" ref="Q56">IF('Base Game '!C53=0,"",'Base Game '!C53)</f>
        <v>100</v>
      </c>
      <c r="R56">
        <f>IF('Base Game '!E53=0,"",'Base Game '!E53)</f>
        <v>100</v>
      </c>
      <c r="S56">
        <f>IF('Base Game '!G53=0,"",'Base Game '!G53)</f>
        <v>180</v>
      </c>
      <c r="T56">
        <f>IF('Base Game '!I53=0,"",'Base Game '!I53)</f>
        <v>100</v>
      </c>
      <c r="U56">
        <f>IF('Base Game '!K53=0,"",'Base Game '!K53)</f>
        <v>100</v>
      </c>
      <c r="W56" t="e">
        <f>VLOOKUP(#REF!,'Pay Table'!$M$3:$O$18,3,FALSE)</f>
        <v>#REF!</v>
      </c>
      <c r="X56" t="e">
        <f>VLOOKUP(#REF!,'Pay Table'!$M$3:$O$18,3,FALSE)</f>
        <v>#REF!</v>
      </c>
      <c r="Y56" t="e">
        <f>VLOOKUP(#REF!,'Pay Table'!$M$3:$O$18,3,FALSE)</f>
        <v>#REF!</v>
      </c>
      <c r="Z56" t="e">
        <f>VLOOKUP(#REF!,'Pay Table'!$M$3:$O$18,3,FALSE)</f>
        <v>#REF!</v>
      </c>
      <c r="AA56" t="e">
        <f>VLOOKUP(#REF!,'Pay Table'!$M$3:$O$18,3,FALSE)</f>
        <v>#REF!</v>
      </c>
      <c r="AC56">
        <f t="array" ref="AC56">IFERROR(VLOOKUP('Free Game'!B52,'Pay Table'!$M$3:$O$18,3,FALSE),"")</f>
        <v>8</v>
      </c>
      <c r="AD56">
        <f>IFERROR(VLOOKUP('Free Game'!D52,'Pay Table'!$M$3:$O$18,3,FALSE),"")</f>
        <v>9</v>
      </c>
      <c r="AE56">
        <f>IFERROR(VLOOKUP('Free Game'!F52,'Pay Table'!$M$3:$O$18,3,FALSE),"")</f>
        <v>2</v>
      </c>
      <c r="AF56">
        <f t="array" ref="AF56">IFERROR(VLOOKUP('Free Game'!H52,'Pay Table'!$M$3:$O$18,3,FALSE),"")</f>
        <v>1</v>
      </c>
      <c r="AG56">
        <f t="array" ref="AG56">IFERROR(VLOOKUP('Free Game'!J52,'Pay Table'!$M$3:$O$18,3,FALSE),"")</f>
        <v>4</v>
      </c>
      <c r="AI56">
        <f>IF('Free Game'!C52=0,"",'Free Game'!C52)</f>
        <v>100</v>
      </c>
      <c r="AJ56">
        <f>IF('Free Game'!E52=0,"",'Free Game'!E52)</f>
        <v>100</v>
      </c>
      <c r="AK56">
        <f>IF('Free Game'!G52=0,"",'Free Game'!G52)</f>
        <v>100</v>
      </c>
      <c r="AL56">
        <f>IF('Free Game'!I52=0,"",'Free Game'!I52)</f>
        <v>100</v>
      </c>
      <c r="AM56">
        <f>IF('Free Game'!K52=0,"",'Free Game'!K52)</f>
        <v>100</v>
      </c>
    </row>
    <row r="57" spans="1:39" ht="15" x14ac:dyDescent="0.15">
      <c r="A57" s="103"/>
      <c r="B57" s="10"/>
      <c r="C57" s="103"/>
      <c r="D57" s="10"/>
      <c r="E57" s="103"/>
      <c r="F57" s="10"/>
      <c r="G57" s="103"/>
      <c r="H57" s="10"/>
      <c r="I57" s="103"/>
      <c r="K57">
        <f>IFERROR(VLOOKUP('Base Game '!B54,'Pay Table'!$M$3:$O$18,3,FALSE),"")</f>
        <v>4</v>
      </c>
      <c r="L57">
        <f>IFERROR(VLOOKUP('Base Game '!D54,'Pay Table'!$M$3:$O$18,3,FALSE),"")</f>
        <v>5</v>
      </c>
      <c r="M57" t="str">
        <f t="array" ref="M57">IFERROR(VLOOKUP('Base Game '!F54,'Pay Table'!$M$3:$O$18,3,FALSE),"")</f>
        <v>"s"</v>
      </c>
      <c r="N57">
        <f t="array" ref="N57">IFERROR(VLOOKUP('Base Game '!H54,'Pay Table'!$M$3:$O$18,3,FALSE),"")</f>
        <v>2</v>
      </c>
      <c r="O57" t="str">
        <f t="array" ref="O57">IFERROR(VLOOKUP('Base Game '!J54,'Pay Table'!$M$3:$O$18,3,FALSE),"")</f>
        <v>"w"</v>
      </c>
      <c r="Q57">
        <f t="array" ref="Q57">IF('Base Game '!C54=0,"",'Base Game '!C54)</f>
        <v>100</v>
      </c>
      <c r="R57">
        <f>IF('Base Game '!E54=0,"",'Base Game '!E54)</f>
        <v>200</v>
      </c>
      <c r="S57">
        <f>IF('Base Game '!G54=0,"",'Base Game '!G54)</f>
        <v>195</v>
      </c>
      <c r="T57">
        <f>IF('Base Game '!I54=0,"",'Base Game '!I54)</f>
        <v>100</v>
      </c>
      <c r="U57">
        <f>IF('Base Game '!K54=0,"",'Base Game '!K54)</f>
        <v>100</v>
      </c>
      <c r="W57" t="e">
        <f>VLOOKUP(#REF!,'Pay Table'!$M$3:$O$18,3,FALSE)</f>
        <v>#REF!</v>
      </c>
      <c r="X57" t="e">
        <f>VLOOKUP(#REF!,'Pay Table'!$M$3:$O$18,3,FALSE)</f>
        <v>#REF!</v>
      </c>
      <c r="Y57" t="e">
        <f>VLOOKUP(#REF!,'Pay Table'!$M$3:$O$18,3,FALSE)</f>
        <v>#REF!</v>
      </c>
      <c r="Z57" t="e">
        <f>VLOOKUP(#REF!,'Pay Table'!$M$3:$O$18,3,FALSE)</f>
        <v>#REF!</v>
      </c>
      <c r="AA57" t="e">
        <f>VLOOKUP(#REF!,'Pay Table'!$M$3:$O$18,3,FALSE)</f>
        <v>#REF!</v>
      </c>
      <c r="AC57">
        <f t="array" ref="AC57">IFERROR(VLOOKUP('Free Game'!B53,'Pay Table'!$M$3:$O$18,3,FALSE),"")</f>
        <v>9</v>
      </c>
      <c r="AD57" t="str">
        <f>IFERROR(VLOOKUP('Free Game'!D53,'Pay Table'!$M$3:$O$18,3,FALSE),"")</f>
        <v>"w"</v>
      </c>
      <c r="AE57">
        <f>IFERROR(VLOOKUP('Free Game'!F53,'Pay Table'!$M$3:$O$18,3,FALSE),"")</f>
        <v>2</v>
      </c>
      <c r="AF57">
        <f t="array" ref="AF57">IFERROR(VLOOKUP('Free Game'!H53,'Pay Table'!$M$3:$O$18,3,FALSE),"")</f>
        <v>1</v>
      </c>
      <c r="AG57">
        <f t="array" ref="AG57">IFERROR(VLOOKUP('Free Game'!J53,'Pay Table'!$M$3:$O$18,3,FALSE),"")</f>
        <v>4</v>
      </c>
      <c r="AI57">
        <f>IF('Free Game'!C53=0,"",'Free Game'!C53)</f>
        <v>100</v>
      </c>
      <c r="AJ57">
        <f>IF('Free Game'!E53=0,"",'Free Game'!E53)</f>
        <v>100</v>
      </c>
      <c r="AK57">
        <f>IF('Free Game'!G53=0,"",'Free Game'!G53)</f>
        <v>100</v>
      </c>
      <c r="AL57">
        <f>IF('Free Game'!I53=0,"",'Free Game'!I53)</f>
        <v>100</v>
      </c>
      <c r="AM57">
        <f>IF('Free Game'!K53=0,"",'Free Game'!K53)</f>
        <v>100</v>
      </c>
    </row>
    <row r="58" spans="1:39" ht="15" x14ac:dyDescent="0.15">
      <c r="A58" s="103"/>
      <c r="B58" s="10"/>
      <c r="C58" s="103"/>
      <c r="D58" s="10"/>
      <c r="E58" s="103"/>
      <c r="F58" s="10"/>
      <c r="G58" s="103"/>
      <c r="H58" s="10"/>
      <c r="I58" s="103"/>
      <c r="K58">
        <f>IFERROR(VLOOKUP('Base Game '!B55,'Pay Table'!$M$3:$O$18,3,FALSE),"")</f>
        <v>7</v>
      </c>
      <c r="L58" t="str">
        <f>IFERROR(VLOOKUP('Base Game '!D55,'Pay Table'!$M$3:$O$18,3,FALSE),"")</f>
        <v>"w"</v>
      </c>
      <c r="M58">
        <f t="array" ref="M58">IFERROR(VLOOKUP('Base Game '!F55,'Pay Table'!$M$3:$O$18,3,FALSE),"")</f>
        <v>9</v>
      </c>
      <c r="N58">
        <f t="array" ref="N58">IFERROR(VLOOKUP('Base Game '!H55,'Pay Table'!$M$3:$O$18,3,FALSE),"")</f>
        <v>2</v>
      </c>
      <c r="O58">
        <f t="array" ref="O58">IFERROR(VLOOKUP('Base Game '!J55,'Pay Table'!$M$3:$O$18,3,FALSE),"")</f>
        <v>5</v>
      </c>
      <c r="Q58">
        <f t="array" ref="Q58">IF('Base Game '!C55=0,"",'Base Game '!C55)</f>
        <v>100</v>
      </c>
      <c r="R58">
        <f>IF('Base Game '!E55=0,"",'Base Game '!E55)</f>
        <v>100</v>
      </c>
      <c r="S58">
        <f>IF('Base Game '!G55=0,"",'Base Game '!G55)</f>
        <v>100</v>
      </c>
      <c r="T58">
        <f>IF('Base Game '!I55=0,"",'Base Game '!I55)</f>
        <v>100</v>
      </c>
      <c r="U58">
        <f>IF('Base Game '!K55=0,"",'Base Game '!K55)</f>
        <v>100</v>
      </c>
      <c r="W58" t="e">
        <f>VLOOKUP(#REF!,'Pay Table'!$M$3:$O$18,3,FALSE)</f>
        <v>#REF!</v>
      </c>
      <c r="X58" t="e">
        <f>VLOOKUP(#REF!,'Pay Table'!$M$3:$O$18,3,FALSE)</f>
        <v>#REF!</v>
      </c>
      <c r="Y58" t="e">
        <f>VLOOKUP(#REF!,'Pay Table'!$M$3:$O$18,3,FALSE)</f>
        <v>#REF!</v>
      </c>
      <c r="Z58" t="e">
        <f>VLOOKUP(#REF!,'Pay Table'!$M$3:$O$18,3,FALSE)</f>
        <v>#REF!</v>
      </c>
      <c r="AA58" t="e">
        <f>VLOOKUP(#REF!,'Pay Table'!$M$3:$O$18,3,FALSE)</f>
        <v>#REF!</v>
      </c>
      <c r="AC58">
        <f t="array" ref="AC58">IFERROR(VLOOKUP('Free Game'!B54,'Pay Table'!$M$3:$O$18,3,FALSE),"")</f>
        <v>4</v>
      </c>
      <c r="AD58" t="str">
        <f>IFERROR(VLOOKUP('Free Game'!D54,'Pay Table'!$M$3:$O$18,3,FALSE),"")</f>
        <v>"w"</v>
      </c>
      <c r="AE58">
        <f>IFERROR(VLOOKUP('Free Game'!F54,'Pay Table'!$M$3:$O$18,3,FALSE),"")</f>
        <v>2</v>
      </c>
      <c r="AF58">
        <f t="array" ref="AF58">IFERROR(VLOOKUP('Free Game'!H54,'Pay Table'!$M$3:$O$18,3,FALSE),"")</f>
        <v>3</v>
      </c>
      <c r="AG58">
        <f t="array" ref="AG58">IFERROR(VLOOKUP('Free Game'!J54,'Pay Table'!$M$3:$O$18,3,FALSE),"")</f>
        <v>2</v>
      </c>
      <c r="AI58">
        <f>IF('Free Game'!C54=0,"",'Free Game'!C54)</f>
        <v>100</v>
      </c>
      <c r="AJ58">
        <f>IF('Free Game'!E54=0,"",'Free Game'!E54)</f>
        <v>100</v>
      </c>
      <c r="AK58">
        <f>IF('Free Game'!G54=0,"",'Free Game'!G54)</f>
        <v>100</v>
      </c>
      <c r="AL58">
        <f>IF('Free Game'!I54=0,"",'Free Game'!I54)</f>
        <v>100</v>
      </c>
      <c r="AM58">
        <f>IF('Free Game'!K54=0,"",'Free Game'!K54)</f>
        <v>100</v>
      </c>
    </row>
    <row r="59" spans="1:39" ht="15" x14ac:dyDescent="0.15">
      <c r="A59" s="103"/>
      <c r="B59" s="10"/>
      <c r="C59" s="103"/>
      <c r="D59" s="10"/>
      <c r="E59" s="103"/>
      <c r="F59" s="10"/>
      <c r="G59" s="103"/>
      <c r="H59" s="10"/>
      <c r="I59" s="103"/>
      <c r="K59">
        <f>IFERROR(VLOOKUP('Base Game '!B56,'Pay Table'!$M$3:$O$18,3,FALSE),"")</f>
        <v>8</v>
      </c>
      <c r="L59">
        <f>IFERROR(VLOOKUP('Base Game '!D56,'Pay Table'!$M$3:$O$18,3,FALSE),"")</f>
        <v>7</v>
      </c>
      <c r="M59">
        <f t="array" ref="M59">IFERROR(VLOOKUP('Base Game '!F56,'Pay Table'!$M$3:$O$18,3,FALSE),"")</f>
        <v>1</v>
      </c>
      <c r="N59">
        <f t="array" ref="N59">IFERROR(VLOOKUP('Base Game '!H56,'Pay Table'!$M$3:$O$18,3,FALSE),"")</f>
        <v>9</v>
      </c>
      <c r="O59">
        <f t="array" ref="O59">IFERROR(VLOOKUP('Base Game '!J56,'Pay Table'!$M$3:$O$18,3,FALSE),"")</f>
        <v>2</v>
      </c>
      <c r="Q59">
        <f t="array" ref="Q59">IF('Base Game '!C56=0,"",'Base Game '!C56)</f>
        <v>100</v>
      </c>
      <c r="R59">
        <f>IF('Base Game '!E56=0,"",'Base Game '!E56)</f>
        <v>100</v>
      </c>
      <c r="S59">
        <f>IF('Base Game '!G56=0,"",'Base Game '!G56)</f>
        <v>100</v>
      </c>
      <c r="T59">
        <f>IF('Base Game '!I56=0,"",'Base Game '!I56)</f>
        <v>100</v>
      </c>
      <c r="U59">
        <f>IF('Base Game '!K56=0,"",'Base Game '!K56)</f>
        <v>100</v>
      </c>
      <c r="W59" t="e">
        <f>VLOOKUP(#REF!,'Pay Table'!$M$3:$O$18,3,FALSE)</f>
        <v>#REF!</v>
      </c>
      <c r="X59" t="e">
        <f>VLOOKUP(#REF!,'Pay Table'!$M$3:$O$18,3,FALSE)</f>
        <v>#REF!</v>
      </c>
      <c r="Y59" t="e">
        <f>VLOOKUP(#REF!,'Pay Table'!$M$3:$O$18,3,FALSE)</f>
        <v>#REF!</v>
      </c>
      <c r="Z59" t="e">
        <f>VLOOKUP(#REF!,'Pay Table'!$M$3:$O$18,3,FALSE)</f>
        <v>#REF!</v>
      </c>
      <c r="AA59" t="e">
        <f>VLOOKUP(#REF!,'Pay Table'!$M$3:$O$18,3,FALSE)</f>
        <v>#REF!</v>
      </c>
      <c r="AC59">
        <f t="array" ref="AC59">IFERROR(VLOOKUP('Free Game'!B55,'Pay Table'!$M$3:$O$18,3,FALSE),"")</f>
        <v>1</v>
      </c>
      <c r="AD59" t="str">
        <f>IFERROR(VLOOKUP('Free Game'!D55,'Pay Table'!$M$3:$O$18,3,FALSE),"")</f>
        <v>"w"</v>
      </c>
      <c r="AE59">
        <f>IFERROR(VLOOKUP('Free Game'!F55,'Pay Table'!$M$3:$O$18,3,FALSE),"")</f>
        <v>3</v>
      </c>
      <c r="AF59">
        <f t="array" ref="AF59">IFERROR(VLOOKUP('Free Game'!H55,'Pay Table'!$M$3:$O$18,3,FALSE),"")</f>
        <v>9</v>
      </c>
      <c r="AG59">
        <f t="array" ref="AG59">IFERROR(VLOOKUP('Free Game'!J55,'Pay Table'!$M$3:$O$18,3,FALSE),"")</f>
        <v>2</v>
      </c>
      <c r="AI59">
        <f>IF('Free Game'!C55=0,"",'Free Game'!C55)</f>
        <v>100</v>
      </c>
      <c r="AJ59">
        <f>IF('Free Game'!E55=0,"",'Free Game'!E55)</f>
        <v>100</v>
      </c>
      <c r="AK59">
        <f>IF('Free Game'!G55=0,"",'Free Game'!G55)</f>
        <v>100</v>
      </c>
      <c r="AL59">
        <f>IF('Free Game'!I55=0,"",'Free Game'!I55)</f>
        <v>100</v>
      </c>
      <c r="AM59">
        <f>IF('Free Game'!K55=0,"",'Free Game'!K55)</f>
        <v>100</v>
      </c>
    </row>
    <row r="60" spans="1:39" ht="15" x14ac:dyDescent="0.15">
      <c r="A60" s="103"/>
      <c r="B60" s="10"/>
      <c r="C60" s="103"/>
      <c r="D60" s="10"/>
      <c r="E60" s="103"/>
      <c r="F60" s="10"/>
      <c r="G60" s="103"/>
      <c r="H60" s="10"/>
      <c r="I60" s="103"/>
      <c r="K60">
        <f>IFERROR(VLOOKUP('Base Game '!B57,'Pay Table'!$M$3:$O$18,3,FALSE),"")</f>
        <v>3</v>
      </c>
      <c r="L60">
        <f>IFERROR(VLOOKUP('Base Game '!D57,'Pay Table'!$M$3:$O$18,3,FALSE),"")</f>
        <v>5</v>
      </c>
      <c r="M60" t="str">
        <f t="array" ref="M60">IFERROR(VLOOKUP('Base Game '!F57,'Pay Table'!$M$3:$O$18,3,FALSE),"")</f>
        <v>"w"</v>
      </c>
      <c r="N60" t="str">
        <f t="array" ref="N60">IFERROR(VLOOKUP('Base Game '!H57,'Pay Table'!$M$3:$O$18,3,FALSE),"")</f>
        <v>"v"</v>
      </c>
      <c r="O60">
        <f t="array" ref="O60">IFERROR(VLOOKUP('Base Game '!J57,'Pay Table'!$M$3:$O$18,3,FALSE),"")</f>
        <v>4</v>
      </c>
      <c r="Q60">
        <f t="array" ref="Q60">IF('Base Game '!C57=0,"",'Base Game '!C57)</f>
        <v>100</v>
      </c>
      <c r="R60">
        <f>IF('Base Game '!E57=0,"",'Base Game '!E57)</f>
        <v>100</v>
      </c>
      <c r="S60">
        <f>IF('Base Game '!G57=0,"",'Base Game '!G57)</f>
        <v>100</v>
      </c>
      <c r="T60">
        <f>IF('Base Game '!I57=0,"",'Base Game '!I57)</f>
        <v>15</v>
      </c>
      <c r="U60">
        <f>IF('Base Game '!K57=0,"",'Base Game '!K57)</f>
        <v>100</v>
      </c>
      <c r="W60" t="e">
        <f>VLOOKUP(#REF!,'Pay Table'!$M$3:$O$18,3,FALSE)</f>
        <v>#REF!</v>
      </c>
      <c r="X60" t="e">
        <f>VLOOKUP(#REF!,'Pay Table'!$M$3:$O$18,3,FALSE)</f>
        <v>#REF!</v>
      </c>
      <c r="Y60" t="e">
        <f>VLOOKUP(#REF!,'Pay Table'!$M$3:$O$18,3,FALSE)</f>
        <v>#REF!</v>
      </c>
      <c r="Z60" t="e">
        <f>VLOOKUP(#REF!,'Pay Table'!$M$3:$O$18,3,FALSE)</f>
        <v>#REF!</v>
      </c>
      <c r="AA60" t="e">
        <f>VLOOKUP(#REF!,'Pay Table'!$M$3:$O$18,3,FALSE)</f>
        <v>#REF!</v>
      </c>
      <c r="AC60">
        <f t="array" ref="AC60">IFERROR(VLOOKUP('Free Game'!B56,'Pay Table'!$M$3:$O$18,3,FALSE),"")</f>
        <v>1</v>
      </c>
      <c r="AD60">
        <f>IFERROR(VLOOKUP('Free Game'!D56,'Pay Table'!$M$3:$O$18,3,FALSE),"")</f>
        <v>8</v>
      </c>
      <c r="AE60">
        <f>IFERROR(VLOOKUP('Free Game'!F56,'Pay Table'!$M$3:$O$18,3,FALSE),"")</f>
        <v>5</v>
      </c>
      <c r="AF60" t="str">
        <f t="array" ref="AF60">IFERROR(VLOOKUP('Free Game'!H56,'Pay Table'!$M$3:$O$18,3,FALSE),"")</f>
        <v>"v"</v>
      </c>
      <c r="AG60">
        <f t="array" ref="AG60">IFERROR(VLOOKUP('Free Game'!J56,'Pay Table'!$M$3:$O$18,3,FALSE),"")</f>
        <v>2</v>
      </c>
      <c r="AI60">
        <f>IF('Free Game'!C56=0,"",'Free Game'!C56)</f>
        <v>100</v>
      </c>
      <c r="AJ60">
        <f>IF('Free Game'!E56=0,"",'Free Game'!E56)</f>
        <v>100</v>
      </c>
      <c r="AK60">
        <f>IF('Free Game'!G56=0,"",'Free Game'!G56)</f>
        <v>100</v>
      </c>
      <c r="AL60">
        <f>IF('Free Game'!I56=0,"",'Free Game'!I56)</f>
        <v>5</v>
      </c>
      <c r="AM60">
        <f>IF('Free Game'!K56=0,"",'Free Game'!K56)</f>
        <v>100</v>
      </c>
    </row>
    <row r="61" spans="1:39" ht="15" x14ac:dyDescent="0.15">
      <c r="A61" s="103"/>
      <c r="B61" s="10"/>
      <c r="C61" s="103"/>
      <c r="D61" s="10"/>
      <c r="E61" s="103"/>
      <c r="F61" s="10"/>
      <c r="G61" s="103"/>
      <c r="H61" s="10"/>
      <c r="I61" s="103"/>
      <c r="K61">
        <f>IFERROR(VLOOKUP('Base Game '!B58,'Pay Table'!$M$3:$O$18,3,FALSE),"")</f>
        <v>5</v>
      </c>
      <c r="L61">
        <f>IFERROR(VLOOKUP('Base Game '!D58,'Pay Table'!$M$3:$O$18,3,FALSE),"")</f>
        <v>1</v>
      </c>
      <c r="M61">
        <f t="array" ref="M61">IFERROR(VLOOKUP('Base Game '!F58,'Pay Table'!$M$3:$O$18,3,FALSE),"")</f>
        <v>6</v>
      </c>
      <c r="N61" t="str">
        <f t="array" ref="N61">IFERROR(VLOOKUP('Base Game '!H58,'Pay Table'!$M$3:$O$18,3,FALSE),"")</f>
        <v>"v"</v>
      </c>
      <c r="O61">
        <f t="array" ref="O61">IFERROR(VLOOKUP('Base Game '!J58,'Pay Table'!$M$3:$O$18,3,FALSE),"")</f>
        <v>5</v>
      </c>
      <c r="Q61">
        <f t="array" ref="Q61">IF('Base Game '!C58=0,"",'Base Game '!C58)</f>
        <v>100</v>
      </c>
      <c r="R61">
        <f>IF('Base Game '!E58=0,"",'Base Game '!E58)</f>
        <v>100</v>
      </c>
      <c r="S61">
        <f>IF('Base Game '!G58=0,"",'Base Game '!G58)</f>
        <v>100</v>
      </c>
      <c r="T61">
        <f>IF('Base Game '!I58=0,"",'Base Game '!I58)</f>
        <v>25</v>
      </c>
      <c r="U61">
        <f>IF('Base Game '!K58=0,"",'Base Game '!K58)</f>
        <v>100</v>
      </c>
      <c r="W61" t="e">
        <f>VLOOKUP(#REF!,'Pay Table'!$M$3:$O$18,3,FALSE)</f>
        <v>#REF!</v>
      </c>
      <c r="X61" t="e">
        <f>VLOOKUP(#REF!,'Pay Table'!$M$3:$O$18,3,FALSE)</f>
        <v>#REF!</v>
      </c>
      <c r="Y61" t="e">
        <f>VLOOKUP(#REF!,'Pay Table'!$M$3:$O$18,3,FALSE)</f>
        <v>#REF!</v>
      </c>
      <c r="Z61" t="e">
        <f>VLOOKUP(#REF!,'Pay Table'!$M$3:$O$18,3,FALSE)</f>
        <v>#REF!</v>
      </c>
      <c r="AA61" t="e">
        <f>VLOOKUP(#REF!,'Pay Table'!$M$3:$O$18,3,FALSE)</f>
        <v>#REF!</v>
      </c>
      <c r="AC61">
        <f t="array" ref="AC61">IFERROR(VLOOKUP('Free Game'!B57,'Pay Table'!$M$3:$O$18,3,FALSE),"")</f>
        <v>1</v>
      </c>
      <c r="AD61">
        <f>IFERROR(VLOOKUP('Free Game'!D57,'Pay Table'!$M$3:$O$18,3,FALSE),"")</f>
        <v>6</v>
      </c>
      <c r="AE61">
        <f>IFERROR(VLOOKUP('Free Game'!F57,'Pay Table'!$M$3:$O$18,3,FALSE),"")</f>
        <v>5</v>
      </c>
      <c r="AF61" t="str">
        <f t="array" ref="AF61">IFERROR(VLOOKUP('Free Game'!H57,'Pay Table'!$M$3:$O$18,3,FALSE),"")</f>
        <v>"v"</v>
      </c>
      <c r="AG61">
        <f t="array" ref="AG61">IFERROR(VLOOKUP('Free Game'!J57,'Pay Table'!$M$3:$O$18,3,FALSE),"")</f>
        <v>7</v>
      </c>
      <c r="AI61">
        <f>IF('Free Game'!C57=0,"",'Free Game'!C57)</f>
        <v>100</v>
      </c>
      <c r="AJ61">
        <f>IF('Free Game'!E57=0,"",'Free Game'!E57)</f>
        <v>100</v>
      </c>
      <c r="AK61">
        <f>IF('Free Game'!G57=0,"",'Free Game'!G57)</f>
        <v>100</v>
      </c>
      <c r="AL61">
        <f>IF('Free Game'!I57=0,"",'Free Game'!I57)</f>
        <v>10</v>
      </c>
      <c r="AM61">
        <f>IF('Free Game'!K57=0,"",'Free Game'!K57)</f>
        <v>100</v>
      </c>
    </row>
    <row r="62" spans="1:39" ht="15" x14ac:dyDescent="0.15">
      <c r="A62" s="103"/>
      <c r="B62" s="10"/>
      <c r="C62" s="103"/>
      <c r="D62" s="10"/>
      <c r="E62" s="103"/>
      <c r="F62" s="10"/>
      <c r="G62" s="103"/>
      <c r="H62" s="10"/>
      <c r="I62" s="103"/>
      <c r="K62">
        <f>IFERROR(VLOOKUP('Base Game '!B59,'Pay Table'!$M$3:$O$18,3,FALSE),"")</f>
        <v>5</v>
      </c>
      <c r="L62">
        <f>IFERROR(VLOOKUP('Base Game '!D59,'Pay Table'!$M$3:$O$18,3,FALSE),"")</f>
        <v>1</v>
      </c>
      <c r="M62" t="str">
        <f t="array" ref="M62">IFERROR(VLOOKUP('Base Game '!F59,'Pay Table'!$M$3:$O$18,3,FALSE),"")</f>
        <v>"v"</v>
      </c>
      <c r="N62" t="str">
        <f t="array" ref="N62">IFERROR(VLOOKUP('Base Game '!H59,'Pay Table'!$M$3:$O$18,3,FALSE),"")</f>
        <v>"v"</v>
      </c>
      <c r="O62">
        <f t="array" ref="O62">IFERROR(VLOOKUP('Base Game '!J59,'Pay Table'!$M$3:$O$18,3,FALSE),"")</f>
        <v>5</v>
      </c>
      <c r="Q62">
        <f t="array" ref="Q62">IF('Base Game '!C59=0,"",'Base Game '!C59)</f>
        <v>100</v>
      </c>
      <c r="R62">
        <f>IF('Base Game '!E59=0,"",'Base Game '!E59)</f>
        <v>100</v>
      </c>
      <c r="S62">
        <f>IF('Base Game '!G59=0,"",'Base Game '!G59)</f>
        <v>15</v>
      </c>
      <c r="T62">
        <f>IF('Base Game '!I59=0,"",'Base Game '!I59)</f>
        <v>50</v>
      </c>
      <c r="U62">
        <f>IF('Base Game '!K59=0,"",'Base Game '!K59)</f>
        <v>100</v>
      </c>
      <c r="W62" t="e">
        <f>VLOOKUP(#REF!,'Pay Table'!$M$3:$O$18,3,FALSE)</f>
        <v>#REF!</v>
      </c>
      <c r="X62" t="e">
        <f>VLOOKUP(#REF!,'Pay Table'!$M$3:$O$18,3,FALSE)</f>
        <v>#REF!</v>
      </c>
      <c r="Y62" t="e">
        <f>VLOOKUP(#REF!,'Pay Table'!$M$3:$O$18,3,FALSE)</f>
        <v>#REF!</v>
      </c>
      <c r="Z62" t="e">
        <f>VLOOKUP(#REF!,'Pay Table'!$M$3:$O$18,3,FALSE)</f>
        <v>#REF!</v>
      </c>
      <c r="AA62" t="e">
        <f>VLOOKUP(#REF!,'Pay Table'!$M$3:$O$18,3,FALSE)</f>
        <v>#REF!</v>
      </c>
      <c r="AC62">
        <f t="array" ref="AC62">IFERROR(VLOOKUP('Free Game'!B58,'Pay Table'!$M$3:$O$18,3,FALSE),"")</f>
        <v>9</v>
      </c>
      <c r="AD62">
        <f>IFERROR(VLOOKUP('Free Game'!D58,'Pay Table'!$M$3:$O$18,3,FALSE),"")</f>
        <v>2</v>
      </c>
      <c r="AE62" t="str">
        <f>IFERROR(VLOOKUP('Free Game'!F58,'Pay Table'!$M$3:$O$18,3,FALSE),"")</f>
        <v>"v"</v>
      </c>
      <c r="AF62" t="str">
        <f t="array" ref="AF62">IFERROR(VLOOKUP('Free Game'!H58,'Pay Table'!$M$3:$O$18,3,FALSE),"")</f>
        <v>"v"</v>
      </c>
      <c r="AG62">
        <f t="array" ref="AG62">IFERROR(VLOOKUP('Free Game'!J58,'Pay Table'!$M$3:$O$18,3,FALSE),"")</f>
        <v>3</v>
      </c>
      <c r="AI62">
        <f>IF('Free Game'!C58=0,"",'Free Game'!C58)</f>
        <v>100</v>
      </c>
      <c r="AJ62">
        <f>IF('Free Game'!E58=0,"",'Free Game'!E58)</f>
        <v>100</v>
      </c>
      <c r="AK62">
        <f>IF('Free Game'!G58=0,"",'Free Game'!G58)</f>
        <v>5</v>
      </c>
      <c r="AL62">
        <f>IF('Free Game'!I58=0,"",'Free Game'!I58)</f>
        <v>25</v>
      </c>
      <c r="AM62">
        <f>IF('Free Game'!K58=0,"",'Free Game'!K58)</f>
        <v>100</v>
      </c>
    </row>
    <row r="63" spans="1:39" ht="15" x14ac:dyDescent="0.15">
      <c r="A63" s="103"/>
      <c r="B63" s="10"/>
      <c r="C63" s="103"/>
      <c r="D63" s="10"/>
      <c r="E63" s="103"/>
      <c r="F63" s="10"/>
      <c r="G63" s="103"/>
      <c r="H63" s="10"/>
      <c r="I63" s="103"/>
      <c r="K63">
        <f>IFERROR(VLOOKUP('Base Game '!B60,'Pay Table'!$M$3:$O$18,3,FALSE),"")</f>
        <v>1</v>
      </c>
      <c r="L63">
        <f>IFERROR(VLOOKUP('Base Game '!D60,'Pay Table'!$M$3:$O$18,3,FALSE),"")</f>
        <v>1</v>
      </c>
      <c r="M63" t="str">
        <f t="array" ref="M63">IFERROR(VLOOKUP('Base Game '!F60,'Pay Table'!$M$3:$O$18,3,FALSE),"")</f>
        <v>"v"</v>
      </c>
      <c r="N63">
        <f t="array" ref="N63">IFERROR(VLOOKUP('Base Game '!H60,'Pay Table'!$M$3:$O$18,3,FALSE),"")</f>
        <v>6</v>
      </c>
      <c r="O63">
        <f t="array" ref="O63">IFERROR(VLOOKUP('Base Game '!J60,'Pay Table'!$M$3:$O$18,3,FALSE),"")</f>
        <v>1</v>
      </c>
      <c r="Q63">
        <f t="array" ref="Q63">IF('Base Game '!C60=0,"",'Base Game '!C60)</f>
        <v>100</v>
      </c>
      <c r="R63">
        <f>IF('Base Game '!E60=0,"",'Base Game '!E60)</f>
        <v>100</v>
      </c>
      <c r="S63">
        <f>IF('Base Game '!G60=0,"",'Base Game '!G60)</f>
        <v>25</v>
      </c>
      <c r="T63">
        <f>IF('Base Game '!I60=0,"",'Base Game '!I60)</f>
        <v>100</v>
      </c>
      <c r="U63">
        <f>IF('Base Game '!K60=0,"",'Base Game '!K60)</f>
        <v>100</v>
      </c>
      <c r="W63" t="e">
        <f>VLOOKUP(#REF!,'Pay Table'!$M$3:$O$18,3,FALSE)</f>
        <v>#REF!</v>
      </c>
      <c r="X63" t="e">
        <f>VLOOKUP(#REF!,'Pay Table'!$M$3:$O$18,3,FALSE)</f>
        <v>#REF!</v>
      </c>
      <c r="Y63" t="e">
        <f>VLOOKUP(#REF!,'Pay Table'!$M$3:$O$18,3,FALSE)</f>
        <v>#REF!</v>
      </c>
      <c r="Z63" t="e">
        <f>VLOOKUP(#REF!,'Pay Table'!$M$3:$O$18,3,FALSE)</f>
        <v>#REF!</v>
      </c>
      <c r="AA63" t="e">
        <f>VLOOKUP(#REF!,'Pay Table'!$M$3:$O$18,3,FALSE)</f>
        <v>#REF!</v>
      </c>
      <c r="AC63">
        <f t="array" ref="AC63">IFERROR(VLOOKUP('Free Game'!B59,'Pay Table'!$M$3:$O$18,3,FALSE),"")</f>
        <v>8</v>
      </c>
      <c r="AD63">
        <f>IFERROR(VLOOKUP('Free Game'!D59,'Pay Table'!$M$3:$O$18,3,FALSE),"")</f>
        <v>2</v>
      </c>
      <c r="AE63" t="str">
        <f>IFERROR(VLOOKUP('Free Game'!F59,'Pay Table'!$M$3:$O$18,3,FALSE),"")</f>
        <v>"v"</v>
      </c>
      <c r="AF63">
        <f t="array" ref="AF63">IFERROR(VLOOKUP('Free Game'!H59,'Pay Table'!$M$3:$O$18,3,FALSE),"")</f>
        <v>7</v>
      </c>
      <c r="AG63">
        <f t="array" ref="AG63">IFERROR(VLOOKUP('Free Game'!J59,'Pay Table'!$M$3:$O$18,3,FALSE),"")</f>
        <v>5</v>
      </c>
      <c r="AI63">
        <f>IF('Free Game'!C59=0,"",'Free Game'!C59)</f>
        <v>100</v>
      </c>
      <c r="AJ63">
        <f>IF('Free Game'!E59=0,"",'Free Game'!E59)</f>
        <v>100</v>
      </c>
      <c r="AK63">
        <f>IF('Free Game'!G59=0,"",'Free Game'!G59)</f>
        <v>10</v>
      </c>
      <c r="AL63">
        <f>IF('Free Game'!I59=0,"",'Free Game'!I59)</f>
        <v>100</v>
      </c>
      <c r="AM63">
        <f>IF('Free Game'!K59=0,"",'Free Game'!K59)</f>
        <v>100</v>
      </c>
    </row>
    <row r="64" spans="1:39" ht="15" x14ac:dyDescent="0.15">
      <c r="A64" s="103"/>
      <c r="B64" s="10"/>
      <c r="C64" s="103"/>
      <c r="D64" s="10"/>
      <c r="E64" s="103"/>
      <c r="F64" s="10"/>
      <c r="G64" s="103"/>
      <c r="H64" s="10"/>
      <c r="I64" s="103"/>
      <c r="K64">
        <f>IFERROR(VLOOKUP('Base Game '!B61,'Pay Table'!$M$3:$O$18,3,FALSE),"")</f>
        <v>6</v>
      </c>
      <c r="L64">
        <f>IFERROR(VLOOKUP('Base Game '!D61,'Pay Table'!$M$3:$O$18,3,FALSE),"")</f>
        <v>6</v>
      </c>
      <c r="M64" t="str">
        <f t="array" ref="M64">IFERROR(VLOOKUP('Base Game '!F61,'Pay Table'!$M$3:$O$18,3,FALSE),"")</f>
        <v>"v"</v>
      </c>
      <c r="N64">
        <f t="array" ref="N64">IFERROR(VLOOKUP('Base Game '!H61,'Pay Table'!$M$3:$O$18,3,FALSE),"")</f>
        <v>4</v>
      </c>
      <c r="O64">
        <f t="array" ref="O64">IFERROR(VLOOKUP('Base Game '!J61,'Pay Table'!$M$3:$O$18,3,FALSE),"")</f>
        <v>1</v>
      </c>
      <c r="Q64">
        <f t="array" ref="Q64">IF('Base Game '!C61=0,"",'Base Game '!C61)</f>
        <v>100</v>
      </c>
      <c r="R64">
        <f>IF('Base Game '!E61=0,"",'Base Game '!E61)</f>
        <v>100</v>
      </c>
      <c r="S64">
        <f>IF('Base Game '!G61=0,"",'Base Game '!G61)</f>
        <v>50</v>
      </c>
      <c r="T64">
        <f>IF('Base Game '!I61=0,"",'Base Game '!I61)</f>
        <v>100</v>
      </c>
      <c r="U64">
        <f>IF('Base Game '!K61=0,"",'Base Game '!K61)</f>
        <v>100</v>
      </c>
      <c r="W64" t="e">
        <f>VLOOKUP(#REF!,'Pay Table'!$M$3:$O$18,3,FALSE)</f>
        <v>#REF!</v>
      </c>
      <c r="X64" t="e">
        <f>VLOOKUP(#REF!,'Pay Table'!$M$3:$O$18,3,FALSE)</f>
        <v>#REF!</v>
      </c>
      <c r="Y64" t="e">
        <f>VLOOKUP(#REF!,'Pay Table'!$M$3:$O$18,3,FALSE)</f>
        <v>#REF!</v>
      </c>
      <c r="Z64" t="e">
        <f>VLOOKUP(#REF!,'Pay Table'!$M$3:$O$18,3,FALSE)</f>
        <v>#REF!</v>
      </c>
      <c r="AA64" t="e">
        <f>VLOOKUP(#REF!,'Pay Table'!$M$3:$O$18,3,FALSE)</f>
        <v>#REF!</v>
      </c>
      <c r="AC64">
        <f t="array" ref="AC64">IFERROR(VLOOKUP('Free Game'!B60,'Pay Table'!$M$3:$O$18,3,FALSE),"")</f>
        <v>5</v>
      </c>
      <c r="AD64">
        <f>IFERROR(VLOOKUP('Free Game'!D60,'Pay Table'!$M$3:$O$18,3,FALSE),"")</f>
        <v>2</v>
      </c>
      <c r="AE64" t="str">
        <f>IFERROR(VLOOKUP('Free Game'!F60,'Pay Table'!$M$3:$O$18,3,FALSE),"")</f>
        <v>"v"</v>
      </c>
      <c r="AF64">
        <f t="array" ref="AF64">IFERROR(VLOOKUP('Free Game'!H60,'Pay Table'!$M$3:$O$18,3,FALSE),"")</f>
        <v>9</v>
      </c>
      <c r="AG64">
        <f t="array" ref="AG64">IFERROR(VLOOKUP('Free Game'!J60,'Pay Table'!$M$3:$O$18,3,FALSE),"")</f>
        <v>1</v>
      </c>
      <c r="AI64">
        <f>IF('Free Game'!C60=0,"",'Free Game'!C60)</f>
        <v>100</v>
      </c>
      <c r="AJ64">
        <f>IF('Free Game'!E60=0,"",'Free Game'!E60)</f>
        <v>100</v>
      </c>
      <c r="AK64">
        <f>IF('Free Game'!G60=0,"",'Free Game'!G60)</f>
        <v>25</v>
      </c>
      <c r="AL64">
        <f>IF('Free Game'!I60=0,"",'Free Game'!I60)</f>
        <v>100</v>
      </c>
      <c r="AM64">
        <f>IF('Free Game'!K60=0,"",'Free Game'!K60)</f>
        <v>100</v>
      </c>
    </row>
    <row r="65" spans="1:39" ht="15" x14ac:dyDescent="0.25">
      <c r="A65" s="39"/>
      <c r="B65" s="10"/>
      <c r="C65" s="103"/>
      <c r="D65" s="10"/>
      <c r="E65" s="103"/>
      <c r="F65" s="10"/>
      <c r="G65" s="103"/>
      <c r="H65" s="10"/>
      <c r="I65" s="103"/>
      <c r="K65">
        <f>IFERROR(VLOOKUP('Base Game '!B62,'Pay Table'!$M$3:$O$18,3,FALSE),"")</f>
        <v>3</v>
      </c>
      <c r="L65">
        <f>IFERROR(VLOOKUP('Base Game '!D62,'Pay Table'!$M$3:$O$18,3,FALSE),"")</f>
        <v>3</v>
      </c>
      <c r="M65">
        <f t="array" ref="M65">IFERROR(VLOOKUP('Base Game '!F62,'Pay Table'!$M$3:$O$18,3,FALSE),"")</f>
        <v>7</v>
      </c>
      <c r="N65">
        <f t="array" ref="N65">IFERROR(VLOOKUP('Base Game '!H62,'Pay Table'!$M$3:$O$18,3,FALSE),"")</f>
        <v>8</v>
      </c>
      <c r="O65">
        <f t="array" ref="O65">IFERROR(VLOOKUP('Base Game '!J62,'Pay Table'!$M$3:$O$18,3,FALSE),"")</f>
        <v>1</v>
      </c>
      <c r="Q65">
        <f t="array" ref="Q65">IF('Base Game '!C62=0,"",'Base Game '!C62)</f>
        <v>100</v>
      </c>
      <c r="R65">
        <f>IF('Base Game '!E62=0,"",'Base Game '!E62)</f>
        <v>100</v>
      </c>
      <c r="S65">
        <f>IF('Base Game '!G62=0,"",'Base Game '!G62)</f>
        <v>100</v>
      </c>
      <c r="T65">
        <f>IF('Base Game '!I62=0,"",'Base Game '!I62)</f>
        <v>100</v>
      </c>
      <c r="U65">
        <f>IF('Base Game '!K62=0,"",'Base Game '!K62)</f>
        <v>100</v>
      </c>
      <c r="W65" t="e">
        <f>VLOOKUP(#REF!,'Pay Table'!$M$3:$O$18,3,FALSE)</f>
        <v>#REF!</v>
      </c>
      <c r="X65" t="e">
        <f>VLOOKUP(#REF!,'Pay Table'!$M$3:$O$18,3,FALSE)</f>
        <v>#REF!</v>
      </c>
      <c r="Y65" t="e">
        <f>VLOOKUP(#REF!,'Pay Table'!$M$3:$O$18,3,FALSE)</f>
        <v>#REF!</v>
      </c>
      <c r="Z65" t="e">
        <f>VLOOKUP(#REF!,'Pay Table'!$M$3:$O$18,3,FALSE)</f>
        <v>#REF!</v>
      </c>
      <c r="AA65" t="e">
        <f>VLOOKUP(#REF!,'Pay Table'!$M$3:$O$18,3,FALSE)</f>
        <v>#REF!</v>
      </c>
      <c r="AC65">
        <f t="array" ref="AC65">IFERROR(VLOOKUP('Free Game'!B61,'Pay Table'!$M$3:$O$18,3,FALSE),"")</f>
        <v>3</v>
      </c>
      <c r="AD65">
        <f>IFERROR(VLOOKUP('Free Game'!D61,'Pay Table'!$M$3:$O$18,3,FALSE),"")</f>
        <v>7</v>
      </c>
      <c r="AE65">
        <f>IFERROR(VLOOKUP('Free Game'!F61,'Pay Table'!$M$3:$O$18,3,FALSE),"")</f>
        <v>8</v>
      </c>
      <c r="AF65">
        <f t="array" ref="AF65">IFERROR(VLOOKUP('Free Game'!H61,'Pay Table'!$M$3:$O$18,3,FALSE),"")</f>
        <v>3</v>
      </c>
      <c r="AG65">
        <f t="array" ref="AG65">IFERROR(VLOOKUP('Free Game'!J61,'Pay Table'!$M$3:$O$18,3,FALSE),"")</f>
        <v>1</v>
      </c>
      <c r="AI65">
        <f>IF('Free Game'!C61=0,"",'Free Game'!C61)</f>
        <v>100</v>
      </c>
      <c r="AJ65">
        <f>IF('Free Game'!E61=0,"",'Free Game'!E61)</f>
        <v>100</v>
      </c>
      <c r="AK65">
        <f>IF('Free Game'!G61=0,"",'Free Game'!G61)</f>
        <v>100</v>
      </c>
      <c r="AL65">
        <f>IF('Free Game'!I61=0,"",'Free Game'!I61)</f>
        <v>100</v>
      </c>
      <c r="AM65">
        <f>IF('Free Game'!K61=0,"",'Free Game'!K61)</f>
        <v>100</v>
      </c>
    </row>
    <row r="66" spans="1:39" ht="15" x14ac:dyDescent="0.25">
      <c r="A66" s="39"/>
      <c r="B66" s="10"/>
      <c r="C66" s="103"/>
      <c r="D66" s="10"/>
      <c r="E66" s="103"/>
      <c r="F66" s="10"/>
      <c r="G66" s="103"/>
      <c r="H66" s="10"/>
      <c r="I66" s="103"/>
      <c r="K66">
        <f>IFERROR(VLOOKUP('Base Game '!B63,'Pay Table'!$M$3:$O$18,3,FALSE),"")</f>
        <v>4</v>
      </c>
      <c r="L66">
        <f>IFERROR(VLOOKUP('Base Game '!D63,'Pay Table'!$M$3:$O$18,3,FALSE),"")</f>
        <v>9</v>
      </c>
      <c r="M66" t="str">
        <f t="array" ref="M66">IFERROR(VLOOKUP('Base Game '!F63,'Pay Table'!$M$3:$O$18,3,FALSE),"")</f>
        <v/>
      </c>
      <c r="N66">
        <f t="array" ref="N66">IFERROR(VLOOKUP('Base Game '!H63,'Pay Table'!$M$3:$O$18,3,FALSE),"")</f>
        <v>9</v>
      </c>
      <c r="O66">
        <f t="array" ref="O66">IFERROR(VLOOKUP('Base Game '!J63,'Pay Table'!$M$3:$O$18,3,FALSE),"")</f>
        <v>8</v>
      </c>
      <c r="Q66">
        <f t="array" ref="Q66">IF('Base Game '!C63=0,"",'Base Game '!C63)</f>
        <v>100</v>
      </c>
      <c r="R66">
        <f>IF('Base Game '!E63=0,"",'Base Game '!E63)</f>
        <v>100</v>
      </c>
      <c r="S66" t="str">
        <f>IF('Base Game '!G63=0,"",'Base Game '!G63)</f>
        <v/>
      </c>
      <c r="T66">
        <f>IF('Base Game '!I63=0,"",'Base Game '!I63)</f>
        <v>100</v>
      </c>
      <c r="U66">
        <f>IF('Base Game '!K63=0,"",'Base Game '!K63)</f>
        <v>100</v>
      </c>
      <c r="W66" t="e">
        <f>VLOOKUP(#REF!,'Pay Table'!$M$3:$O$18,3,FALSE)</f>
        <v>#REF!</v>
      </c>
      <c r="X66" t="e">
        <f>VLOOKUP(#REF!,'Pay Table'!$M$3:$O$18,3,FALSE)</f>
        <v>#REF!</v>
      </c>
      <c r="Y66" t="e">
        <f>VLOOKUP(#REF!,'Pay Table'!$M$3:$O$18,3,FALSE)</f>
        <v>#REF!</v>
      </c>
      <c r="Z66" t="e">
        <f>VLOOKUP(#REF!,'Pay Table'!$M$3:$O$18,3,FALSE)</f>
        <v>#REF!</v>
      </c>
      <c r="AA66" t="e">
        <f>VLOOKUP(#REF!,'Pay Table'!$M$3:$O$18,3,FALSE)</f>
        <v>#REF!</v>
      </c>
      <c r="AC66">
        <f t="array" ref="AC66">IFERROR(VLOOKUP('Free Game'!B62,'Pay Table'!$M$3:$O$18,3,FALSE),"")</f>
        <v>4</v>
      </c>
      <c r="AD66">
        <f>IFERROR(VLOOKUP('Free Game'!D62,'Pay Table'!$M$3:$O$18,3,FALSE),"")</f>
        <v>4</v>
      </c>
      <c r="AE66" t="str">
        <f>IFERROR(VLOOKUP('Free Game'!F62,'Pay Table'!$M$3:$O$18,3,FALSE),"")</f>
        <v/>
      </c>
      <c r="AF66" t="str">
        <f t="array" ref="AF66">IFERROR(VLOOKUP('Free Game'!H62,'Pay Table'!$M$3:$O$18,3,FALSE),"")</f>
        <v>"w"</v>
      </c>
      <c r="AG66">
        <f t="array" ref="AG66">IFERROR(VLOOKUP('Free Game'!J62,'Pay Table'!$M$3:$O$18,3,FALSE),"")</f>
        <v>1</v>
      </c>
      <c r="AI66">
        <f>IF('Free Game'!C62=0,"",'Free Game'!C62)</f>
        <v>100</v>
      </c>
      <c r="AJ66">
        <f>IF('Free Game'!E62=0,"",'Free Game'!E62)</f>
        <v>100</v>
      </c>
      <c r="AK66" t="str">
        <f>IF('Free Game'!G62=0,"",'Free Game'!G62)</f>
        <v/>
      </c>
      <c r="AL66">
        <f>IF('Free Game'!I62=0,"",'Free Game'!I62)</f>
        <v>100</v>
      </c>
      <c r="AM66">
        <f>IF('Free Game'!K62=0,"",'Free Game'!K62)</f>
        <v>100</v>
      </c>
    </row>
    <row r="67" spans="1:39" ht="15" x14ac:dyDescent="0.25">
      <c r="A67" s="39"/>
      <c r="B67" s="10"/>
      <c r="C67" s="103"/>
      <c r="D67" s="10"/>
      <c r="E67" s="103"/>
      <c r="F67" s="10"/>
      <c r="G67" s="103"/>
      <c r="H67" s="10"/>
      <c r="I67" s="103"/>
      <c r="K67">
        <f>IFERROR(VLOOKUP('Base Game '!B64,'Pay Table'!$M$3:$O$18,3,FALSE),"")</f>
        <v>6</v>
      </c>
      <c r="L67" t="str">
        <f>IFERROR(VLOOKUP('Base Game '!D64,'Pay Table'!$M$3:$O$18,3,FALSE),"")</f>
        <v/>
      </c>
      <c r="M67" t="str">
        <f t="array" ref="M67">IFERROR(VLOOKUP('Base Game '!F64,'Pay Table'!$M$3:$O$18,3,FALSE),"")</f>
        <v/>
      </c>
      <c r="N67">
        <f t="array" ref="N67">IFERROR(VLOOKUP('Base Game '!H64,'Pay Table'!$M$3:$O$18,3,FALSE),"")</f>
        <v>8</v>
      </c>
      <c r="O67">
        <f t="array" ref="O67">IFERROR(VLOOKUP('Base Game '!J64,'Pay Table'!$M$3:$O$18,3,FALSE),"")</f>
        <v>2</v>
      </c>
      <c r="Q67">
        <f t="array" ref="Q67">IF('Base Game '!C64=0,"",'Base Game '!C64)</f>
        <v>100</v>
      </c>
      <c r="R67" t="str">
        <f>IF('Base Game '!E64=0,"",'Base Game '!E64)</f>
        <v/>
      </c>
      <c r="S67" t="str">
        <f>IF('Base Game '!G64=0,"",'Base Game '!G64)</f>
        <v/>
      </c>
      <c r="T67">
        <f>IF('Base Game '!I64=0,"",'Base Game '!I64)</f>
        <v>100</v>
      </c>
      <c r="U67">
        <f>IF('Base Game '!K64=0,"",'Base Game '!K64)</f>
        <v>100</v>
      </c>
      <c r="W67" t="e">
        <f>VLOOKUP(#REF!,'Pay Table'!$M$3:$O$18,3,FALSE)</f>
        <v>#REF!</v>
      </c>
      <c r="X67" t="e">
        <f>VLOOKUP(#REF!,'Pay Table'!$M$3:$O$18,3,FALSE)</f>
        <v>#REF!</v>
      </c>
      <c r="Y67" t="e">
        <f>VLOOKUP(#REF!,'Pay Table'!$M$3:$O$18,3,FALSE)</f>
        <v>#REF!</v>
      </c>
      <c r="Z67" t="e">
        <f>VLOOKUP(#REF!,'Pay Table'!$M$3:$O$18,3,FALSE)</f>
        <v>#REF!</v>
      </c>
      <c r="AA67" t="e">
        <f>VLOOKUP(#REF!,'Pay Table'!$M$3:$O$18,3,FALSE)</f>
        <v>#REF!</v>
      </c>
      <c r="AC67">
        <f t="array" ref="AC67">IFERROR(VLOOKUP('Free Game'!B63,'Pay Table'!$M$3:$O$18,3,FALSE),"")</f>
        <v>6</v>
      </c>
      <c r="AD67" t="str">
        <f>IFERROR(VLOOKUP('Free Game'!D63,'Pay Table'!$M$3:$O$18,3,FALSE),"")</f>
        <v/>
      </c>
      <c r="AE67" t="str">
        <f>IFERROR(VLOOKUP('Free Game'!F63,'Pay Table'!$M$3:$O$18,3,FALSE),"")</f>
        <v/>
      </c>
      <c r="AF67">
        <f t="array" ref="AF67">IFERROR(VLOOKUP('Free Game'!H63,'Pay Table'!$M$3:$O$18,3,FALSE),"")</f>
        <v>5</v>
      </c>
      <c r="AG67">
        <f t="array" ref="AG67">IFERROR(VLOOKUP('Free Game'!J63,'Pay Table'!$M$3:$O$18,3,FALSE),"")</f>
        <v>8</v>
      </c>
      <c r="AI67">
        <f>IF('Free Game'!C63=0,"",'Free Game'!C63)</f>
        <v>100</v>
      </c>
      <c r="AJ67" t="str">
        <f>IF('Free Game'!E63=0,"",'Free Game'!E63)</f>
        <v/>
      </c>
      <c r="AK67" t="str">
        <f>IF('Free Game'!G63=0,"",'Free Game'!G63)</f>
        <v/>
      </c>
      <c r="AL67">
        <f>IF('Free Game'!I63=0,"",'Free Game'!I63)</f>
        <v>100</v>
      </c>
      <c r="AM67">
        <f>IF('Free Game'!K63=0,"",'Free Game'!K63)</f>
        <v>100</v>
      </c>
    </row>
    <row r="68" spans="1:39" ht="15" x14ac:dyDescent="0.25">
      <c r="A68" s="39"/>
      <c r="B68" s="10"/>
      <c r="C68" s="103"/>
      <c r="D68" s="10"/>
      <c r="E68" s="103"/>
      <c r="F68" s="10"/>
      <c r="G68" s="103"/>
      <c r="H68" s="10"/>
      <c r="I68" s="103"/>
      <c r="K68">
        <f>IFERROR(VLOOKUP('Base Game '!B65,'Pay Table'!$M$3:$O$18,3,FALSE),"")</f>
        <v>3</v>
      </c>
      <c r="L68" t="str">
        <f>IFERROR(VLOOKUP('Base Game '!D65,'Pay Table'!$M$3:$O$18,3,FALSE),"")</f>
        <v/>
      </c>
      <c r="M68" t="str">
        <f t="array" ref="M68">IFERROR(VLOOKUP('Base Game '!F65,'Pay Table'!$M$3:$O$18,3,FALSE),"")</f>
        <v/>
      </c>
      <c r="N68" t="str">
        <f t="array" ref="N68">IFERROR(VLOOKUP('Base Game '!H65,'Pay Table'!$M$3:$O$18,3,FALSE),"")</f>
        <v>"w"</v>
      </c>
      <c r="O68">
        <f t="array" ref="O68">IFERROR(VLOOKUP('Base Game '!J65,'Pay Table'!$M$3:$O$18,3,FALSE),"")</f>
        <v>2</v>
      </c>
      <c r="Q68">
        <f t="array" ref="Q68">IF('Base Game '!C65=0,"",'Base Game '!C65)</f>
        <v>100</v>
      </c>
      <c r="R68" t="str">
        <f>IF('Base Game '!E65=0,"",'Base Game '!E65)</f>
        <v/>
      </c>
      <c r="S68" t="str">
        <f>IF('Base Game '!G65=0,"",'Base Game '!G65)</f>
        <v/>
      </c>
      <c r="T68">
        <f>IF('Base Game '!I65=0,"",'Base Game '!I65)</f>
        <v>100</v>
      </c>
      <c r="U68">
        <f>IF('Base Game '!K65=0,"",'Base Game '!K65)</f>
        <v>100</v>
      </c>
      <c r="W68" t="e">
        <f>VLOOKUP(#REF!,'Pay Table'!$M$3:$O$18,3,FALSE)</f>
        <v>#REF!</v>
      </c>
      <c r="X68" t="e">
        <f>VLOOKUP(#REF!,'Pay Table'!$M$3:$O$18,3,FALSE)</f>
        <v>#REF!</v>
      </c>
      <c r="Y68" t="e">
        <f>VLOOKUP(#REF!,'Pay Table'!$M$3:$O$18,3,FALSE)</f>
        <v>#REF!</v>
      </c>
      <c r="Z68" t="e">
        <f>VLOOKUP(#REF!,'Pay Table'!$M$3:$O$18,3,FALSE)</f>
        <v>#REF!</v>
      </c>
      <c r="AA68" t="e">
        <f>VLOOKUP(#REF!,'Pay Table'!$M$3:$O$18,3,FALSE)</f>
        <v>#REF!</v>
      </c>
      <c r="AC68">
        <f t="array" ref="AC68">IFERROR(VLOOKUP('Free Game'!B64,'Pay Table'!$M$3:$O$18,3,FALSE),"")</f>
        <v>7</v>
      </c>
      <c r="AD68" t="str">
        <f>IFERROR(VLOOKUP('Free Game'!D64,'Pay Table'!$M$3:$O$18,3,FALSE),"")</f>
        <v/>
      </c>
      <c r="AE68" t="str">
        <f>IFERROR(VLOOKUP('Free Game'!F64,'Pay Table'!$M$3:$O$18,3,FALSE),"")</f>
        <v/>
      </c>
      <c r="AF68">
        <f t="array" ref="AF68">IFERROR(VLOOKUP('Free Game'!H64,'Pay Table'!$M$3:$O$18,3,FALSE),"")</f>
        <v>6</v>
      </c>
      <c r="AG68">
        <f t="array" ref="AG68">IFERROR(VLOOKUP('Free Game'!J64,'Pay Table'!$M$3:$O$18,3,FALSE),"")</f>
        <v>5</v>
      </c>
      <c r="AI68">
        <f>IF('Free Game'!C64=0,"",'Free Game'!C64)</f>
        <v>100</v>
      </c>
      <c r="AJ68" t="str">
        <f>IF('Free Game'!E64=0,"",'Free Game'!E64)</f>
        <v/>
      </c>
      <c r="AK68" t="str">
        <f>IF('Free Game'!G64=0,"",'Free Game'!G64)</f>
        <v/>
      </c>
      <c r="AL68">
        <f>IF('Free Game'!I64=0,"",'Free Game'!I64)</f>
        <v>100</v>
      </c>
      <c r="AM68">
        <f>IF('Free Game'!K64=0,"",'Free Game'!K64)</f>
        <v>100</v>
      </c>
    </row>
    <row r="69" spans="1:39" ht="15" x14ac:dyDescent="0.25">
      <c r="A69" s="39"/>
      <c r="B69" s="10"/>
      <c r="C69" s="103"/>
      <c r="D69" s="10"/>
      <c r="E69" s="103"/>
      <c r="F69" s="10"/>
      <c r="G69" s="103"/>
      <c r="H69" s="10"/>
      <c r="I69" s="103"/>
      <c r="K69">
        <f>IFERROR(VLOOKUP('Base Game '!B66,'Pay Table'!$M$3:$O$18,3,FALSE),"")</f>
        <v>4</v>
      </c>
      <c r="L69" t="str">
        <f>IFERROR(VLOOKUP('Base Game '!D66,'Pay Table'!$M$3:$O$18,3,FALSE),"")</f>
        <v/>
      </c>
      <c r="M69" t="str">
        <f t="array" ref="M69">IFERROR(VLOOKUP('Base Game '!F66,'Pay Table'!$M$3:$O$18,3,FALSE),"")</f>
        <v/>
      </c>
      <c r="N69">
        <f t="array" ref="N69">IFERROR(VLOOKUP('Base Game '!H66,'Pay Table'!$M$3:$O$18,3,FALSE),"")</f>
        <v>8</v>
      </c>
      <c r="O69">
        <f t="array" ref="O69">IFERROR(VLOOKUP('Base Game '!J66,'Pay Table'!$M$3:$O$18,3,FALSE),"")</f>
        <v>2</v>
      </c>
      <c r="Q69">
        <f t="array" ref="Q69">IF('Base Game '!C66=0,"",'Base Game '!C66)</f>
        <v>100</v>
      </c>
      <c r="R69" t="str">
        <f>IF('Base Game '!E66=0,"",'Base Game '!E66)</f>
        <v/>
      </c>
      <c r="S69" t="str">
        <f>IF('Base Game '!G66=0,"",'Base Game '!G66)</f>
        <v/>
      </c>
      <c r="T69">
        <f>IF('Base Game '!I66=0,"",'Base Game '!I66)</f>
        <v>100</v>
      </c>
      <c r="U69">
        <f>IF('Base Game '!K66=0,"",'Base Game '!K66)</f>
        <v>100</v>
      </c>
      <c r="W69" t="e">
        <f>VLOOKUP(#REF!,'Pay Table'!$M$3:$O$18,3,FALSE)</f>
        <v>#REF!</v>
      </c>
      <c r="X69" t="e">
        <f>VLOOKUP(#REF!,'Pay Table'!$M$3:$O$18,3,FALSE)</f>
        <v>#REF!</v>
      </c>
      <c r="Y69" t="e">
        <f>VLOOKUP(#REF!,'Pay Table'!$M$3:$O$18,3,FALSE)</f>
        <v>#REF!</v>
      </c>
      <c r="Z69" t="e">
        <f>VLOOKUP(#REF!,'Pay Table'!$M$3:$O$18,3,FALSE)</f>
        <v>#REF!</v>
      </c>
      <c r="AA69" t="e">
        <f>VLOOKUP(#REF!,'Pay Table'!$M$3:$O$18,3,FALSE)</f>
        <v>#REF!</v>
      </c>
      <c r="AC69">
        <f t="array" ref="AC69">IFERROR(VLOOKUP('Free Game'!B65,'Pay Table'!$M$3:$O$18,3,FALSE),"")</f>
        <v>4</v>
      </c>
      <c r="AD69" t="str">
        <f>IFERROR(VLOOKUP('Free Game'!D65,'Pay Table'!$M$3:$O$18,3,FALSE),"")</f>
        <v/>
      </c>
      <c r="AE69" t="str">
        <f>IFERROR(VLOOKUP('Free Game'!F65,'Pay Table'!$M$3:$O$18,3,FALSE),"")</f>
        <v/>
      </c>
      <c r="AF69">
        <f t="array" ref="AF69">IFERROR(VLOOKUP('Free Game'!H65,'Pay Table'!$M$3:$O$18,3,FALSE),"")</f>
        <v>3</v>
      </c>
      <c r="AG69">
        <f t="array" ref="AG69">IFERROR(VLOOKUP('Free Game'!J65,'Pay Table'!$M$3:$O$18,3,FALSE),"")</f>
        <v>5</v>
      </c>
      <c r="AI69">
        <f>IF('Free Game'!C65=0,"",'Free Game'!C65)</f>
        <v>100</v>
      </c>
      <c r="AJ69" t="str">
        <f>IF('Free Game'!E65=0,"",'Free Game'!E65)</f>
        <v/>
      </c>
      <c r="AK69" t="str">
        <f>IF('Free Game'!G65=0,"",'Free Game'!G65)</f>
        <v/>
      </c>
      <c r="AL69">
        <f>IF('Free Game'!I65=0,"",'Free Game'!I65)</f>
        <v>100</v>
      </c>
      <c r="AM69">
        <f>IF('Free Game'!K65=0,"",'Free Game'!K65)</f>
        <v>100</v>
      </c>
    </row>
    <row r="70" spans="1:39" ht="15" x14ac:dyDescent="0.25">
      <c r="A70" s="39"/>
      <c r="B70" s="10"/>
      <c r="C70" s="103"/>
      <c r="D70" s="10"/>
      <c r="E70" s="103"/>
      <c r="F70" s="10"/>
      <c r="G70" s="103"/>
      <c r="H70" s="10"/>
      <c r="I70" s="103"/>
      <c r="K70" t="str">
        <f>IFERROR(VLOOKUP('Base Game '!B67,'Pay Table'!$M$3:$O$18,3,FALSE),"")</f>
        <v/>
      </c>
      <c r="L70" t="str">
        <f>IFERROR(VLOOKUP('Base Game '!D67,'Pay Table'!$M$3:$O$18,3,FALSE),"")</f>
        <v/>
      </c>
      <c r="M70" t="str">
        <f t="array" ref="M70">IFERROR(VLOOKUP('Base Game '!F67,'Pay Table'!$M$3:$O$18,3,FALSE),"")</f>
        <v/>
      </c>
      <c r="N70">
        <f t="array" ref="N70">IFERROR(VLOOKUP('Base Game '!H67,'Pay Table'!$M$3:$O$18,3,FALSE),"")</f>
        <v>9</v>
      </c>
      <c r="O70">
        <f t="array" ref="O70">IFERROR(VLOOKUP('Base Game '!J67,'Pay Table'!$M$3:$O$18,3,FALSE),"")</f>
        <v>8</v>
      </c>
      <c r="Q70" t="str">
        <f t="array" ref="Q70">IF('Base Game '!C67=0,"",'Base Game '!C67)</f>
        <v/>
      </c>
      <c r="R70" t="str">
        <f>IF('Base Game '!E67=0,"",'Base Game '!E67)</f>
        <v/>
      </c>
      <c r="S70" t="str">
        <f>IF('Base Game '!G67=0,"",'Base Game '!G67)</f>
        <v/>
      </c>
      <c r="T70">
        <f>IF('Base Game '!I67=0,"",'Base Game '!I67)</f>
        <v>100</v>
      </c>
      <c r="U70">
        <f>IF('Base Game '!K67=0,"",'Base Game '!K67)</f>
        <v>100</v>
      </c>
      <c r="W70" t="e">
        <f>VLOOKUP(#REF!,'Pay Table'!$M$3:$O$18,3,FALSE)</f>
        <v>#REF!</v>
      </c>
      <c r="X70" t="e">
        <f>VLOOKUP(#REF!,'Pay Table'!$M$3:$O$18,3,FALSE)</f>
        <v>#REF!</v>
      </c>
      <c r="Y70" t="e">
        <f>VLOOKUP(#REF!,'Pay Table'!$M$3:$O$18,3,FALSE)</f>
        <v>#REF!</v>
      </c>
      <c r="Z70" t="e">
        <f>VLOOKUP(#REF!,'Pay Table'!$M$3:$O$18,3,FALSE)</f>
        <v>#REF!</v>
      </c>
      <c r="AA70" t="e">
        <f>VLOOKUP(#REF!,'Pay Table'!$M$3:$O$18,3,FALSE)</f>
        <v>#REF!</v>
      </c>
      <c r="AC70" t="str">
        <f t="array" ref="AC70">IFERROR(VLOOKUP('Free Game'!B66,'Pay Table'!$M$3:$O$18,3,FALSE),"")</f>
        <v/>
      </c>
      <c r="AD70" t="str">
        <f>IFERROR(VLOOKUP('Free Game'!D66,'Pay Table'!$M$3:$O$18,3,FALSE),"")</f>
        <v/>
      </c>
      <c r="AE70" t="str">
        <f>IFERROR(VLOOKUP('Free Game'!F66,'Pay Table'!$M$3:$O$18,3,FALSE),"")</f>
        <v/>
      </c>
      <c r="AF70" t="str">
        <f t="array" ref="AF70">IFERROR(VLOOKUP('Free Game'!H66,'Pay Table'!$M$3:$O$18,3,FALSE),"")</f>
        <v>"w"</v>
      </c>
      <c r="AG70">
        <f t="array" ref="AG70">IFERROR(VLOOKUP('Free Game'!J66,'Pay Table'!$M$3:$O$18,3,FALSE),"")</f>
        <v>4</v>
      </c>
      <c r="AI70" t="str">
        <f>IF('Free Game'!C66=0,"",'Free Game'!C66)</f>
        <v/>
      </c>
      <c r="AJ70" t="str">
        <f>IF('Free Game'!E66=0,"",'Free Game'!E66)</f>
        <v/>
      </c>
      <c r="AK70" t="str">
        <f>IF('Free Game'!G66=0,"",'Free Game'!G66)</f>
        <v/>
      </c>
      <c r="AL70">
        <f>IF('Free Game'!I66=0,"",'Free Game'!I66)</f>
        <v>100</v>
      </c>
      <c r="AM70">
        <f>IF('Free Game'!K66=0,"",'Free Game'!K66)</f>
        <v>100</v>
      </c>
    </row>
    <row r="71" spans="1:39" ht="15" x14ac:dyDescent="0.25">
      <c r="A71" s="39"/>
      <c r="B71" s="10"/>
      <c r="C71" s="103"/>
      <c r="D71" s="10"/>
      <c r="E71" s="103"/>
      <c r="F71" s="10"/>
      <c r="G71" s="103"/>
      <c r="H71" s="10"/>
      <c r="I71" s="103"/>
      <c r="K71" t="str">
        <f>IFERROR(VLOOKUP('Base Game '!B68,'Pay Table'!$M$3:$O$18,3,FALSE),"")</f>
        <v/>
      </c>
      <c r="L71" t="str">
        <f>IFERROR(VLOOKUP('Base Game '!D68,'Pay Table'!$M$3:$O$18,3,FALSE),"")</f>
        <v/>
      </c>
      <c r="M71" t="str">
        <f t="array" ref="M71">IFERROR(VLOOKUP('Base Game '!F68,'Pay Table'!$M$3:$O$18,3,FALSE),"")</f>
        <v/>
      </c>
      <c r="N71">
        <f t="array" ref="N71">IFERROR(VLOOKUP('Base Game '!H68,'Pay Table'!$M$3:$O$18,3,FALSE),"")</f>
        <v>7</v>
      </c>
      <c r="O71">
        <f t="array" ref="O71">IFERROR(VLOOKUP('Base Game '!J68,'Pay Table'!$M$3:$O$18,3,FALSE),"")</f>
        <v>7</v>
      </c>
      <c r="Q71" t="str">
        <f t="array" ref="Q71">IF('Base Game '!C68=0,"",'Base Game '!C68)</f>
        <v/>
      </c>
      <c r="R71" t="str">
        <f>IF('Base Game '!E68=0,"",'Base Game '!E68)</f>
        <v/>
      </c>
      <c r="S71" t="str">
        <f>IF('Base Game '!G68=0,"",'Base Game '!G68)</f>
        <v/>
      </c>
      <c r="T71">
        <f>IF('Base Game '!I68=0,"",'Base Game '!I68)</f>
        <v>100</v>
      </c>
      <c r="U71">
        <f>IF('Base Game '!K68=0,"",'Base Game '!K68)</f>
        <v>100</v>
      </c>
      <c r="W71" t="e">
        <f>VLOOKUP(#REF!,'Pay Table'!$M$3:$O$18,3,FALSE)</f>
        <v>#REF!</v>
      </c>
      <c r="X71" t="e">
        <f>VLOOKUP(#REF!,'Pay Table'!$M$3:$O$18,3,FALSE)</f>
        <v>#REF!</v>
      </c>
      <c r="Y71" t="e">
        <f>VLOOKUP(#REF!,'Pay Table'!$M$3:$O$18,3,FALSE)</f>
        <v>#REF!</v>
      </c>
      <c r="Z71" t="e">
        <f>VLOOKUP(#REF!,'Pay Table'!$M$3:$O$18,3,FALSE)</f>
        <v>#REF!</v>
      </c>
      <c r="AA71" t="e">
        <f>VLOOKUP(#REF!,'Pay Table'!$M$3:$O$18,3,FALSE)</f>
        <v>#REF!</v>
      </c>
      <c r="AC71" t="str">
        <f t="array" ref="AC71">IFERROR(VLOOKUP('Free Game'!B67,'Pay Table'!$M$3:$O$18,3,FALSE),"")</f>
        <v/>
      </c>
      <c r="AD71" t="str">
        <f>IFERROR(VLOOKUP('Free Game'!D67,'Pay Table'!$M$3:$O$18,3,FALSE),"")</f>
        <v/>
      </c>
      <c r="AE71" t="str">
        <f>IFERROR(VLOOKUP('Free Game'!F67,'Pay Table'!$M$3:$O$18,3,FALSE),"")</f>
        <v/>
      </c>
      <c r="AF71">
        <f t="array" ref="AF71">IFERROR(VLOOKUP('Free Game'!H67,'Pay Table'!$M$3:$O$18,3,FALSE),"")</f>
        <v>4</v>
      </c>
      <c r="AG71">
        <f t="array" ref="AG71">IFERROR(VLOOKUP('Free Game'!J67,'Pay Table'!$M$3:$O$18,3,FALSE),"")</f>
        <v>7</v>
      </c>
      <c r="AI71" t="str">
        <f>IF('Free Game'!C67=0,"",'Free Game'!C67)</f>
        <v/>
      </c>
      <c r="AJ71" t="str">
        <f>IF('Free Game'!E67=0,"",'Free Game'!E67)</f>
        <v/>
      </c>
      <c r="AK71" t="str">
        <f>IF('Free Game'!G67=0,"",'Free Game'!G67)</f>
        <v/>
      </c>
      <c r="AL71">
        <f>IF('Free Game'!I67=0,"",'Free Game'!I67)</f>
        <v>100</v>
      </c>
      <c r="AM71">
        <f>IF('Free Game'!K67=0,"",'Free Game'!K67)</f>
        <v>100</v>
      </c>
    </row>
    <row r="72" spans="1:39" ht="15" x14ac:dyDescent="0.25">
      <c r="A72" s="39"/>
      <c r="B72" s="10"/>
      <c r="C72" s="103"/>
      <c r="D72" s="10"/>
      <c r="E72" s="103"/>
      <c r="F72" s="10"/>
      <c r="G72" s="103"/>
      <c r="H72" s="10"/>
      <c r="I72" s="103"/>
      <c r="K72" t="str">
        <f>IFERROR(VLOOKUP('Base Game '!B69,'Pay Table'!$M$3:$O$18,3,FALSE),"")</f>
        <v/>
      </c>
      <c r="L72" t="str">
        <f>IFERROR(VLOOKUP('Base Game '!D69,'Pay Table'!$M$3:$O$18,3,FALSE),"")</f>
        <v/>
      </c>
      <c r="M72" t="str">
        <f t="array" ref="M72">IFERROR(VLOOKUP('Base Game '!F69,'Pay Table'!$M$3:$O$18,3,FALSE),"")</f>
        <v/>
      </c>
      <c r="N72">
        <f t="array" ref="N72">IFERROR(VLOOKUP('Base Game '!H69,'Pay Table'!$M$3:$O$18,3,FALSE),"")</f>
        <v>2</v>
      </c>
      <c r="O72" t="str">
        <f t="array" ref="O72">IFERROR(VLOOKUP('Base Game '!J69,'Pay Table'!$M$3:$O$18,3,FALSE),"")</f>
        <v>"w"</v>
      </c>
      <c r="Q72" t="str">
        <f t="array" ref="Q72">IF('Base Game '!C69=0,"",'Base Game '!C69)</f>
        <v/>
      </c>
      <c r="R72" t="str">
        <f>IF('Base Game '!E69=0,"",'Base Game '!E69)</f>
        <v/>
      </c>
      <c r="S72" t="str">
        <f>IF('Base Game '!G69=0,"",'Base Game '!G69)</f>
        <v/>
      </c>
      <c r="T72">
        <f>IF('Base Game '!I69=0,"",'Base Game '!I69)</f>
        <v>100</v>
      </c>
      <c r="U72">
        <f>IF('Base Game '!K69=0,"",'Base Game '!K69)</f>
        <v>100</v>
      </c>
      <c r="W72" t="e">
        <f>VLOOKUP(#REF!,'Pay Table'!$M$3:$O$18,3,FALSE)</f>
        <v>#REF!</v>
      </c>
      <c r="X72" t="e">
        <f>VLOOKUP(#REF!,'Pay Table'!$M$3:$O$18,3,FALSE)</f>
        <v>#REF!</v>
      </c>
      <c r="Y72" t="e">
        <f>VLOOKUP(#REF!,'Pay Table'!$M$3:$O$18,3,FALSE)</f>
        <v>#REF!</v>
      </c>
      <c r="Z72" t="e">
        <f>VLOOKUP(#REF!,'Pay Table'!$M$3:$O$18,3,FALSE)</f>
        <v>#REF!</v>
      </c>
      <c r="AA72" t="e">
        <f>VLOOKUP(#REF!,'Pay Table'!$M$3:$O$18,3,FALSE)</f>
        <v>#REF!</v>
      </c>
      <c r="AC72" t="str">
        <f t="array" ref="AC72">IFERROR(VLOOKUP('Free Game'!B68,'Pay Table'!$M$3:$O$18,3,FALSE),"")</f>
        <v/>
      </c>
      <c r="AD72" t="str">
        <f>IFERROR(VLOOKUP('Free Game'!D68,'Pay Table'!$M$3:$O$18,3,FALSE),"")</f>
        <v/>
      </c>
      <c r="AE72" t="str">
        <f>IFERROR(VLOOKUP('Free Game'!F68,'Pay Table'!$M$3:$O$18,3,FALSE),"")</f>
        <v/>
      </c>
      <c r="AF72">
        <f t="array" ref="AF72">IFERROR(VLOOKUP('Free Game'!H68,'Pay Table'!$M$3:$O$18,3,FALSE),"")</f>
        <v>9</v>
      </c>
      <c r="AG72" t="str">
        <f t="array" ref="AG72">IFERROR(VLOOKUP('Free Game'!J68,'Pay Table'!$M$3:$O$18,3,FALSE),"")</f>
        <v>"w"</v>
      </c>
      <c r="AI72" t="str">
        <f>IF('Free Game'!C68=0,"",'Free Game'!C68)</f>
        <v/>
      </c>
      <c r="AJ72" t="str">
        <f>IF('Free Game'!E68=0,"",'Free Game'!E68)</f>
        <v/>
      </c>
      <c r="AK72" t="str">
        <f>IF('Free Game'!G68=0,"",'Free Game'!G68)</f>
        <v/>
      </c>
      <c r="AL72">
        <f>IF('Free Game'!I68=0,"",'Free Game'!I68)</f>
        <v>100</v>
      </c>
      <c r="AM72">
        <f>IF('Free Game'!K68=0,"",'Free Game'!K68)</f>
        <v>100</v>
      </c>
    </row>
    <row r="73" spans="1:39" ht="15" x14ac:dyDescent="0.25">
      <c r="A73" s="39"/>
      <c r="B73" s="10"/>
      <c r="C73" s="103"/>
      <c r="D73" s="10"/>
      <c r="E73" s="103"/>
      <c r="F73" s="10"/>
      <c r="G73" s="103"/>
      <c r="H73" s="10"/>
      <c r="I73" s="103"/>
      <c r="K73" t="str">
        <f>IFERROR(VLOOKUP('Base Game '!B70,'Pay Table'!$M$3:$O$18,3,FALSE),"")</f>
        <v/>
      </c>
      <c r="L73" t="str">
        <f>IFERROR(VLOOKUP('Base Game '!D70,'Pay Table'!$M$3:$O$18,3,FALSE),"")</f>
        <v/>
      </c>
      <c r="M73" t="str">
        <f t="array" ref="M73">IFERROR(VLOOKUP('Base Game '!F70,'Pay Table'!$M$3:$O$18,3,FALSE),"")</f>
        <v/>
      </c>
      <c r="N73">
        <f t="array" ref="N73">IFERROR(VLOOKUP('Base Game '!H70,'Pay Table'!$M$3:$O$18,3,FALSE),"")</f>
        <v>2</v>
      </c>
      <c r="O73">
        <f t="array" ref="O73">IFERROR(VLOOKUP('Base Game '!J70,'Pay Table'!$M$3:$O$18,3,FALSE),"")</f>
        <v>7</v>
      </c>
      <c r="Q73" t="str">
        <f t="array" ref="Q73">IF('Base Game '!C70=0,"",'Base Game '!C70)</f>
        <v/>
      </c>
      <c r="R73" t="str">
        <f>IF('Base Game '!E70=0,"",'Base Game '!E70)</f>
        <v/>
      </c>
      <c r="S73" t="str">
        <f>IF('Base Game '!G70=0,"",'Base Game '!G70)</f>
        <v/>
      </c>
      <c r="T73">
        <f>IF('Base Game '!I70=0,"",'Base Game '!I70)</f>
        <v>100</v>
      </c>
      <c r="U73">
        <f>IF('Base Game '!K70=0,"",'Base Game '!K70)</f>
        <v>100</v>
      </c>
      <c r="X73" t="e">
        <f>VLOOKUP(#REF!,'Pay Table'!$M$3:$O$18,3,FALSE)</f>
        <v>#REF!</v>
      </c>
      <c r="Y73" t="e">
        <f>VLOOKUP(#REF!,'Pay Table'!$M$3:$O$18,3,FALSE)</f>
        <v>#REF!</v>
      </c>
      <c r="Z73" t="e">
        <f>VLOOKUP(#REF!,'Pay Table'!$M$3:$O$18,3,FALSE)</f>
        <v>#REF!</v>
      </c>
      <c r="AA73" t="e">
        <f>VLOOKUP(#REF!,'Pay Table'!$M$3:$O$18,3,FALSE)</f>
        <v>#REF!</v>
      </c>
      <c r="AC73" t="str">
        <f t="array" ref="AC73">IFERROR(VLOOKUP('Free Game'!B69,'Pay Table'!$M$3:$O$18,3,FALSE),"")</f>
        <v/>
      </c>
      <c r="AD73" t="str">
        <f>IFERROR(VLOOKUP('Free Game'!D69,'Pay Table'!$M$3:$O$18,3,FALSE),"")</f>
        <v/>
      </c>
      <c r="AE73" t="str">
        <f>IFERROR(VLOOKUP('Free Game'!F69,'Pay Table'!$M$3:$O$18,3,FALSE),"")</f>
        <v/>
      </c>
      <c r="AF73">
        <f t="array" ref="AF73">IFERROR(VLOOKUP('Free Game'!H69,'Pay Table'!$M$3:$O$18,3,FALSE),"")</f>
        <v>5</v>
      </c>
      <c r="AG73">
        <f t="array" ref="AG73">IFERROR(VLOOKUP('Free Game'!J69,'Pay Table'!$M$3:$O$18,3,FALSE),"")</f>
        <v>3</v>
      </c>
      <c r="AI73" t="str">
        <f>IF('Free Game'!C69=0,"",'Free Game'!C69)</f>
        <v/>
      </c>
      <c r="AJ73" t="str">
        <f>IF('Free Game'!E69=0,"",'Free Game'!E69)</f>
        <v/>
      </c>
      <c r="AK73" t="str">
        <f>IF('Free Game'!G69=0,"",'Free Game'!G69)</f>
        <v/>
      </c>
      <c r="AL73">
        <f>IF('Free Game'!I69=0,"",'Free Game'!I69)</f>
        <v>100</v>
      </c>
      <c r="AM73">
        <f>IF('Free Game'!K69=0,"",'Free Game'!K69)</f>
        <v>100</v>
      </c>
    </row>
    <row r="74" spans="1:39" ht="15" x14ac:dyDescent="0.25">
      <c r="A74" s="39"/>
      <c r="B74" s="10"/>
      <c r="C74" s="103"/>
      <c r="D74" s="10"/>
      <c r="E74" s="103"/>
      <c r="F74" s="10"/>
      <c r="G74" s="103"/>
      <c r="H74" s="10"/>
      <c r="I74" s="103"/>
      <c r="K74" t="str">
        <f>IFERROR(VLOOKUP('Base Game '!B71,'Pay Table'!$M$3:$O$18,3,FALSE),"")</f>
        <v/>
      </c>
      <c r="L74" t="str">
        <f>IFERROR(VLOOKUP('Base Game '!D71,'Pay Table'!$M$3:$O$18,3,FALSE),"")</f>
        <v/>
      </c>
      <c r="M74" t="str">
        <f t="array" ref="M74">IFERROR(VLOOKUP('Base Game '!F71,'Pay Table'!$M$3:$O$18,3,FALSE),"")</f>
        <v/>
      </c>
      <c r="N74">
        <f t="array" ref="N74">IFERROR(VLOOKUP('Base Game '!H71,'Pay Table'!$M$3:$O$18,3,FALSE),"")</f>
        <v>2</v>
      </c>
      <c r="O74">
        <f t="array" ref="O74">IFERROR(VLOOKUP('Base Game '!J71,'Pay Table'!$M$3:$O$18,3,FALSE),"")</f>
        <v>8</v>
      </c>
      <c r="Q74" t="str">
        <f t="array" ref="Q74">IF('Base Game '!C71=0,"",'Base Game '!C71)</f>
        <v/>
      </c>
      <c r="R74" t="str">
        <f>IF('Base Game '!E71=0,"",'Base Game '!E71)</f>
        <v/>
      </c>
      <c r="S74" t="str">
        <f>IF('Base Game '!G71=0,"",'Base Game '!G71)</f>
        <v/>
      </c>
      <c r="T74">
        <f>IF('Base Game '!I71=0,"",'Base Game '!I71)</f>
        <v>100</v>
      </c>
      <c r="U74">
        <f>IF('Base Game '!K71=0,"",'Base Game '!K71)</f>
        <v>100</v>
      </c>
      <c r="X74" t="e">
        <f>VLOOKUP(#REF!,'Pay Table'!$M$3:$O$18,3,FALSE)</f>
        <v>#REF!</v>
      </c>
      <c r="Y74" t="e">
        <f>VLOOKUP(#REF!,'Pay Table'!$M$3:$O$18,3,FALSE)</f>
        <v>#REF!</v>
      </c>
      <c r="Z74" t="e">
        <f>VLOOKUP(#REF!,'Pay Table'!$M$3:$O$18,3,FALSE)</f>
        <v>#REF!</v>
      </c>
      <c r="AA74" t="e">
        <f>VLOOKUP(#REF!,'Pay Table'!$M$3:$O$18,3,FALSE)</f>
        <v>#REF!</v>
      </c>
      <c r="AC74" t="str">
        <f t="array" ref="AC74">IFERROR(VLOOKUP('Free Game'!B70,'Pay Table'!$M$3:$O$18,3,FALSE),"")</f>
        <v/>
      </c>
      <c r="AD74" t="str">
        <f>IFERROR(VLOOKUP('Free Game'!D70,'Pay Table'!$M$3:$O$18,3,FALSE),"")</f>
        <v/>
      </c>
      <c r="AE74" t="str">
        <f>IFERROR(VLOOKUP('Free Game'!F70,'Pay Table'!$M$3:$O$18,3,FALSE),"")</f>
        <v/>
      </c>
      <c r="AF74">
        <f t="array" ref="AF74">IFERROR(VLOOKUP('Free Game'!H70,'Pay Table'!$M$3:$O$18,3,FALSE),"")</f>
        <v>5</v>
      </c>
      <c r="AG74">
        <f t="array" ref="AG74">IFERROR(VLOOKUP('Free Game'!J70,'Pay Table'!$M$3:$O$18,3,FALSE),"")</f>
        <v>8</v>
      </c>
      <c r="AI74" t="str">
        <f>IF('Free Game'!C70=0,"",'Free Game'!C70)</f>
        <v/>
      </c>
      <c r="AJ74" t="str">
        <f>IF('Free Game'!E70=0,"",'Free Game'!E70)</f>
        <v/>
      </c>
      <c r="AK74" t="str">
        <f>IF('Free Game'!G70=0,"",'Free Game'!G70)</f>
        <v/>
      </c>
      <c r="AL74">
        <f>IF('Free Game'!I70=0,"",'Free Game'!I70)</f>
        <v>100</v>
      </c>
      <c r="AM74">
        <f>IF('Free Game'!K70=0,"",'Free Game'!K70)</f>
        <v>100</v>
      </c>
    </row>
    <row r="75" spans="1:39" ht="15" x14ac:dyDescent="0.25">
      <c r="A75" s="39"/>
      <c r="B75" s="10"/>
      <c r="C75" s="103"/>
      <c r="D75" s="10"/>
      <c r="E75" s="103"/>
      <c r="F75" s="10"/>
      <c r="G75" s="103"/>
      <c r="H75" s="10"/>
      <c r="I75" s="103"/>
      <c r="K75" t="str">
        <f>IFERROR(VLOOKUP('Base Game '!B72,'Pay Table'!$M$3:$O$18,3,FALSE),"")</f>
        <v/>
      </c>
      <c r="L75" t="str">
        <f>IFERROR(VLOOKUP('Base Game '!D72,'Pay Table'!$M$3:$O$18,3,FALSE),"")</f>
        <v/>
      </c>
      <c r="M75" t="str">
        <f t="array" ref="M75">IFERROR(VLOOKUP('Base Game '!F72,'Pay Table'!$M$3:$O$18,3,FALSE),"")</f>
        <v/>
      </c>
      <c r="N75">
        <f t="array" ref="N75">IFERROR(VLOOKUP('Base Game '!H72,'Pay Table'!$M$3:$O$18,3,FALSE),"")</f>
        <v>5</v>
      </c>
      <c r="O75">
        <f t="array" ref="O75">IFERROR(VLOOKUP('Base Game '!J72,'Pay Table'!$M$3:$O$18,3,FALSE),"")</f>
        <v>1</v>
      </c>
      <c r="Q75" t="str">
        <f t="array" ref="Q75">IF('Base Game '!C72=0,"",'Base Game '!C72)</f>
        <v/>
      </c>
      <c r="R75" t="str">
        <f>IF('Base Game '!E72=0,"",'Base Game '!E72)</f>
        <v/>
      </c>
      <c r="S75" t="str">
        <f>IF('Base Game '!G72=0,"",'Base Game '!G72)</f>
        <v/>
      </c>
      <c r="T75">
        <f>IF('Base Game '!I72=0,"",'Base Game '!I72)</f>
        <v>100</v>
      </c>
      <c r="U75">
        <f>IF('Base Game '!K72=0,"",'Base Game '!K72)</f>
        <v>100</v>
      </c>
      <c r="X75" t="e">
        <f>VLOOKUP(#REF!,'Pay Table'!$M$3:$O$18,3,FALSE)</f>
        <v>#REF!</v>
      </c>
      <c r="Y75" t="e">
        <f>VLOOKUP(#REF!,'Pay Table'!$M$3:$O$18,3,FALSE)</f>
        <v>#REF!</v>
      </c>
      <c r="Z75" t="e">
        <f>VLOOKUP(#REF!,'Pay Table'!$M$3:$O$18,3,FALSE)</f>
        <v>#REF!</v>
      </c>
      <c r="AA75" t="e">
        <f>VLOOKUP(#REF!,'Pay Table'!$M$3:$O$18,3,FALSE)</f>
        <v>#REF!</v>
      </c>
      <c r="AC75" t="str">
        <f t="array" ref="AC75">IFERROR(VLOOKUP('Free Game'!B71,'Pay Table'!$M$3:$O$18,3,FALSE),"")</f>
        <v/>
      </c>
      <c r="AD75" t="str">
        <f>IFERROR(VLOOKUP('Free Game'!D71,'Pay Table'!$M$3:$O$18,3,FALSE),"")</f>
        <v/>
      </c>
      <c r="AE75" t="str">
        <f>IFERROR(VLOOKUP('Free Game'!F71,'Pay Table'!$M$3:$O$18,3,FALSE),"")</f>
        <v/>
      </c>
      <c r="AF75">
        <f t="array" ref="AF75">IFERROR(VLOOKUP('Free Game'!H71,'Pay Table'!$M$3:$O$18,3,FALSE),"")</f>
        <v>1</v>
      </c>
      <c r="AG75">
        <f t="array" ref="AG75">IFERROR(VLOOKUP('Free Game'!J71,'Pay Table'!$M$3:$O$18,3,FALSE),"")</f>
        <v>6</v>
      </c>
      <c r="AI75" t="str">
        <f>IF('Free Game'!C71=0,"",'Free Game'!C71)</f>
        <v/>
      </c>
      <c r="AJ75" t="str">
        <f>IF('Free Game'!E71=0,"",'Free Game'!E71)</f>
        <v/>
      </c>
      <c r="AK75" t="str">
        <f>IF('Free Game'!G71=0,"",'Free Game'!G71)</f>
        <v/>
      </c>
      <c r="AL75">
        <f>IF('Free Game'!I71=0,"",'Free Game'!I71)</f>
        <v>100</v>
      </c>
      <c r="AM75">
        <f>IF('Free Game'!K71=0,"",'Free Game'!K71)</f>
        <v>100</v>
      </c>
    </row>
    <row r="76" spans="1:39" ht="15" x14ac:dyDescent="0.25">
      <c r="A76" s="39"/>
      <c r="B76" s="10"/>
      <c r="C76" s="39"/>
      <c r="D76" s="10"/>
      <c r="E76" s="103"/>
      <c r="F76" s="10"/>
      <c r="G76" s="103"/>
      <c r="H76" s="10"/>
      <c r="I76" s="103"/>
      <c r="K76" t="str">
        <f>IFERROR(VLOOKUP('Base Game '!B73,'Pay Table'!$M$3:$O$18,3,FALSE),"")</f>
        <v/>
      </c>
      <c r="L76" t="str">
        <f>IFERROR(VLOOKUP('Base Game '!D73,'Pay Table'!$M$3:$O$18,3,FALSE),"")</f>
        <v/>
      </c>
      <c r="M76" t="str">
        <f t="array" ref="M76">IFERROR(VLOOKUP('Base Game '!F73,'Pay Table'!$M$3:$O$18,3,FALSE),"")</f>
        <v/>
      </c>
      <c r="N76">
        <f t="array" ref="N76">IFERROR(VLOOKUP('Base Game '!H73,'Pay Table'!$M$3:$O$18,3,FALSE),"")</f>
        <v>9</v>
      </c>
      <c r="O76">
        <f t="array" ref="O76">IFERROR(VLOOKUP('Base Game '!J73,'Pay Table'!$M$3:$O$18,3,FALSE),"")</f>
        <v>1</v>
      </c>
      <c r="Q76" t="str">
        <f t="array" ref="Q76">IF('Base Game '!C73=0,"",'Base Game '!C73)</f>
        <v/>
      </c>
      <c r="R76" t="str">
        <f>IF('Base Game '!E73=0,"",'Base Game '!E73)</f>
        <v/>
      </c>
      <c r="S76" t="str">
        <f>IF('Base Game '!G73=0,"",'Base Game '!G73)</f>
        <v/>
      </c>
      <c r="T76">
        <f>IF('Base Game '!I73=0,"",'Base Game '!I73)</f>
        <v>100</v>
      </c>
      <c r="U76">
        <f>IF('Base Game '!K73=0,"",'Base Game '!K73)</f>
        <v>100</v>
      </c>
      <c r="X76" t="e">
        <f>VLOOKUP(#REF!,'Pay Table'!$M$3:$O$18,3,FALSE)</f>
        <v>#REF!</v>
      </c>
      <c r="Y76" t="e">
        <f>VLOOKUP(#REF!,'Pay Table'!$M$3:$O$18,3,FALSE)</f>
        <v>#REF!</v>
      </c>
      <c r="Z76" t="e">
        <f>VLOOKUP(#REF!,'Pay Table'!$M$3:$O$18,3,FALSE)</f>
        <v>#REF!</v>
      </c>
      <c r="AA76" t="e">
        <f>VLOOKUP(#REF!,'Pay Table'!$M$3:$O$18,3,FALSE)</f>
        <v>#REF!</v>
      </c>
      <c r="AC76" t="str">
        <f t="array" ref="AC76">IFERROR(VLOOKUP('Free Game'!B72,'Pay Table'!$M$3:$O$18,3,FALSE),"")</f>
        <v/>
      </c>
      <c r="AD76" t="str">
        <f>IFERROR(VLOOKUP('Free Game'!D72,'Pay Table'!$M$3:$O$18,3,FALSE),"")</f>
        <v/>
      </c>
      <c r="AE76" t="str">
        <f>IFERROR(VLOOKUP('Free Game'!F72,'Pay Table'!$M$3:$O$18,3,FALSE),"")</f>
        <v/>
      </c>
      <c r="AF76">
        <f t="array" ref="AF76">IFERROR(VLOOKUP('Free Game'!H72,'Pay Table'!$M$3:$O$18,3,FALSE),"")</f>
        <v>1</v>
      </c>
      <c r="AG76">
        <f t="array" ref="AG76">IFERROR(VLOOKUP('Free Game'!J72,'Pay Table'!$M$3:$O$18,3,FALSE),"")</f>
        <v>5</v>
      </c>
      <c r="AI76" t="str">
        <f>IF('Free Game'!C72=0,"",'Free Game'!C72)</f>
        <v/>
      </c>
      <c r="AJ76" t="str">
        <f>IF('Free Game'!E72=0,"",'Free Game'!E72)</f>
        <v/>
      </c>
      <c r="AK76" t="str">
        <f>IF('Free Game'!G72=0,"",'Free Game'!G72)</f>
        <v/>
      </c>
      <c r="AL76">
        <f>IF('Free Game'!I72=0,"",'Free Game'!I72)</f>
        <v>100</v>
      </c>
      <c r="AM76">
        <f>IF('Free Game'!K72=0,"",'Free Game'!K72)</f>
        <v>100</v>
      </c>
    </row>
    <row r="77" spans="1:39" ht="15" x14ac:dyDescent="0.25">
      <c r="A77" s="39"/>
      <c r="B77" s="10"/>
      <c r="C77" s="39"/>
      <c r="D77" s="10"/>
      <c r="E77" s="103"/>
      <c r="F77" s="10"/>
      <c r="G77" s="103"/>
      <c r="H77" s="10"/>
      <c r="I77" s="103"/>
      <c r="K77" t="str">
        <f>IFERROR(VLOOKUP('Base Game '!B74,'Pay Table'!$M$3:$O$18,3,FALSE),"")</f>
        <v/>
      </c>
      <c r="L77" t="str">
        <f>IFERROR(VLOOKUP('Base Game '!D74,'Pay Table'!$M$3:$O$18,3,FALSE),"")</f>
        <v/>
      </c>
      <c r="M77" t="str">
        <f t="array" ref="M77">IFERROR(VLOOKUP('Base Game '!F74,'Pay Table'!$M$3:$O$18,3,FALSE),"")</f>
        <v/>
      </c>
      <c r="N77">
        <f t="array" ref="N77">IFERROR(VLOOKUP('Base Game '!H74,'Pay Table'!$M$3:$O$18,3,FALSE),"")</f>
        <v>8</v>
      </c>
      <c r="O77">
        <f t="array" ref="O77">IFERROR(VLOOKUP('Base Game '!J74,'Pay Table'!$M$3:$O$18,3,FALSE),"")</f>
        <v>1</v>
      </c>
      <c r="Q77" t="str">
        <f t="array" ref="Q77">IF('Base Game '!C74=0,"",'Base Game '!C74)</f>
        <v/>
      </c>
      <c r="R77" t="str">
        <f>IF('Base Game '!E74=0,"",'Base Game '!E74)</f>
        <v/>
      </c>
      <c r="S77" t="str">
        <f>IF('Base Game '!G74=0,"",'Base Game '!G74)</f>
        <v/>
      </c>
      <c r="T77">
        <f>IF('Base Game '!I74=0,"",'Base Game '!I74)</f>
        <v>100</v>
      </c>
      <c r="U77">
        <f>IF('Base Game '!K74=0,"",'Base Game '!K74)</f>
        <v>100</v>
      </c>
      <c r="X77" t="e">
        <f>VLOOKUP(#REF!,'Pay Table'!$M$3:$O$18,3,FALSE)</f>
        <v>#REF!</v>
      </c>
      <c r="Y77" t="e">
        <f>VLOOKUP(#REF!,'Pay Table'!$M$3:$O$18,3,FALSE)</f>
        <v>#REF!</v>
      </c>
      <c r="Z77" t="e">
        <f>VLOOKUP(#REF!,'Pay Table'!$M$3:$O$18,3,FALSE)</f>
        <v>#REF!</v>
      </c>
      <c r="AA77" t="e">
        <f>VLOOKUP(#REF!,'Pay Table'!$M$3:$O$18,3,FALSE)</f>
        <v>#REF!</v>
      </c>
      <c r="AC77" t="str">
        <f t="array" ref="AC77">IFERROR(VLOOKUP('Free Game'!B73,'Pay Table'!$M$3:$O$18,3,FALSE),"")</f>
        <v/>
      </c>
      <c r="AD77" t="str">
        <f>IFERROR(VLOOKUP('Free Game'!D73,'Pay Table'!$M$3:$O$18,3,FALSE),"")</f>
        <v/>
      </c>
      <c r="AE77" t="str">
        <f>IFERROR(VLOOKUP('Free Game'!F73,'Pay Table'!$M$3:$O$18,3,FALSE),"")</f>
        <v/>
      </c>
      <c r="AF77">
        <f t="array" ref="AF77">IFERROR(VLOOKUP('Free Game'!H73,'Pay Table'!$M$3:$O$18,3,FALSE),"")</f>
        <v>1</v>
      </c>
      <c r="AG77">
        <f t="array" ref="AG77">IFERROR(VLOOKUP('Free Game'!J73,'Pay Table'!$M$3:$O$18,3,FALSE),"")</f>
        <v>4</v>
      </c>
      <c r="AI77" t="str">
        <f>IF('Free Game'!C73=0,"",'Free Game'!C73)</f>
        <v/>
      </c>
      <c r="AJ77" t="str">
        <f>IF('Free Game'!E73=0,"",'Free Game'!E73)</f>
        <v/>
      </c>
      <c r="AK77" t="str">
        <f>IF('Free Game'!G73=0,"",'Free Game'!G73)</f>
        <v/>
      </c>
      <c r="AL77">
        <f>IF('Free Game'!I73=0,"",'Free Game'!I73)</f>
        <v>100</v>
      </c>
      <c r="AM77">
        <f>IF('Free Game'!K73=0,"",'Free Game'!K73)</f>
        <v>100</v>
      </c>
    </row>
    <row r="78" spans="1:39" ht="15" x14ac:dyDescent="0.25">
      <c r="A78" s="39"/>
      <c r="B78" s="10"/>
      <c r="C78" s="39"/>
      <c r="D78" s="10"/>
      <c r="E78" s="103"/>
      <c r="F78" s="10"/>
      <c r="G78" s="103"/>
      <c r="H78" s="10"/>
      <c r="I78" s="103"/>
      <c r="K78" t="str">
        <f>IFERROR(VLOOKUP('Base Game '!B75,'Pay Table'!$M$3:$O$18,3,FALSE),"")</f>
        <v/>
      </c>
      <c r="L78" t="str">
        <f>IFERROR(VLOOKUP('Base Game '!D75,'Pay Table'!$M$3:$O$18,3,FALSE),"")</f>
        <v/>
      </c>
      <c r="M78" t="str">
        <f t="array" ref="M78">IFERROR(VLOOKUP('Base Game '!F75,'Pay Table'!$M$3:$O$18,3,FALSE),"")</f>
        <v/>
      </c>
      <c r="N78">
        <f t="array" ref="N78">IFERROR(VLOOKUP('Base Game '!H75,'Pay Table'!$M$3:$O$18,3,FALSE),"")</f>
        <v>3</v>
      </c>
      <c r="O78">
        <f t="array" ref="O78">IFERROR(VLOOKUP('Base Game '!J75,'Pay Table'!$M$3:$O$18,3,FALSE),"")</f>
        <v>7</v>
      </c>
      <c r="Q78" t="str">
        <f t="array" ref="Q78">IF('Base Game '!C75=0,"",'Base Game '!C75)</f>
        <v/>
      </c>
      <c r="R78" t="str">
        <f>IF('Base Game '!E75=0,"",'Base Game '!E75)</f>
        <v/>
      </c>
      <c r="S78" t="str">
        <f>IF('Base Game '!G75=0,"",'Base Game '!G75)</f>
        <v/>
      </c>
      <c r="T78">
        <f>IF('Base Game '!I75=0,"",'Base Game '!I75)</f>
        <v>100</v>
      </c>
      <c r="U78">
        <f>IF('Base Game '!K75=0,"",'Base Game '!K75)</f>
        <v>100</v>
      </c>
      <c r="X78" t="e">
        <f>VLOOKUP(#REF!,'Pay Table'!$M$3:$O$18,3,FALSE)</f>
        <v>#REF!</v>
      </c>
      <c r="Y78" t="e">
        <f>VLOOKUP(#REF!,'Pay Table'!$M$3:$O$18,3,FALSE)</f>
        <v>#REF!</v>
      </c>
      <c r="Z78" t="e">
        <f>VLOOKUP(#REF!,'Pay Table'!$M$3:$O$18,3,FALSE)</f>
        <v>#REF!</v>
      </c>
      <c r="AA78" t="e">
        <f>VLOOKUP(#REF!,'Pay Table'!$M$3:$O$18,3,FALSE)</f>
        <v>#REF!</v>
      </c>
      <c r="AC78" t="str">
        <f t="array" ref="AC78">IFERROR(VLOOKUP('Free Game'!B74,'Pay Table'!$M$3:$O$18,3,FALSE),"")</f>
        <v/>
      </c>
      <c r="AD78" t="str">
        <f>IFERROR(VLOOKUP('Free Game'!D74,'Pay Table'!$M$3:$O$18,3,FALSE),"")</f>
        <v/>
      </c>
      <c r="AE78" t="str">
        <f>IFERROR(VLOOKUP('Free Game'!F74,'Pay Table'!$M$3:$O$18,3,FALSE),"")</f>
        <v/>
      </c>
      <c r="AF78">
        <f t="array" ref="AF78">IFERROR(VLOOKUP('Free Game'!H74,'Pay Table'!$M$3:$O$18,3,FALSE),"")</f>
        <v>7</v>
      </c>
      <c r="AG78">
        <f t="array" ref="AG78">IFERROR(VLOOKUP('Free Game'!J74,'Pay Table'!$M$3:$O$18,3,FALSE),"")</f>
        <v>2</v>
      </c>
      <c r="AI78" t="str">
        <f>IF('Free Game'!C74=0,"",'Free Game'!C74)</f>
        <v/>
      </c>
      <c r="AJ78" t="str">
        <f>IF('Free Game'!E74=0,"",'Free Game'!E74)</f>
        <v/>
      </c>
      <c r="AK78" t="str">
        <f>IF('Free Game'!G74=0,"",'Free Game'!G74)</f>
        <v/>
      </c>
      <c r="AL78">
        <f>IF('Free Game'!I74=0,"",'Free Game'!I74)</f>
        <v>100</v>
      </c>
      <c r="AM78">
        <f>IF('Free Game'!K74=0,"",'Free Game'!K74)</f>
        <v>100</v>
      </c>
    </row>
    <row r="79" spans="1:39" ht="15" x14ac:dyDescent="0.25">
      <c r="A79" s="39"/>
      <c r="B79" s="10"/>
      <c r="C79" s="39"/>
      <c r="D79" s="10"/>
      <c r="E79" s="103"/>
      <c r="F79" s="10"/>
      <c r="G79" s="103"/>
      <c r="H79" s="10"/>
      <c r="I79" s="103"/>
      <c r="K79" t="str">
        <f>IFERROR(VLOOKUP('Base Game '!B76,'Pay Table'!$M$3:$O$18,3,FALSE),"")</f>
        <v/>
      </c>
      <c r="L79" t="str">
        <f>IFERROR(VLOOKUP('Base Game '!D76,'Pay Table'!$M$3:$O$18,3,FALSE),"")</f>
        <v/>
      </c>
      <c r="M79" t="str">
        <f t="array" ref="M79">IFERROR(VLOOKUP('Base Game '!F76,'Pay Table'!$M$3:$O$18,3,FALSE),"")</f>
        <v/>
      </c>
      <c r="N79">
        <f t="array" ref="N79">IFERROR(VLOOKUP('Base Game '!H76,'Pay Table'!$M$3:$O$18,3,FALSE),"")</f>
        <v>3</v>
      </c>
      <c r="O79">
        <f t="array" ref="O79">IFERROR(VLOOKUP('Base Game '!J76,'Pay Table'!$M$3:$O$18,3,FALSE),"")</f>
        <v>6</v>
      </c>
      <c r="Q79" t="str">
        <f t="array" ref="Q79">IF('Base Game '!C76=0,"",'Base Game '!C76)</f>
        <v/>
      </c>
      <c r="R79" t="str">
        <f>IF('Base Game '!E76=0,"",'Base Game '!E76)</f>
        <v/>
      </c>
      <c r="S79" t="str">
        <f>IF('Base Game '!G76=0,"",'Base Game '!G76)</f>
        <v/>
      </c>
      <c r="T79">
        <f>IF('Base Game '!I76=0,"",'Base Game '!I76)</f>
        <v>100</v>
      </c>
      <c r="U79">
        <f>IF('Base Game '!K76=0,"",'Base Game '!K76)</f>
        <v>100</v>
      </c>
      <c r="X79" t="e">
        <f>VLOOKUP(#REF!,'Pay Table'!$M$3:$O$18,3,FALSE)</f>
        <v>#REF!</v>
      </c>
      <c r="Y79" t="e">
        <f>VLOOKUP(#REF!,'Pay Table'!$M$3:$O$18,3,FALSE)</f>
        <v>#REF!</v>
      </c>
      <c r="Z79" t="e">
        <f>VLOOKUP(#REF!,'Pay Table'!$M$3:$O$18,3,FALSE)</f>
        <v>#REF!</v>
      </c>
      <c r="AA79" t="e">
        <f>VLOOKUP(#REF!,'Pay Table'!$M$3:$O$18,3,FALSE)</f>
        <v>#REF!</v>
      </c>
      <c r="AC79" t="str">
        <f t="array" ref="AC79">IFERROR(VLOOKUP('Free Game'!B75,'Pay Table'!$M$3:$O$18,3,FALSE),"")</f>
        <v/>
      </c>
      <c r="AD79" t="str">
        <f>IFERROR(VLOOKUP('Free Game'!D75,'Pay Table'!$M$3:$O$18,3,FALSE),"")</f>
        <v/>
      </c>
      <c r="AE79" t="str">
        <f>IFERROR(VLOOKUP('Free Game'!F75,'Pay Table'!$M$3:$O$18,3,FALSE),"")</f>
        <v/>
      </c>
      <c r="AF79">
        <f t="array" ref="AF79">IFERROR(VLOOKUP('Free Game'!H75,'Pay Table'!$M$3:$O$18,3,FALSE),"")</f>
        <v>3</v>
      </c>
      <c r="AG79">
        <f t="array" ref="AG79">IFERROR(VLOOKUP('Free Game'!J75,'Pay Table'!$M$3:$O$18,3,FALSE),"")</f>
        <v>2</v>
      </c>
      <c r="AI79" t="str">
        <f>IF('Free Game'!C75=0,"",'Free Game'!C75)</f>
        <v/>
      </c>
      <c r="AJ79" t="str">
        <f>IF('Free Game'!E75=0,"",'Free Game'!E75)</f>
        <v/>
      </c>
      <c r="AK79" t="str">
        <f>IF('Free Game'!G75=0,"",'Free Game'!G75)</f>
        <v/>
      </c>
      <c r="AL79">
        <f>IF('Free Game'!I75=0,"",'Free Game'!I75)</f>
        <v>100</v>
      </c>
      <c r="AM79">
        <f>IF('Free Game'!K75=0,"",'Free Game'!K75)</f>
        <v>100</v>
      </c>
    </row>
    <row r="80" spans="1:39" ht="15" x14ac:dyDescent="0.25">
      <c r="A80" s="39"/>
      <c r="B80" s="10"/>
      <c r="C80" s="39"/>
      <c r="D80" s="10"/>
      <c r="E80" s="103"/>
      <c r="F80" s="10"/>
      <c r="G80" s="103"/>
      <c r="H80" s="10"/>
      <c r="I80" s="103"/>
      <c r="K80" t="str">
        <f>IFERROR(VLOOKUP('Base Game '!B77,'Pay Table'!$M$3:$O$18,3,FALSE),"")</f>
        <v/>
      </c>
      <c r="L80" t="str">
        <f>IFERROR(VLOOKUP('Base Game '!D77,'Pay Table'!$M$3:$O$18,3,FALSE),"")</f>
        <v/>
      </c>
      <c r="M80" t="str">
        <f t="array" ref="M80">IFERROR(VLOOKUP('Base Game '!F77,'Pay Table'!$M$3:$O$18,3,FALSE),"")</f>
        <v/>
      </c>
      <c r="N80">
        <f t="array" ref="N80">IFERROR(VLOOKUP('Base Game '!H77,'Pay Table'!$M$3:$O$18,3,FALSE),"")</f>
        <v>8</v>
      </c>
      <c r="O80" t="str">
        <f t="array" ref="O80">IFERROR(VLOOKUP('Base Game '!J77,'Pay Table'!$M$3:$O$18,3,FALSE),"")</f>
        <v/>
      </c>
      <c r="Q80" t="str">
        <f t="array" ref="Q80">IF('Base Game '!C77=0,"",'Base Game '!C77)</f>
        <v/>
      </c>
      <c r="R80" t="str">
        <f>IF('Base Game '!E77=0,"",'Base Game '!E77)</f>
        <v/>
      </c>
      <c r="S80" t="str">
        <f>IF('Base Game '!G77=0,"",'Base Game '!G77)</f>
        <v/>
      </c>
      <c r="T80">
        <f>IF('Base Game '!I77=0,"",'Base Game '!I77)</f>
        <v>100</v>
      </c>
      <c r="U80" t="str">
        <f>IF('Base Game '!K77=0,"",'Base Game '!K77)</f>
        <v/>
      </c>
      <c r="X80" t="e">
        <f>VLOOKUP(#REF!,'Pay Table'!$M$3:$O$18,3,FALSE)</f>
        <v>#REF!</v>
      </c>
      <c r="Y80" t="e">
        <f>VLOOKUP(#REF!,'Pay Table'!$M$3:$O$18,3,FALSE)</f>
        <v>#REF!</v>
      </c>
      <c r="Z80" t="e">
        <f>VLOOKUP(#REF!,'Pay Table'!$M$3:$O$18,3,FALSE)</f>
        <v>#REF!</v>
      </c>
      <c r="AA80" t="e">
        <f>VLOOKUP(#REF!,'Pay Table'!$M$3:$O$18,3,FALSE)</f>
        <v>#REF!</v>
      </c>
      <c r="AC80" t="str">
        <f t="array" ref="AC80">IFERROR(VLOOKUP('Free Game'!B76,'Pay Table'!$M$3:$O$18,3,FALSE),"")</f>
        <v/>
      </c>
      <c r="AD80" t="str">
        <f>IFERROR(VLOOKUP('Free Game'!D76,'Pay Table'!$M$3:$O$18,3,FALSE),"")</f>
        <v/>
      </c>
      <c r="AE80" t="str">
        <f>IFERROR(VLOOKUP('Free Game'!F76,'Pay Table'!$M$3:$O$18,3,FALSE),"")</f>
        <v/>
      </c>
      <c r="AF80">
        <f t="array" ref="AF80">IFERROR(VLOOKUP('Free Game'!H76,'Pay Table'!$M$3:$O$18,3,FALSE),"")</f>
        <v>8</v>
      </c>
      <c r="AG80" t="str">
        <f t="array" ref="AG80">IFERROR(VLOOKUP('Free Game'!J76,'Pay Table'!$M$3:$O$18,3,FALSE),"")</f>
        <v/>
      </c>
      <c r="AI80" t="str">
        <f>IF('Free Game'!C76=0,"",'Free Game'!C76)</f>
        <v/>
      </c>
      <c r="AJ80" t="str">
        <f>IF('Free Game'!E76=0,"",'Free Game'!E76)</f>
        <v/>
      </c>
      <c r="AK80" t="str">
        <f>IF('Free Game'!G76=0,"",'Free Game'!G76)</f>
        <v/>
      </c>
      <c r="AL80">
        <f>IF('Free Game'!I76=0,"",'Free Game'!I76)</f>
        <v>100</v>
      </c>
      <c r="AM80" t="str">
        <f>IF('Free Game'!K76=0,"",'Free Game'!K76)</f>
        <v/>
      </c>
    </row>
    <row r="81" spans="1:39" ht="15" x14ac:dyDescent="0.25">
      <c r="A81" s="39"/>
      <c r="B81" s="10"/>
      <c r="C81" s="39"/>
      <c r="D81" s="10"/>
      <c r="E81" s="103"/>
      <c r="F81" s="10"/>
      <c r="G81" s="103"/>
      <c r="H81" s="10"/>
      <c r="I81" s="103"/>
      <c r="K81" t="str">
        <f>IFERROR(VLOOKUP('Base Game '!B78,'Pay Table'!$M$3:$O$18,3,FALSE),"")</f>
        <v/>
      </c>
      <c r="L81" t="str">
        <f>IFERROR(VLOOKUP('Base Game '!D78,'Pay Table'!$M$3:$O$18,3,FALSE),"")</f>
        <v/>
      </c>
      <c r="M81" t="str">
        <f t="array" ref="M81">IFERROR(VLOOKUP('Base Game '!F78,'Pay Table'!$M$3:$O$18,3,FALSE),"")</f>
        <v/>
      </c>
      <c r="N81">
        <f t="array" ref="N81">IFERROR(VLOOKUP('Base Game '!H78,'Pay Table'!$M$3:$O$18,3,FALSE),"")</f>
        <v>7</v>
      </c>
      <c r="O81" t="str">
        <f t="array" ref="O81">IFERROR(VLOOKUP('Base Game '!J78,'Pay Table'!$M$3:$O$18,3,FALSE),"")</f>
        <v/>
      </c>
      <c r="Q81" t="str">
        <f t="array" ref="Q81">IF('Base Game '!C78=0,"",'Base Game '!C78)</f>
        <v/>
      </c>
      <c r="R81" t="str">
        <f>IF('Base Game '!E78=0,"",'Base Game '!E78)</f>
        <v/>
      </c>
      <c r="S81" t="str">
        <f>IF('Base Game '!G78=0,"",'Base Game '!G78)</f>
        <v/>
      </c>
      <c r="T81">
        <f>IF('Base Game '!I78=0,"",'Base Game '!I78)</f>
        <v>100</v>
      </c>
      <c r="U81" t="str">
        <f>IF('Base Game '!K78=0,"",'Base Game '!K78)</f>
        <v/>
      </c>
      <c r="X81" t="e">
        <f>VLOOKUP(#REF!,'Pay Table'!$M$3:$O$18,3,FALSE)</f>
        <v>#REF!</v>
      </c>
      <c r="Y81" t="e">
        <f>VLOOKUP(#REF!,'Pay Table'!$M$3:$O$18,3,FALSE)</f>
        <v>#REF!</v>
      </c>
      <c r="Z81" t="e">
        <f>VLOOKUP(#REF!,'Pay Table'!$M$3:$O$18,3,FALSE)</f>
        <v>#REF!</v>
      </c>
      <c r="AA81" t="e">
        <f>VLOOKUP(#REF!,'Pay Table'!$M$3:$O$18,3,FALSE)</f>
        <v>#REF!</v>
      </c>
      <c r="AC81" t="str">
        <f t="array" ref="AC81">IFERROR(VLOOKUP('Free Game'!B77,'Pay Table'!$M$3:$O$18,3,FALSE),"")</f>
        <v/>
      </c>
      <c r="AD81" t="str">
        <f>IFERROR(VLOOKUP('Free Game'!D77,'Pay Table'!$M$3:$O$18,3,FALSE),"")</f>
        <v/>
      </c>
      <c r="AE81" t="str">
        <f>IFERROR(VLOOKUP('Free Game'!F77,'Pay Table'!$M$3:$O$18,3,FALSE),"")</f>
        <v/>
      </c>
      <c r="AF81">
        <f t="array" ref="AF81">IFERROR(VLOOKUP('Free Game'!H77,'Pay Table'!$M$3:$O$18,3,FALSE),"")</f>
        <v>7</v>
      </c>
      <c r="AG81" t="str">
        <f t="array" ref="AG81">IFERROR(VLOOKUP('Free Game'!J77,'Pay Table'!$M$3:$O$18,3,FALSE),"")</f>
        <v/>
      </c>
      <c r="AI81" t="str">
        <f>IF('Free Game'!C77=0,"",'Free Game'!C77)</f>
        <v/>
      </c>
      <c r="AJ81" t="str">
        <f>IF('Free Game'!E77=0,"",'Free Game'!E77)</f>
        <v/>
      </c>
      <c r="AK81" t="str">
        <f>IF('Free Game'!G77=0,"",'Free Game'!G77)</f>
        <v/>
      </c>
      <c r="AL81">
        <f>IF('Free Game'!I77=0,"",'Free Game'!I77)</f>
        <v>100</v>
      </c>
      <c r="AM81" t="str">
        <f>IF('Free Game'!K77=0,"",'Free Game'!K77)</f>
        <v/>
      </c>
    </row>
    <row r="82" spans="1:39" ht="15" x14ac:dyDescent="0.25">
      <c r="A82" s="39"/>
      <c r="B82" s="10"/>
      <c r="C82" s="39"/>
      <c r="D82" s="10"/>
      <c r="E82" s="39"/>
      <c r="F82" s="10"/>
      <c r="G82" s="103"/>
      <c r="H82" s="10"/>
      <c r="I82" s="103"/>
      <c r="K82" t="str">
        <f>IFERROR(VLOOKUP('Base Game '!B79,'Pay Table'!$M$3:$O$18,3,FALSE),"")</f>
        <v/>
      </c>
      <c r="L82" t="str">
        <f>IFERROR(VLOOKUP('Base Game '!D79,'Pay Table'!$M$3:$O$18,3,FALSE),"")</f>
        <v/>
      </c>
      <c r="M82" t="str">
        <f t="array" ref="M82">IFERROR(VLOOKUP('Base Game '!F79,'Pay Table'!$M$3:$O$18,3,FALSE),"")</f>
        <v/>
      </c>
      <c r="N82">
        <f t="array" ref="N82">IFERROR(VLOOKUP('Base Game '!H79,'Pay Table'!$M$3:$O$18,3,FALSE),"")</f>
        <v>5</v>
      </c>
      <c r="O82" t="str">
        <f t="array" ref="O82">IFERROR(VLOOKUP('Base Game '!J79,'Pay Table'!$M$3:$O$18,3,FALSE),"")</f>
        <v/>
      </c>
      <c r="Q82" t="str">
        <f t="array" ref="Q82">IF('Base Game '!C79=0,"",'Base Game '!C79)</f>
        <v/>
      </c>
      <c r="R82" t="str">
        <f>IF('Base Game '!E79=0,"",'Base Game '!E79)</f>
        <v/>
      </c>
      <c r="S82" t="str">
        <f>IF('Base Game '!G79=0,"",'Base Game '!G79)</f>
        <v/>
      </c>
      <c r="T82">
        <f>IF('Base Game '!I79=0,"",'Base Game '!I79)</f>
        <v>100</v>
      </c>
      <c r="U82" t="str">
        <f>IF('Base Game '!K79=0,"",'Base Game '!K79)</f>
        <v/>
      </c>
      <c r="X82" t="e">
        <f>VLOOKUP(#REF!,'Pay Table'!$M$3:$O$18,3,FALSE)</f>
        <v>#REF!</v>
      </c>
      <c r="Y82" t="e">
        <f>VLOOKUP(#REF!,'Pay Table'!$M$3:$O$18,3,FALSE)</f>
        <v>#REF!</v>
      </c>
      <c r="Z82" t="e">
        <f>VLOOKUP(#REF!,'Pay Table'!$M$3:$O$18,3,FALSE)</f>
        <v>#REF!</v>
      </c>
      <c r="AA82" t="e">
        <f>VLOOKUP(#REF!,'Pay Table'!$M$3:$O$18,3,FALSE)</f>
        <v>#REF!</v>
      </c>
      <c r="AC82" t="str">
        <f t="array" ref="AC82">IFERROR(VLOOKUP('Free Game'!B78,'Pay Table'!$M$3:$O$18,3,FALSE),"")</f>
        <v/>
      </c>
      <c r="AD82" t="str">
        <f>IFERROR(VLOOKUP('Free Game'!D78,'Pay Table'!$M$3:$O$18,3,FALSE),"")</f>
        <v/>
      </c>
      <c r="AE82" t="str">
        <f>IFERROR(VLOOKUP('Free Game'!F78,'Pay Table'!$M$3:$O$18,3,FALSE),"")</f>
        <v/>
      </c>
      <c r="AF82" t="str">
        <f t="array" ref="AF82">IFERROR(VLOOKUP('Free Game'!H78,'Pay Table'!$M$3:$O$18,3,FALSE),"")</f>
        <v>"w"</v>
      </c>
      <c r="AG82" t="str">
        <f t="array" ref="AG82">IFERROR(VLOOKUP('Free Game'!J78,'Pay Table'!$M$3:$O$18,3,FALSE),"")</f>
        <v/>
      </c>
      <c r="AI82" t="str">
        <f>IF('Free Game'!C78=0,"",'Free Game'!C78)</f>
        <v/>
      </c>
      <c r="AJ82" t="str">
        <f>IF('Free Game'!E78=0,"",'Free Game'!E78)</f>
        <v/>
      </c>
      <c r="AK82" t="str">
        <f>IF('Free Game'!G78=0,"",'Free Game'!G78)</f>
        <v/>
      </c>
      <c r="AL82">
        <f>IF('Free Game'!I78=0,"",'Free Game'!I78)</f>
        <v>100</v>
      </c>
      <c r="AM82" t="str">
        <f>IF('Free Game'!K78=0,"",'Free Game'!K78)</f>
        <v/>
      </c>
    </row>
    <row r="83" spans="1:39" ht="15" x14ac:dyDescent="0.25">
      <c r="A83" s="39"/>
      <c r="B83" s="10"/>
      <c r="C83" s="39"/>
      <c r="D83" s="10"/>
      <c r="E83" s="10"/>
      <c r="F83" s="10"/>
      <c r="G83" s="103"/>
      <c r="H83" s="10"/>
      <c r="I83" s="103"/>
      <c r="K83" t="str">
        <f>IFERROR(VLOOKUP('Base Game '!B80,'Pay Table'!$M$3:$O$18,3,FALSE),"")</f>
        <v/>
      </c>
      <c r="L83" t="str">
        <f>IFERROR(VLOOKUP('Base Game '!D80,'Pay Table'!$M$3:$O$18,3,FALSE),"")</f>
        <v/>
      </c>
      <c r="M83" t="str">
        <f t="array" ref="M83">IFERROR(VLOOKUP('Base Game '!F80,'Pay Table'!$M$3:$O$18,3,FALSE),"")</f>
        <v/>
      </c>
      <c r="N83">
        <f t="array" ref="N83">IFERROR(VLOOKUP('Base Game '!H80,'Pay Table'!$M$3:$O$18,3,FALSE),"")</f>
        <v>1</v>
      </c>
      <c r="O83" t="str">
        <f t="array" ref="O83">IFERROR(VLOOKUP('Base Game '!J80,'Pay Table'!$M$3:$O$18,3,FALSE),"")</f>
        <v/>
      </c>
      <c r="Q83" t="str">
        <f t="array" ref="Q83">IF('Base Game '!C80=0,"",'Base Game '!C80)</f>
        <v/>
      </c>
      <c r="R83" t="str">
        <f>IF('Base Game '!E80=0,"",'Base Game '!E80)</f>
        <v/>
      </c>
      <c r="S83" t="str">
        <f>IF('Base Game '!G80=0,"",'Base Game '!G80)</f>
        <v/>
      </c>
      <c r="T83">
        <f>IF('Base Game '!I80=0,"",'Base Game '!I80)</f>
        <v>100</v>
      </c>
      <c r="U83" t="str">
        <f>IF('Base Game '!K80=0,"",'Base Game '!K80)</f>
        <v/>
      </c>
      <c r="X83" t="e">
        <f>VLOOKUP(#REF!,'Pay Table'!$M$3:$O$18,3,FALSE)</f>
        <v>#REF!</v>
      </c>
      <c r="Y83" t="e">
        <f>VLOOKUP(#REF!,'Pay Table'!$M$3:$O$18,3,FALSE)</f>
        <v>#REF!</v>
      </c>
      <c r="Z83" t="e">
        <f>VLOOKUP(#REF!,'Pay Table'!$M$3:$O$18,3,FALSE)</f>
        <v>#REF!</v>
      </c>
      <c r="AA83" t="e">
        <f>VLOOKUP(#REF!,'Pay Table'!$M$3:$O$18,3,FALSE)</f>
        <v>#REF!</v>
      </c>
      <c r="AC83" t="str">
        <f t="array" ref="AC83">IFERROR(VLOOKUP('Free Game'!B79,'Pay Table'!$M$3:$O$18,3,FALSE),"")</f>
        <v/>
      </c>
      <c r="AD83" t="str">
        <f>IFERROR(VLOOKUP('Free Game'!D79,'Pay Table'!$M$3:$O$18,3,FALSE),"")</f>
        <v/>
      </c>
      <c r="AE83" t="str">
        <f>IFERROR(VLOOKUP('Free Game'!F79,'Pay Table'!$M$3:$O$18,3,FALSE),"")</f>
        <v/>
      </c>
      <c r="AF83">
        <f t="array" ref="AF83">IFERROR(VLOOKUP('Free Game'!H79,'Pay Table'!$M$3:$O$18,3,FALSE),"")</f>
        <v>7</v>
      </c>
      <c r="AG83" t="str">
        <f t="array" ref="AG83">IFERROR(VLOOKUP('Free Game'!J79,'Pay Table'!$M$3:$O$18,3,FALSE),"")</f>
        <v/>
      </c>
      <c r="AI83" t="str">
        <f>IF('Free Game'!C79=0,"",'Free Game'!C79)</f>
        <v/>
      </c>
      <c r="AJ83" t="str">
        <f>IF('Free Game'!E79=0,"",'Free Game'!E79)</f>
        <v/>
      </c>
      <c r="AK83" t="str">
        <f>IF('Free Game'!G79=0,"",'Free Game'!G79)</f>
        <v/>
      </c>
      <c r="AL83">
        <f>IF('Free Game'!I79=0,"",'Free Game'!I79)</f>
        <v>100</v>
      </c>
      <c r="AM83" t="str">
        <f>IF('Free Game'!K79=0,"",'Free Game'!K79)</f>
        <v/>
      </c>
    </row>
    <row r="84" spans="1:39" ht="15" x14ac:dyDescent="0.25">
      <c r="A84" s="39"/>
      <c r="B84" s="10"/>
      <c r="C84" s="10"/>
      <c r="D84" s="10"/>
      <c r="E84" s="10"/>
      <c r="F84" s="10"/>
      <c r="G84" s="103"/>
      <c r="H84" s="10"/>
      <c r="I84" s="103"/>
      <c r="K84" t="str">
        <f>IFERROR(VLOOKUP('Base Game '!B81,'Pay Table'!$M$3:$O$18,3,FALSE),"")</f>
        <v/>
      </c>
      <c r="L84" t="str">
        <f>IFERROR(VLOOKUP('Base Game '!D81,'Pay Table'!$M$3:$O$18,3,FALSE),"")</f>
        <v/>
      </c>
      <c r="M84" t="str">
        <f t="array" ref="M84">IFERROR(VLOOKUP('Base Game '!F81,'Pay Table'!$M$3:$O$18,3,FALSE),"")</f>
        <v/>
      </c>
      <c r="N84">
        <f t="array" ref="N84">IFERROR(VLOOKUP('Base Game '!H81,'Pay Table'!$M$3:$O$18,3,FALSE),"")</f>
        <v>1</v>
      </c>
      <c r="O84" t="str">
        <f t="array" ref="O84">IFERROR(VLOOKUP('Base Game '!J81,'Pay Table'!$M$3:$O$18,3,FALSE),"")</f>
        <v/>
      </c>
      <c r="Q84" t="str">
        <f t="array" ref="Q84">IF('Base Game '!C81=0,"",'Base Game '!C81)</f>
        <v/>
      </c>
      <c r="R84" t="str">
        <f>IF('Base Game '!E81=0,"",'Base Game '!E81)</f>
        <v/>
      </c>
      <c r="S84" t="str">
        <f>IF('Base Game '!G81=0,"",'Base Game '!G81)</f>
        <v/>
      </c>
      <c r="T84">
        <f>IF('Base Game '!I81=0,"",'Base Game '!I81)</f>
        <v>100</v>
      </c>
      <c r="U84" t="str">
        <f>IF('Base Game '!K81=0,"",'Base Game '!K81)</f>
        <v/>
      </c>
      <c r="X84" t="e">
        <f>VLOOKUP(#REF!,'Pay Table'!$M$3:$O$18,3,FALSE)</f>
        <v>#REF!</v>
      </c>
      <c r="Y84" t="e">
        <f>VLOOKUP(#REF!,'Pay Table'!$M$3:$O$18,3,FALSE)</f>
        <v>#REF!</v>
      </c>
      <c r="Z84" t="e">
        <f>VLOOKUP(#REF!,'Pay Table'!$M$3:$O$18,3,FALSE)</f>
        <v>#REF!</v>
      </c>
      <c r="AA84" t="e">
        <f>VLOOKUP(#REF!,'Pay Table'!$M$3:$O$18,3,FALSE)</f>
        <v>#REF!</v>
      </c>
      <c r="AC84" t="str">
        <f t="array" ref="AC84">IFERROR(VLOOKUP('Free Game'!B80,'Pay Table'!$M$3:$O$18,3,FALSE),"")</f>
        <v/>
      </c>
      <c r="AD84" t="str">
        <f>IFERROR(VLOOKUP('Free Game'!D80,'Pay Table'!$M$3:$O$18,3,FALSE),"")</f>
        <v/>
      </c>
      <c r="AE84" t="str">
        <f>IFERROR(VLOOKUP('Free Game'!F80,'Pay Table'!$M$3:$O$18,3,FALSE),"")</f>
        <v/>
      </c>
      <c r="AF84">
        <f t="array" ref="AF84">IFERROR(VLOOKUP('Free Game'!H80,'Pay Table'!$M$3:$O$18,3,FALSE),"")</f>
        <v>8</v>
      </c>
      <c r="AG84" t="str">
        <f t="array" ref="AG84">IFERROR(VLOOKUP('Free Game'!J80,'Pay Table'!$M$3:$O$18,3,FALSE),"")</f>
        <v/>
      </c>
      <c r="AI84" t="str">
        <f>IF('Free Game'!C80=0,"",'Free Game'!C80)</f>
        <v/>
      </c>
      <c r="AJ84" t="str">
        <f>IF('Free Game'!E80=0,"",'Free Game'!E80)</f>
        <v/>
      </c>
      <c r="AK84" t="str">
        <f>IF('Free Game'!G80=0,"",'Free Game'!G80)</f>
        <v/>
      </c>
      <c r="AL84">
        <f>IF('Free Game'!I80=0,"",'Free Game'!I80)</f>
        <v>100</v>
      </c>
      <c r="AM84" t="str">
        <f>IF('Free Game'!K80=0,"",'Free Game'!K80)</f>
        <v/>
      </c>
    </row>
    <row r="85" spans="1:39" ht="15" x14ac:dyDescent="0.15">
      <c r="A85" s="10"/>
      <c r="B85" s="10"/>
      <c r="C85" s="10"/>
      <c r="D85" s="10"/>
      <c r="E85" s="10"/>
      <c r="F85" s="10"/>
      <c r="G85" s="103"/>
      <c r="H85" s="10"/>
      <c r="I85" s="103"/>
      <c r="K85" t="str">
        <f>IFERROR(VLOOKUP('Base Game '!B82,'Pay Table'!$M$3:$O$18,3,FALSE),"")</f>
        <v/>
      </c>
      <c r="L85" t="str">
        <f>IFERROR(VLOOKUP('Base Game '!D82,'Pay Table'!$M$3:$O$18,3,FALSE),"")</f>
        <v/>
      </c>
      <c r="M85" t="str">
        <f t="array" ref="M85">IFERROR(VLOOKUP('Base Game '!F82,'Pay Table'!$M$3:$O$18,3,FALSE),"")</f>
        <v/>
      </c>
      <c r="N85">
        <f t="array" ref="N85">IFERROR(VLOOKUP('Base Game '!H82,'Pay Table'!$M$3:$O$18,3,FALSE),"")</f>
        <v>1</v>
      </c>
      <c r="O85" t="str">
        <f t="array" ref="O85">IFERROR(VLOOKUP('Base Game '!J82,'Pay Table'!$M$3:$O$18,3,FALSE),"")</f>
        <v/>
      </c>
      <c r="Q85" t="str">
        <f t="array" ref="Q85">IF('Base Game '!C82=0,"",'Base Game '!C82)</f>
        <v/>
      </c>
      <c r="R85" t="str">
        <f>IF('Base Game '!E82=0,"",'Base Game '!E82)</f>
        <v/>
      </c>
      <c r="S85" t="str">
        <f>IF('Base Game '!G82=0,"",'Base Game '!G82)</f>
        <v/>
      </c>
      <c r="T85">
        <f>IF('Base Game '!I82=0,"",'Base Game '!I82)</f>
        <v>100</v>
      </c>
      <c r="U85" t="str">
        <f>IF('Base Game '!K82=0,"",'Base Game '!K82)</f>
        <v/>
      </c>
      <c r="X85" t="e">
        <f>VLOOKUP(#REF!,'Pay Table'!$M$3:$O$18,3,FALSE)</f>
        <v>#REF!</v>
      </c>
      <c r="Y85" t="e">
        <f>VLOOKUP(#REF!,'Pay Table'!$M$3:$O$18,3,FALSE)</f>
        <v>#REF!</v>
      </c>
      <c r="Z85" t="e">
        <f>VLOOKUP(#REF!,'Pay Table'!$M$3:$O$18,3,FALSE)</f>
        <v>#REF!</v>
      </c>
      <c r="AA85" t="e">
        <f>VLOOKUP(#REF!,'Pay Table'!$M$3:$O$18,3,FALSE)</f>
        <v>#REF!</v>
      </c>
      <c r="AC85" t="str">
        <f t="array" ref="AC85">IFERROR(VLOOKUP('Free Game'!B81,'Pay Table'!$M$3:$O$18,3,FALSE),"")</f>
        <v/>
      </c>
      <c r="AD85" t="str">
        <f>IFERROR(VLOOKUP('Free Game'!D81,'Pay Table'!$M$3:$O$18,3,FALSE),"")</f>
        <v/>
      </c>
      <c r="AE85" t="str">
        <f>IFERROR(VLOOKUP('Free Game'!F81,'Pay Table'!$M$3:$O$18,3,FALSE),"")</f>
        <v/>
      </c>
      <c r="AF85">
        <f t="array" ref="AF85">IFERROR(VLOOKUP('Free Game'!H81,'Pay Table'!$M$3:$O$18,3,FALSE),"")</f>
        <v>9</v>
      </c>
      <c r="AG85" t="str">
        <f t="array" ref="AG85">IFERROR(VLOOKUP('Free Game'!J81,'Pay Table'!$M$3:$O$18,3,FALSE),"")</f>
        <v/>
      </c>
      <c r="AI85" t="str">
        <f>IF('Free Game'!C81=0,"",'Free Game'!C81)</f>
        <v/>
      </c>
      <c r="AJ85" t="str">
        <f>IF('Free Game'!E81=0,"",'Free Game'!E81)</f>
        <v/>
      </c>
      <c r="AK85" t="str">
        <f>IF('Free Game'!G81=0,"",'Free Game'!G81)</f>
        <v/>
      </c>
      <c r="AL85">
        <f>IF('Free Game'!I81=0,"",'Free Game'!I81)</f>
        <v>100</v>
      </c>
      <c r="AM85" t="str">
        <f>IF('Free Game'!K81=0,"",'Free Game'!K81)</f>
        <v/>
      </c>
    </row>
    <row r="86" spans="1:39" ht="15" x14ac:dyDescent="0.15">
      <c r="A86" s="10"/>
      <c r="B86" s="10"/>
      <c r="C86" s="10"/>
      <c r="D86" s="10"/>
      <c r="E86" s="10"/>
      <c r="F86" s="10"/>
      <c r="G86" s="103"/>
      <c r="H86" s="10"/>
      <c r="I86" s="103"/>
      <c r="K86" t="str">
        <f>IFERROR(VLOOKUP('Base Game '!B83,'Pay Table'!$M$3:$O$18,3,FALSE),"")</f>
        <v/>
      </c>
      <c r="L86" t="str">
        <f>IFERROR(VLOOKUP('Base Game '!D83,'Pay Table'!$M$3:$O$18,3,FALSE),"")</f>
        <v/>
      </c>
      <c r="M86" t="str">
        <f t="array" ref="M86">IFERROR(VLOOKUP('Base Game '!F83,'Pay Table'!$M$3:$O$18,3,FALSE),"")</f>
        <v/>
      </c>
      <c r="N86">
        <f t="array" ref="N86">IFERROR(VLOOKUP('Base Game '!H83,'Pay Table'!$M$3:$O$18,3,FALSE),"")</f>
        <v>6</v>
      </c>
      <c r="O86" t="str">
        <f t="array" ref="O86">IFERROR(VLOOKUP('Base Game '!J83,'Pay Table'!$M$3:$O$18,3,FALSE),"")</f>
        <v/>
      </c>
      <c r="Q86" t="str">
        <f t="array" ref="Q86">IF('Base Game '!C83=0,"",'Base Game '!C83)</f>
        <v/>
      </c>
      <c r="R86" t="str">
        <f>IF('Base Game '!E83=0,"",'Base Game '!E83)</f>
        <v/>
      </c>
      <c r="S86" t="str">
        <f>IF('Base Game '!G83=0,"",'Base Game '!G83)</f>
        <v/>
      </c>
      <c r="T86">
        <f>IF('Base Game '!I83=0,"",'Base Game '!I83)</f>
        <v>100</v>
      </c>
      <c r="U86" t="str">
        <f>IF('Base Game '!K83=0,"",'Base Game '!K83)</f>
        <v/>
      </c>
      <c r="X86" t="e">
        <f>VLOOKUP(#REF!,'Pay Table'!$M$3:$O$18,3,FALSE)</f>
        <v>#REF!</v>
      </c>
      <c r="Y86" t="e">
        <f>VLOOKUP(#REF!,'Pay Table'!$M$3:$O$18,3,FALSE)</f>
        <v>#REF!</v>
      </c>
      <c r="Z86" t="e">
        <f>VLOOKUP(#REF!,'Pay Table'!$M$3:$O$18,3,FALSE)</f>
        <v>#REF!</v>
      </c>
      <c r="AA86" t="e">
        <f>VLOOKUP(#REF!,'Pay Table'!$M$3:$O$18,3,FALSE)</f>
        <v>#REF!</v>
      </c>
      <c r="AC86" t="str">
        <f t="array" ref="AC86">IFERROR(VLOOKUP('Free Game'!B82,'Pay Table'!$M$3:$O$18,3,FALSE),"")</f>
        <v/>
      </c>
      <c r="AD86" t="str">
        <f>IFERROR(VLOOKUP('Free Game'!D82,'Pay Table'!$M$3:$O$18,3,FALSE),"")</f>
        <v/>
      </c>
      <c r="AE86" t="str">
        <f>IFERROR(VLOOKUP('Free Game'!F82,'Pay Table'!$M$3:$O$18,3,FALSE),"")</f>
        <v/>
      </c>
      <c r="AF86">
        <f t="array" ref="AF86">IFERROR(VLOOKUP('Free Game'!H82,'Pay Table'!$M$3:$O$18,3,FALSE),"")</f>
        <v>2</v>
      </c>
      <c r="AG86" t="str">
        <f t="array" ref="AG86">IFERROR(VLOOKUP('Free Game'!J82,'Pay Table'!$M$3:$O$18,3,FALSE),"")</f>
        <v/>
      </c>
      <c r="AI86" t="str">
        <f>IF('Free Game'!C82=0,"",'Free Game'!C82)</f>
        <v/>
      </c>
      <c r="AJ86" t="str">
        <f>IF('Free Game'!E82=0,"",'Free Game'!E82)</f>
        <v/>
      </c>
      <c r="AK86" t="str">
        <f>IF('Free Game'!G82=0,"",'Free Game'!G82)</f>
        <v/>
      </c>
      <c r="AL86">
        <f>IF('Free Game'!I82=0,"",'Free Game'!I82)</f>
        <v>100</v>
      </c>
      <c r="AM86" t="str">
        <f>IF('Free Game'!K82=0,"",'Free Game'!K82)</f>
        <v/>
      </c>
    </row>
    <row r="87" spans="1:39" ht="15" x14ac:dyDescent="0.15">
      <c r="A87" s="10"/>
      <c r="B87" s="10"/>
      <c r="C87" s="10"/>
      <c r="D87" s="10"/>
      <c r="E87" s="10"/>
      <c r="F87" s="10"/>
      <c r="G87" s="103"/>
      <c r="H87" s="10"/>
      <c r="I87" s="103"/>
      <c r="K87" t="str">
        <f>IFERROR(VLOOKUP('Base Game '!B84,'Pay Table'!$M$3:$O$18,3,FALSE),"")</f>
        <v/>
      </c>
      <c r="L87" t="str">
        <f>IFERROR(VLOOKUP('Base Game '!D84,'Pay Table'!$M$3:$O$18,3,FALSE),"")</f>
        <v/>
      </c>
      <c r="M87" t="str">
        <f t="array" ref="M87">IFERROR(VLOOKUP('Base Game '!F84,'Pay Table'!$M$3:$O$18,3,FALSE),"")</f>
        <v/>
      </c>
      <c r="N87">
        <f t="array" ref="N87">IFERROR(VLOOKUP('Base Game '!H84,'Pay Table'!$M$3:$O$18,3,FALSE),"")</f>
        <v>7</v>
      </c>
      <c r="O87" t="str">
        <f t="array" ref="O87">IFERROR(VLOOKUP('Base Game '!J84,'Pay Table'!$M$3:$O$18,3,FALSE),"")</f>
        <v/>
      </c>
      <c r="Q87" t="str">
        <f t="array" ref="Q87">IF('Base Game '!C84=0,"",'Base Game '!C84)</f>
        <v/>
      </c>
      <c r="R87" t="str">
        <f>IF('Base Game '!E84=0,"",'Base Game '!E84)</f>
        <v/>
      </c>
      <c r="S87" t="str">
        <f>IF('Base Game '!G84=0,"",'Base Game '!G84)</f>
        <v/>
      </c>
      <c r="T87">
        <f>IF('Base Game '!I84=0,"",'Base Game '!I84)</f>
        <v>100</v>
      </c>
      <c r="U87" t="str">
        <f>IF('Base Game '!K84=0,"",'Base Game '!K84)</f>
        <v/>
      </c>
      <c r="Y87" t="e">
        <f>VLOOKUP(#REF!,'Pay Table'!$M$3:$O$18,3,FALSE)</f>
        <v>#REF!</v>
      </c>
      <c r="Z87" t="e">
        <f>VLOOKUP(#REF!,'Pay Table'!$M$3:$O$18,3,FALSE)</f>
        <v>#REF!</v>
      </c>
      <c r="AA87" t="e">
        <f>VLOOKUP(#REF!,'Pay Table'!$M$3:$O$18,3,FALSE)</f>
        <v>#REF!</v>
      </c>
      <c r="AC87" t="str">
        <f t="array" ref="AC87">IFERROR(VLOOKUP('Free Game'!B83,'Pay Table'!$M$3:$O$18,3,FALSE),"")</f>
        <v/>
      </c>
      <c r="AD87" t="str">
        <f>IFERROR(VLOOKUP('Free Game'!D83,'Pay Table'!$M$3:$O$18,3,FALSE),"")</f>
        <v/>
      </c>
      <c r="AE87" t="str">
        <f>IFERROR(VLOOKUP('Free Game'!F83,'Pay Table'!$M$3:$O$18,3,FALSE),"")</f>
        <v/>
      </c>
      <c r="AF87">
        <f t="array" ref="AF87">IFERROR(VLOOKUP('Free Game'!H83,'Pay Table'!$M$3:$O$18,3,FALSE),"")</f>
        <v>2</v>
      </c>
      <c r="AG87" t="str">
        <f t="array" ref="AG87">IFERROR(VLOOKUP('Free Game'!J83,'Pay Table'!$M$3:$O$18,3,FALSE),"")</f>
        <v/>
      </c>
      <c r="AI87" t="str">
        <f>IF('Free Game'!C83=0,"",'Free Game'!C83)</f>
        <v/>
      </c>
      <c r="AJ87" t="str">
        <f>IF('Free Game'!E83=0,"",'Free Game'!E83)</f>
        <v/>
      </c>
      <c r="AK87" t="str">
        <f>IF('Free Game'!G83=0,"",'Free Game'!G83)</f>
        <v/>
      </c>
      <c r="AL87">
        <f>IF('Free Game'!I83=0,"",'Free Game'!I83)</f>
        <v>100</v>
      </c>
      <c r="AM87" t="str">
        <f>IF('Free Game'!K83=0,"",'Free Game'!K83)</f>
        <v/>
      </c>
    </row>
    <row r="88" spans="1:39" ht="15" x14ac:dyDescent="0.15">
      <c r="A88" s="10"/>
      <c r="B88" s="10"/>
      <c r="C88" s="10"/>
      <c r="D88" s="10"/>
      <c r="E88" s="10"/>
      <c r="F88" s="10"/>
      <c r="G88" s="103"/>
      <c r="H88" s="10"/>
      <c r="I88" s="10"/>
      <c r="K88" t="str">
        <f>IFERROR(VLOOKUP('Base Game '!B85,'Pay Table'!$M$3:$O$18,3,FALSE),"")</f>
        <v/>
      </c>
      <c r="L88" t="str">
        <f>IFERROR(VLOOKUP('Base Game '!D85,'Pay Table'!$M$3:$O$18,3,FALSE),"")</f>
        <v/>
      </c>
      <c r="M88" t="str">
        <f t="array" ref="M88">IFERROR(VLOOKUP('Base Game '!F85,'Pay Table'!$M$3:$O$18,3,FALSE),"")</f>
        <v/>
      </c>
      <c r="N88">
        <f t="array" ref="N88">IFERROR(VLOOKUP('Base Game '!H85,'Pay Table'!$M$3:$O$18,3,FALSE),"")</f>
        <v>2</v>
      </c>
      <c r="O88" t="str">
        <f t="array" ref="O88">IFERROR(VLOOKUP('Base Game '!J85,'Pay Table'!$M$3:$O$18,3,FALSE),"")</f>
        <v/>
      </c>
      <c r="Q88" t="str">
        <f t="array" ref="Q88">IF('Base Game '!C85=0,"",'Base Game '!C85)</f>
        <v/>
      </c>
      <c r="R88" t="str">
        <f>IF('Base Game '!E85=0,"",'Base Game '!E85)</f>
        <v/>
      </c>
      <c r="S88" t="str">
        <f>IF('Base Game '!G85=0,"",'Base Game '!G85)</f>
        <v/>
      </c>
      <c r="T88">
        <f>IF('Base Game '!I85=0,"",'Base Game '!I85)</f>
        <v>100</v>
      </c>
      <c r="U88" t="str">
        <f>IF('Base Game '!K85=0,"",'Base Game '!K85)</f>
        <v/>
      </c>
      <c r="Y88" t="e">
        <f>VLOOKUP(#REF!,'Pay Table'!$M$3:$O$18,3,FALSE)</f>
        <v>#REF!</v>
      </c>
      <c r="Z88" t="e">
        <f>VLOOKUP(#REF!,'Pay Table'!$M$3:$O$18,3,FALSE)</f>
        <v>#REF!</v>
      </c>
      <c r="AA88" t="e">
        <f>VLOOKUP(#REF!,'Pay Table'!$M$3:$O$18,3,FALSE)</f>
        <v>#REF!</v>
      </c>
      <c r="AC88" t="str">
        <f t="array" ref="AC88">IFERROR(VLOOKUP('Free Game'!B84,'Pay Table'!$M$3:$O$18,3,FALSE),"")</f>
        <v/>
      </c>
      <c r="AD88" t="str">
        <f>IFERROR(VLOOKUP('Free Game'!D84,'Pay Table'!$M$3:$O$18,3,FALSE),"")</f>
        <v/>
      </c>
      <c r="AE88" t="str">
        <f>IFERROR(VLOOKUP('Free Game'!F84,'Pay Table'!$M$3:$O$18,3,FALSE),"")</f>
        <v/>
      </c>
      <c r="AF88">
        <f t="array" ref="AF88">IFERROR(VLOOKUP('Free Game'!H84,'Pay Table'!$M$3:$O$18,3,FALSE),"")</f>
        <v>2</v>
      </c>
      <c r="AG88" t="str">
        <f t="array" ref="AG88">IFERROR(VLOOKUP('Free Game'!J84,'Pay Table'!$M$3:$O$18,3,FALSE),"")</f>
        <v/>
      </c>
      <c r="AI88" t="str">
        <f>IF('Free Game'!C84=0,"",'Free Game'!C84)</f>
        <v/>
      </c>
      <c r="AJ88" t="str">
        <f>IF('Free Game'!E84=0,"",'Free Game'!E84)</f>
        <v/>
      </c>
      <c r="AK88" t="str">
        <f>IF('Free Game'!G84=0,"",'Free Game'!G84)</f>
        <v/>
      </c>
      <c r="AL88">
        <f>IF('Free Game'!I84=0,"",'Free Game'!I84)</f>
        <v>100</v>
      </c>
      <c r="AM88" t="str">
        <f>IF('Free Game'!K84=0,"",'Free Game'!K84)</f>
        <v/>
      </c>
    </row>
    <row r="89" spans="1:39" ht="15" x14ac:dyDescent="0.15">
      <c r="A89" s="10"/>
      <c r="B89" s="10"/>
      <c r="C89" s="10"/>
      <c r="D89" s="10"/>
      <c r="E89" s="10"/>
      <c r="F89" s="10"/>
      <c r="G89" s="103"/>
      <c r="H89" s="10"/>
      <c r="I89" s="10"/>
      <c r="K89" t="str">
        <f>IFERROR(VLOOKUP('Base Game '!B86,'Pay Table'!$M$3:$O$18,3,FALSE),"")</f>
        <v/>
      </c>
      <c r="L89" t="str">
        <f>IFERROR(VLOOKUP('Base Game '!D86,'Pay Table'!$M$3:$O$18,3,FALSE),"")</f>
        <v/>
      </c>
      <c r="M89" t="str">
        <f t="array" ref="M89">IFERROR(VLOOKUP('Base Game '!F86,'Pay Table'!$M$3:$O$18,3,FALSE),"")</f>
        <v/>
      </c>
      <c r="N89" t="str">
        <f t="array" ref="N89">IFERROR(VLOOKUP('Base Game '!H86,'Pay Table'!$M$3:$O$18,3,FALSE),"")</f>
        <v/>
      </c>
      <c r="O89" t="str">
        <f t="array" ref="O89">IFERROR(VLOOKUP('Base Game '!J86,'Pay Table'!$M$3:$O$18,3,FALSE),"")</f>
        <v/>
      </c>
      <c r="Q89" t="str">
        <f t="array" ref="Q89">IF('Base Game '!C86=0,"",'Base Game '!C86)</f>
        <v/>
      </c>
      <c r="R89" t="str">
        <f>IF('Base Game '!E86=0,"",'Base Game '!E86)</f>
        <v/>
      </c>
      <c r="S89" t="str">
        <f>IF('Base Game '!G86=0,"",'Base Game '!G86)</f>
        <v/>
      </c>
      <c r="T89" t="str">
        <f>IF('Base Game '!I86=0,"",'Base Game '!I86)</f>
        <v/>
      </c>
      <c r="U89" t="str">
        <f>IF('Base Game '!K86=0,"",'Base Game '!K86)</f>
        <v/>
      </c>
      <c r="Y89" t="e">
        <f>VLOOKUP(#REF!,'Pay Table'!$M$3:$O$18,3,FALSE)</f>
        <v>#REF!</v>
      </c>
      <c r="Z89" t="e">
        <f>VLOOKUP(#REF!,'Pay Table'!$M$3:$O$18,3,FALSE)</f>
        <v>#REF!</v>
      </c>
      <c r="AA89" t="e">
        <f>VLOOKUP(#REF!,'Pay Table'!$M$3:$O$18,3,FALSE)</f>
        <v>#REF!</v>
      </c>
      <c r="AC89" t="str">
        <f t="array" ref="AC89">IFERROR(VLOOKUP('Free Game'!B85,'Pay Table'!$M$3:$O$18,3,FALSE),"")</f>
        <v/>
      </c>
      <c r="AD89" t="str">
        <f>IFERROR(VLOOKUP('Free Game'!D85,'Pay Table'!$M$3:$O$18,3,FALSE),"")</f>
        <v/>
      </c>
      <c r="AE89" t="str">
        <f>IFERROR(VLOOKUP('Free Game'!F85,'Pay Table'!$M$3:$O$18,3,FALSE),"")</f>
        <v/>
      </c>
      <c r="AF89" t="str">
        <f t="array" ref="AF89">IFERROR(VLOOKUP('Free Game'!H85,'Pay Table'!$M$3:$O$18,3,FALSE),"")</f>
        <v/>
      </c>
      <c r="AG89" t="str">
        <f t="array" ref="AG89">IFERROR(VLOOKUP('Free Game'!J85,'Pay Table'!$M$3:$O$18,3,FALSE),"")</f>
        <v/>
      </c>
      <c r="AI89" t="str">
        <f>IF('Free Game'!C85=0,"",'Free Game'!C85)</f>
        <v/>
      </c>
      <c r="AJ89" t="str">
        <f>IF('Free Game'!E85=0,"",'Free Game'!E85)</f>
        <v/>
      </c>
      <c r="AK89" t="str">
        <f>IF('Free Game'!G85=0,"",'Free Game'!G85)</f>
        <v/>
      </c>
      <c r="AL89" t="str">
        <f>IF('Free Game'!I85=0,"",'Free Game'!I85)</f>
        <v/>
      </c>
      <c r="AM89" t="str">
        <f>IF('Free Game'!K85=0,"",'Free Game'!K85)</f>
        <v/>
      </c>
    </row>
    <row r="90" spans="1:39" ht="15" x14ac:dyDescent="0.15">
      <c r="A90" s="10"/>
      <c r="B90" s="10"/>
      <c r="C90" s="10"/>
      <c r="D90" s="10"/>
      <c r="E90" s="10"/>
      <c r="F90" s="10"/>
      <c r="G90" s="103"/>
      <c r="H90" s="10"/>
      <c r="I90" s="10"/>
      <c r="K90" t="str">
        <f>IFERROR(VLOOKUP('Base Game '!B87,'Pay Table'!$M$3:$O$18,3,FALSE),"")</f>
        <v/>
      </c>
      <c r="L90" t="str">
        <f>IFERROR(VLOOKUP('Base Game '!D87,'Pay Table'!$M$3:$O$18,3,FALSE),"")</f>
        <v/>
      </c>
      <c r="M90" t="str">
        <f t="array" ref="M90">IFERROR(VLOOKUP('Base Game '!F87,'Pay Table'!$M$3:$O$18,3,FALSE),"")</f>
        <v/>
      </c>
      <c r="N90" t="str">
        <f t="array" ref="N90">IFERROR(VLOOKUP('Base Game '!H87,'Pay Table'!$M$3:$O$18,3,FALSE),"")</f>
        <v/>
      </c>
      <c r="O90" t="str">
        <f t="array" ref="O90">IFERROR(VLOOKUP('Base Game '!J87,'Pay Table'!$M$3:$O$18,3,FALSE),"")</f>
        <v/>
      </c>
      <c r="Q90" t="str">
        <f t="array" ref="Q90">IF('Base Game '!C87=0,"",'Base Game '!C87)</f>
        <v/>
      </c>
      <c r="R90" t="str">
        <f>IF('Base Game '!E87=0,"",'Base Game '!E87)</f>
        <v/>
      </c>
      <c r="S90" t="str">
        <f>IF('Base Game '!G87=0,"",'Base Game '!G87)</f>
        <v/>
      </c>
      <c r="T90" t="str">
        <f>IF('Base Game '!I87=0,"",'Base Game '!I87)</f>
        <v/>
      </c>
      <c r="U90" t="str">
        <f>IF('Base Game '!K87=0,"",'Base Game '!K87)</f>
        <v/>
      </c>
      <c r="Y90" t="e">
        <f>VLOOKUP(#REF!,'Pay Table'!$M$3:$O$18,3,FALSE)</f>
        <v>#REF!</v>
      </c>
      <c r="Z90" t="e">
        <f>VLOOKUP(#REF!,'Pay Table'!$M$3:$O$18,3,FALSE)</f>
        <v>#REF!</v>
      </c>
      <c r="AA90" t="e">
        <f>VLOOKUP(#REF!,'Pay Table'!$M$3:$O$18,3,FALSE)</f>
        <v>#REF!</v>
      </c>
      <c r="AC90" t="str">
        <f t="array" ref="AC90">IFERROR(VLOOKUP('Free Game'!B86,'Pay Table'!$M$3:$O$18,3,FALSE),"")</f>
        <v/>
      </c>
      <c r="AD90" t="str">
        <f>IFERROR(VLOOKUP('Free Game'!D86,'Pay Table'!$M$3:$O$18,3,FALSE),"")</f>
        <v/>
      </c>
      <c r="AE90" t="str">
        <f>IFERROR(VLOOKUP('Free Game'!F86,'Pay Table'!$M$3:$O$18,3,FALSE),"")</f>
        <v/>
      </c>
      <c r="AF90" t="str">
        <f t="array" ref="AF90">IFERROR(VLOOKUP('Free Game'!H86,'Pay Table'!$M$3:$O$18,3,FALSE),"")</f>
        <v/>
      </c>
      <c r="AG90" t="str">
        <f t="array" ref="AG90">IFERROR(VLOOKUP('Free Game'!J86,'Pay Table'!$M$3:$O$18,3,FALSE),"")</f>
        <v/>
      </c>
      <c r="AI90" t="str">
        <f>IF('Free Game'!C86=0,"",'Free Game'!C86)</f>
        <v/>
      </c>
      <c r="AJ90" t="str">
        <f>IF('Free Game'!E86=0,"",'Free Game'!E86)</f>
        <v/>
      </c>
      <c r="AK90" t="str">
        <f>IF('Free Game'!G86=0,"",'Free Game'!G86)</f>
        <v/>
      </c>
      <c r="AL90" t="str">
        <f>IF('Free Game'!I86=0,"",'Free Game'!I86)</f>
        <v/>
      </c>
      <c r="AM90" t="str">
        <f>IF('Free Game'!K86=0,"",'Free Game'!K86)</f>
        <v/>
      </c>
    </row>
    <row r="91" spans="1:39" ht="15" x14ac:dyDescent="0.15">
      <c r="A91" s="10"/>
      <c r="B91" s="10"/>
      <c r="C91" s="10"/>
      <c r="D91" s="10"/>
      <c r="E91" s="10"/>
      <c r="F91" s="10"/>
      <c r="G91" s="103"/>
      <c r="H91" s="10"/>
      <c r="I91" s="10"/>
      <c r="K91" t="str">
        <f>IFERROR(VLOOKUP('Base Game '!B88,'Pay Table'!$M$3:$O$18,3,FALSE),"")</f>
        <v/>
      </c>
      <c r="L91" t="str">
        <f>IFERROR(VLOOKUP('Base Game '!D88,'Pay Table'!$M$3:$O$18,3,FALSE),"")</f>
        <v/>
      </c>
      <c r="M91" t="str">
        <f t="array" ref="M91">IFERROR(VLOOKUP('Base Game '!F88,'Pay Table'!$M$3:$O$18,3,FALSE),"")</f>
        <v/>
      </c>
      <c r="N91" t="str">
        <f t="array" ref="N91">IFERROR(VLOOKUP('Base Game '!H88,'Pay Table'!$M$3:$O$18,3,FALSE),"")</f>
        <v/>
      </c>
      <c r="O91" t="str">
        <f t="array" ref="O91">IFERROR(VLOOKUP('Base Game '!J88,'Pay Table'!$M$3:$O$18,3,FALSE),"")</f>
        <v/>
      </c>
      <c r="Q91" t="str">
        <f t="array" ref="Q91">IF('Base Game '!C88=0,"",'Base Game '!C88)</f>
        <v/>
      </c>
      <c r="R91" t="str">
        <f>IF('Base Game '!E88=0,"",'Base Game '!E88)</f>
        <v/>
      </c>
      <c r="S91" t="str">
        <f>IF('Base Game '!G88=0,"",'Base Game '!G88)</f>
        <v/>
      </c>
      <c r="T91" t="str">
        <f>IF('Base Game '!I88=0,"",'Base Game '!I88)</f>
        <v/>
      </c>
      <c r="U91" t="str">
        <f>IF('Base Game '!K88=0,"",'Base Game '!K88)</f>
        <v/>
      </c>
      <c r="Z91" t="e">
        <f>VLOOKUP(#REF!,'Pay Table'!$M$3:$O$18,3,FALSE)</f>
        <v>#REF!</v>
      </c>
      <c r="AA91" t="e">
        <f>VLOOKUP(#REF!,'Pay Table'!$M$3:$O$18,3,FALSE)</f>
        <v>#REF!</v>
      </c>
      <c r="AC91" t="str">
        <f t="array" ref="AC91">IFERROR(VLOOKUP('Free Game'!B87,'Pay Table'!$M$3:$O$18,3,FALSE),"")</f>
        <v/>
      </c>
      <c r="AD91" t="str">
        <f>IFERROR(VLOOKUP('Free Game'!D87,'Pay Table'!$M$3:$O$18,3,FALSE),"")</f>
        <v/>
      </c>
      <c r="AE91" t="str">
        <f>IFERROR(VLOOKUP('Free Game'!F87,'Pay Table'!$M$3:$O$18,3,FALSE),"")</f>
        <v/>
      </c>
      <c r="AF91" t="str">
        <f t="array" ref="AF91">IFERROR(VLOOKUP('Free Game'!H87,'Pay Table'!$M$3:$O$18,3,FALSE),"")</f>
        <v/>
      </c>
      <c r="AG91" t="str">
        <f t="array" ref="AG91">IFERROR(VLOOKUP('Free Game'!J87,'Pay Table'!$M$3:$O$18,3,FALSE),"")</f>
        <v/>
      </c>
      <c r="AI91" t="str">
        <f>IF('Free Game'!C87=0,"",'Free Game'!C87)</f>
        <v/>
      </c>
      <c r="AJ91" t="str">
        <f>IF('Free Game'!E87=0,"",'Free Game'!E87)</f>
        <v/>
      </c>
      <c r="AK91" t="str">
        <f>IF('Free Game'!G87=0,"",'Free Game'!G87)</f>
        <v/>
      </c>
      <c r="AL91" t="str">
        <f>IF('Free Game'!I87=0,"",'Free Game'!I87)</f>
        <v/>
      </c>
      <c r="AM91" t="str">
        <f>IF('Free Game'!K87=0,"",'Free Game'!K87)</f>
        <v/>
      </c>
    </row>
    <row r="92" spans="1:39" ht="15" x14ac:dyDescent="0.15">
      <c r="A92" s="10"/>
      <c r="B92" s="10"/>
      <c r="C92" s="10"/>
      <c r="D92" s="10"/>
      <c r="E92" s="10"/>
      <c r="F92" s="10"/>
      <c r="G92" s="103"/>
      <c r="H92" s="10"/>
      <c r="I92" s="10"/>
      <c r="K92" t="str">
        <f>IFERROR(VLOOKUP('Base Game '!B89,'Pay Table'!$M$3:$O$18,3,FALSE),"")</f>
        <v/>
      </c>
      <c r="L92" t="str">
        <f>IFERROR(VLOOKUP('Base Game '!D89,'Pay Table'!$M$3:$O$18,3,FALSE),"")</f>
        <v/>
      </c>
      <c r="M92" t="str">
        <f t="array" ref="M92">IFERROR(VLOOKUP('Base Game '!F89,'Pay Table'!$M$3:$O$18,3,FALSE),"")</f>
        <v/>
      </c>
      <c r="N92" t="str">
        <f t="array" ref="N92">IFERROR(VLOOKUP('Base Game '!H89,'Pay Table'!$M$3:$O$18,3,FALSE),"")</f>
        <v/>
      </c>
      <c r="O92" t="str">
        <f t="array" ref="O92">IFERROR(VLOOKUP('Base Game '!J89,'Pay Table'!$M$3:$O$18,3,FALSE),"")</f>
        <v/>
      </c>
      <c r="Q92" t="str">
        <f t="array" ref="Q92">IF('Base Game '!C89=0,"",'Base Game '!C89)</f>
        <v/>
      </c>
      <c r="R92" t="str">
        <f>IF('Base Game '!E89=0,"",'Base Game '!E89)</f>
        <v/>
      </c>
      <c r="S92" t="str">
        <f>IF('Base Game '!G89=0,"",'Base Game '!G89)</f>
        <v/>
      </c>
      <c r="T92" t="str">
        <f>IF('Base Game '!I89=0,"",'Base Game '!I89)</f>
        <v/>
      </c>
      <c r="U92" t="str">
        <f>IF('Base Game '!K89=0,"",'Base Game '!K89)</f>
        <v/>
      </c>
      <c r="Z92" t="e">
        <f>VLOOKUP(#REF!,'Pay Table'!$M$3:$O$18,3,FALSE)</f>
        <v>#REF!</v>
      </c>
      <c r="AA92" t="e">
        <f>VLOOKUP(#REF!,'Pay Table'!$M$3:$O$18,3,FALSE)</f>
        <v>#REF!</v>
      </c>
      <c r="AC92" t="str">
        <f t="array" ref="AC92">IFERROR(VLOOKUP('Free Game'!B88,'Pay Table'!$M$3:$O$18,3,FALSE),"")</f>
        <v/>
      </c>
      <c r="AD92" t="str">
        <f>IFERROR(VLOOKUP('Free Game'!D88,'Pay Table'!$M$3:$O$18,3,FALSE),"")</f>
        <v/>
      </c>
      <c r="AE92" t="str">
        <f>IFERROR(VLOOKUP('Free Game'!F88,'Pay Table'!$M$3:$O$18,3,FALSE),"")</f>
        <v/>
      </c>
      <c r="AF92" t="str">
        <f t="array" ref="AF92">IFERROR(VLOOKUP('Free Game'!H88,'Pay Table'!$M$3:$O$18,3,FALSE),"")</f>
        <v/>
      </c>
      <c r="AG92" t="str">
        <f t="array" ref="AG92">IFERROR(VLOOKUP('Free Game'!J88,'Pay Table'!$M$3:$O$18,3,FALSE),"")</f>
        <v/>
      </c>
      <c r="AI92" t="str">
        <f>IF('Free Game'!C88=0,"",'Free Game'!C88)</f>
        <v/>
      </c>
      <c r="AJ92" t="str">
        <f>IF('Free Game'!E88=0,"",'Free Game'!E88)</f>
        <v/>
      </c>
      <c r="AK92" t="str">
        <f>IF('Free Game'!G88=0,"",'Free Game'!G88)</f>
        <v/>
      </c>
      <c r="AL92" t="str">
        <f>IF('Free Game'!I88=0,"",'Free Game'!I88)</f>
        <v/>
      </c>
      <c r="AM92" t="str">
        <f>IF('Free Game'!K88=0,"",'Free Game'!K88)</f>
        <v/>
      </c>
    </row>
    <row r="93" spans="1:39" ht="15" x14ac:dyDescent="0.15">
      <c r="A93" s="10"/>
      <c r="B93" s="10"/>
      <c r="C93" s="10"/>
      <c r="D93" s="10"/>
      <c r="E93" s="10"/>
      <c r="F93" s="10"/>
      <c r="G93" s="103"/>
      <c r="H93" s="10"/>
      <c r="I93" s="10"/>
      <c r="K93" t="str">
        <f>IFERROR(VLOOKUP('Base Game '!B90,'Pay Table'!$M$3:$O$18,3,FALSE),"")</f>
        <v/>
      </c>
      <c r="L93" t="str">
        <f>IFERROR(VLOOKUP('Base Game '!D90,'Pay Table'!$M$3:$O$18,3,FALSE),"")</f>
        <v/>
      </c>
      <c r="M93" t="str">
        <f t="array" ref="M93">IFERROR(VLOOKUP('Base Game '!F90,'Pay Table'!$M$3:$O$18,3,FALSE),"")</f>
        <v/>
      </c>
      <c r="N93" t="str">
        <f t="array" ref="N93">IFERROR(VLOOKUP('Base Game '!H90,'Pay Table'!$M$3:$O$18,3,FALSE),"")</f>
        <v/>
      </c>
      <c r="O93" t="str">
        <f t="array" ref="O93">IFERROR(VLOOKUP('Base Game '!J90,'Pay Table'!$M$3:$O$18,3,FALSE),"")</f>
        <v/>
      </c>
      <c r="Q93" t="str">
        <f t="array" ref="Q93">IF('Base Game '!C90=0,"",'Base Game '!C90)</f>
        <v/>
      </c>
      <c r="R93" t="str">
        <f>IF('Base Game '!E90=0,"",'Base Game '!E90)</f>
        <v/>
      </c>
      <c r="S93" t="str">
        <f>IF('Base Game '!G90=0,"",'Base Game '!G90)</f>
        <v/>
      </c>
      <c r="T93" t="str">
        <f>IF('Base Game '!I90=0,"",'Base Game '!I90)</f>
        <v/>
      </c>
      <c r="U93" t="str">
        <f>IF('Base Game '!K90=0,"",'Base Game '!K90)</f>
        <v/>
      </c>
      <c r="Z93" t="e">
        <f>VLOOKUP(#REF!,'Pay Table'!$M$3:$O$18,3,FALSE)</f>
        <v>#REF!</v>
      </c>
      <c r="AA93" t="e">
        <f>VLOOKUP(#REF!,'Pay Table'!$M$3:$O$18,3,FALSE)</f>
        <v>#REF!</v>
      </c>
      <c r="AC93" t="str">
        <f t="array" ref="AC93">IFERROR(VLOOKUP('Free Game'!B89,'Pay Table'!$M$3:$O$18,3,FALSE),"")</f>
        <v/>
      </c>
      <c r="AD93" t="str">
        <f>IFERROR(VLOOKUP('Free Game'!D89,'Pay Table'!$M$3:$O$18,3,FALSE),"")</f>
        <v/>
      </c>
      <c r="AE93" t="str">
        <f>IFERROR(VLOOKUP('Free Game'!F89,'Pay Table'!$M$3:$O$18,3,FALSE),"")</f>
        <v/>
      </c>
      <c r="AF93" t="str">
        <f t="array" ref="AF93">IFERROR(VLOOKUP('Free Game'!H89,'Pay Table'!$M$3:$O$18,3,FALSE),"")</f>
        <v/>
      </c>
      <c r="AG93" t="str">
        <f t="array" ref="AG93">IFERROR(VLOOKUP('Free Game'!J89,'Pay Table'!$M$3:$O$18,3,FALSE),"")</f>
        <v/>
      </c>
      <c r="AI93" t="str">
        <f>IF('Free Game'!C89=0,"",'Free Game'!C89)</f>
        <v/>
      </c>
      <c r="AJ93" t="str">
        <f>IF('Free Game'!E89=0,"",'Free Game'!E89)</f>
        <v/>
      </c>
      <c r="AK93" t="str">
        <f>IF('Free Game'!G89=0,"",'Free Game'!G89)</f>
        <v/>
      </c>
      <c r="AL93" t="str">
        <f>IF('Free Game'!I89=0,"",'Free Game'!I89)</f>
        <v/>
      </c>
      <c r="AM93" t="str">
        <f>IF('Free Game'!K89=0,"",'Free Game'!K89)</f>
        <v/>
      </c>
    </row>
    <row r="94" spans="1:39" ht="15" x14ac:dyDescent="0.15">
      <c r="A94" s="10"/>
      <c r="B94" s="10"/>
      <c r="C94" s="10"/>
      <c r="D94" s="10"/>
      <c r="E94" s="10"/>
      <c r="F94" s="10"/>
      <c r="G94" s="103"/>
      <c r="H94" s="10"/>
      <c r="I94" s="10"/>
      <c r="K94" t="str">
        <f>IFERROR(VLOOKUP('Base Game '!B91,'Pay Table'!$M$3:$O$18,3,FALSE),"")</f>
        <v/>
      </c>
      <c r="L94" t="str">
        <f>IFERROR(VLOOKUP('Base Game '!D91,'Pay Table'!$M$3:$O$18,3,FALSE),"")</f>
        <v/>
      </c>
      <c r="M94" t="str">
        <f t="array" ref="M94">IFERROR(VLOOKUP('Base Game '!F91,'Pay Table'!$M$3:$O$18,3,FALSE),"")</f>
        <v/>
      </c>
      <c r="N94" t="str">
        <f t="array" ref="N94">IFERROR(VLOOKUP('Base Game '!H91,'Pay Table'!$M$3:$O$18,3,FALSE),"")</f>
        <v/>
      </c>
      <c r="O94" t="str">
        <f t="array" ref="O94">IFERROR(VLOOKUP('Base Game '!J91,'Pay Table'!$M$3:$O$18,3,FALSE),"")</f>
        <v/>
      </c>
      <c r="Q94" t="str">
        <f t="array" ref="Q94">IF('Base Game '!C91=0,"",'Base Game '!C91)</f>
        <v/>
      </c>
      <c r="R94" t="str">
        <f>IF('Base Game '!E91=0,"",'Base Game '!E91)</f>
        <v/>
      </c>
      <c r="S94" t="str">
        <f>IF('Base Game '!G91=0,"",'Base Game '!G91)</f>
        <v/>
      </c>
      <c r="T94" t="str">
        <f>IF('Base Game '!I91=0,"",'Base Game '!I91)</f>
        <v/>
      </c>
      <c r="U94" t="str">
        <f>IF('Base Game '!K91=0,"",'Base Game '!K91)</f>
        <v/>
      </c>
      <c r="Z94" t="e">
        <f>VLOOKUP(#REF!,'Pay Table'!$M$3:$O$18,3,FALSE)</f>
        <v>#REF!</v>
      </c>
      <c r="AA94" t="e">
        <f>VLOOKUP(#REF!,'Pay Table'!$M$3:$O$18,3,FALSE)</f>
        <v>#REF!</v>
      </c>
      <c r="AC94" t="str">
        <f t="array" ref="AC94">IFERROR(VLOOKUP('Free Game'!B90,'Pay Table'!$M$3:$O$18,3,FALSE),"")</f>
        <v/>
      </c>
      <c r="AD94" t="str">
        <f>IFERROR(VLOOKUP('Free Game'!D90,'Pay Table'!$M$3:$O$18,3,FALSE),"")</f>
        <v/>
      </c>
      <c r="AE94" t="str">
        <f>IFERROR(VLOOKUP('Free Game'!F90,'Pay Table'!$M$3:$O$18,3,FALSE),"")</f>
        <v/>
      </c>
      <c r="AF94" t="str">
        <f t="array" ref="AF94">IFERROR(VLOOKUP('Free Game'!H90,'Pay Table'!$M$3:$O$18,3,FALSE),"")</f>
        <v/>
      </c>
      <c r="AG94" t="str">
        <f t="array" ref="AG94">IFERROR(VLOOKUP('Free Game'!J90,'Pay Table'!$M$3:$O$18,3,FALSE),"")</f>
        <v/>
      </c>
      <c r="AI94" t="str">
        <f>IF('Free Game'!C90=0,"",'Free Game'!C90)</f>
        <v/>
      </c>
      <c r="AJ94" t="str">
        <f>IF('Free Game'!E90=0,"",'Free Game'!E90)</f>
        <v/>
      </c>
      <c r="AK94" t="str">
        <f>IF('Free Game'!G90=0,"",'Free Game'!G90)</f>
        <v/>
      </c>
      <c r="AL94" t="str">
        <f>IF('Free Game'!I90=0,"",'Free Game'!I90)</f>
        <v/>
      </c>
      <c r="AM94" t="str">
        <f>IF('Free Game'!K90=0,"",'Free Game'!K90)</f>
        <v/>
      </c>
    </row>
    <row r="95" spans="1:39" ht="15" x14ac:dyDescent="0.15">
      <c r="A95" s="10"/>
      <c r="B95" s="10"/>
      <c r="C95" s="10"/>
      <c r="D95" s="10"/>
      <c r="E95" s="10"/>
      <c r="F95" s="10"/>
      <c r="G95" s="103"/>
      <c r="H95" s="10"/>
      <c r="I95" s="10"/>
      <c r="K95" t="str">
        <f>IFERROR(VLOOKUP('Base Game '!B92,'Pay Table'!$M$3:$O$18,3,FALSE),"")</f>
        <v/>
      </c>
      <c r="L95" t="str">
        <f>IFERROR(VLOOKUP('Base Game '!D92,'Pay Table'!$M$3:$O$18,3,FALSE),"")</f>
        <v/>
      </c>
      <c r="M95" t="str">
        <f t="array" ref="M95">IFERROR(VLOOKUP('Base Game '!F92,'Pay Table'!$M$3:$O$18,3,FALSE),"")</f>
        <v/>
      </c>
      <c r="N95" t="str">
        <f t="array" ref="N95">IFERROR(VLOOKUP('Base Game '!H92,'Pay Table'!$M$3:$O$18,3,FALSE),"")</f>
        <v/>
      </c>
      <c r="O95" t="str">
        <f t="array" ref="O95">IFERROR(VLOOKUP('Base Game '!J92,'Pay Table'!$M$3:$O$18,3,FALSE),"")</f>
        <v/>
      </c>
      <c r="Q95" t="str">
        <f t="array" ref="Q95">IF('Base Game '!C92=0,"",'Base Game '!C92)</f>
        <v/>
      </c>
      <c r="R95" t="str">
        <f>IF('Base Game '!E92=0,"",'Base Game '!E92)</f>
        <v/>
      </c>
      <c r="S95" t="str">
        <f>IF('Base Game '!G92=0,"",'Base Game '!G92)</f>
        <v/>
      </c>
      <c r="T95" t="str">
        <f>IF('Base Game '!I92=0,"",'Base Game '!I92)</f>
        <v/>
      </c>
      <c r="U95" t="str">
        <f>IF('Base Game '!K92=0,"",'Base Game '!K92)</f>
        <v/>
      </c>
      <c r="Z95" t="e">
        <f>VLOOKUP(#REF!,'Pay Table'!$M$3:$O$18,3,FALSE)</f>
        <v>#REF!</v>
      </c>
      <c r="AA95" t="e">
        <f>VLOOKUP(#REF!,'Pay Table'!$M$3:$O$18,3,FALSE)</f>
        <v>#REF!</v>
      </c>
      <c r="AC95" t="str">
        <f t="array" ref="AC95">IFERROR(VLOOKUP('Free Game'!B91,'Pay Table'!$M$3:$O$18,3,FALSE),"")</f>
        <v/>
      </c>
      <c r="AD95" t="str">
        <f>IFERROR(VLOOKUP('Free Game'!D91,'Pay Table'!$M$3:$O$18,3,FALSE),"")</f>
        <v/>
      </c>
      <c r="AE95" t="str">
        <f>IFERROR(VLOOKUP('Free Game'!F91,'Pay Table'!$M$3:$O$18,3,FALSE),"")</f>
        <v/>
      </c>
      <c r="AF95" t="str">
        <f t="array" ref="AF95">IFERROR(VLOOKUP('Free Game'!H91,'Pay Table'!$M$3:$O$18,3,FALSE),"")</f>
        <v/>
      </c>
      <c r="AG95" t="str">
        <f t="array" ref="AG95">IFERROR(VLOOKUP('Free Game'!J91,'Pay Table'!$M$3:$O$18,3,FALSE),"")</f>
        <v/>
      </c>
      <c r="AI95" t="str">
        <f>IF('Free Game'!C91=0,"",'Free Game'!C91)</f>
        <v/>
      </c>
      <c r="AJ95" t="str">
        <f>IF('Free Game'!E91=0,"",'Free Game'!E91)</f>
        <v/>
      </c>
      <c r="AK95" t="str">
        <f>IF('Free Game'!G91=0,"",'Free Game'!G91)</f>
        <v/>
      </c>
      <c r="AL95" t="str">
        <f>IF('Free Game'!I91=0,"",'Free Game'!I91)</f>
        <v/>
      </c>
      <c r="AM95" t="str">
        <f>IF('Free Game'!K91=0,"",'Free Game'!K91)</f>
        <v/>
      </c>
    </row>
    <row r="96" spans="1:39" ht="15" x14ac:dyDescent="0.15">
      <c r="A96" s="10"/>
      <c r="B96" s="10"/>
      <c r="C96" s="10"/>
      <c r="D96" s="10"/>
      <c r="E96" s="10"/>
      <c r="F96" s="10"/>
      <c r="G96" s="103"/>
      <c r="H96" s="10"/>
      <c r="I96" s="10"/>
      <c r="K96" t="str">
        <f>IFERROR(VLOOKUP('Base Game '!B93,'Pay Table'!$M$3:$O$18,3,FALSE),"")</f>
        <v/>
      </c>
      <c r="L96" t="str">
        <f>IFERROR(VLOOKUP('Base Game '!D93,'Pay Table'!$M$3:$O$18,3,FALSE),"")</f>
        <v/>
      </c>
      <c r="M96" t="str">
        <f t="array" ref="M96">IFERROR(VLOOKUP('Base Game '!F93,'Pay Table'!$M$3:$O$18,3,FALSE),"")</f>
        <v/>
      </c>
      <c r="N96" t="str">
        <f t="array" ref="N96">IFERROR(VLOOKUP('Base Game '!H93,'Pay Table'!$M$3:$O$18,3,FALSE),"")</f>
        <v/>
      </c>
      <c r="O96" t="str">
        <f t="array" ref="O96">IFERROR(VLOOKUP('Base Game '!J93,'Pay Table'!$M$3:$O$18,3,FALSE),"")</f>
        <v/>
      </c>
      <c r="Q96" t="str">
        <f t="array" ref="Q96">IF('Base Game '!C93=0,"",'Base Game '!C93)</f>
        <v/>
      </c>
      <c r="R96" t="str">
        <f>IF('Base Game '!E93=0,"",'Base Game '!E93)</f>
        <v/>
      </c>
      <c r="S96" t="str">
        <f>IF('Base Game '!G93=0,"",'Base Game '!G93)</f>
        <v/>
      </c>
      <c r="T96" t="str">
        <f>IF('Base Game '!I93=0,"",'Base Game '!I93)</f>
        <v/>
      </c>
      <c r="U96" t="str">
        <f>IF('Base Game '!K93=0,"",'Base Game '!K93)</f>
        <v/>
      </c>
      <c r="Z96" t="e">
        <f>VLOOKUP(#REF!,'Pay Table'!$M$3:$O$18,3,FALSE)</f>
        <v>#REF!</v>
      </c>
      <c r="AC96" t="str">
        <f t="array" ref="AC96">IFERROR(VLOOKUP('Free Game'!B92,'Pay Table'!$M$3:$O$18,3,FALSE),"")</f>
        <v/>
      </c>
      <c r="AD96" t="str">
        <f>IFERROR(VLOOKUP('Free Game'!D92,'Pay Table'!$M$3:$O$18,3,FALSE),"")</f>
        <v/>
      </c>
      <c r="AE96" t="str">
        <f>IFERROR(VLOOKUP('Free Game'!F92,'Pay Table'!$M$3:$O$18,3,FALSE),"")</f>
        <v/>
      </c>
      <c r="AF96" t="str">
        <f t="array" ref="AF96">IFERROR(VLOOKUP('Free Game'!H92,'Pay Table'!$M$3:$O$18,3,FALSE),"")</f>
        <v/>
      </c>
      <c r="AG96" t="str">
        <f t="array" ref="AG96">IFERROR(VLOOKUP('Free Game'!J92,'Pay Table'!$M$3:$O$18,3,FALSE),"")</f>
        <v/>
      </c>
      <c r="AI96" t="str">
        <f>IF('Free Game'!C92=0,"",'Free Game'!C92)</f>
        <v/>
      </c>
      <c r="AJ96" t="str">
        <f>IF('Free Game'!E92=0,"",'Free Game'!E92)</f>
        <v/>
      </c>
      <c r="AK96" t="str">
        <f>IF('Free Game'!G92=0,"",'Free Game'!G92)</f>
        <v/>
      </c>
      <c r="AL96" t="str">
        <f>IF('Free Game'!I92=0,"",'Free Game'!I92)</f>
        <v/>
      </c>
      <c r="AM96" t="str">
        <f>IF('Free Game'!K92=0,"",'Free Game'!K92)</f>
        <v/>
      </c>
    </row>
    <row r="97" spans="1:39" ht="15" x14ac:dyDescent="0.15">
      <c r="A97" s="10"/>
      <c r="B97" s="10"/>
      <c r="C97" s="10"/>
      <c r="D97" s="10"/>
      <c r="E97" s="10"/>
      <c r="F97" s="10"/>
      <c r="G97" s="103"/>
      <c r="H97" s="10"/>
      <c r="I97" s="10"/>
      <c r="K97" t="str">
        <f>IFERROR(VLOOKUP('Base Game '!B94,'Pay Table'!$M$3:$O$18,3,FALSE),"")</f>
        <v/>
      </c>
      <c r="L97" t="str">
        <f>IFERROR(VLOOKUP('Base Game '!D94,'Pay Table'!$M$3:$O$18,3,FALSE),"")</f>
        <v/>
      </c>
      <c r="M97" t="str">
        <f t="array" ref="M97">IFERROR(VLOOKUP('Base Game '!F94,'Pay Table'!$M$3:$O$18,3,FALSE),"")</f>
        <v/>
      </c>
      <c r="N97" t="str">
        <f t="array" ref="N97">IFERROR(VLOOKUP('Base Game '!H94,'Pay Table'!$M$3:$O$18,3,FALSE),"")</f>
        <v/>
      </c>
      <c r="O97" t="str">
        <f t="array" ref="O97">IFERROR(VLOOKUP('Base Game '!J94,'Pay Table'!$M$3:$O$18,3,FALSE),"")</f>
        <v/>
      </c>
      <c r="Q97" t="str">
        <f t="array" ref="Q97">IF('Base Game '!C94=0,"",'Base Game '!C94)</f>
        <v/>
      </c>
      <c r="R97" t="str">
        <f>IF('Base Game '!E94=0,"",'Base Game '!E94)</f>
        <v/>
      </c>
      <c r="S97" t="str">
        <f>IF('Base Game '!G94=0,"",'Base Game '!G94)</f>
        <v/>
      </c>
      <c r="T97" t="str">
        <f>IF('Base Game '!I94=0,"",'Base Game '!I94)</f>
        <v/>
      </c>
      <c r="U97" t="str">
        <f>IF('Base Game '!K94=0,"",'Base Game '!K94)</f>
        <v/>
      </c>
      <c r="Z97" t="e">
        <f>VLOOKUP(#REF!,'Pay Table'!$M$3:$O$18,3,FALSE)</f>
        <v>#REF!</v>
      </c>
      <c r="AC97" t="str">
        <f t="array" ref="AC97">IFERROR(VLOOKUP('Free Game'!B93,'Pay Table'!$M$3:$O$18,3,FALSE),"")</f>
        <v/>
      </c>
      <c r="AD97" t="str">
        <f>IFERROR(VLOOKUP('Free Game'!D93,'Pay Table'!$M$3:$O$18,3,FALSE),"")</f>
        <v/>
      </c>
      <c r="AE97" t="str">
        <f>IFERROR(VLOOKUP('Free Game'!F93,'Pay Table'!$M$3:$O$18,3,FALSE),"")</f>
        <v/>
      </c>
      <c r="AF97" t="str">
        <f t="array" ref="AF97">IFERROR(VLOOKUP('Free Game'!H93,'Pay Table'!$M$3:$O$18,3,FALSE),"")</f>
        <v/>
      </c>
      <c r="AG97" t="str">
        <f t="array" ref="AG97">IFERROR(VLOOKUP('Free Game'!J93,'Pay Table'!$M$3:$O$18,3,FALSE),"")</f>
        <v/>
      </c>
      <c r="AI97" t="str">
        <f>IF('Free Game'!C93=0,"",'Free Game'!C93)</f>
        <v/>
      </c>
      <c r="AJ97" t="str">
        <f>IF('Free Game'!E93=0,"",'Free Game'!E93)</f>
        <v/>
      </c>
      <c r="AK97" t="str">
        <f>IF('Free Game'!G93=0,"",'Free Game'!G93)</f>
        <v/>
      </c>
      <c r="AL97" t="str">
        <f>IF('Free Game'!I93=0,"",'Free Game'!I93)</f>
        <v/>
      </c>
      <c r="AM97" t="str">
        <f>IF('Free Game'!K93=0,"",'Free Game'!K93)</f>
        <v/>
      </c>
    </row>
    <row r="98" spans="1:39" ht="15" x14ac:dyDescent="0.15">
      <c r="A98" s="10"/>
      <c r="B98" s="10"/>
      <c r="C98" s="10"/>
      <c r="D98" s="10"/>
      <c r="E98" s="10"/>
      <c r="F98" s="10"/>
      <c r="G98" s="103"/>
      <c r="H98" s="10"/>
      <c r="I98" s="10"/>
      <c r="K98" t="str">
        <f>IFERROR(VLOOKUP('Base Game '!B95,'Pay Table'!$M$3:$O$18,3,FALSE),"")</f>
        <v/>
      </c>
      <c r="L98" t="str">
        <f>IFERROR(VLOOKUP('Base Game '!D95,'Pay Table'!$M$3:$O$18,3,FALSE),"")</f>
        <v/>
      </c>
      <c r="M98" t="str">
        <f t="array" ref="M98">IFERROR(VLOOKUP('Base Game '!F95,'Pay Table'!$M$3:$O$18,3,FALSE),"")</f>
        <v/>
      </c>
      <c r="N98" t="str">
        <f t="array" ref="N98">IFERROR(VLOOKUP('Base Game '!H95,'Pay Table'!$M$3:$O$18,3,FALSE),"")</f>
        <v/>
      </c>
      <c r="O98" t="str">
        <f t="array" ref="O98">IFERROR(VLOOKUP('Base Game '!J95,'Pay Table'!$M$3:$O$18,3,FALSE),"")</f>
        <v/>
      </c>
      <c r="Q98" t="str">
        <f t="array" ref="Q98">IF('Base Game '!C95=0,"",'Base Game '!C95)</f>
        <v/>
      </c>
      <c r="R98" t="str">
        <f>IF('Base Game '!E95=0,"",'Base Game '!E95)</f>
        <v/>
      </c>
      <c r="S98" t="str">
        <f>IF('Base Game '!G95=0,"",'Base Game '!G95)</f>
        <v/>
      </c>
      <c r="T98" t="str">
        <f>IF('Base Game '!I95=0,"",'Base Game '!I95)</f>
        <v/>
      </c>
      <c r="U98" t="str">
        <f>IF('Base Game '!K95=0,"",'Base Game '!K95)</f>
        <v/>
      </c>
      <c r="Z98" t="e">
        <f>VLOOKUP(#REF!,'Pay Table'!$M$3:$O$18,3,FALSE)</f>
        <v>#REF!</v>
      </c>
      <c r="AC98" t="str">
        <f t="array" ref="AC98">IFERROR(VLOOKUP('Free Game'!B94,'Pay Table'!$M$3:$O$18,3,FALSE),"")</f>
        <v/>
      </c>
      <c r="AD98" t="str">
        <f>IFERROR(VLOOKUP('Free Game'!D94,'Pay Table'!$M$3:$O$18,3,FALSE),"")</f>
        <v/>
      </c>
      <c r="AE98" t="str">
        <f>IFERROR(VLOOKUP('Free Game'!F94,'Pay Table'!$M$3:$O$18,3,FALSE),"")</f>
        <v/>
      </c>
      <c r="AF98" t="str">
        <f t="array" ref="AF98">IFERROR(VLOOKUP('Free Game'!H94,'Pay Table'!$M$3:$O$18,3,FALSE),"")</f>
        <v/>
      </c>
      <c r="AG98" t="str">
        <f t="array" ref="AG98">IFERROR(VLOOKUP('Free Game'!J94,'Pay Table'!$M$3:$O$18,3,FALSE),"")</f>
        <v/>
      </c>
      <c r="AI98" t="str">
        <f>IF('Free Game'!C94=0,"",'Free Game'!C94)</f>
        <v/>
      </c>
      <c r="AJ98" t="str">
        <f>IF('Free Game'!E94=0,"",'Free Game'!E94)</f>
        <v/>
      </c>
      <c r="AK98" t="str">
        <f>IF('Free Game'!G94=0,"",'Free Game'!G94)</f>
        <v/>
      </c>
      <c r="AL98" t="str">
        <f>IF('Free Game'!I94=0,"",'Free Game'!I94)</f>
        <v/>
      </c>
      <c r="AM98" t="str">
        <f>IF('Free Game'!K94=0,"",'Free Game'!K94)</f>
        <v/>
      </c>
    </row>
    <row r="99" spans="1:39" ht="15" x14ac:dyDescent="0.15">
      <c r="A99" s="10"/>
      <c r="B99" s="10"/>
      <c r="C99" s="10"/>
      <c r="D99" s="10"/>
      <c r="E99" s="10"/>
      <c r="F99" s="10"/>
      <c r="G99" s="103"/>
      <c r="H99" s="10"/>
      <c r="I99" s="10"/>
      <c r="K99" t="str">
        <f>IFERROR(VLOOKUP('Base Game '!B96,'Pay Table'!$M$3:$O$18,3,FALSE),"")</f>
        <v/>
      </c>
      <c r="L99" t="str">
        <f>IFERROR(VLOOKUP('Base Game '!D96,'Pay Table'!$M$3:$O$18,3,FALSE),"")</f>
        <v/>
      </c>
      <c r="M99" t="str">
        <f t="array" ref="M99">IFERROR(VLOOKUP('Base Game '!F96,'Pay Table'!$M$3:$O$18,3,FALSE),"")</f>
        <v/>
      </c>
      <c r="N99" t="str">
        <f t="array" ref="N99">IFERROR(VLOOKUP('Base Game '!H96,'Pay Table'!$M$3:$O$18,3,FALSE),"")</f>
        <v/>
      </c>
      <c r="O99" t="str">
        <f t="array" ref="O99">IFERROR(VLOOKUP('Base Game '!J96,'Pay Table'!$M$3:$O$18,3,FALSE),"")</f>
        <v/>
      </c>
      <c r="Q99" t="str">
        <f t="array" ref="Q99">IF('Base Game '!C96=0,"",'Base Game '!C96)</f>
        <v/>
      </c>
      <c r="R99" t="str">
        <f>IF('Base Game '!E96=0,"",'Base Game '!E96)</f>
        <v/>
      </c>
      <c r="S99" t="str">
        <f>IF('Base Game '!G96=0,"",'Base Game '!G96)</f>
        <v/>
      </c>
      <c r="T99" t="str">
        <f>IF('Base Game '!I96=0,"",'Base Game '!I96)</f>
        <v/>
      </c>
      <c r="U99" t="str">
        <f>IF('Base Game '!K96=0,"",'Base Game '!K96)</f>
        <v/>
      </c>
      <c r="Z99" t="e">
        <f>VLOOKUP(#REF!,'Pay Table'!$M$3:$O$18,3,FALSE)</f>
        <v>#REF!</v>
      </c>
      <c r="AC99" t="str">
        <f t="array" ref="AC99">IFERROR(VLOOKUP('Free Game'!B95,'Pay Table'!$M$3:$O$18,3,FALSE),"")</f>
        <v/>
      </c>
      <c r="AD99" t="str">
        <f>IFERROR(VLOOKUP('Free Game'!D95,'Pay Table'!$M$3:$O$18,3,FALSE),"")</f>
        <v/>
      </c>
      <c r="AE99" t="str">
        <f>IFERROR(VLOOKUP('Free Game'!F95,'Pay Table'!$M$3:$O$18,3,FALSE),"")</f>
        <v/>
      </c>
      <c r="AF99" t="str">
        <f t="array" ref="AF99">IFERROR(VLOOKUP('Free Game'!H95,'Pay Table'!$M$3:$O$18,3,FALSE),"")</f>
        <v/>
      </c>
      <c r="AG99" t="str">
        <f t="array" ref="AG99">IFERROR(VLOOKUP('Free Game'!J95,'Pay Table'!$M$3:$O$18,3,FALSE),"")</f>
        <v/>
      </c>
      <c r="AI99" t="str">
        <f>IF('Free Game'!C95=0,"",'Free Game'!C95)</f>
        <v/>
      </c>
      <c r="AJ99" t="str">
        <f>IF('Free Game'!E95=0,"",'Free Game'!E95)</f>
        <v/>
      </c>
      <c r="AK99" t="str">
        <f>IF('Free Game'!G95=0,"",'Free Game'!G95)</f>
        <v/>
      </c>
      <c r="AL99" t="str">
        <f>IF('Free Game'!I95=0,"",'Free Game'!I95)</f>
        <v/>
      </c>
      <c r="AM99" t="str">
        <f>IF('Free Game'!K95=0,"",'Free Game'!K95)</f>
        <v/>
      </c>
    </row>
    <row r="100" spans="1:39" ht="15" x14ac:dyDescent="0.15">
      <c r="A100" s="10"/>
      <c r="B100" s="10"/>
      <c r="C100" s="10"/>
      <c r="D100" s="10"/>
      <c r="E100" s="10"/>
      <c r="F100" s="10"/>
      <c r="G100" s="103"/>
      <c r="H100" s="10"/>
      <c r="I100" s="10"/>
      <c r="K100" t="str">
        <f>IFERROR(VLOOKUP('Base Game '!B97,'Pay Table'!$M$3:$O$18,3,FALSE),"")</f>
        <v/>
      </c>
      <c r="L100" t="str">
        <f>IFERROR(VLOOKUP('Base Game '!D97,'Pay Table'!$M$3:$O$18,3,FALSE),"")</f>
        <v/>
      </c>
      <c r="M100" t="str">
        <f t="array" ref="M100">IFERROR(VLOOKUP('Base Game '!F97,'Pay Table'!$M$3:$O$18,3,FALSE),"")</f>
        <v/>
      </c>
      <c r="N100" t="str">
        <f t="array" ref="N100">IFERROR(VLOOKUP('Base Game '!H97,'Pay Table'!$M$3:$O$18,3,FALSE),"")</f>
        <v/>
      </c>
      <c r="O100" t="str">
        <f t="array" ref="O100">IFERROR(VLOOKUP('Base Game '!J97,'Pay Table'!$M$3:$O$18,3,FALSE),"")</f>
        <v/>
      </c>
      <c r="Q100" t="str">
        <f t="array" ref="Q100">IF('Base Game '!C97=0,"",'Base Game '!C97)</f>
        <v/>
      </c>
      <c r="R100" t="str">
        <f>IF('Base Game '!E97=0,"",'Base Game '!E97)</f>
        <v/>
      </c>
      <c r="S100" t="str">
        <f>IF('Base Game '!G97=0,"",'Base Game '!G97)</f>
        <v/>
      </c>
      <c r="T100" t="str">
        <f>IF('Base Game '!I97=0,"",'Base Game '!I97)</f>
        <v/>
      </c>
      <c r="U100" t="str">
        <f>IF('Base Game '!K97=0,"",'Base Game '!K97)</f>
        <v/>
      </c>
      <c r="Z100" t="e">
        <f>VLOOKUP(#REF!,'Pay Table'!$M$3:$O$18,3,FALSE)</f>
        <v>#REF!</v>
      </c>
      <c r="AC100" t="str">
        <f t="array" ref="AC100">IFERROR(VLOOKUP('Free Game'!B96,'Pay Table'!$M$3:$O$18,3,FALSE),"")</f>
        <v/>
      </c>
      <c r="AD100" t="str">
        <f>IFERROR(VLOOKUP('Free Game'!D96,'Pay Table'!$M$3:$O$18,3,FALSE),"")</f>
        <v/>
      </c>
      <c r="AE100" t="str">
        <f>IFERROR(VLOOKUP('Free Game'!F96,'Pay Table'!$M$3:$O$18,3,FALSE),"")</f>
        <v/>
      </c>
      <c r="AF100" t="str">
        <f t="array" ref="AF100">IFERROR(VLOOKUP('Free Game'!H96,'Pay Table'!$M$3:$O$18,3,FALSE),"")</f>
        <v/>
      </c>
      <c r="AG100" t="str">
        <f t="array" ref="AG100">IFERROR(VLOOKUP('Free Game'!J96,'Pay Table'!$M$3:$O$18,3,FALSE),"")</f>
        <v/>
      </c>
      <c r="AI100" t="str">
        <f>IF('Free Game'!C96=0,"",'Free Game'!C96)</f>
        <v/>
      </c>
      <c r="AJ100" t="str">
        <f>IF('Free Game'!E96=0,"",'Free Game'!E96)</f>
        <v/>
      </c>
      <c r="AK100" t="str">
        <f>IF('Free Game'!G96=0,"",'Free Game'!G96)</f>
        <v/>
      </c>
      <c r="AL100" t="str">
        <f>IF('Free Game'!I96=0,"",'Free Game'!I96)</f>
        <v/>
      </c>
      <c r="AM100" t="str">
        <f>IF('Free Game'!K96=0,"",'Free Game'!K96)</f>
        <v/>
      </c>
    </row>
    <row r="101" spans="1:39" ht="15" x14ac:dyDescent="0.15">
      <c r="A101" s="10"/>
      <c r="B101" s="10"/>
      <c r="C101" s="10"/>
      <c r="D101" s="10"/>
      <c r="E101" s="10"/>
      <c r="F101" s="10"/>
      <c r="G101" s="103"/>
      <c r="H101" s="10"/>
      <c r="I101" s="10"/>
      <c r="K101" t="str">
        <f>IFERROR(VLOOKUP('Base Game '!B98,'Pay Table'!$M$3:$O$18,3,FALSE),"")</f>
        <v/>
      </c>
      <c r="L101" t="str">
        <f>IFERROR(VLOOKUP('Base Game '!D98,'Pay Table'!$M$3:$O$18,3,FALSE),"")</f>
        <v/>
      </c>
      <c r="M101" t="str">
        <f t="array" ref="M101">IFERROR(VLOOKUP('Base Game '!F98,'Pay Table'!$M$3:$O$18,3,FALSE),"")</f>
        <v/>
      </c>
      <c r="N101" t="str">
        <f t="array" ref="N101">IFERROR(VLOOKUP('Base Game '!H98,'Pay Table'!$M$3:$O$18,3,FALSE),"")</f>
        <v/>
      </c>
      <c r="O101" t="str">
        <f t="array" ref="O101">IFERROR(VLOOKUP('Base Game '!J98,'Pay Table'!$M$3:$O$18,3,FALSE),"")</f>
        <v/>
      </c>
      <c r="Q101" t="str">
        <f t="array" ref="Q101">IF('Base Game '!C98=0,"",'Base Game '!C98)</f>
        <v/>
      </c>
      <c r="R101" t="str">
        <f>IF('Base Game '!E98=0,"",'Base Game '!E98)</f>
        <v/>
      </c>
      <c r="S101" t="str">
        <f>IF('Base Game '!G98=0,"",'Base Game '!G98)</f>
        <v/>
      </c>
      <c r="T101" t="str">
        <f>IF('Base Game '!I98=0,"",'Base Game '!I98)</f>
        <v/>
      </c>
      <c r="U101" t="str">
        <f>IF('Base Game '!K98=0,"",'Base Game '!K98)</f>
        <v/>
      </c>
      <c r="Z101" t="e">
        <f>VLOOKUP(#REF!,'Pay Table'!$M$3:$O$18,3,FALSE)</f>
        <v>#REF!</v>
      </c>
      <c r="AC101" t="str">
        <f t="array" ref="AC101">IFERROR(VLOOKUP('Free Game'!B97,'Pay Table'!$M$3:$O$18,3,FALSE),"")</f>
        <v/>
      </c>
      <c r="AD101" t="str">
        <f>IFERROR(VLOOKUP('Free Game'!D97,'Pay Table'!$M$3:$O$18,3,FALSE),"")</f>
        <v/>
      </c>
      <c r="AE101" t="str">
        <f>IFERROR(VLOOKUP('Free Game'!F97,'Pay Table'!$M$3:$O$18,3,FALSE),"")</f>
        <v/>
      </c>
      <c r="AF101" t="str">
        <f t="array" ref="AF101">IFERROR(VLOOKUP('Free Game'!H97,'Pay Table'!$M$3:$O$18,3,FALSE),"")</f>
        <v/>
      </c>
      <c r="AG101" t="str">
        <f t="array" ref="AG101">IFERROR(VLOOKUP('Free Game'!J97,'Pay Table'!$M$3:$O$18,3,FALSE),"")</f>
        <v/>
      </c>
      <c r="AI101" t="str">
        <f>IF('Free Game'!C97=0,"",'Free Game'!C97)</f>
        <v/>
      </c>
      <c r="AJ101" t="str">
        <f>IF('Free Game'!E97=0,"",'Free Game'!E97)</f>
        <v/>
      </c>
      <c r="AK101" t="str">
        <f>IF('Free Game'!G97=0,"",'Free Game'!G97)</f>
        <v/>
      </c>
      <c r="AL101" t="str">
        <f>IF('Free Game'!I97=0,"",'Free Game'!I97)</f>
        <v/>
      </c>
      <c r="AM101" t="str">
        <f>IF('Free Game'!K97=0,"",'Free Game'!K97)</f>
        <v/>
      </c>
    </row>
    <row r="102" spans="1:39" ht="15" x14ac:dyDescent="0.15">
      <c r="A102" s="10"/>
      <c r="B102" s="10"/>
      <c r="C102" s="10"/>
      <c r="D102" s="10"/>
      <c r="E102" s="10"/>
      <c r="F102" s="10"/>
      <c r="G102" s="103"/>
      <c r="H102" s="10"/>
      <c r="I102" s="10"/>
      <c r="K102" t="str">
        <f>IFERROR(VLOOKUP('Base Game '!B99,'Pay Table'!$M$3:$O$18,3,FALSE),"")</f>
        <v/>
      </c>
      <c r="L102" t="str">
        <f>IFERROR(VLOOKUP('Base Game '!D99,'Pay Table'!$M$3:$O$18,3,FALSE),"")</f>
        <v/>
      </c>
      <c r="M102" t="str">
        <f t="array" ref="M102">IFERROR(VLOOKUP('Base Game '!F99,'Pay Table'!$M$3:$O$18,3,FALSE),"")</f>
        <v/>
      </c>
      <c r="N102" t="str">
        <f t="array" ref="N102">IFERROR(VLOOKUP('Base Game '!H99,'Pay Table'!$M$3:$O$18,3,FALSE),"")</f>
        <v/>
      </c>
      <c r="O102" t="str">
        <f t="array" ref="O102">IFERROR(VLOOKUP('Base Game '!J99,'Pay Table'!$M$3:$O$18,3,FALSE),"")</f>
        <v/>
      </c>
      <c r="Q102" t="str">
        <f t="array" ref="Q102">IF('Base Game '!C99=0,"",'Base Game '!C99)</f>
        <v/>
      </c>
      <c r="R102" t="str">
        <f>IF('Base Game '!E99=0,"",'Base Game '!E99)</f>
        <v/>
      </c>
      <c r="S102" t="str">
        <f>IF('Base Game '!G99=0,"",'Base Game '!G99)</f>
        <v/>
      </c>
      <c r="T102" t="str">
        <f>IF('Base Game '!I99=0,"",'Base Game '!I99)</f>
        <v/>
      </c>
      <c r="U102" t="str">
        <f>IF('Base Game '!K99=0,"",'Base Game '!K99)</f>
        <v/>
      </c>
      <c r="Z102" t="e">
        <f>VLOOKUP(#REF!,'Pay Table'!$M$3:$O$18,3,FALSE)</f>
        <v>#REF!</v>
      </c>
      <c r="AC102" t="str">
        <f t="array" ref="AC102">IFERROR(VLOOKUP('Free Game'!B98,'Pay Table'!$M$3:$O$18,3,FALSE),"")</f>
        <v/>
      </c>
      <c r="AD102" t="str">
        <f>IFERROR(VLOOKUP('Free Game'!D98,'Pay Table'!$M$3:$O$18,3,FALSE),"")</f>
        <v/>
      </c>
      <c r="AE102" t="str">
        <f>IFERROR(VLOOKUP('Free Game'!F98,'Pay Table'!$M$3:$O$18,3,FALSE),"")</f>
        <v/>
      </c>
      <c r="AF102" t="str">
        <f t="array" ref="AF102">IFERROR(VLOOKUP('Free Game'!H98,'Pay Table'!$M$3:$O$18,3,FALSE),"")</f>
        <v/>
      </c>
      <c r="AG102" t="str">
        <f t="array" ref="AG102">IFERROR(VLOOKUP('Free Game'!J98,'Pay Table'!$M$3:$O$18,3,FALSE),"")</f>
        <v/>
      </c>
      <c r="AI102" t="str">
        <f>IF('Free Game'!C98=0,"",'Free Game'!C98)</f>
        <v/>
      </c>
      <c r="AJ102" t="str">
        <f>IF('Free Game'!E98=0,"",'Free Game'!E98)</f>
        <v/>
      </c>
      <c r="AK102" t="str">
        <f>IF('Free Game'!G98=0,"",'Free Game'!G98)</f>
        <v/>
      </c>
      <c r="AL102" t="str">
        <f>IF('Free Game'!I98=0,"",'Free Game'!I98)</f>
        <v/>
      </c>
      <c r="AM102" t="str">
        <f>IF('Free Game'!K98=0,"",'Free Game'!K98)</f>
        <v/>
      </c>
    </row>
    <row r="103" spans="1:39" ht="15" x14ac:dyDescent="0.15">
      <c r="A103" s="10"/>
      <c r="B103" s="10"/>
      <c r="C103" s="10"/>
      <c r="D103" s="10"/>
      <c r="E103" s="10"/>
      <c r="F103" s="10"/>
      <c r="G103" s="103"/>
      <c r="H103" s="10"/>
      <c r="I103" s="10"/>
      <c r="K103" t="str">
        <f>IFERROR(VLOOKUP('Base Game '!B100,'Pay Table'!$M$3:$O$18,3,FALSE),"")</f>
        <v/>
      </c>
      <c r="L103" t="str">
        <f>IFERROR(VLOOKUP('Base Game '!D100,'Pay Table'!$M$3:$O$18,3,FALSE),"")</f>
        <v/>
      </c>
      <c r="M103" t="str">
        <f t="array" ref="M103">IFERROR(VLOOKUP('Base Game '!F100,'Pay Table'!$M$3:$O$18,3,FALSE),"")</f>
        <v/>
      </c>
      <c r="N103" t="str">
        <f t="array" ref="N103">IFERROR(VLOOKUP('Base Game '!H100,'Pay Table'!$M$3:$O$18,3,FALSE),"")</f>
        <v/>
      </c>
      <c r="O103" t="str">
        <f t="array" ref="O103">IFERROR(VLOOKUP('Base Game '!J100,'Pay Table'!$M$3:$O$18,3,FALSE),"")</f>
        <v/>
      </c>
      <c r="Q103" t="str">
        <f t="array" ref="Q103">IF('Base Game '!C100=0,"",'Base Game '!C100)</f>
        <v/>
      </c>
      <c r="R103" t="str">
        <f>IF('Base Game '!E100=0,"",'Base Game '!E100)</f>
        <v/>
      </c>
      <c r="S103" t="str">
        <f>IF('Base Game '!G100=0,"",'Base Game '!G100)</f>
        <v/>
      </c>
      <c r="T103" t="str">
        <f>IF('Base Game '!I100=0,"",'Base Game '!I100)</f>
        <v/>
      </c>
      <c r="U103" t="str">
        <f>IF('Base Game '!K100=0,"",'Base Game '!K100)</f>
        <v/>
      </c>
      <c r="Z103" t="e">
        <f>VLOOKUP(#REF!,'Pay Table'!$M$3:$O$18,3,FALSE)</f>
        <v>#REF!</v>
      </c>
      <c r="AC103" t="str">
        <f t="array" ref="AC103">IFERROR(VLOOKUP('Free Game'!B99,'Pay Table'!$M$3:$O$18,3,FALSE),"")</f>
        <v/>
      </c>
      <c r="AD103" t="str">
        <f>IFERROR(VLOOKUP('Free Game'!D99,'Pay Table'!$M$3:$O$18,3,FALSE),"")</f>
        <v/>
      </c>
      <c r="AE103" t="str">
        <f>IFERROR(VLOOKUP('Free Game'!F99,'Pay Table'!$M$3:$O$18,3,FALSE),"")</f>
        <v/>
      </c>
      <c r="AF103" t="str">
        <f t="array" ref="AF103">IFERROR(VLOOKUP('Free Game'!H99,'Pay Table'!$M$3:$O$18,3,FALSE),"")</f>
        <v/>
      </c>
      <c r="AG103" t="str">
        <f t="array" ref="AG103">IFERROR(VLOOKUP('Free Game'!J99,'Pay Table'!$M$3:$O$18,3,FALSE),"")</f>
        <v/>
      </c>
      <c r="AI103" t="str">
        <f>IF('Free Game'!C99=0,"",'Free Game'!C99)</f>
        <v/>
      </c>
      <c r="AJ103" t="str">
        <f>IF('Free Game'!E99=0,"",'Free Game'!E99)</f>
        <v/>
      </c>
      <c r="AK103" t="str">
        <f>IF('Free Game'!G99=0,"",'Free Game'!G99)</f>
        <v/>
      </c>
      <c r="AL103" t="str">
        <f>IF('Free Game'!I99=0,"",'Free Game'!I99)</f>
        <v/>
      </c>
      <c r="AM103" t="str">
        <f>IF('Free Game'!K99=0,"",'Free Game'!K99)</f>
        <v/>
      </c>
    </row>
    <row r="104" spans="1:39" ht="15" x14ac:dyDescent="0.15">
      <c r="A104" s="10"/>
      <c r="B104" s="10"/>
      <c r="C104" s="10"/>
      <c r="D104" s="10"/>
      <c r="E104" s="10"/>
      <c r="F104" s="10"/>
      <c r="G104" s="103"/>
      <c r="H104" s="10"/>
      <c r="I104" s="10"/>
      <c r="K104" t="str">
        <f>IFERROR(VLOOKUP('Base Game '!B101,'Pay Table'!$M$3:$O$18,3,FALSE),"")</f>
        <v/>
      </c>
      <c r="L104" t="str">
        <f>IFERROR(VLOOKUP('Base Game '!D101,'Pay Table'!$M$3:$O$18,3,FALSE),"")</f>
        <v/>
      </c>
      <c r="M104" t="str">
        <f t="array" ref="M104">IFERROR(VLOOKUP('Base Game '!F101,'Pay Table'!$M$3:$O$18,3,FALSE),"")</f>
        <v/>
      </c>
      <c r="N104" t="str">
        <f t="array" ref="N104">IFERROR(VLOOKUP('Base Game '!H101,'Pay Table'!$M$3:$O$18,3,FALSE),"")</f>
        <v/>
      </c>
      <c r="O104" t="str">
        <f t="array" ref="O104">IFERROR(VLOOKUP('Base Game '!J101,'Pay Table'!$M$3:$O$18,3,FALSE),"")</f>
        <v/>
      </c>
      <c r="Q104" t="str">
        <f t="array" ref="Q104">IF('Base Game '!C101=0,"",'Base Game '!C101)</f>
        <v/>
      </c>
      <c r="R104" t="str">
        <f>IF('Base Game '!E101=0,"",'Base Game '!E101)</f>
        <v/>
      </c>
      <c r="S104" t="str">
        <f>IF('Base Game '!G101=0,"",'Base Game '!G101)</f>
        <v/>
      </c>
      <c r="T104" t="str">
        <f>IF('Base Game '!I101=0,"",'Base Game '!I101)</f>
        <v/>
      </c>
      <c r="U104" t="str">
        <f>IF('Base Game '!K101=0,"",'Base Game '!K101)</f>
        <v/>
      </c>
      <c r="Z104" t="e">
        <f>VLOOKUP(#REF!,'Pay Table'!$M$3:$O$18,3,FALSE)</f>
        <v>#REF!</v>
      </c>
      <c r="AC104" t="str">
        <f t="array" ref="AC104">IFERROR(VLOOKUP('Free Game'!B100,'Pay Table'!$M$3:$O$18,3,FALSE),"")</f>
        <v/>
      </c>
      <c r="AD104" t="str">
        <f>IFERROR(VLOOKUP('Free Game'!D100,'Pay Table'!$M$3:$O$18,3,FALSE),"")</f>
        <v/>
      </c>
      <c r="AE104" t="str">
        <f>IFERROR(VLOOKUP('Free Game'!F100,'Pay Table'!$M$3:$O$18,3,FALSE),"")</f>
        <v/>
      </c>
      <c r="AF104" t="str">
        <f t="array" ref="AF104">IFERROR(VLOOKUP('Free Game'!H100,'Pay Table'!$M$3:$O$18,3,FALSE),"")</f>
        <v/>
      </c>
      <c r="AG104" t="str">
        <f t="array" ref="AG104">IFERROR(VLOOKUP('Free Game'!J100,'Pay Table'!$M$3:$O$18,3,FALSE),"")</f>
        <v/>
      </c>
      <c r="AI104" t="str">
        <f>IF('Free Game'!C100=0,"",'Free Game'!C100)</f>
        <v/>
      </c>
      <c r="AJ104" t="str">
        <f>IF('Free Game'!E100=0,"",'Free Game'!E100)</f>
        <v/>
      </c>
      <c r="AK104" t="str">
        <f>IF('Free Game'!G100=0,"",'Free Game'!G100)</f>
        <v/>
      </c>
      <c r="AL104" t="str">
        <f>IF('Free Game'!I100=0,"",'Free Game'!I100)</f>
        <v/>
      </c>
      <c r="AM104" t="str">
        <f>IF('Free Game'!K100=0,"",'Free Game'!K100)</f>
        <v/>
      </c>
    </row>
    <row r="105" spans="1:39" ht="15" x14ac:dyDescent="0.15">
      <c r="A105" s="10"/>
      <c r="B105" s="10"/>
      <c r="C105" s="10"/>
      <c r="D105" s="10"/>
      <c r="E105" s="10"/>
      <c r="F105" s="10"/>
      <c r="G105" s="103"/>
      <c r="H105" s="10"/>
      <c r="I105" s="10"/>
      <c r="K105" t="str">
        <f>IFERROR(VLOOKUP('Base Game '!B102,'Pay Table'!$M$3:$O$18,3,FALSE),"")</f>
        <v/>
      </c>
      <c r="L105" t="str">
        <f>IFERROR(VLOOKUP('Base Game '!D102,'Pay Table'!$M$3:$O$18,3,FALSE),"")</f>
        <v/>
      </c>
      <c r="M105" t="str">
        <f t="array" ref="M105">IFERROR(VLOOKUP('Base Game '!F102,'Pay Table'!$M$3:$O$18,3,FALSE),"")</f>
        <v/>
      </c>
      <c r="N105" t="str">
        <f t="array" ref="N105">IFERROR(VLOOKUP('Base Game '!H102,'Pay Table'!$M$3:$O$18,3,FALSE),"")</f>
        <v/>
      </c>
      <c r="O105" t="str">
        <f t="array" ref="O105">IFERROR(VLOOKUP('Base Game '!J102,'Pay Table'!$M$3:$O$18,3,FALSE),"")</f>
        <v/>
      </c>
      <c r="Q105" t="str">
        <f t="array" ref="Q105">IF('Base Game '!C102=0,"",'Base Game '!C102)</f>
        <v/>
      </c>
      <c r="R105" t="str">
        <f>IF('Base Game '!E102=0,"",'Base Game '!E102)</f>
        <v/>
      </c>
      <c r="S105" t="str">
        <f>IF('Base Game '!G102=0,"",'Base Game '!G102)</f>
        <v/>
      </c>
      <c r="T105" t="str">
        <f>IF('Base Game '!I102=0,"",'Base Game '!I102)</f>
        <v/>
      </c>
      <c r="U105" t="str">
        <f>IF('Base Game '!K102=0,"",'Base Game '!K102)</f>
        <v/>
      </c>
      <c r="Z105" t="e">
        <f>VLOOKUP(#REF!,'Pay Table'!$M$3:$O$18,3,FALSE)</f>
        <v>#REF!</v>
      </c>
      <c r="AC105" t="str">
        <f t="array" ref="AC105">IFERROR(VLOOKUP('Free Game'!B101,'Pay Table'!$M$3:$O$18,3,FALSE),"")</f>
        <v/>
      </c>
      <c r="AD105" t="str">
        <f>IFERROR(VLOOKUP('Free Game'!D101,'Pay Table'!$M$3:$O$18,3,FALSE),"")</f>
        <v/>
      </c>
      <c r="AE105" t="str">
        <f>IFERROR(VLOOKUP('Free Game'!F101,'Pay Table'!$M$3:$O$18,3,FALSE),"")</f>
        <v/>
      </c>
      <c r="AF105" t="str">
        <f t="array" ref="AF105">IFERROR(VLOOKUP('Free Game'!H101,'Pay Table'!$M$3:$O$18,3,FALSE),"")</f>
        <v/>
      </c>
      <c r="AG105" t="str">
        <f t="array" ref="AG105">IFERROR(VLOOKUP('Free Game'!J101,'Pay Table'!$M$3:$O$18,3,FALSE),"")</f>
        <v/>
      </c>
      <c r="AI105" t="str">
        <f>IF('Free Game'!C101=0,"",'Free Game'!C101)</f>
        <v/>
      </c>
      <c r="AJ105" t="str">
        <f>IF('Free Game'!E101=0,"",'Free Game'!E101)</f>
        <v/>
      </c>
      <c r="AK105" t="str">
        <f>IF('Free Game'!G101=0,"",'Free Game'!G101)</f>
        <v/>
      </c>
      <c r="AL105" t="str">
        <f>IF('Free Game'!I101=0,"",'Free Game'!I101)</f>
        <v/>
      </c>
      <c r="AM105" t="str">
        <f>IF('Free Game'!K101=0,"",'Free Game'!K101)</f>
        <v/>
      </c>
    </row>
    <row r="106" spans="1:39" ht="15" x14ac:dyDescent="0.15">
      <c r="A106" s="10"/>
      <c r="B106" s="10"/>
      <c r="C106" s="10"/>
      <c r="D106" s="10"/>
      <c r="E106" s="10"/>
      <c r="F106" s="10"/>
      <c r="G106" s="103"/>
      <c r="H106" s="10"/>
      <c r="I106" s="10"/>
      <c r="K106" t="str">
        <f>IFERROR(VLOOKUP('Base Game '!B103,'Pay Table'!$M$3:$O$18,3,FALSE),"")</f>
        <v/>
      </c>
      <c r="L106" t="str">
        <f>IFERROR(VLOOKUP('Base Game '!D103,'Pay Table'!$M$3:$O$18,3,FALSE),"")</f>
        <v/>
      </c>
      <c r="M106" t="str">
        <f t="array" ref="M106">IFERROR(VLOOKUP('Base Game '!F103,'Pay Table'!$M$3:$O$18,3,FALSE),"")</f>
        <v/>
      </c>
      <c r="N106" t="str">
        <f t="array" ref="N106">IFERROR(VLOOKUP('Base Game '!H103,'Pay Table'!$M$3:$O$18,3,FALSE),"")</f>
        <v/>
      </c>
      <c r="O106" t="str">
        <f t="array" ref="O106">IFERROR(VLOOKUP('Base Game '!J103,'Pay Table'!$M$3:$O$18,3,FALSE),"")</f>
        <v/>
      </c>
      <c r="Q106" t="str">
        <f t="array" ref="Q106">IF('Base Game '!C103=0,"",'Base Game '!C103)</f>
        <v/>
      </c>
      <c r="R106" t="str">
        <f>IF('Base Game '!E103=0,"",'Base Game '!E103)</f>
        <v/>
      </c>
      <c r="S106" t="str">
        <f>IF('Base Game '!G103=0,"",'Base Game '!G103)</f>
        <v/>
      </c>
      <c r="T106" t="str">
        <f>IF('Base Game '!I103=0,"",'Base Game '!I103)</f>
        <v/>
      </c>
      <c r="U106" t="str">
        <f>IF('Base Game '!K103=0,"",'Base Game '!K103)</f>
        <v/>
      </c>
      <c r="Z106" t="e">
        <f>VLOOKUP(#REF!,'Pay Table'!$M$3:$O$18,3,FALSE)</f>
        <v>#REF!</v>
      </c>
      <c r="AC106" t="str">
        <f t="array" ref="AC106">IFERROR(VLOOKUP('Free Game'!B102,'Pay Table'!$M$3:$O$18,3,FALSE),"")</f>
        <v/>
      </c>
      <c r="AD106" t="str">
        <f>IFERROR(VLOOKUP('Free Game'!D102,'Pay Table'!$M$3:$O$18,3,FALSE),"")</f>
        <v/>
      </c>
      <c r="AE106" t="str">
        <f>IFERROR(VLOOKUP('Free Game'!F102,'Pay Table'!$M$3:$O$18,3,FALSE),"")</f>
        <v/>
      </c>
      <c r="AF106" t="str">
        <f t="array" ref="AF106">IFERROR(VLOOKUP('Free Game'!H102,'Pay Table'!$M$3:$O$18,3,FALSE),"")</f>
        <v/>
      </c>
      <c r="AG106" t="str">
        <f t="array" ref="AG106">IFERROR(VLOOKUP('Free Game'!J102,'Pay Table'!$M$3:$O$18,3,FALSE),"")</f>
        <v/>
      </c>
      <c r="AI106" t="str">
        <f>IF('Free Game'!C102=0,"",'Free Game'!C102)</f>
        <v/>
      </c>
      <c r="AJ106" t="str">
        <f>IF('Free Game'!E102=0,"",'Free Game'!E102)</f>
        <v/>
      </c>
      <c r="AK106" t="str">
        <f>IF('Free Game'!G102=0,"",'Free Game'!G102)</f>
        <v/>
      </c>
      <c r="AL106" t="str">
        <f>IF('Free Game'!I102=0,"",'Free Game'!I102)</f>
        <v/>
      </c>
      <c r="AM106" t="str">
        <f>IF('Free Game'!K102=0,"",'Free Game'!K102)</f>
        <v/>
      </c>
    </row>
    <row r="107" spans="1:39" ht="15" x14ac:dyDescent="0.15">
      <c r="A107" s="10"/>
      <c r="B107" s="10"/>
      <c r="C107" s="10"/>
      <c r="D107" s="10"/>
      <c r="E107" s="10"/>
      <c r="F107" s="10"/>
      <c r="G107" s="103"/>
      <c r="H107" s="10"/>
      <c r="I107" s="10"/>
      <c r="K107" t="str">
        <f>IFERROR(VLOOKUP('Base Game '!B104,'Pay Table'!$M$3:$O$18,3,FALSE),"")</f>
        <v/>
      </c>
      <c r="L107" t="str">
        <f>IFERROR(VLOOKUP('Base Game '!D104,'Pay Table'!$M$3:$O$18,3,FALSE),"")</f>
        <v/>
      </c>
      <c r="M107" t="str">
        <f t="array" ref="M107">IFERROR(VLOOKUP('Base Game '!F104,'Pay Table'!$M$3:$O$18,3,FALSE),"")</f>
        <v/>
      </c>
      <c r="N107" t="str">
        <f t="array" ref="N107">IFERROR(VLOOKUP('Base Game '!H104,'Pay Table'!$M$3:$O$18,3,FALSE),"")</f>
        <v/>
      </c>
      <c r="O107" t="str">
        <f t="array" ref="O107">IFERROR(VLOOKUP('Base Game '!J104,'Pay Table'!$M$3:$O$18,3,FALSE),"")</f>
        <v/>
      </c>
      <c r="Q107" t="str">
        <f t="array" ref="Q107">IF('Base Game '!C104=0,"",'Base Game '!C104)</f>
        <v/>
      </c>
      <c r="R107" t="str">
        <f>IF('Base Game '!E104=0,"",'Base Game '!E104)</f>
        <v/>
      </c>
      <c r="S107" t="str">
        <f>IF('Base Game '!G104=0,"",'Base Game '!G104)</f>
        <v/>
      </c>
      <c r="T107" t="str">
        <f>IF('Base Game '!I104=0,"",'Base Game '!I104)</f>
        <v/>
      </c>
      <c r="U107" t="str">
        <f>IF('Base Game '!K104=0,"",'Base Game '!K104)</f>
        <v/>
      </c>
      <c r="Z107" t="e">
        <f>VLOOKUP(#REF!,'Pay Table'!$M$3:$O$18,3,FALSE)</f>
        <v>#REF!</v>
      </c>
      <c r="AC107" t="str">
        <f t="array" ref="AC107">IFERROR(VLOOKUP('Free Game'!B103,'Pay Table'!$M$3:$O$18,3,FALSE),"")</f>
        <v/>
      </c>
      <c r="AD107" t="str">
        <f>IFERROR(VLOOKUP('Free Game'!D103,'Pay Table'!$M$3:$O$18,3,FALSE),"")</f>
        <v/>
      </c>
      <c r="AE107" t="str">
        <f>IFERROR(VLOOKUP('Free Game'!F103,'Pay Table'!$M$3:$O$18,3,FALSE),"")</f>
        <v/>
      </c>
      <c r="AF107" t="str">
        <f t="array" ref="AF107">IFERROR(VLOOKUP('Free Game'!H103,'Pay Table'!$M$3:$O$18,3,FALSE),"")</f>
        <v/>
      </c>
      <c r="AG107" t="str">
        <f t="array" ref="AG107">IFERROR(VLOOKUP('Free Game'!J103,'Pay Table'!$M$3:$O$18,3,FALSE),"")</f>
        <v/>
      </c>
      <c r="AI107" t="str">
        <f>IF('Free Game'!C103=0,"",'Free Game'!C103)</f>
        <v/>
      </c>
      <c r="AJ107" t="str">
        <f>IF('Free Game'!E103=0,"",'Free Game'!E103)</f>
        <v/>
      </c>
      <c r="AK107" t="str">
        <f>IF('Free Game'!G103=0,"",'Free Game'!G103)</f>
        <v/>
      </c>
      <c r="AL107" t="str">
        <f>IF('Free Game'!I103=0,"",'Free Game'!I103)</f>
        <v/>
      </c>
      <c r="AM107" t="str">
        <f>IF('Free Game'!K103=0,"",'Free Game'!K103)</f>
        <v/>
      </c>
    </row>
    <row r="108" spans="1:39" ht="15" x14ac:dyDescent="0.15">
      <c r="A108" s="10"/>
      <c r="B108" s="10"/>
      <c r="C108" s="10"/>
      <c r="D108" s="10"/>
      <c r="E108" s="10"/>
      <c r="F108" s="10"/>
      <c r="G108" s="103"/>
      <c r="H108" s="10"/>
      <c r="I108" s="10"/>
      <c r="K108" t="str">
        <f>IFERROR(VLOOKUP('Base Game '!B105,'Pay Table'!$M$3:$O$18,3,FALSE),"")</f>
        <v/>
      </c>
      <c r="L108" t="str">
        <f>IFERROR(VLOOKUP('Base Game '!D105,'Pay Table'!$M$3:$O$18,3,FALSE),"")</f>
        <v/>
      </c>
      <c r="M108" t="str">
        <f t="array" ref="M108">IFERROR(VLOOKUP('Base Game '!F105,'Pay Table'!$M$3:$O$18,3,FALSE),"")</f>
        <v/>
      </c>
      <c r="N108" t="str">
        <f t="array" ref="N108">IFERROR(VLOOKUP('Base Game '!H105,'Pay Table'!$M$3:$O$18,3,FALSE),"")</f>
        <v/>
      </c>
      <c r="O108" t="str">
        <f t="array" ref="O108">IFERROR(VLOOKUP('Base Game '!J105,'Pay Table'!$M$3:$O$18,3,FALSE),"")</f>
        <v/>
      </c>
      <c r="Q108" t="str">
        <f t="array" ref="Q108">IF('Base Game '!C105=0,"",'Base Game '!C105)</f>
        <v/>
      </c>
      <c r="R108" t="str">
        <f>IF('Base Game '!E105=0,"",'Base Game '!E105)</f>
        <v/>
      </c>
      <c r="S108" t="str">
        <f>IF('Base Game '!G105=0,"",'Base Game '!G105)</f>
        <v/>
      </c>
      <c r="T108" t="str">
        <f>IF('Base Game '!I105=0,"",'Base Game '!I105)</f>
        <v/>
      </c>
      <c r="U108" t="str">
        <f>IF('Base Game '!K105=0,"",'Base Game '!K105)</f>
        <v/>
      </c>
      <c r="Z108" t="e">
        <f>VLOOKUP(#REF!,'Pay Table'!$M$3:$O$18,3,FALSE)</f>
        <v>#REF!</v>
      </c>
      <c r="AC108" t="str">
        <f t="array" ref="AC108">IFERROR(VLOOKUP('Free Game'!B104,'Pay Table'!$M$3:$O$18,3,FALSE),"")</f>
        <v/>
      </c>
      <c r="AD108" t="str">
        <f>IFERROR(VLOOKUP('Free Game'!D104,'Pay Table'!$M$3:$O$18,3,FALSE),"")</f>
        <v/>
      </c>
      <c r="AE108" t="str">
        <f>IFERROR(VLOOKUP('Free Game'!F104,'Pay Table'!$M$3:$O$18,3,FALSE),"")</f>
        <v/>
      </c>
      <c r="AF108" t="str">
        <f t="array" ref="AF108">IFERROR(VLOOKUP('Free Game'!H104,'Pay Table'!$M$3:$O$18,3,FALSE),"")</f>
        <v/>
      </c>
      <c r="AG108" t="str">
        <f t="array" ref="AG108">IFERROR(VLOOKUP('Free Game'!J104,'Pay Table'!$M$3:$O$18,3,FALSE),"")</f>
        <v/>
      </c>
      <c r="AI108" t="str">
        <f>IF('Free Game'!C104=0,"",'Free Game'!C104)</f>
        <v/>
      </c>
      <c r="AJ108" t="str">
        <f>IF('Free Game'!E104=0,"",'Free Game'!E104)</f>
        <v/>
      </c>
      <c r="AK108" t="str">
        <f>IF('Free Game'!G104=0,"",'Free Game'!G104)</f>
        <v/>
      </c>
      <c r="AL108" t="str">
        <f>IF('Free Game'!I104=0,"",'Free Game'!I104)</f>
        <v/>
      </c>
      <c r="AM108" t="str">
        <f>IF('Free Game'!K104=0,"",'Free Game'!K104)</f>
        <v/>
      </c>
    </row>
    <row r="109" spans="1:39" ht="15" x14ac:dyDescent="0.15">
      <c r="A109" s="10"/>
      <c r="B109" s="10"/>
      <c r="C109" s="10"/>
      <c r="D109" s="10"/>
      <c r="E109" s="10"/>
      <c r="F109" s="10"/>
      <c r="G109" s="103"/>
      <c r="H109" s="10"/>
      <c r="I109" s="10"/>
      <c r="K109" t="str">
        <f>IFERROR(VLOOKUP('Base Game '!B106,'Pay Table'!$M$3:$O$18,3,FALSE),"")</f>
        <v/>
      </c>
      <c r="L109" t="str">
        <f>IFERROR(VLOOKUP('Base Game '!D106,'Pay Table'!$M$3:$O$18,3,FALSE),"")</f>
        <v/>
      </c>
      <c r="M109" t="str">
        <f t="array" ref="M109">IFERROR(VLOOKUP('Base Game '!F106,'Pay Table'!$M$3:$O$18,3,FALSE),"")</f>
        <v/>
      </c>
      <c r="N109" t="str">
        <f t="array" ref="N109">IFERROR(VLOOKUP('Base Game '!H106,'Pay Table'!$M$3:$O$18,3,FALSE),"")</f>
        <v/>
      </c>
      <c r="O109" t="str">
        <f t="array" ref="O109">IFERROR(VLOOKUP('Base Game '!J106,'Pay Table'!$M$3:$O$18,3,FALSE),"")</f>
        <v/>
      </c>
      <c r="Q109" t="str">
        <f t="array" ref="Q109">IF('Base Game '!C106=0,"",'Base Game '!C106)</f>
        <v/>
      </c>
      <c r="R109" t="str">
        <f>IF('Base Game '!E106=0,"",'Base Game '!E106)</f>
        <v/>
      </c>
      <c r="S109" t="str">
        <f>IF('Base Game '!G106=0,"",'Base Game '!G106)</f>
        <v/>
      </c>
      <c r="T109" t="str">
        <f>IF('Base Game '!I106=0,"",'Base Game '!I106)</f>
        <v/>
      </c>
      <c r="U109" t="str">
        <f>IF('Base Game '!K106=0,"",'Base Game '!K106)</f>
        <v/>
      </c>
      <c r="Z109" t="e">
        <f>VLOOKUP(#REF!,'Pay Table'!$M$3:$O$18,3,FALSE)</f>
        <v>#REF!</v>
      </c>
      <c r="AC109" t="str">
        <f t="array" ref="AC109">IFERROR(VLOOKUP('Free Game'!B105,'Pay Table'!$M$3:$O$18,3,FALSE),"")</f>
        <v/>
      </c>
      <c r="AD109" t="str">
        <f>IFERROR(VLOOKUP('Free Game'!D105,'Pay Table'!$M$3:$O$18,3,FALSE),"")</f>
        <v/>
      </c>
      <c r="AE109" t="str">
        <f>IFERROR(VLOOKUP('Free Game'!F105,'Pay Table'!$M$3:$O$18,3,FALSE),"")</f>
        <v/>
      </c>
      <c r="AF109" t="str">
        <f t="array" ref="AF109">IFERROR(VLOOKUP('Free Game'!H105,'Pay Table'!$M$3:$O$18,3,FALSE),"")</f>
        <v/>
      </c>
      <c r="AG109" t="str">
        <f t="array" ref="AG109">IFERROR(VLOOKUP('Free Game'!J105,'Pay Table'!$M$3:$O$18,3,FALSE),"")</f>
        <v/>
      </c>
      <c r="AI109" t="str">
        <f>IF('Free Game'!C105=0,"",'Free Game'!C105)</f>
        <v/>
      </c>
      <c r="AJ109" t="str">
        <f>IF('Free Game'!E105=0,"",'Free Game'!E105)</f>
        <v/>
      </c>
      <c r="AK109" t="str">
        <f>IF('Free Game'!G105=0,"",'Free Game'!G105)</f>
        <v/>
      </c>
      <c r="AL109" t="str">
        <f>IF('Free Game'!I105=0,"",'Free Game'!I105)</f>
        <v/>
      </c>
      <c r="AM109" t="str">
        <f>IF('Free Game'!K105=0,"",'Free Game'!K105)</f>
        <v/>
      </c>
    </row>
    <row r="110" spans="1:39" ht="15" x14ac:dyDescent="0.15">
      <c r="A110" s="10"/>
      <c r="B110" s="10"/>
      <c r="C110" s="10"/>
      <c r="D110" s="10"/>
      <c r="E110" s="10"/>
      <c r="F110" s="10"/>
      <c r="G110" s="103"/>
      <c r="H110" s="10"/>
      <c r="I110" s="10"/>
      <c r="K110" t="str">
        <f>IFERROR(VLOOKUP('Base Game '!B107,'Pay Table'!$M$3:$O$18,3,FALSE),"")</f>
        <v/>
      </c>
      <c r="L110" t="str">
        <f>IFERROR(VLOOKUP('Base Game '!D107,'Pay Table'!$M$3:$O$18,3,FALSE),"")</f>
        <v/>
      </c>
      <c r="M110" t="str">
        <f t="array" ref="M110">IFERROR(VLOOKUP('Base Game '!F107,'Pay Table'!$M$3:$O$18,3,FALSE),"")</f>
        <v/>
      </c>
      <c r="N110" t="str">
        <f t="array" ref="N110">IFERROR(VLOOKUP('Base Game '!H107,'Pay Table'!$M$3:$O$18,3,FALSE),"")</f>
        <v/>
      </c>
      <c r="O110" t="str">
        <f t="array" ref="O110">IFERROR(VLOOKUP('Base Game '!J107,'Pay Table'!$M$3:$O$18,3,FALSE),"")</f>
        <v/>
      </c>
      <c r="Q110" t="str">
        <f t="array" ref="Q110">IF('Base Game '!C107=0,"",'Base Game '!C107)</f>
        <v/>
      </c>
      <c r="R110" t="str">
        <f>IF('Base Game '!E107=0,"",'Base Game '!E107)</f>
        <v/>
      </c>
      <c r="S110" t="str">
        <f>IF('Base Game '!G107=0,"",'Base Game '!G107)</f>
        <v/>
      </c>
      <c r="T110" t="str">
        <f>IF('Base Game '!I107=0,"",'Base Game '!I107)</f>
        <v/>
      </c>
      <c r="U110" t="str">
        <f>IF('Base Game '!K107=0,"",'Base Game '!K107)</f>
        <v/>
      </c>
      <c r="Z110" t="e">
        <f>VLOOKUP(#REF!,'Pay Table'!$M$3:$O$18,3,FALSE)</f>
        <v>#REF!</v>
      </c>
      <c r="AC110" t="str">
        <f t="array" ref="AC110">IFERROR(VLOOKUP('Free Game'!B106,'Pay Table'!$M$3:$O$18,3,FALSE),"")</f>
        <v/>
      </c>
      <c r="AD110" t="str">
        <f>IFERROR(VLOOKUP('Free Game'!D106,'Pay Table'!$M$3:$O$18,3,FALSE),"")</f>
        <v/>
      </c>
      <c r="AE110" t="str">
        <f>IFERROR(VLOOKUP('Free Game'!F106,'Pay Table'!$M$3:$O$18,3,FALSE),"")</f>
        <v/>
      </c>
      <c r="AF110" t="str">
        <f t="array" ref="AF110">IFERROR(VLOOKUP('Free Game'!H106,'Pay Table'!$M$3:$O$18,3,FALSE),"")</f>
        <v/>
      </c>
      <c r="AG110" t="str">
        <f t="array" ref="AG110">IFERROR(VLOOKUP('Free Game'!J106,'Pay Table'!$M$3:$O$18,3,FALSE),"")</f>
        <v/>
      </c>
      <c r="AI110" t="str">
        <f>IF('Free Game'!C106=0,"",'Free Game'!C106)</f>
        <v/>
      </c>
      <c r="AJ110" t="str">
        <f>IF('Free Game'!E106=0,"",'Free Game'!E106)</f>
        <v/>
      </c>
      <c r="AK110" t="str">
        <f>IF('Free Game'!G106=0,"",'Free Game'!G106)</f>
        <v/>
      </c>
      <c r="AL110" t="str">
        <f>IF('Free Game'!I106=0,"",'Free Game'!I106)</f>
        <v/>
      </c>
      <c r="AM110" t="str">
        <f>IF('Free Game'!K106=0,"",'Free Game'!K106)</f>
        <v/>
      </c>
    </row>
    <row r="111" spans="1:39" ht="15" x14ac:dyDescent="0.15">
      <c r="A111" s="10"/>
      <c r="B111" s="10"/>
      <c r="C111" s="10"/>
      <c r="D111" s="10"/>
      <c r="E111" s="10"/>
      <c r="F111" s="10"/>
      <c r="G111" s="103"/>
      <c r="H111" s="10"/>
      <c r="I111" s="10"/>
      <c r="K111" t="str">
        <f>IFERROR(VLOOKUP('Base Game '!B108,'Pay Table'!$M$3:$O$18,3,FALSE),"")</f>
        <v/>
      </c>
      <c r="L111" t="str">
        <f>IFERROR(VLOOKUP('Base Game '!D108,'Pay Table'!$M$3:$O$18,3,FALSE),"")</f>
        <v/>
      </c>
      <c r="M111" t="str">
        <f t="array" ref="M111">IFERROR(VLOOKUP('Base Game '!F108,'Pay Table'!$M$3:$O$18,3,FALSE),"")</f>
        <v/>
      </c>
      <c r="N111" t="str">
        <f t="array" ref="N111">IFERROR(VLOOKUP('Base Game '!H108,'Pay Table'!$M$3:$O$18,3,FALSE),"")</f>
        <v/>
      </c>
      <c r="O111" t="str">
        <f t="array" ref="O111">IFERROR(VLOOKUP('Base Game '!J108,'Pay Table'!$M$3:$O$18,3,FALSE),"")</f>
        <v/>
      </c>
      <c r="Q111" t="str">
        <f t="array" ref="Q111">IF('Base Game '!C108=0,"",'Base Game '!C108)</f>
        <v/>
      </c>
      <c r="R111" t="str">
        <f>IF('Base Game '!E108=0,"",'Base Game '!E108)</f>
        <v/>
      </c>
      <c r="S111" t="str">
        <f>IF('Base Game '!G108=0,"",'Base Game '!G108)</f>
        <v/>
      </c>
      <c r="T111" t="str">
        <f>IF('Base Game '!I108=0,"",'Base Game '!I108)</f>
        <v/>
      </c>
      <c r="U111" t="str">
        <f>IF('Base Game '!K108=0,"",'Base Game '!K108)</f>
        <v/>
      </c>
      <c r="Z111" t="e">
        <f>VLOOKUP(#REF!,'Pay Table'!$M$3:$O$18,3,FALSE)</f>
        <v>#REF!</v>
      </c>
      <c r="AC111" t="str">
        <f t="array" ref="AC111">IFERROR(VLOOKUP('Free Game'!B107,'Pay Table'!$M$3:$O$18,3,FALSE),"")</f>
        <v/>
      </c>
      <c r="AD111" t="str">
        <f>IFERROR(VLOOKUP('Free Game'!D107,'Pay Table'!$M$3:$O$18,3,FALSE),"")</f>
        <v/>
      </c>
      <c r="AE111" t="str">
        <f>IFERROR(VLOOKUP('Free Game'!F107,'Pay Table'!$M$3:$O$18,3,FALSE),"")</f>
        <v/>
      </c>
      <c r="AF111" t="str">
        <f t="array" ref="AF111">IFERROR(VLOOKUP('Free Game'!H107,'Pay Table'!$M$3:$O$18,3,FALSE),"")</f>
        <v/>
      </c>
      <c r="AG111" t="str">
        <f t="array" ref="AG111">IFERROR(VLOOKUP('Free Game'!J107,'Pay Table'!$M$3:$O$18,3,FALSE),"")</f>
        <v/>
      </c>
      <c r="AI111" t="str">
        <f>IF('Free Game'!C107=0,"",'Free Game'!C107)</f>
        <v/>
      </c>
      <c r="AJ111" t="str">
        <f>IF('Free Game'!E107=0,"",'Free Game'!E107)</f>
        <v/>
      </c>
      <c r="AK111" t="str">
        <f>IF('Free Game'!G107=0,"",'Free Game'!G107)</f>
        <v/>
      </c>
      <c r="AL111" t="str">
        <f>IF('Free Game'!I107=0,"",'Free Game'!I107)</f>
        <v/>
      </c>
      <c r="AM111" t="str">
        <f>IF('Free Game'!K107=0,"",'Free Game'!K107)</f>
        <v/>
      </c>
    </row>
    <row r="112" spans="1:39" ht="15" x14ac:dyDescent="0.15">
      <c r="A112" s="10"/>
      <c r="B112" s="10"/>
      <c r="C112" s="10"/>
      <c r="D112" s="10"/>
      <c r="E112" s="10"/>
      <c r="F112" s="10"/>
      <c r="G112" s="103"/>
      <c r="H112" s="10"/>
      <c r="I112" s="10"/>
      <c r="K112" t="str">
        <f>IFERROR(VLOOKUP('Base Game '!B109,'Pay Table'!$M$3:$O$18,3,FALSE),"")</f>
        <v/>
      </c>
      <c r="L112" t="str">
        <f>IFERROR(VLOOKUP('Base Game '!D109,'Pay Table'!$M$3:$O$18,3,FALSE),"")</f>
        <v/>
      </c>
      <c r="M112" t="str">
        <f t="array" ref="M112">IFERROR(VLOOKUP('Base Game '!F109,'Pay Table'!$M$3:$O$18,3,FALSE),"")</f>
        <v/>
      </c>
      <c r="N112" t="str">
        <f t="array" ref="N112">IFERROR(VLOOKUP('Base Game '!H109,'Pay Table'!$M$3:$O$18,3,FALSE),"")</f>
        <v/>
      </c>
      <c r="O112" t="str">
        <f t="array" ref="O112">IFERROR(VLOOKUP('Base Game '!J109,'Pay Table'!$M$3:$O$18,3,FALSE),"")</f>
        <v/>
      </c>
      <c r="Q112" t="str">
        <f t="array" ref="Q112">IF('Base Game '!C109=0,"",'Base Game '!C109)</f>
        <v/>
      </c>
      <c r="R112" t="str">
        <f>IF('Base Game '!E109=0,"",'Base Game '!E109)</f>
        <v/>
      </c>
      <c r="S112" t="str">
        <f>IF('Base Game '!G109=0,"",'Base Game '!G109)</f>
        <v/>
      </c>
      <c r="T112" t="str">
        <f>IF('Base Game '!I109=0,"",'Base Game '!I109)</f>
        <v/>
      </c>
      <c r="U112" t="str">
        <f>IF('Base Game '!K109=0,"",'Base Game '!K109)</f>
        <v/>
      </c>
      <c r="Z112" t="e">
        <f>VLOOKUP(#REF!,'Pay Table'!$M$3:$O$18,3,FALSE)</f>
        <v>#REF!</v>
      </c>
      <c r="AC112" t="str">
        <f t="array" ref="AC112">IFERROR(VLOOKUP('Free Game'!B108,'Pay Table'!$M$3:$O$18,3,FALSE),"")</f>
        <v/>
      </c>
      <c r="AD112" t="str">
        <f>IFERROR(VLOOKUP('Free Game'!D108,'Pay Table'!$M$3:$O$18,3,FALSE),"")</f>
        <v/>
      </c>
      <c r="AE112" t="str">
        <f>IFERROR(VLOOKUP('Free Game'!F108,'Pay Table'!$M$3:$O$18,3,FALSE),"")</f>
        <v/>
      </c>
      <c r="AF112" t="str">
        <f t="array" ref="AF112">IFERROR(VLOOKUP('Free Game'!H108,'Pay Table'!$M$3:$O$18,3,FALSE),"")</f>
        <v/>
      </c>
      <c r="AG112" t="str">
        <f t="array" ref="AG112">IFERROR(VLOOKUP('Free Game'!J108,'Pay Table'!$M$3:$O$18,3,FALSE),"")</f>
        <v/>
      </c>
      <c r="AI112" t="str">
        <f>IF('Free Game'!C108=0,"",'Free Game'!C108)</f>
        <v/>
      </c>
      <c r="AJ112" t="str">
        <f>IF('Free Game'!E108=0,"",'Free Game'!E108)</f>
        <v/>
      </c>
      <c r="AK112" t="str">
        <f>IF('Free Game'!G108=0,"",'Free Game'!G108)</f>
        <v/>
      </c>
      <c r="AL112" t="str">
        <f>IF('Free Game'!I108=0,"",'Free Game'!I108)</f>
        <v/>
      </c>
      <c r="AM112" t="str">
        <f>IF('Free Game'!K108=0,"",'Free Game'!K108)</f>
        <v/>
      </c>
    </row>
    <row r="113" spans="1:39" ht="15" x14ac:dyDescent="0.15">
      <c r="A113" s="10"/>
      <c r="B113" s="10"/>
      <c r="C113" s="10"/>
      <c r="D113" s="10"/>
      <c r="E113" s="10"/>
      <c r="F113" s="10"/>
      <c r="G113" s="103"/>
      <c r="H113" s="10"/>
      <c r="I113" s="10"/>
      <c r="K113" t="str">
        <f>IFERROR(VLOOKUP('Base Game '!B110,'Pay Table'!$M$3:$O$18,3,FALSE),"")</f>
        <v/>
      </c>
      <c r="L113" t="str">
        <f>IFERROR(VLOOKUP('Base Game '!D110,'Pay Table'!$M$3:$O$18,3,FALSE),"")</f>
        <v/>
      </c>
      <c r="M113" t="str">
        <f t="array" ref="M113">IFERROR(VLOOKUP('Base Game '!F110,'Pay Table'!$M$3:$O$18,3,FALSE),"")</f>
        <v/>
      </c>
      <c r="N113" t="str">
        <f t="array" ref="N113">IFERROR(VLOOKUP('Base Game '!H110,'Pay Table'!$M$3:$O$18,3,FALSE),"")</f>
        <v/>
      </c>
      <c r="O113" t="str">
        <f t="array" ref="O113">IFERROR(VLOOKUP('Base Game '!J110,'Pay Table'!$M$3:$O$18,3,FALSE),"")</f>
        <v/>
      </c>
      <c r="Q113" t="str">
        <f t="array" ref="Q113">IF('Base Game '!C110=0,"",'Base Game '!C110)</f>
        <v/>
      </c>
      <c r="R113" t="str">
        <f>IF('Base Game '!E110=0,"",'Base Game '!E110)</f>
        <v/>
      </c>
      <c r="S113" t="str">
        <f>IF('Base Game '!G110=0,"",'Base Game '!G110)</f>
        <v/>
      </c>
      <c r="T113" t="str">
        <f>IF('Base Game '!I110=0,"",'Base Game '!I110)</f>
        <v/>
      </c>
      <c r="U113" t="str">
        <f>IF('Base Game '!K110=0,"",'Base Game '!K110)</f>
        <v/>
      </c>
      <c r="Z113" t="e">
        <f>VLOOKUP(#REF!,'Pay Table'!$M$3:$O$18,3,FALSE)</f>
        <v>#REF!</v>
      </c>
      <c r="AC113" t="str">
        <f t="array" ref="AC113">IFERROR(VLOOKUP('Free Game'!B109,'Pay Table'!$M$3:$O$18,3,FALSE),"")</f>
        <v/>
      </c>
      <c r="AD113" t="str">
        <f>IFERROR(VLOOKUP('Free Game'!D109,'Pay Table'!$M$3:$O$18,3,FALSE),"")</f>
        <v/>
      </c>
      <c r="AE113" t="str">
        <f>IFERROR(VLOOKUP('Free Game'!F109,'Pay Table'!$M$3:$O$18,3,FALSE),"")</f>
        <v/>
      </c>
      <c r="AF113" t="str">
        <f t="array" ref="AF113">IFERROR(VLOOKUP('Free Game'!H109,'Pay Table'!$M$3:$O$18,3,FALSE),"")</f>
        <v/>
      </c>
      <c r="AG113" t="str">
        <f t="array" ref="AG113">IFERROR(VLOOKUP('Free Game'!J109,'Pay Table'!$M$3:$O$18,3,FALSE),"")</f>
        <v/>
      </c>
      <c r="AI113" t="str">
        <f>IF('Free Game'!C109=0,"",'Free Game'!C109)</f>
        <v/>
      </c>
      <c r="AJ113" t="str">
        <f>IF('Free Game'!E109=0,"",'Free Game'!E109)</f>
        <v/>
      </c>
      <c r="AK113" t="str">
        <f>IF('Free Game'!G109=0,"",'Free Game'!G109)</f>
        <v/>
      </c>
      <c r="AL113" t="str">
        <f>IF('Free Game'!I109=0,"",'Free Game'!I109)</f>
        <v/>
      </c>
      <c r="AM113" t="str">
        <f>IF('Free Game'!K109=0,"",'Free Game'!K109)</f>
        <v/>
      </c>
    </row>
    <row r="114" spans="1:39" ht="15" x14ac:dyDescent="0.15">
      <c r="A114" s="10"/>
      <c r="B114" s="10"/>
      <c r="C114" s="10"/>
      <c r="D114" s="10"/>
      <c r="E114" s="10"/>
      <c r="F114" s="10"/>
      <c r="G114" s="103"/>
      <c r="H114" s="10"/>
      <c r="I114" s="10"/>
      <c r="K114" t="str">
        <f>IFERROR(VLOOKUP('Base Game '!B111,'Pay Table'!$M$3:$O$18,3,FALSE),"")</f>
        <v/>
      </c>
      <c r="L114" t="str">
        <f>IFERROR(VLOOKUP('Base Game '!D111,'Pay Table'!$M$3:$O$18,3,FALSE),"")</f>
        <v/>
      </c>
      <c r="M114" t="str">
        <f t="array" ref="M114">IFERROR(VLOOKUP('Base Game '!F111,'Pay Table'!$M$3:$O$18,3,FALSE),"")</f>
        <v/>
      </c>
      <c r="N114" t="str">
        <f t="array" ref="N114">IFERROR(VLOOKUP('Base Game '!H111,'Pay Table'!$M$3:$O$18,3,FALSE),"")</f>
        <v/>
      </c>
      <c r="O114" t="str">
        <f t="array" ref="O114">IFERROR(VLOOKUP('Base Game '!J111,'Pay Table'!$M$3:$O$18,3,FALSE),"")</f>
        <v/>
      </c>
      <c r="Q114" t="str">
        <f t="array" ref="Q114">IF('Base Game '!C111=0,"",'Base Game '!C111)</f>
        <v/>
      </c>
      <c r="R114" t="str">
        <f>IF('Base Game '!E111=0,"",'Base Game '!E111)</f>
        <v/>
      </c>
      <c r="S114" t="str">
        <f>IF('Base Game '!G111=0,"",'Base Game '!G111)</f>
        <v/>
      </c>
      <c r="T114" t="str">
        <f>IF('Base Game '!I111=0,"",'Base Game '!I111)</f>
        <v/>
      </c>
      <c r="U114" t="str">
        <f>IF('Base Game '!K111=0,"",'Base Game '!K111)</f>
        <v/>
      </c>
      <c r="Z114" t="e">
        <f>VLOOKUP(#REF!,'Pay Table'!$M$3:$O$18,3,FALSE)</f>
        <v>#REF!</v>
      </c>
      <c r="AI114" t="str">
        <f>IF('Free Game'!C110=0,"",'Free Game'!C110)</f>
        <v/>
      </c>
      <c r="AJ114" t="str">
        <f>IF('Free Game'!E110=0,"",'Free Game'!E110)</f>
        <v/>
      </c>
      <c r="AK114" t="str">
        <f>IF('Free Game'!G110=0,"",'Free Game'!G110)</f>
        <v/>
      </c>
      <c r="AL114" t="str">
        <f>IF('Free Game'!I110=0,"",'Free Game'!I110)</f>
        <v/>
      </c>
      <c r="AM114" t="str">
        <f>IF('Free Game'!K110=0,"",'Free Game'!K110)</f>
        <v/>
      </c>
    </row>
    <row r="115" spans="1:39" ht="15" x14ac:dyDescent="0.15">
      <c r="A115" s="10"/>
      <c r="B115" s="10"/>
      <c r="C115" s="10"/>
      <c r="D115" s="10"/>
      <c r="E115" s="10"/>
      <c r="F115" s="10"/>
      <c r="G115" s="103"/>
      <c r="H115" s="10"/>
      <c r="I115" s="10"/>
      <c r="K115" t="str">
        <f>IFERROR(VLOOKUP('Base Game '!B112,'Pay Table'!$M$3:$O$18,3,FALSE),"")</f>
        <v/>
      </c>
      <c r="L115" t="str">
        <f>IFERROR(VLOOKUP('Base Game '!D112,'Pay Table'!$M$3:$O$18,3,FALSE),"")</f>
        <v/>
      </c>
      <c r="M115" t="str">
        <f t="array" ref="M115">IFERROR(VLOOKUP('Base Game '!F112,'Pay Table'!$M$3:$O$18,3,FALSE),"")</f>
        <v/>
      </c>
      <c r="N115" t="str">
        <f t="array" ref="N115">IFERROR(VLOOKUP('Base Game '!H112,'Pay Table'!$M$3:$O$18,3,FALSE),"")</f>
        <v/>
      </c>
      <c r="O115" t="str">
        <f t="array" ref="O115">IFERROR(VLOOKUP('Base Game '!J112,'Pay Table'!$M$3:$O$18,3,FALSE),"")</f>
        <v/>
      </c>
      <c r="Q115" t="str">
        <f t="array" ref="Q115">IF('Base Game '!C112=0,"",'Base Game '!C112)</f>
        <v/>
      </c>
      <c r="R115" t="str">
        <f>IF('Base Game '!E112=0,"",'Base Game '!E112)</f>
        <v/>
      </c>
      <c r="S115" t="str">
        <f>IF('Base Game '!G112=0,"",'Base Game '!G112)</f>
        <v/>
      </c>
      <c r="T115" t="str">
        <f>IF('Base Game '!I112=0,"",'Base Game '!I112)</f>
        <v/>
      </c>
      <c r="U115" t="str">
        <f>IF('Base Game '!K112=0,"",'Base Game '!K112)</f>
        <v/>
      </c>
      <c r="Z115" t="e">
        <f>VLOOKUP(#REF!,'Pay Table'!$M$3:$O$18,3,FALSE)</f>
        <v>#REF!</v>
      </c>
      <c r="AI115" t="str">
        <f>IF('Free Game'!C111=0,"",'Free Game'!C111)</f>
        <v/>
      </c>
      <c r="AJ115" t="str">
        <f>IF('Free Game'!E111=0,"",'Free Game'!E111)</f>
        <v/>
      </c>
      <c r="AK115" t="str">
        <f>IF('Free Game'!G111=0,"",'Free Game'!G111)</f>
        <v/>
      </c>
      <c r="AL115" t="str">
        <f>IF('Free Game'!I111=0,"",'Free Game'!I111)</f>
        <v/>
      </c>
      <c r="AM115" t="str">
        <f>IF('Free Game'!K111=0,"",'Free Game'!K111)</f>
        <v/>
      </c>
    </row>
    <row r="116" spans="1:39" ht="15" x14ac:dyDescent="0.15">
      <c r="A116" s="10"/>
      <c r="B116" s="10"/>
      <c r="C116" s="10"/>
      <c r="D116" s="10"/>
      <c r="E116" s="10"/>
      <c r="F116" s="10"/>
      <c r="G116" s="103"/>
      <c r="H116" s="10"/>
      <c r="I116" s="10"/>
      <c r="K116" t="str">
        <f>IFERROR(VLOOKUP('Base Game '!B113,'Pay Table'!$M$3:$O$18,3,FALSE),"")</f>
        <v/>
      </c>
      <c r="L116" t="str">
        <f>IFERROR(VLOOKUP('Base Game '!D113,'Pay Table'!$M$3:$O$18,3,FALSE),"")</f>
        <v/>
      </c>
      <c r="M116" t="str">
        <f t="array" ref="M116">IFERROR(VLOOKUP('Base Game '!F113,'Pay Table'!$M$3:$O$18,3,FALSE),"")</f>
        <v/>
      </c>
      <c r="N116" t="str">
        <f t="array" ref="N116">IFERROR(VLOOKUP('Base Game '!H113,'Pay Table'!$M$3:$O$18,3,FALSE),"")</f>
        <v/>
      </c>
      <c r="O116" t="str">
        <f t="array" ref="O116">IFERROR(VLOOKUP('Base Game '!J113,'Pay Table'!$M$3:$O$18,3,FALSE),"")</f>
        <v/>
      </c>
      <c r="Q116" t="str">
        <f t="array" ref="Q116">IF('Base Game '!C113=0,"",'Base Game '!C113)</f>
        <v/>
      </c>
      <c r="R116" t="str">
        <f>IF('Base Game '!E113=0,"",'Base Game '!E113)</f>
        <v/>
      </c>
      <c r="S116" t="str">
        <f>IF('Base Game '!G113=0,"",'Base Game '!G113)</f>
        <v/>
      </c>
      <c r="T116" t="str">
        <f>IF('Base Game '!I113=0,"",'Base Game '!I113)</f>
        <v/>
      </c>
      <c r="U116" t="str">
        <f>IF('Base Game '!K113=0,"",'Base Game '!K113)</f>
        <v/>
      </c>
      <c r="Z116" t="e">
        <f>VLOOKUP(#REF!,'Pay Table'!$M$3:$O$18,3,FALSE)</f>
        <v>#REF!</v>
      </c>
      <c r="AI116" t="str">
        <f>IF('Free Game'!C112=0,"",'Free Game'!C112)</f>
        <v/>
      </c>
      <c r="AJ116" t="str">
        <f>IF('Free Game'!E112=0,"",'Free Game'!E112)</f>
        <v/>
      </c>
      <c r="AK116" t="str">
        <f>IF('Free Game'!G112=0,"",'Free Game'!G112)</f>
        <v/>
      </c>
      <c r="AL116" t="str">
        <f>IF('Free Game'!I112=0,"",'Free Game'!I112)</f>
        <v/>
      </c>
      <c r="AM116" t="str">
        <f>IF('Free Game'!K112=0,"",'Free Game'!K112)</f>
        <v/>
      </c>
    </row>
    <row r="117" spans="1:39" ht="15" x14ac:dyDescent="0.15">
      <c r="A117" s="10"/>
      <c r="B117" s="10"/>
      <c r="C117" s="10"/>
      <c r="D117" s="10"/>
      <c r="E117" s="10"/>
      <c r="F117" s="10"/>
      <c r="G117" s="103"/>
      <c r="H117" s="10"/>
      <c r="I117" s="10"/>
      <c r="K117" t="str">
        <f>IFERROR(VLOOKUP('Base Game '!B114,'Pay Table'!$M$3:$O$18,3,FALSE),"")</f>
        <v/>
      </c>
      <c r="L117" t="str">
        <f>IFERROR(VLOOKUP('Base Game '!D114,'Pay Table'!$M$3:$O$18,3,FALSE),"")</f>
        <v/>
      </c>
      <c r="M117" t="str">
        <f t="array" ref="M117">IFERROR(VLOOKUP('Base Game '!F114,'Pay Table'!$M$3:$O$18,3,FALSE),"")</f>
        <v/>
      </c>
      <c r="N117" t="str">
        <f t="array" ref="N117">IFERROR(VLOOKUP('Base Game '!H114,'Pay Table'!$M$3:$O$18,3,FALSE),"")</f>
        <v/>
      </c>
      <c r="O117" t="str">
        <f t="array" ref="O117">IFERROR(VLOOKUP('Base Game '!J114,'Pay Table'!$M$3:$O$18,3,FALSE),"")</f>
        <v/>
      </c>
      <c r="Q117" t="str">
        <f t="array" ref="Q117">IF('Base Game '!C114=0,"",'Base Game '!C114)</f>
        <v/>
      </c>
      <c r="R117" t="str">
        <f>IF('Base Game '!E114=0,"",'Base Game '!E114)</f>
        <v/>
      </c>
      <c r="S117" t="str">
        <f>IF('Base Game '!G114=0,"",'Base Game '!G114)</f>
        <v/>
      </c>
      <c r="T117" t="str">
        <f>IF('Base Game '!I114=0,"",'Base Game '!I114)</f>
        <v/>
      </c>
      <c r="U117" t="str">
        <f>IF('Base Game '!K114=0,"",'Base Game '!K114)</f>
        <v/>
      </c>
      <c r="Z117" t="e">
        <f>VLOOKUP(#REF!,'Pay Table'!$M$3:$O$18,3,FALSE)</f>
        <v>#REF!</v>
      </c>
      <c r="AI117" t="str">
        <f>IF('Free Game'!C113=0,"",'Free Game'!C113)</f>
        <v/>
      </c>
      <c r="AJ117" t="str">
        <f>IF('Free Game'!E113=0,"",'Free Game'!E113)</f>
        <v/>
      </c>
      <c r="AK117" t="str">
        <f>IF('Free Game'!G113=0,"",'Free Game'!G113)</f>
        <v/>
      </c>
      <c r="AL117" t="str">
        <f>IF('Free Game'!I113=0,"",'Free Game'!I113)</f>
        <v/>
      </c>
      <c r="AM117" t="str">
        <f>IF('Free Game'!K113=0,"",'Free Game'!K113)</f>
        <v/>
      </c>
    </row>
    <row r="118" spans="1:39" ht="15" x14ac:dyDescent="0.15">
      <c r="A118" s="10"/>
      <c r="B118" s="10"/>
      <c r="C118" s="10"/>
      <c r="D118" s="10"/>
      <c r="E118" s="10"/>
      <c r="F118" s="10"/>
      <c r="G118" s="103"/>
      <c r="H118" s="10"/>
      <c r="I118" s="10"/>
      <c r="K118" t="str">
        <f>IFERROR(VLOOKUP('Base Game '!B115,'Pay Table'!$M$3:$O$18,3,FALSE),"")</f>
        <v/>
      </c>
      <c r="L118" t="str">
        <f>IFERROR(VLOOKUP('Base Game '!D115,'Pay Table'!$M$3:$O$18,3,FALSE),"")</f>
        <v/>
      </c>
      <c r="M118" t="str">
        <f t="array" ref="M118">IFERROR(VLOOKUP('Base Game '!F115,'Pay Table'!$M$3:$O$18,3,FALSE),"")</f>
        <v/>
      </c>
      <c r="N118" t="str">
        <f t="array" ref="N118">IFERROR(VLOOKUP('Base Game '!H115,'Pay Table'!$M$3:$O$18,3,FALSE),"")</f>
        <v/>
      </c>
      <c r="O118" t="str">
        <f t="array" ref="O118">IFERROR(VLOOKUP('Base Game '!J115,'Pay Table'!$M$3:$O$18,3,FALSE),"")</f>
        <v/>
      </c>
      <c r="Q118" t="str">
        <f t="array" ref="Q118">IF('Base Game '!C115=0,"",'Base Game '!C115)</f>
        <v/>
      </c>
      <c r="R118" t="str">
        <f>IF('Base Game '!E115=0,"",'Base Game '!E115)</f>
        <v/>
      </c>
      <c r="S118" t="str">
        <f>IF('Base Game '!G115=0,"",'Base Game '!G115)</f>
        <v/>
      </c>
      <c r="T118" t="str">
        <f>IF('Base Game '!I115=0,"",'Base Game '!I115)</f>
        <v/>
      </c>
      <c r="U118" t="str">
        <f>IF('Base Game '!K115=0,"",'Base Game '!K115)</f>
        <v/>
      </c>
      <c r="Z118" t="e">
        <f>VLOOKUP(#REF!,'Pay Table'!$M$3:$O$18,3,FALSE)</f>
        <v>#REF!</v>
      </c>
      <c r="AI118" t="str">
        <f>IF('Free Game'!C114=0,"",'Free Game'!C114)</f>
        <v/>
      </c>
      <c r="AJ118" t="str">
        <f>IF('Free Game'!E114=0,"",'Free Game'!E114)</f>
        <v/>
      </c>
      <c r="AK118" t="str">
        <f>IF('Free Game'!G114=0,"",'Free Game'!G114)</f>
        <v/>
      </c>
      <c r="AL118" t="str">
        <f>IF('Free Game'!I114=0,"",'Free Game'!I114)</f>
        <v/>
      </c>
      <c r="AM118" t="str">
        <f>IF('Free Game'!K114=0,"",'Free Game'!K114)</f>
        <v/>
      </c>
    </row>
    <row r="119" spans="1:39" ht="15" x14ac:dyDescent="0.15">
      <c r="A119" s="10"/>
      <c r="B119" s="10"/>
      <c r="C119" s="10"/>
      <c r="D119" s="10"/>
      <c r="E119" s="10"/>
      <c r="F119" s="10"/>
      <c r="G119" s="103"/>
      <c r="H119" s="10"/>
      <c r="I119" s="10"/>
      <c r="K119" t="str">
        <f>IFERROR(VLOOKUP('Base Game '!B116,'Pay Table'!$M$3:$O$18,3,FALSE),"")</f>
        <v/>
      </c>
      <c r="L119" t="str">
        <f>IFERROR(VLOOKUP('Base Game '!D116,'Pay Table'!$M$3:$O$18,3,FALSE),"")</f>
        <v/>
      </c>
      <c r="M119" t="str">
        <f t="array" ref="M119">IFERROR(VLOOKUP('Base Game '!F116,'Pay Table'!$M$3:$O$18,3,FALSE),"")</f>
        <v/>
      </c>
      <c r="N119" t="str">
        <f t="array" ref="N119">IFERROR(VLOOKUP('Base Game '!H116,'Pay Table'!$M$3:$O$18,3,FALSE),"")</f>
        <v/>
      </c>
      <c r="O119" t="str">
        <f t="array" ref="O119">IFERROR(VLOOKUP('Base Game '!J116,'Pay Table'!$M$3:$O$18,3,FALSE),"")</f>
        <v/>
      </c>
      <c r="Q119" t="str">
        <f t="array" ref="Q119">IF('Base Game '!C116=0,"",'Base Game '!C116)</f>
        <v/>
      </c>
      <c r="R119" t="str">
        <f>IF('Base Game '!E116=0,"",'Base Game '!E116)</f>
        <v/>
      </c>
      <c r="S119" t="str">
        <f>IF('Base Game '!G116=0,"",'Base Game '!G116)</f>
        <v/>
      </c>
      <c r="T119" t="str">
        <f>IF('Base Game '!I116=0,"",'Base Game '!I116)</f>
        <v/>
      </c>
      <c r="U119" t="str">
        <f>IF('Base Game '!K116=0,"",'Base Game '!K116)</f>
        <v/>
      </c>
      <c r="Z119" t="e">
        <f>VLOOKUP(#REF!,'Pay Table'!$M$3:$O$18,3,FALSE)</f>
        <v>#REF!</v>
      </c>
      <c r="AI119" t="str">
        <f>IF('Free Game'!C115=0,"",'Free Game'!C115)</f>
        <v/>
      </c>
      <c r="AJ119" t="str">
        <f>IF('Free Game'!E115=0,"",'Free Game'!E115)</f>
        <v/>
      </c>
      <c r="AK119" t="str">
        <f>IF('Free Game'!G115=0,"",'Free Game'!G115)</f>
        <v/>
      </c>
      <c r="AL119" t="str">
        <f>IF('Free Game'!I115=0,"",'Free Game'!I115)</f>
        <v/>
      </c>
      <c r="AM119" t="str">
        <f>IF('Free Game'!K115=0,"",'Free Game'!K115)</f>
        <v/>
      </c>
    </row>
    <row r="120" spans="1:39" ht="15" x14ac:dyDescent="0.15">
      <c r="A120" s="10"/>
      <c r="B120" s="10"/>
      <c r="C120" s="10"/>
      <c r="D120" s="10"/>
      <c r="E120" s="10"/>
      <c r="F120" s="10"/>
      <c r="G120" s="103"/>
      <c r="H120" s="10"/>
      <c r="I120" s="10"/>
      <c r="K120" t="str">
        <f>IFERROR(VLOOKUP('Base Game '!B117,'Pay Table'!$M$3:$O$18,3,FALSE),"")</f>
        <v/>
      </c>
      <c r="L120" t="str">
        <f>IFERROR(VLOOKUP('Base Game '!D117,'Pay Table'!$M$3:$O$18,3,FALSE),"")</f>
        <v/>
      </c>
      <c r="M120" t="str">
        <f t="array" ref="M120">IFERROR(VLOOKUP('Base Game '!F117,'Pay Table'!$M$3:$O$18,3,FALSE),"")</f>
        <v/>
      </c>
      <c r="N120" t="str">
        <f t="array" ref="N120">IFERROR(VLOOKUP('Base Game '!H117,'Pay Table'!$M$3:$O$18,3,FALSE),"")</f>
        <v/>
      </c>
      <c r="O120" t="str">
        <f t="array" ref="O120">IFERROR(VLOOKUP('Base Game '!J117,'Pay Table'!$M$3:$O$18,3,FALSE),"")</f>
        <v/>
      </c>
      <c r="Q120" t="str">
        <f t="array" ref="Q120">IF('Base Game '!C117=0,"",'Base Game '!C117)</f>
        <v/>
      </c>
      <c r="R120" t="str">
        <f>IF('Base Game '!E117=0,"",'Base Game '!E117)</f>
        <v/>
      </c>
      <c r="S120" t="str">
        <f>IF('Base Game '!G117=0,"",'Base Game '!G117)</f>
        <v/>
      </c>
      <c r="T120" t="str">
        <f>IF('Base Game '!I117=0,"",'Base Game '!I117)</f>
        <v/>
      </c>
      <c r="U120" t="str">
        <f>IF('Base Game '!K117=0,"",'Base Game '!K117)</f>
        <v/>
      </c>
      <c r="Z120" t="e">
        <f>VLOOKUP(#REF!,'Pay Table'!$M$3:$O$18,3,FALSE)</f>
        <v>#REF!</v>
      </c>
    </row>
    <row r="121" spans="1:39" ht="15" x14ac:dyDescent="0.15">
      <c r="A121" s="10"/>
      <c r="B121" s="10"/>
      <c r="C121" s="10"/>
      <c r="D121" s="10"/>
      <c r="E121" s="10"/>
      <c r="F121" s="10"/>
      <c r="G121" s="103"/>
      <c r="H121" s="10"/>
      <c r="I121" s="10"/>
      <c r="K121" t="str">
        <f>IFERROR(VLOOKUP('Base Game '!B118,'Pay Table'!$M$3:$O$18,3,FALSE),"")</f>
        <v/>
      </c>
      <c r="L121" t="str">
        <f>IFERROR(VLOOKUP('Base Game '!D118,'Pay Table'!$M$3:$O$18,3,FALSE),"")</f>
        <v/>
      </c>
      <c r="M121" t="str">
        <f t="array" ref="M121">IFERROR(VLOOKUP('Base Game '!F118,'Pay Table'!$M$3:$O$18,3,FALSE),"")</f>
        <v/>
      </c>
      <c r="N121" t="str">
        <f t="array" ref="N121">IFERROR(VLOOKUP('Base Game '!H118,'Pay Table'!$M$3:$O$18,3,FALSE),"")</f>
        <v/>
      </c>
      <c r="O121" t="str">
        <f t="array" ref="O121">IFERROR(VLOOKUP('Base Game '!J118,'Pay Table'!$M$3:$O$18,3,FALSE),"")</f>
        <v/>
      </c>
      <c r="Q121" t="str">
        <f t="array" ref="Q121">IF('Base Game '!C118=0,"",'Base Game '!C118)</f>
        <v/>
      </c>
      <c r="R121" t="str">
        <f>IF('Base Game '!E118=0,"",'Base Game '!E118)</f>
        <v/>
      </c>
      <c r="S121" t="str">
        <f>IF('Base Game '!G118=0,"",'Base Game '!G118)</f>
        <v/>
      </c>
      <c r="T121" t="str">
        <f>IF('Base Game '!I118=0,"",'Base Game '!I118)</f>
        <v/>
      </c>
      <c r="U121" t="str">
        <f>IF('Base Game '!K118=0,"",'Base Game '!K118)</f>
        <v/>
      </c>
      <c r="Z121" t="e">
        <f>VLOOKUP(#REF!,'Pay Table'!$M$3:$O$18,3,FALSE)</f>
        <v>#REF!</v>
      </c>
    </row>
    <row r="122" spans="1:39" x14ac:dyDescent="0.15">
      <c r="K122" t="str">
        <f>IFERROR(VLOOKUP('Base Game '!B119,'Pay Table'!$M$3:$O$18,3,FALSE),"")</f>
        <v/>
      </c>
      <c r="L122" t="str">
        <f>IFERROR(VLOOKUP('Base Game '!D119,'Pay Table'!$M$3:$O$18,3,FALSE),"")</f>
        <v/>
      </c>
      <c r="M122" t="str">
        <f t="array" ref="M122">IFERROR(VLOOKUP('Base Game '!F119,'Pay Table'!$M$3:$O$18,3,FALSE),"")</f>
        <v/>
      </c>
      <c r="N122" t="str">
        <f t="array" ref="N122">IFERROR(VLOOKUP('Base Game '!H119,'Pay Table'!$M$3:$O$18,3,FALSE),"")</f>
        <v/>
      </c>
      <c r="O122" t="str">
        <f t="array" ref="O122">IFERROR(VLOOKUP('Base Game '!J119,'Pay Table'!$M$3:$O$18,3,FALSE),"")</f>
        <v/>
      </c>
      <c r="Q122" t="str">
        <f t="array" ref="Q122">IF('Base Game '!C119=0,"",'Base Game '!C119)</f>
        <v/>
      </c>
      <c r="R122" t="str">
        <f>IF('Base Game '!E119=0,"",'Base Game '!E119)</f>
        <v/>
      </c>
      <c r="S122" t="str">
        <f>IF('Base Game '!G119=0,"",'Base Game '!G119)</f>
        <v/>
      </c>
      <c r="T122" t="str">
        <f>IF('Base Game '!I119=0,"",'Base Game '!I119)</f>
        <v/>
      </c>
      <c r="U122" t="str">
        <f>IF('Base Game '!K119=0,"",'Base Game '!K119)</f>
        <v/>
      </c>
      <c r="Z122" t="e">
        <f>VLOOKUP(#REF!,'Pay Table'!$M$3:$O$18,3,FALSE)</f>
        <v>#REF!</v>
      </c>
    </row>
    <row r="123" spans="1:39" x14ac:dyDescent="0.15">
      <c r="K123" t="str">
        <f>IFERROR(VLOOKUP('Base Game '!B120,'Pay Table'!$M$3:$O$18,3,FALSE),"")</f>
        <v/>
      </c>
      <c r="L123" t="str">
        <f>IFERROR(VLOOKUP('Base Game '!D120,'Pay Table'!$M$3:$O$18,3,FALSE),"")</f>
        <v/>
      </c>
      <c r="M123" t="str">
        <f t="array" ref="M123">IFERROR(VLOOKUP('Base Game '!F120,'Pay Table'!$M$3:$O$18,3,FALSE),"")</f>
        <v/>
      </c>
      <c r="N123" t="str">
        <f t="array" ref="N123">IFERROR(VLOOKUP('Base Game '!H120,'Pay Table'!$M$3:$O$18,3,FALSE),"")</f>
        <v/>
      </c>
      <c r="O123" t="str">
        <f t="array" ref="O123">IFERROR(VLOOKUP('Base Game '!J120,'Pay Table'!$M$3:$O$18,3,FALSE),"")</f>
        <v/>
      </c>
      <c r="Q123" t="str">
        <f t="array" ref="Q123">IF('Base Game '!C120=0,"",'Base Game '!C120)</f>
        <v/>
      </c>
      <c r="R123" t="str">
        <f>IF('Base Game '!E120=0,"",'Base Game '!E120)</f>
        <v/>
      </c>
      <c r="S123" t="str">
        <f>IF('Base Game '!G120=0,"",'Base Game '!G120)</f>
        <v/>
      </c>
      <c r="T123" t="str">
        <f>IF('Base Game '!I120=0,"",'Base Game '!I120)</f>
        <v/>
      </c>
      <c r="U123" t="str">
        <f>IF('Base Game '!K120=0,"",'Base Game '!K120)</f>
        <v/>
      </c>
      <c r="Z123" t="e">
        <f>VLOOKUP(#REF!,'Pay Table'!$M$3:$O$18,3,FALSE)</f>
        <v>#REF!</v>
      </c>
    </row>
    <row r="124" spans="1:39" x14ac:dyDescent="0.15">
      <c r="K124" t="str">
        <f>IFERROR(VLOOKUP('Base Game '!B121,'Pay Table'!$M$3:$O$18,3,FALSE),"")</f>
        <v/>
      </c>
      <c r="L124" t="str">
        <f>IFERROR(VLOOKUP('Base Game '!D121,'Pay Table'!$M$3:$O$18,3,FALSE),"")</f>
        <v/>
      </c>
      <c r="M124" t="str">
        <f t="array" ref="M124">IFERROR(VLOOKUP('Base Game '!F121,'Pay Table'!$M$3:$O$18,3,FALSE),"")</f>
        <v/>
      </c>
      <c r="N124" t="str">
        <f t="array" ref="N124">IFERROR(VLOOKUP('Base Game '!H121,'Pay Table'!$M$3:$O$18,3,FALSE),"")</f>
        <v/>
      </c>
      <c r="O124" t="str">
        <f t="array" ref="O124">IFERROR(VLOOKUP('Base Game '!J121,'Pay Table'!$M$3:$O$18,3,FALSE),"")</f>
        <v/>
      </c>
      <c r="Q124" t="str">
        <f t="array" ref="Q124">IF('Base Game '!C121=0,"",'Base Game '!C121)</f>
        <v/>
      </c>
      <c r="R124" t="str">
        <f>IF('Base Game '!E121=0,"",'Base Game '!E121)</f>
        <v/>
      </c>
      <c r="S124" t="str">
        <f>IF('Base Game '!G121=0,"",'Base Game '!G121)</f>
        <v/>
      </c>
      <c r="T124" t="str">
        <f>IF('Base Game '!I121=0,"",'Base Game '!I121)</f>
        <v/>
      </c>
      <c r="U124" t="str">
        <f>IF('Base Game '!K121=0,"",'Base Game '!K121)</f>
        <v/>
      </c>
      <c r="Z124" t="e">
        <f>VLOOKUP(#REF!,'Pay Table'!$M$3:$O$18,3,FALSE)</f>
        <v>#REF!</v>
      </c>
    </row>
    <row r="125" spans="1:39" x14ac:dyDescent="0.15">
      <c r="K125" t="str">
        <f>IFERROR(VLOOKUP('Base Game '!B122,'Pay Table'!$M$3:$O$18,3,FALSE),"")</f>
        <v/>
      </c>
      <c r="L125" t="str">
        <f>IFERROR(VLOOKUP('Base Game '!D122,'Pay Table'!$M$3:$O$18,3,FALSE),"")</f>
        <v/>
      </c>
      <c r="M125" t="str">
        <f t="array" ref="M125">IFERROR(VLOOKUP('Base Game '!F122,'Pay Table'!$M$3:$O$18,3,FALSE),"")</f>
        <v/>
      </c>
      <c r="N125" t="str">
        <f t="array" ref="N125">IFERROR(VLOOKUP('Base Game '!H122,'Pay Table'!$M$3:$O$18,3,FALSE),"")</f>
        <v/>
      </c>
      <c r="O125" t="str">
        <f t="array" ref="O125">IFERROR(VLOOKUP('Base Game '!J122,'Pay Table'!$M$3:$O$18,3,FALSE),"")</f>
        <v/>
      </c>
      <c r="Q125" t="str">
        <f t="array" ref="Q125">IF('Base Game '!C122=0,"",'Base Game '!C122)</f>
        <v/>
      </c>
      <c r="R125" t="str">
        <f>IF('Base Game '!E122=0,"",'Base Game '!E122)</f>
        <v/>
      </c>
      <c r="S125" t="str">
        <f>IF('Base Game '!G122=0,"",'Base Game '!G122)</f>
        <v/>
      </c>
      <c r="T125" t="str">
        <f>IF('Base Game '!I122=0,"",'Base Game '!I122)</f>
        <v/>
      </c>
      <c r="U125" t="str">
        <f>IF('Base Game '!K122=0,"",'Base Game '!K122)</f>
        <v/>
      </c>
      <c r="Z125" t="e">
        <f>VLOOKUP(#REF!,'Pay Table'!$M$3:$O$18,3,FALSE)</f>
        <v>#REF!</v>
      </c>
    </row>
    <row r="126" spans="1:39" x14ac:dyDescent="0.15">
      <c r="K126" t="str">
        <f>IFERROR(VLOOKUP('Base Game '!B123,'Pay Table'!$M$3:$O$18,3,FALSE),"")</f>
        <v/>
      </c>
      <c r="L126" t="str">
        <f>IFERROR(VLOOKUP('Base Game '!D123,'Pay Table'!$M$3:$O$18,3,FALSE),"")</f>
        <v/>
      </c>
      <c r="M126" t="str">
        <f t="array" ref="M126">IFERROR(VLOOKUP('Base Game '!F123,'Pay Table'!$M$3:$O$18,3,FALSE),"")</f>
        <v/>
      </c>
      <c r="N126" t="str">
        <f t="array" ref="N126">IFERROR(VLOOKUP('Base Game '!H123,'Pay Table'!$M$3:$O$18,3,FALSE),"")</f>
        <v/>
      </c>
      <c r="O126" t="str">
        <f t="array" ref="O126">IFERROR(VLOOKUP('Base Game '!J123,'Pay Table'!$M$3:$O$18,3,FALSE),"")</f>
        <v/>
      </c>
      <c r="Q126" t="str">
        <f t="array" ref="Q126">IF('Base Game '!C123=0,"",'Base Game '!C123)</f>
        <v/>
      </c>
      <c r="R126" t="str">
        <f>IF('Base Game '!E123=0,"",'Base Game '!E123)</f>
        <v/>
      </c>
      <c r="S126" t="str">
        <f>IF('Base Game '!G123=0,"",'Base Game '!G123)</f>
        <v/>
      </c>
      <c r="T126" t="str">
        <f>IF('Base Game '!I123=0,"",'Base Game '!I123)</f>
        <v/>
      </c>
      <c r="U126" t="str">
        <f>IF('Base Game '!K123=0,"",'Base Game '!K123)</f>
        <v/>
      </c>
      <c r="Z126" t="e">
        <f>VLOOKUP(#REF!,'Pay Table'!$M$3:$O$18,3,FALSE)</f>
        <v>#REF!</v>
      </c>
    </row>
    <row r="127" spans="1:39" x14ac:dyDescent="0.15">
      <c r="K127" t="str">
        <f>IFERROR(VLOOKUP('Base Game '!B124,'Pay Table'!$M$3:$O$18,3,FALSE),"")</f>
        <v/>
      </c>
      <c r="L127" t="str">
        <f>IFERROR(VLOOKUP('Base Game '!D124,'Pay Table'!$M$3:$O$18,3,FALSE),"")</f>
        <v/>
      </c>
      <c r="M127" t="str">
        <f t="array" ref="M127">IFERROR(VLOOKUP('Base Game '!F124,'Pay Table'!$M$3:$O$18,3,FALSE),"")</f>
        <v/>
      </c>
      <c r="N127" t="str">
        <f t="array" ref="N127">IFERROR(VLOOKUP('Base Game '!H124,'Pay Table'!$M$3:$O$18,3,FALSE),"")</f>
        <v/>
      </c>
      <c r="O127" t="str">
        <f t="array" ref="O127">IFERROR(VLOOKUP('Base Game '!J124,'Pay Table'!$M$3:$O$18,3,FALSE),"")</f>
        <v/>
      </c>
      <c r="Q127" t="str">
        <f t="array" ref="Q127">IF('Base Game '!C124=0,"",'Base Game '!C124)</f>
        <v/>
      </c>
      <c r="R127" t="str">
        <f>IF('Base Game '!E124=0,"",'Base Game '!E124)</f>
        <v/>
      </c>
      <c r="S127" t="str">
        <f>IF('Base Game '!G124=0,"",'Base Game '!G124)</f>
        <v/>
      </c>
      <c r="T127" t="str">
        <f>IF('Base Game '!I124=0,"",'Base Game '!I124)</f>
        <v/>
      </c>
      <c r="U127" t="str">
        <f>IF('Base Game '!K124=0,"",'Base Game '!K124)</f>
        <v/>
      </c>
      <c r="Z127" t="e">
        <f>VLOOKUP(#REF!,'Pay Table'!$M$3:$O$18,3,FALSE)</f>
        <v>#REF!</v>
      </c>
    </row>
    <row r="128" spans="1:39" x14ac:dyDescent="0.15">
      <c r="K128" t="str">
        <f>IFERROR(VLOOKUP('Base Game '!B125,'Pay Table'!$M$3:$O$18,3,FALSE),"")</f>
        <v/>
      </c>
      <c r="L128" t="str">
        <f>IFERROR(VLOOKUP('Base Game '!D125,'Pay Table'!$M$3:$O$18,3,FALSE),"")</f>
        <v/>
      </c>
      <c r="M128" t="str">
        <f t="array" ref="M128">IFERROR(VLOOKUP('Base Game '!F125,'Pay Table'!$M$3:$O$18,3,FALSE),"")</f>
        <v/>
      </c>
      <c r="N128" t="str">
        <f t="array" ref="N128">IFERROR(VLOOKUP('Base Game '!H125,'Pay Table'!$M$3:$O$18,3,FALSE),"")</f>
        <v/>
      </c>
      <c r="O128" t="str">
        <f t="array" ref="O128">IFERROR(VLOOKUP('Base Game '!J125,'Pay Table'!$M$3:$O$18,3,FALSE),"")</f>
        <v/>
      </c>
      <c r="Q128" t="str">
        <f t="array" ref="Q128">IF('Base Game '!C125=0,"",'Base Game '!C125)</f>
        <v/>
      </c>
      <c r="R128" t="str">
        <f>IF('Base Game '!E125=0,"",'Base Game '!E125)</f>
        <v/>
      </c>
      <c r="S128" t="str">
        <f>IF('Base Game '!G125=0,"",'Base Game '!G125)</f>
        <v/>
      </c>
      <c r="T128" t="str">
        <f>IF('Base Game '!I125=0,"",'Base Game '!I125)</f>
        <v/>
      </c>
      <c r="U128" t="str">
        <f>IF('Base Game '!K125=0,"",'Base Game '!K125)</f>
        <v/>
      </c>
      <c r="Z128" t="e">
        <f>VLOOKUP(#REF!,'Pay Table'!$M$3:$O$18,3,FALSE)</f>
        <v>#REF!</v>
      </c>
    </row>
    <row r="129" spans="11:26" x14ac:dyDescent="0.15">
      <c r="K129" t="str">
        <f>IFERROR(VLOOKUP('Base Game '!B126,'Pay Table'!$M$3:$O$18,3,FALSE),"")</f>
        <v/>
      </c>
      <c r="L129" t="str">
        <f>IFERROR(VLOOKUP('Base Game '!D126,'Pay Table'!$M$3:$O$18,3,FALSE),"")</f>
        <v/>
      </c>
      <c r="M129" t="str">
        <f t="array" ref="M129">IFERROR(VLOOKUP('Base Game '!F126,'Pay Table'!$M$3:$O$18,3,FALSE),"")</f>
        <v/>
      </c>
      <c r="N129" t="str">
        <f t="array" ref="N129">IFERROR(VLOOKUP('Base Game '!H126,'Pay Table'!$M$3:$O$18,3,FALSE),"")</f>
        <v/>
      </c>
      <c r="O129" t="str">
        <f t="array" ref="O129">IFERROR(VLOOKUP('Base Game '!J126,'Pay Table'!$M$3:$O$18,3,FALSE),"")</f>
        <v/>
      </c>
      <c r="Q129" t="str">
        <f t="array" ref="Q129">IF('Base Game '!C126=0,"",'Base Game '!C126)</f>
        <v/>
      </c>
      <c r="R129" t="str">
        <f>IF('Base Game '!E126=0,"",'Base Game '!E126)</f>
        <v/>
      </c>
      <c r="S129" t="str">
        <f>IF('Base Game '!G126=0,"",'Base Game '!G126)</f>
        <v/>
      </c>
      <c r="T129" t="str">
        <f>IF('Base Game '!I126=0,"",'Base Game '!I126)</f>
        <v/>
      </c>
      <c r="U129" t="str">
        <f>IF('Base Game '!K126=0,"",'Base Game '!K126)</f>
        <v/>
      </c>
      <c r="Z129" t="e">
        <f>VLOOKUP(#REF!,'Pay Table'!$M$3:$O$18,3,FALSE)</f>
        <v>#REF!</v>
      </c>
    </row>
    <row r="130" spans="11:26" x14ac:dyDescent="0.15">
      <c r="K130" t="str">
        <f>IFERROR(VLOOKUP('Base Game '!B127,'Pay Table'!$M$3:$O$18,3,FALSE),"")</f>
        <v/>
      </c>
      <c r="L130" t="str">
        <f>IFERROR(VLOOKUP('Base Game '!D127,'Pay Table'!$M$3:$O$18,3,FALSE),"")</f>
        <v/>
      </c>
      <c r="M130" t="str">
        <f t="array" ref="M130">IFERROR(VLOOKUP('Base Game '!F127,'Pay Table'!$M$3:$O$18,3,FALSE),"")</f>
        <v/>
      </c>
      <c r="N130" t="str">
        <f t="array" ref="N130">IFERROR(VLOOKUP('Base Game '!H127,'Pay Table'!$M$3:$O$18,3,FALSE),"")</f>
        <v/>
      </c>
      <c r="O130" t="str">
        <f t="array" ref="O130">IFERROR(VLOOKUP('Base Game '!J127,'Pay Table'!$M$3:$O$18,3,FALSE),"")</f>
        <v/>
      </c>
      <c r="Q130" t="str">
        <f t="array" ref="Q130">IF('Base Game '!C127=0,"",'Base Game '!C127)</f>
        <v/>
      </c>
      <c r="R130" t="str">
        <f>IF('Base Game '!E127=0,"",'Base Game '!E127)</f>
        <v/>
      </c>
      <c r="S130" t="str">
        <f>IF('Base Game '!G127=0,"",'Base Game '!G127)</f>
        <v/>
      </c>
      <c r="T130" t="str">
        <f>IF('Base Game '!I127=0,"",'Base Game '!I127)</f>
        <v/>
      </c>
      <c r="U130" t="str">
        <f>IF('Base Game '!K127=0,"",'Base Game '!K127)</f>
        <v/>
      </c>
    </row>
    <row r="131" spans="11:26" x14ac:dyDescent="0.15">
      <c r="K131" t="str">
        <f>IFERROR(VLOOKUP('Base Game '!B128,'Pay Table'!$M$3:$O$18,3,FALSE),"")</f>
        <v/>
      </c>
      <c r="L131" t="str">
        <f>IFERROR(VLOOKUP('Base Game '!D128,'Pay Table'!$M$3:$O$18,3,FALSE),"")</f>
        <v/>
      </c>
      <c r="M131" t="str">
        <f t="array" ref="M131">IFERROR(VLOOKUP('Base Game '!F128,'Pay Table'!$M$3:$O$18,3,FALSE),"")</f>
        <v/>
      </c>
      <c r="N131" t="str">
        <f t="array" ref="N131">IFERROR(VLOOKUP('Base Game '!H128,'Pay Table'!$M$3:$O$18,3,FALSE),"")</f>
        <v/>
      </c>
      <c r="O131" t="str">
        <f t="array" ref="O131">IFERROR(VLOOKUP('Base Game '!J128,'Pay Table'!$M$3:$O$18,3,FALSE),"")</f>
        <v/>
      </c>
      <c r="Q131" t="str">
        <f t="array" ref="Q131">IF('Base Game '!C128=0,"",'Base Game '!C128)</f>
        <v/>
      </c>
      <c r="R131" t="str">
        <f>IF('Base Game '!E128=0,"",'Base Game '!E128)</f>
        <v/>
      </c>
      <c r="S131" t="str">
        <f>IF('Base Game '!G128=0,"",'Base Game '!G128)</f>
        <v/>
      </c>
      <c r="T131" t="str">
        <f>IF('Base Game '!I128=0,"",'Base Game '!I128)</f>
        <v/>
      </c>
      <c r="U131" t="str">
        <f>IF('Base Game '!K128=0,"",'Base Game '!K128)</f>
        <v/>
      </c>
    </row>
    <row r="132" spans="11:26" x14ac:dyDescent="0.15">
      <c r="K132" t="str">
        <f>IFERROR(VLOOKUP('Base Game '!B129,'Pay Table'!$M$3:$O$18,3,FALSE),"")</f>
        <v/>
      </c>
      <c r="L132" t="str">
        <f>IFERROR(VLOOKUP('Base Game '!D129,'Pay Table'!$M$3:$O$18,3,FALSE),"")</f>
        <v/>
      </c>
      <c r="M132" t="str">
        <f t="array" ref="M132">IFERROR(VLOOKUP('Base Game '!F129,'Pay Table'!$M$3:$O$18,3,FALSE),"")</f>
        <v/>
      </c>
      <c r="N132" t="str">
        <f t="array" ref="N132">IFERROR(VLOOKUP('Base Game '!H129,'Pay Table'!$M$3:$O$18,3,FALSE),"")</f>
        <v/>
      </c>
      <c r="O132" t="str">
        <f t="array" ref="O132">IFERROR(VLOOKUP('Base Game '!J129,'Pay Table'!$M$3:$O$18,3,FALSE),"")</f>
        <v/>
      </c>
      <c r="Q132" t="str">
        <f t="array" ref="Q132">IF('Base Game '!C129=0,"",'Base Game '!C129)</f>
        <v/>
      </c>
      <c r="R132" t="str">
        <f>IF('Base Game '!E129=0,"",'Base Game '!E129)</f>
        <v/>
      </c>
      <c r="S132" t="str">
        <f>IF('Base Game '!G129=0,"",'Base Game '!G129)</f>
        <v/>
      </c>
      <c r="T132" t="str">
        <f>IF('Base Game '!I129=0,"",'Base Game '!I129)</f>
        <v/>
      </c>
      <c r="U132" t="str">
        <f>IF('Base Game '!K129=0,"",'Base Game '!K129)</f>
        <v/>
      </c>
    </row>
    <row r="133" spans="11:26" x14ac:dyDescent="0.15">
      <c r="K133" t="str">
        <f>IFERROR(VLOOKUP('Base Game '!B130,'Pay Table'!$M$3:$O$18,3,FALSE),"")</f>
        <v/>
      </c>
      <c r="L133" t="str">
        <f>IFERROR(VLOOKUP('Base Game '!D130,'Pay Table'!$M$3:$O$18,3,FALSE),"")</f>
        <v/>
      </c>
      <c r="M133" t="str">
        <f t="array" ref="M133">IFERROR(VLOOKUP('Base Game '!F130,'Pay Table'!$M$3:$O$18,3,FALSE),"")</f>
        <v/>
      </c>
      <c r="N133" t="str">
        <f t="array" ref="N133">IFERROR(VLOOKUP('Base Game '!H130,'Pay Table'!$M$3:$O$18,3,FALSE),"")</f>
        <v/>
      </c>
      <c r="O133" t="str">
        <f t="array" ref="O133">IFERROR(VLOOKUP('Base Game '!J130,'Pay Table'!$M$3:$O$18,3,FALSE),"")</f>
        <v/>
      </c>
      <c r="Q133" t="str">
        <f t="array" ref="Q133">IF('Base Game '!C130=0,"",'Base Game '!C130)</f>
        <v/>
      </c>
      <c r="R133" t="str">
        <f>IF('Base Game '!E130=0,"",'Base Game '!E130)</f>
        <v/>
      </c>
      <c r="S133" t="str">
        <f>IF('Base Game '!G130=0,"",'Base Game '!G130)</f>
        <v/>
      </c>
      <c r="T133" t="str">
        <f>IF('Base Game '!I130=0,"",'Base Game '!I130)</f>
        <v/>
      </c>
      <c r="U133" t="str">
        <f>IF('Base Game '!K130=0,"",'Base Game '!K130)</f>
        <v/>
      </c>
    </row>
    <row r="134" spans="11:26" x14ac:dyDescent="0.15">
      <c r="K134" t="str">
        <f>IFERROR(VLOOKUP('Base Game '!B131,'Pay Table'!$M$3:$O$18,3,FALSE),"")</f>
        <v/>
      </c>
      <c r="L134" t="str">
        <f>IFERROR(VLOOKUP('Base Game '!D131,'Pay Table'!$M$3:$O$18,3,FALSE),"")</f>
        <v/>
      </c>
      <c r="M134" t="str">
        <f t="array" ref="M134">IFERROR(VLOOKUP('Base Game '!F131,'Pay Table'!$M$3:$O$18,3,FALSE),"")</f>
        <v/>
      </c>
      <c r="N134" t="str">
        <f t="array" ref="N134">IFERROR(VLOOKUP('Base Game '!H131,'Pay Table'!$M$3:$O$18,3,FALSE),"")</f>
        <v/>
      </c>
      <c r="O134" t="str">
        <f t="array" ref="O134">IFERROR(VLOOKUP('Base Game '!J131,'Pay Table'!$M$3:$O$18,3,FALSE),"")</f>
        <v/>
      </c>
      <c r="Q134" t="str">
        <f t="array" ref="Q134">IF('Base Game '!C131=0,"",'Base Game '!C131)</f>
        <v/>
      </c>
      <c r="R134" t="str">
        <f>IF('Base Game '!E131=0,"",'Base Game '!E131)</f>
        <v/>
      </c>
      <c r="S134" t="str">
        <f>IF('Base Game '!G131=0,"",'Base Game '!G131)</f>
        <v/>
      </c>
      <c r="T134" t="str">
        <f>IF('Base Game '!I131=0,"",'Base Game '!I131)</f>
        <v/>
      </c>
      <c r="U134" t="str">
        <f>IF('Base Game '!K131=0,"",'Base Game '!K131)</f>
        <v/>
      </c>
    </row>
    <row r="135" spans="11:26" x14ac:dyDescent="0.15">
      <c r="K135" t="str">
        <f>IFERROR(VLOOKUP('Base Game '!B132,'Pay Table'!$M$3:$O$18,3,FALSE),"")</f>
        <v/>
      </c>
      <c r="L135" t="str">
        <f>IFERROR(VLOOKUP('Base Game '!D132,'Pay Table'!$M$3:$O$18,3,FALSE),"")</f>
        <v/>
      </c>
      <c r="M135" t="str">
        <f t="array" ref="M135">IFERROR(VLOOKUP('Base Game '!F132,'Pay Table'!$M$3:$O$18,3,FALSE),"")</f>
        <v/>
      </c>
      <c r="N135" t="str">
        <f t="array" ref="N135">IFERROR(VLOOKUP('Base Game '!H132,'Pay Table'!$M$3:$O$18,3,FALSE),"")</f>
        <v/>
      </c>
      <c r="O135" t="str">
        <f t="array" ref="O135">IFERROR(VLOOKUP('Base Game '!J132,'Pay Table'!$M$3:$O$18,3,FALSE),"")</f>
        <v/>
      </c>
      <c r="Q135" t="str">
        <f t="array" ref="Q135">IF('Base Game '!C132=0,"",'Base Game '!C132)</f>
        <v/>
      </c>
      <c r="R135" t="str">
        <f>IF('Base Game '!E132=0,"",'Base Game '!E132)</f>
        <v/>
      </c>
      <c r="S135" t="str">
        <f>IF('Base Game '!G132=0,"",'Base Game '!G132)</f>
        <v/>
      </c>
      <c r="T135" t="str">
        <f>IF('Base Game '!I132=0,"",'Base Game '!I132)</f>
        <v/>
      </c>
      <c r="U135" t="str">
        <f>IF('Base Game '!K132=0,"",'Base Game '!K132)</f>
        <v/>
      </c>
    </row>
    <row r="136" spans="11:26" x14ac:dyDescent="0.15">
      <c r="K136" t="str">
        <f>IFERROR(VLOOKUP('Base Game '!B133,'Pay Table'!$M$3:$O$18,3,FALSE),"")</f>
        <v/>
      </c>
      <c r="L136" t="str">
        <f>IFERROR(VLOOKUP('Base Game '!D133,'Pay Table'!$M$3:$O$18,3,FALSE),"")</f>
        <v/>
      </c>
      <c r="M136" t="str">
        <f t="array" ref="M136">IFERROR(VLOOKUP('Base Game '!F133,'Pay Table'!$M$3:$O$18,3,FALSE),"")</f>
        <v/>
      </c>
      <c r="N136" t="str">
        <f t="array" ref="N136">IFERROR(VLOOKUP('Base Game '!H133,'Pay Table'!$M$3:$O$18,3,FALSE),"")</f>
        <v/>
      </c>
      <c r="O136" t="str">
        <f t="array" ref="O136">IFERROR(VLOOKUP('Base Game '!J133,'Pay Table'!$M$3:$O$18,3,FALSE),"")</f>
        <v/>
      </c>
      <c r="Q136" t="str">
        <f t="array" ref="Q136">IF('Base Game '!C133=0,"",'Base Game '!C133)</f>
        <v/>
      </c>
      <c r="R136" t="str">
        <f>IF('Base Game '!E133=0,"",'Base Game '!E133)</f>
        <v/>
      </c>
      <c r="S136" t="str">
        <f>IF('Base Game '!G133=0,"",'Base Game '!G133)</f>
        <v/>
      </c>
      <c r="T136" t="str">
        <f>IF('Base Game '!I133=0,"",'Base Game '!I133)</f>
        <v/>
      </c>
      <c r="U136" t="str">
        <f>IF('Base Game '!K133=0,"",'Base Game '!K133)</f>
        <v/>
      </c>
    </row>
    <row r="137" spans="11:26" x14ac:dyDescent="0.15">
      <c r="K137" t="str">
        <f>IFERROR(VLOOKUP('Base Game '!B134,'Pay Table'!$M$3:$O$18,3,FALSE),"")</f>
        <v/>
      </c>
      <c r="L137" t="str">
        <f>IFERROR(VLOOKUP('Base Game '!D134,'Pay Table'!$M$3:$O$18,3,FALSE),"")</f>
        <v/>
      </c>
      <c r="M137" t="str">
        <f t="array" ref="M137">IFERROR(VLOOKUP('Base Game '!F134,'Pay Table'!$M$3:$O$18,3,FALSE),"")</f>
        <v/>
      </c>
      <c r="N137" t="str">
        <f t="array" ref="N137">IFERROR(VLOOKUP('Base Game '!H134,'Pay Table'!$M$3:$O$18,3,FALSE),"")</f>
        <v/>
      </c>
      <c r="O137" t="str">
        <f t="array" ref="O137">IFERROR(VLOOKUP('Base Game '!J134,'Pay Table'!$M$3:$O$18,3,FALSE),"")</f>
        <v/>
      </c>
      <c r="Q137" t="str">
        <f t="array" ref="Q137">IF('Base Game '!C134=0,"",'Base Game '!C134)</f>
        <v/>
      </c>
      <c r="R137" t="str">
        <f>IF('Base Game '!E134=0,"",'Base Game '!E134)</f>
        <v/>
      </c>
      <c r="S137" t="str">
        <f>IF('Base Game '!G134=0,"",'Base Game '!G134)</f>
        <v/>
      </c>
      <c r="T137" t="str">
        <f>IF('Base Game '!I134=0,"",'Base Game '!I134)</f>
        <v/>
      </c>
      <c r="U137" t="str">
        <f>IF('Base Game '!K134=0,"",'Base Game '!K134)</f>
        <v/>
      </c>
    </row>
    <row r="138" spans="11:26" x14ac:dyDescent="0.15">
      <c r="K138" t="str">
        <f>IFERROR(VLOOKUP('Base Game '!B135,'Pay Table'!$M$3:$O$18,3,FALSE),"")</f>
        <v/>
      </c>
      <c r="L138" t="str">
        <f>IFERROR(VLOOKUP('Base Game '!D135,'Pay Table'!$M$3:$O$18,3,FALSE),"")</f>
        <v/>
      </c>
      <c r="M138" t="str">
        <f t="array" ref="M138">IFERROR(VLOOKUP('Base Game '!F135,'Pay Table'!$M$3:$O$18,3,FALSE),"")</f>
        <v/>
      </c>
      <c r="N138" t="str">
        <f t="array" ref="N138">IFERROR(VLOOKUP('Base Game '!H135,'Pay Table'!$M$3:$O$18,3,FALSE),"")</f>
        <v/>
      </c>
      <c r="O138" t="str">
        <f t="array" ref="O138">IFERROR(VLOOKUP('Base Game '!J135,'Pay Table'!$M$3:$O$18,3,FALSE),"")</f>
        <v/>
      </c>
      <c r="Q138" t="str">
        <f t="array" ref="Q138">IF('Base Game '!C135=0,"",'Base Game '!C135)</f>
        <v/>
      </c>
      <c r="R138" t="str">
        <f>IF('Base Game '!E135=0,"",'Base Game '!E135)</f>
        <v/>
      </c>
      <c r="S138" t="str">
        <f>IF('Base Game '!G135=0,"",'Base Game '!G135)</f>
        <v/>
      </c>
      <c r="T138" t="str">
        <f>IF('Base Game '!I135=0,"",'Base Game '!I135)</f>
        <v/>
      </c>
      <c r="U138" t="str">
        <f>IF('Base Game '!K135=0,"",'Base Game '!K135)</f>
        <v/>
      </c>
    </row>
    <row r="139" spans="11:26" x14ac:dyDescent="0.15">
      <c r="K139" t="str">
        <f>IFERROR(VLOOKUP('Base Game '!B136,'Pay Table'!$M$3:$O$18,3,FALSE),"")</f>
        <v/>
      </c>
      <c r="L139" t="str">
        <f>IFERROR(VLOOKUP('Base Game '!D136,'Pay Table'!$M$3:$O$18,3,FALSE),"")</f>
        <v/>
      </c>
      <c r="M139" t="str">
        <f t="array" ref="M139">IFERROR(VLOOKUP('Base Game '!F136,'Pay Table'!$M$3:$O$18,3,FALSE),"")</f>
        <v/>
      </c>
      <c r="N139" t="str">
        <f t="array" ref="N139">IFERROR(VLOOKUP('Base Game '!H136,'Pay Table'!$M$3:$O$18,3,FALSE),"")</f>
        <v/>
      </c>
      <c r="O139" t="str">
        <f t="array" ref="O139">IFERROR(VLOOKUP('Base Game '!J136,'Pay Table'!$M$3:$O$18,3,FALSE),"")</f>
        <v/>
      </c>
      <c r="Q139" t="str">
        <f t="array" ref="Q139">IF('Base Game '!C136=0,"",'Base Game '!C136)</f>
        <v/>
      </c>
      <c r="R139" t="str">
        <f>IF('Base Game '!E136=0,"",'Base Game '!E136)</f>
        <v/>
      </c>
      <c r="S139" t="str">
        <f>IF('Base Game '!G136=0,"",'Base Game '!G136)</f>
        <v/>
      </c>
      <c r="T139" t="str">
        <f>IF('Base Game '!I136=0,"",'Base Game '!I136)</f>
        <v/>
      </c>
      <c r="U139" t="str">
        <f>IF('Base Game '!K136=0,"",'Base Game '!K136)</f>
        <v/>
      </c>
    </row>
    <row r="140" spans="11:26" x14ac:dyDescent="0.15">
      <c r="K140" t="str">
        <f>IFERROR(VLOOKUP('Base Game '!B137,'Pay Table'!$M$3:$O$18,3,FALSE),"")</f>
        <v/>
      </c>
      <c r="L140" t="str">
        <f>IFERROR(VLOOKUP('Base Game '!D137,'Pay Table'!$M$3:$O$18,3,FALSE),"")</f>
        <v/>
      </c>
      <c r="M140" t="str">
        <f t="array" ref="M140">IFERROR(VLOOKUP('Base Game '!F137,'Pay Table'!$M$3:$O$18,3,FALSE),"")</f>
        <v/>
      </c>
      <c r="N140" t="str">
        <f t="array" ref="N140">IFERROR(VLOOKUP('Base Game '!H137,'Pay Table'!$M$3:$O$18,3,FALSE),"")</f>
        <v/>
      </c>
      <c r="O140" t="str">
        <f t="array" ref="O140">IFERROR(VLOOKUP('Base Game '!J137,'Pay Table'!$M$3:$O$18,3,FALSE),"")</f>
        <v/>
      </c>
      <c r="Q140" t="str">
        <f t="array" ref="Q140">IF('Base Game '!C137=0,"",'Base Game '!C137)</f>
        <v/>
      </c>
      <c r="R140" t="str">
        <f>IF('Base Game '!E137=0,"",'Base Game '!E137)</f>
        <v/>
      </c>
      <c r="S140" t="str">
        <f>IF('Base Game '!G137=0,"",'Base Game '!G137)</f>
        <v/>
      </c>
      <c r="T140" t="str">
        <f>IF('Base Game '!I137=0,"",'Base Game '!I137)</f>
        <v/>
      </c>
      <c r="U140" t="str">
        <f>IF('Base Game '!K137=0,"",'Base Game '!K137)</f>
        <v/>
      </c>
    </row>
    <row r="141" spans="11:26" x14ac:dyDescent="0.15">
      <c r="K141" t="str">
        <f>IFERROR(VLOOKUP('Base Game '!B138,'Pay Table'!$M$3:$O$18,3,FALSE),"")</f>
        <v/>
      </c>
      <c r="L141" t="str">
        <f>IFERROR(VLOOKUP('Base Game '!D138,'Pay Table'!$M$3:$O$18,3,FALSE),"")</f>
        <v/>
      </c>
      <c r="M141" t="str">
        <f t="array" ref="M141">IFERROR(VLOOKUP('Base Game '!F138,'Pay Table'!$M$3:$O$18,3,FALSE),"")</f>
        <v/>
      </c>
      <c r="N141" t="str">
        <f t="array" ref="N141">IFERROR(VLOOKUP('Base Game '!H138,'Pay Table'!$M$3:$O$18,3,FALSE),"")</f>
        <v/>
      </c>
      <c r="O141" t="str">
        <f t="array" ref="O141">IFERROR(VLOOKUP('Base Game '!J138,'Pay Table'!$M$3:$O$18,3,FALSE),"")</f>
        <v/>
      </c>
      <c r="Q141" t="str">
        <f t="array" ref="Q141">IF('Base Game '!C138=0,"",'Base Game '!C138)</f>
        <v/>
      </c>
      <c r="R141" t="str">
        <f>IF('Base Game '!E138=0,"",'Base Game '!E138)</f>
        <v/>
      </c>
      <c r="S141" t="str">
        <f>IF('Base Game '!G138=0,"",'Base Game '!G138)</f>
        <v/>
      </c>
      <c r="T141" t="str">
        <f>IF('Base Game '!I138=0,"",'Base Game '!I138)</f>
        <v/>
      </c>
      <c r="U141" t="str">
        <f>IF('Base Game '!K138=0,"",'Base Game '!K138)</f>
        <v/>
      </c>
    </row>
    <row r="142" spans="11:26" x14ac:dyDescent="0.15">
      <c r="K142" t="str">
        <f>IFERROR(VLOOKUP('Base Game '!B139,'Pay Table'!$M$3:$O$18,3,FALSE),"")</f>
        <v/>
      </c>
      <c r="L142" t="str">
        <f>IFERROR(VLOOKUP('Base Game '!D139,'Pay Table'!$M$3:$O$18,3,FALSE),"")</f>
        <v/>
      </c>
      <c r="M142" t="str">
        <f t="array" ref="M142">IFERROR(VLOOKUP('Base Game '!F139,'Pay Table'!$M$3:$O$18,3,FALSE),"")</f>
        <v/>
      </c>
      <c r="N142" t="str">
        <f t="array" ref="N142">IFERROR(VLOOKUP('Base Game '!H139,'Pay Table'!$M$3:$O$18,3,FALSE),"")</f>
        <v/>
      </c>
      <c r="O142" t="str">
        <f t="array" ref="O142">IFERROR(VLOOKUP('Base Game '!J139,'Pay Table'!$M$3:$O$18,3,FALSE),"")</f>
        <v/>
      </c>
      <c r="Q142" t="str">
        <f t="array" ref="Q142">IF('Base Game '!C139=0,"",'Base Game '!C139)</f>
        <v/>
      </c>
      <c r="R142" t="str">
        <f>IF('Base Game '!E139=0,"",'Base Game '!E139)</f>
        <v/>
      </c>
      <c r="S142" t="str">
        <f>IF('Base Game '!G139=0,"",'Base Game '!G139)</f>
        <v/>
      </c>
      <c r="T142" t="str">
        <f>IF('Base Game '!I139=0,"",'Base Game '!I139)</f>
        <v/>
      </c>
      <c r="U142" t="str">
        <f>IF('Base Game '!K139=0,"",'Base Game '!K139)</f>
        <v/>
      </c>
    </row>
    <row r="143" spans="11:26" x14ac:dyDescent="0.15">
      <c r="K143" t="str">
        <f>IFERROR(VLOOKUP('Base Game '!B140,'Pay Table'!$M$3:$O$18,3,FALSE),"")</f>
        <v/>
      </c>
      <c r="L143" t="str">
        <f>IFERROR(VLOOKUP('Base Game '!D140,'Pay Table'!$M$3:$O$18,3,FALSE),"")</f>
        <v/>
      </c>
      <c r="M143" t="str">
        <f t="array" ref="M143">IFERROR(VLOOKUP('Base Game '!F140,'Pay Table'!$M$3:$O$18,3,FALSE),"")</f>
        <v/>
      </c>
      <c r="N143" t="str">
        <f t="array" ref="N143">IFERROR(VLOOKUP('Base Game '!H140,'Pay Table'!$M$3:$O$18,3,FALSE),"")</f>
        <v/>
      </c>
      <c r="O143" t="str">
        <f t="array" ref="O143">IFERROR(VLOOKUP('Base Game '!J140,'Pay Table'!$M$3:$O$18,3,FALSE),"")</f>
        <v/>
      </c>
      <c r="Q143" t="str">
        <f t="array" ref="Q143">IF('Base Game '!C140=0,"",'Base Game '!C140)</f>
        <v/>
      </c>
      <c r="R143" t="str">
        <f>IF('Base Game '!E140=0,"",'Base Game '!E140)</f>
        <v/>
      </c>
      <c r="S143" t="str">
        <f>IF('Base Game '!G140=0,"",'Base Game '!G140)</f>
        <v/>
      </c>
      <c r="T143" t="str">
        <f>IF('Base Game '!I140=0,"",'Base Game '!I140)</f>
        <v/>
      </c>
      <c r="U143" t="str">
        <f>IF('Base Game '!K140=0,"",'Base Game '!K140)</f>
        <v/>
      </c>
    </row>
    <row r="144" spans="11:26" x14ac:dyDescent="0.15">
      <c r="K144" t="str">
        <f>IFERROR(VLOOKUP('Base Game '!B141,'Pay Table'!$M$3:$O$18,3,FALSE),"")</f>
        <v/>
      </c>
      <c r="L144" t="str">
        <f>IFERROR(VLOOKUP('Base Game '!D141,'Pay Table'!$M$3:$O$18,3,FALSE),"")</f>
        <v/>
      </c>
      <c r="M144" t="str">
        <f t="array" ref="M144">IFERROR(VLOOKUP('Base Game '!F141,'Pay Table'!$M$3:$O$18,3,FALSE),"")</f>
        <v/>
      </c>
      <c r="N144" t="str">
        <f t="array" ref="N144">IFERROR(VLOOKUP('Base Game '!H141,'Pay Table'!$M$3:$O$18,3,FALSE),"")</f>
        <v/>
      </c>
      <c r="O144" t="str">
        <f t="array" ref="O144">IFERROR(VLOOKUP('Base Game '!J141,'Pay Table'!$M$3:$O$18,3,FALSE),"")</f>
        <v/>
      </c>
      <c r="Q144" t="str">
        <f t="array" ref="Q144">IF('Base Game '!C141=0,"",'Base Game '!C141)</f>
        <v/>
      </c>
      <c r="R144" t="str">
        <f>IF('Base Game '!E141=0,"",'Base Game '!E141)</f>
        <v/>
      </c>
      <c r="S144" t="str">
        <f>IF('Base Game '!G141=0,"",'Base Game '!G141)</f>
        <v/>
      </c>
      <c r="T144" t="str">
        <f>IF('Base Game '!I141=0,"",'Base Game '!I141)</f>
        <v/>
      </c>
      <c r="U144" t="str">
        <f>IF('Base Game '!K141=0,"",'Base Game '!K141)</f>
        <v/>
      </c>
    </row>
    <row r="145" spans="11:21" x14ac:dyDescent="0.15">
      <c r="K145" t="str">
        <f>IFERROR(VLOOKUP('Base Game '!B142,'Pay Table'!$M$3:$O$18,3,FALSE),"")</f>
        <v/>
      </c>
      <c r="L145" t="str">
        <f>IFERROR(VLOOKUP('Base Game '!D142,'Pay Table'!$M$3:$O$18,3,FALSE),"")</f>
        <v/>
      </c>
      <c r="M145" t="str">
        <f t="array" ref="M145">IFERROR(VLOOKUP('Base Game '!F142,'Pay Table'!$M$3:$O$18,3,FALSE),"")</f>
        <v/>
      </c>
      <c r="N145" t="str">
        <f t="array" ref="N145">IFERROR(VLOOKUP('Base Game '!H142,'Pay Table'!$M$3:$O$18,3,FALSE),"")</f>
        <v/>
      </c>
      <c r="O145" t="str">
        <f t="array" ref="O145">IFERROR(VLOOKUP('Base Game '!J142,'Pay Table'!$M$3:$O$18,3,FALSE),"")</f>
        <v/>
      </c>
      <c r="Q145" t="str">
        <f t="array" ref="Q145">IF('Base Game '!C142=0,"",'Base Game '!C142)</f>
        <v/>
      </c>
      <c r="R145" t="str">
        <f>IF('Base Game '!E142=0,"",'Base Game '!E142)</f>
        <v/>
      </c>
      <c r="S145" t="str">
        <f>IF('Base Game '!G142=0,"",'Base Game '!G142)</f>
        <v/>
      </c>
      <c r="T145" t="str">
        <f>IF('Base Game '!I142=0,"",'Base Game '!I142)</f>
        <v/>
      </c>
      <c r="U145" t="str">
        <f>IF('Base Game '!K142=0,"",'Base Game '!K142)</f>
        <v/>
      </c>
    </row>
    <row r="146" spans="11:21" x14ac:dyDescent="0.15">
      <c r="K146" t="str">
        <f>IFERROR(VLOOKUP('Base Game '!B143,'Pay Table'!$M$3:$O$18,3,FALSE),"")</f>
        <v/>
      </c>
      <c r="L146" t="str">
        <f>IFERROR(VLOOKUP('Base Game '!D143,'Pay Table'!$M$3:$O$18,3,FALSE),"")</f>
        <v/>
      </c>
      <c r="M146" t="str">
        <f t="array" ref="M146">IFERROR(VLOOKUP('Base Game '!F143,'Pay Table'!$M$3:$O$18,3,FALSE),"")</f>
        <v/>
      </c>
      <c r="N146" t="str">
        <f t="array" ref="N146">IFERROR(VLOOKUP('Base Game '!H143,'Pay Table'!$M$3:$O$18,3,FALSE),"")</f>
        <v/>
      </c>
      <c r="O146" t="str">
        <f t="array" ref="O146">IFERROR(VLOOKUP('Base Game '!J143,'Pay Table'!$M$3:$O$18,3,FALSE),"")</f>
        <v/>
      </c>
      <c r="Q146" t="str">
        <f t="array" ref="Q146">IF('Base Game '!C143=0,"",'Base Game '!C143)</f>
        <v/>
      </c>
      <c r="R146" t="str">
        <f>IF('Base Game '!E143=0,"",'Base Game '!E143)</f>
        <v/>
      </c>
      <c r="S146" t="str">
        <f>IF('Base Game '!G143=0,"",'Base Game '!G143)</f>
        <v/>
      </c>
      <c r="T146" t="str">
        <f>IF('Base Game '!I143=0,"",'Base Game '!I143)</f>
        <v/>
      </c>
      <c r="U146" t="str">
        <f>IF('Base Game '!K143=0,"",'Base Game '!K143)</f>
        <v/>
      </c>
    </row>
    <row r="147" spans="11:21" x14ac:dyDescent="0.15">
      <c r="K147" t="str">
        <f>IFERROR(VLOOKUP('Base Game '!B144,'Pay Table'!$M$3:$O$18,3,FALSE),"")</f>
        <v/>
      </c>
      <c r="L147" t="str">
        <f>IFERROR(VLOOKUP('Base Game '!D144,'Pay Table'!$M$3:$O$18,3,FALSE),"")</f>
        <v/>
      </c>
      <c r="M147" t="str">
        <f t="array" ref="M147">IFERROR(VLOOKUP('Base Game '!F144,'Pay Table'!$M$3:$O$18,3,FALSE),"")</f>
        <v/>
      </c>
      <c r="N147" t="str">
        <f t="array" ref="N147">IFERROR(VLOOKUP('Base Game '!H144,'Pay Table'!$M$3:$O$18,3,FALSE),"")</f>
        <v/>
      </c>
      <c r="O147" t="str">
        <f t="array" ref="O147">IFERROR(VLOOKUP('Base Game '!J144,'Pay Table'!$M$3:$O$18,3,FALSE),"")</f>
        <v/>
      </c>
      <c r="Q147" t="str">
        <f t="array" ref="Q147">IF('Base Game '!C144=0,"",'Base Game '!C144)</f>
        <v/>
      </c>
      <c r="R147" t="str">
        <f>IF('Base Game '!E144=0,"",'Base Game '!E144)</f>
        <v/>
      </c>
      <c r="S147" t="str">
        <f>IF('Base Game '!G144=0,"",'Base Game '!G144)</f>
        <v/>
      </c>
      <c r="T147" t="str">
        <f>IF('Base Game '!I144=0,"",'Base Game '!I144)</f>
        <v/>
      </c>
      <c r="U147" t="str">
        <f>IF('Base Game '!K144=0,"",'Base Game '!K144)</f>
        <v/>
      </c>
    </row>
    <row r="148" spans="11:21" x14ac:dyDescent="0.15">
      <c r="L148" t="str">
        <f>IFERROR(VLOOKUP('Base Game '!D145,'Pay Table'!$M$3:$O$18,3,FALSE),"")</f>
        <v/>
      </c>
      <c r="M148" t="str">
        <f t="array" ref="M148">IFERROR(VLOOKUP('Base Game '!F145,'Pay Table'!$M$3:$O$18,3,FALSE),"")</f>
        <v/>
      </c>
      <c r="N148" t="str">
        <f t="array" ref="N148">IFERROR(VLOOKUP('Base Game '!H145,'Pay Table'!$M$3:$O$18,3,FALSE),"")</f>
        <v/>
      </c>
      <c r="O148" t="str">
        <f t="array" ref="O148">IFERROR(VLOOKUP('Base Game '!J145,'Pay Table'!$M$3:$O$18,3,FALSE),"")</f>
        <v/>
      </c>
      <c r="Q148" t="str">
        <f t="array" ref="Q148">IF('Base Game '!C145=0,"",'Base Game '!C145)</f>
        <v/>
      </c>
      <c r="R148" t="str">
        <f>IF('Base Game '!E145=0,"",'Base Game '!E145)</f>
        <v/>
      </c>
      <c r="S148" t="str">
        <f>IF('Base Game '!G145=0,"",'Base Game '!G145)</f>
        <v/>
      </c>
      <c r="T148" t="str">
        <f>IF('Base Game '!I145=0,"",'Base Game '!I145)</f>
        <v/>
      </c>
      <c r="U148" t="str">
        <f>IF('Base Game '!K145=0,"",'Base Game '!K145)</f>
        <v/>
      </c>
    </row>
    <row r="149" spans="11:21" x14ac:dyDescent="0.15">
      <c r="L149" t="str">
        <f>IFERROR(VLOOKUP('Base Game '!D146,'Pay Table'!$M$3:$O$18,3,FALSE),"")</f>
        <v/>
      </c>
      <c r="M149" t="str">
        <f t="array" ref="M149">IFERROR(VLOOKUP('Base Game '!F146,'Pay Table'!$M$3:$O$18,3,FALSE),"")</f>
        <v/>
      </c>
      <c r="N149" t="str">
        <f t="array" ref="N149">IFERROR(VLOOKUP('Base Game '!H146,'Pay Table'!$M$3:$O$18,3,FALSE),"")</f>
        <v/>
      </c>
      <c r="O149" t="str">
        <f t="array" ref="O149">IFERROR(VLOOKUP('Base Game '!J146,'Pay Table'!$M$3:$O$18,3,FALSE),"")</f>
        <v/>
      </c>
      <c r="Q149" t="str">
        <f t="array" ref="Q149">IF('Base Game '!C146=0,"",'Base Game '!C146)</f>
        <v/>
      </c>
      <c r="R149" t="str">
        <f>IF('Base Game '!E146=0,"",'Base Game '!E146)</f>
        <v/>
      </c>
      <c r="S149" t="str">
        <f>IF('Base Game '!G146=0,"",'Base Game '!G146)</f>
        <v/>
      </c>
      <c r="T149" t="str">
        <f>IF('Base Game '!I146=0,"",'Base Game '!I146)</f>
        <v/>
      </c>
      <c r="U149" t="str">
        <f>IF('Base Game '!K146=0,"",'Base Game '!K146)</f>
        <v/>
      </c>
    </row>
    <row r="150" spans="11:21" x14ac:dyDescent="0.15">
      <c r="L150" t="str">
        <f>IFERROR(VLOOKUP('Base Game '!D147,'Pay Table'!$M$3:$O$18,3,FALSE),"")</f>
        <v/>
      </c>
      <c r="M150" t="str">
        <f t="array" ref="M150">IFERROR(VLOOKUP('Base Game '!F147,'Pay Table'!$M$3:$O$18,3,FALSE),"")</f>
        <v/>
      </c>
      <c r="N150" t="str">
        <f t="array" ref="N150">IFERROR(VLOOKUP('Base Game '!H147,'Pay Table'!$M$3:$O$18,3,FALSE),"")</f>
        <v/>
      </c>
      <c r="O150" t="str">
        <f t="array" ref="O150">IFERROR(VLOOKUP('Base Game '!J147,'Pay Table'!$M$3:$O$18,3,FALSE),"")</f>
        <v/>
      </c>
      <c r="Q150" t="str">
        <f t="array" ref="Q150">IF('Base Game '!C147=0,"",'Base Game '!C147)</f>
        <v/>
      </c>
      <c r="R150" t="str">
        <f>IF('Base Game '!E147=0,"",'Base Game '!E147)</f>
        <v/>
      </c>
      <c r="S150" t="str">
        <f>IF('Base Game '!G147=0,"",'Base Game '!G147)</f>
        <v/>
      </c>
      <c r="T150" t="str">
        <f>IF('Base Game '!I147=0,"",'Base Game '!I147)</f>
        <v/>
      </c>
      <c r="U150" t="str">
        <f>IF('Base Game '!K147=0,"",'Base Game '!K147)</f>
        <v/>
      </c>
    </row>
    <row r="151" spans="11:21" x14ac:dyDescent="0.15">
      <c r="L151" t="str">
        <f>IFERROR(VLOOKUP('Base Game '!D148,'Pay Table'!$M$3:$O$18,3,FALSE),"")</f>
        <v/>
      </c>
      <c r="M151" t="str">
        <f t="array" ref="M151">IFERROR(VLOOKUP('Base Game '!F148,'Pay Table'!$M$3:$O$18,3,FALSE),"")</f>
        <v/>
      </c>
      <c r="N151" t="str">
        <f t="array" ref="N151">IFERROR(VLOOKUP('Base Game '!H148,'Pay Table'!$M$3:$O$18,3,FALSE),"")</f>
        <v/>
      </c>
      <c r="O151" t="str">
        <f t="array" ref="O151">IFERROR(VLOOKUP('Base Game '!J148,'Pay Table'!$M$3:$O$18,3,FALSE),"")</f>
        <v/>
      </c>
      <c r="Q151" t="str">
        <f t="array" ref="Q151">IF('Base Game '!C148=0,"",'Base Game '!C148)</f>
        <v/>
      </c>
      <c r="R151" t="str">
        <f>IF('Base Game '!E148=0,"",'Base Game '!E148)</f>
        <v/>
      </c>
      <c r="S151" t="str">
        <f>IF('Base Game '!G148=0,"",'Base Game '!G148)</f>
        <v/>
      </c>
      <c r="T151" t="str">
        <f>IF('Base Game '!I148=0,"",'Base Game '!I148)</f>
        <v/>
      </c>
      <c r="U151" t="str">
        <f>IF('Base Game '!K148=0,"",'Base Game '!K148)</f>
        <v/>
      </c>
    </row>
  </sheetData>
  <phoneticPr fontId="7" type="noConversion"/>
  <conditionalFormatting sqref="A1:A85 E83:E85 A86:F121">
    <cfRule type="cellIs" dxfId="199" priority="105" operator="equal">
      <formula>"MIGHTCASH"</formula>
    </cfRule>
  </conditionalFormatting>
  <conditionalFormatting sqref="A1:D6 A1:A85 C1:D85 A8:D81 A82:F121 H88:I121">
    <cfRule type="cellIs" dxfId="198" priority="73" operator="equal">
      <formula>"WILD"</formula>
    </cfRule>
    <cfRule type="cellIs" dxfId="197" priority="74" operator="equal">
      <formula>"LINK"</formula>
    </cfRule>
    <cfRule type="cellIs" dxfId="196" priority="75" operator="equal">
      <formula>"SCATTER"</formula>
    </cfRule>
  </conditionalFormatting>
  <conditionalFormatting sqref="B1:B6 H88:I121">
    <cfRule type="cellIs" dxfId="195" priority="113" operator="equal">
      <formula>"MIGHTCASH"</formula>
    </cfRule>
  </conditionalFormatting>
  <conditionalFormatting sqref="B1:B6">
    <cfRule type="cellIs" dxfId="194" priority="111" operator="equal">
      <formula>"pear"</formula>
    </cfRule>
  </conditionalFormatting>
  <conditionalFormatting sqref="B8:B85 D14:D19">
    <cfRule type="cellIs" dxfId="193" priority="52" operator="equal">
      <formula>"LINK"</formula>
    </cfRule>
    <cfRule type="cellIs" dxfId="192" priority="53" operator="equal">
      <formula>"WILD"</formula>
    </cfRule>
    <cfRule type="cellIs" dxfId="191" priority="55" operator="equal">
      <formula>"SCATTER"</formula>
    </cfRule>
    <cfRule type="cellIs" dxfId="190" priority="56" operator="equal">
      <formula>"MIGHTCASH"</formula>
    </cfRule>
  </conditionalFormatting>
  <conditionalFormatting sqref="B8:B121">
    <cfRule type="cellIs" dxfId="189" priority="103" operator="equal">
      <formula>"pear"</formula>
    </cfRule>
  </conditionalFormatting>
  <conditionalFormatting sqref="C1:D85">
    <cfRule type="cellIs" dxfId="188" priority="85" operator="equal">
      <formula>"MIGHTCASH"</formula>
    </cfRule>
  </conditionalFormatting>
  <conditionalFormatting sqref="D1:D121">
    <cfRule type="cellIs" dxfId="187" priority="83" operator="equal">
      <formula>"pear"</formula>
    </cfRule>
  </conditionalFormatting>
  <conditionalFormatting sqref="E1:E29 E38:E82">
    <cfRule type="cellIs" dxfId="186" priority="68" operator="equal">
      <formula>"BONUS"</formula>
    </cfRule>
  </conditionalFormatting>
  <conditionalFormatting sqref="E1:E29 E38:E85">
    <cfRule type="cellIs" dxfId="185" priority="69" operator="equal">
      <formula>"SCATTER"</formula>
    </cfRule>
  </conditionalFormatting>
  <conditionalFormatting sqref="E83:E85">
    <cfRule type="cellIs" dxfId="184" priority="98" operator="equal">
      <formula>"LINK"</formula>
    </cfRule>
    <cfRule type="cellIs" dxfId="183" priority="99" operator="equal">
      <formula>"WILD"</formula>
    </cfRule>
  </conditionalFormatting>
  <conditionalFormatting sqref="F1:F85">
    <cfRule type="cellIs" dxfId="182" priority="6" operator="equal">
      <formula>"LINK"</formula>
    </cfRule>
    <cfRule type="cellIs" dxfId="181" priority="7" operator="equal">
      <formula>"WILD"</formula>
    </cfRule>
    <cfRule type="cellIs" dxfId="180" priority="9" operator="equal">
      <formula>"SCATTER"</formula>
    </cfRule>
    <cfRule type="cellIs" dxfId="179" priority="10" operator="equal">
      <formula>"MIGHTCASH"</formula>
    </cfRule>
  </conditionalFormatting>
  <conditionalFormatting sqref="F1:F121">
    <cfRule type="cellIs" dxfId="178" priority="8" operator="equal">
      <formula>"pear"</formula>
    </cfRule>
  </conditionalFormatting>
  <conditionalFormatting sqref="G7:G53 C14:C19 E40:E42">
    <cfRule type="cellIs" dxfId="177" priority="67" operator="equal">
      <formula>1</formula>
    </cfRule>
  </conditionalFormatting>
  <conditionalFormatting sqref="H2:H87">
    <cfRule type="cellIs" dxfId="176" priority="1" operator="equal">
      <formula>"LINK"</formula>
    </cfRule>
    <cfRule type="cellIs" dxfId="175" priority="2" operator="equal">
      <formula>"WILD"</formula>
    </cfRule>
    <cfRule type="cellIs" dxfId="174" priority="4" operator="equal">
      <formula>"SCATTER"</formula>
    </cfRule>
    <cfRule type="cellIs" dxfId="173" priority="5" operator="equal">
      <formula>"MIGHTCASH"</formula>
    </cfRule>
  </conditionalFormatting>
  <conditionalFormatting sqref="H2:H121">
    <cfRule type="cellIs" dxfId="172" priority="3" operator="equal">
      <formula>"pear"</formula>
    </cfRule>
  </conditionalFormatting>
  <conditionalFormatting sqref="I1 I5:I87">
    <cfRule type="cellIs" dxfId="171" priority="72" operator="equal">
      <formula>"bonus"</formula>
    </cfRule>
  </conditionalFormatting>
  <conditionalFormatting sqref="I9:I87">
    <cfRule type="cellIs" dxfId="170" priority="71" operator="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98CE-96A7-4833-AE3A-C2C654268071}">
  <dimension ref="A1:BP681"/>
  <sheetViews>
    <sheetView tabSelected="1" topLeftCell="E1" zoomScale="85" zoomScaleNormal="85" workbookViewId="0">
      <selection activeCell="AG28" sqref="AG28"/>
    </sheetView>
  </sheetViews>
  <sheetFormatPr defaultColWidth="9" defaultRowHeight="15" x14ac:dyDescent="0.15"/>
  <cols>
    <col min="1" max="1" width="9.125" style="1" customWidth="1"/>
    <col min="2" max="2" width="13.125" style="10" customWidth="1"/>
    <col min="3" max="3" width="12.5" style="10" customWidth="1"/>
    <col min="4" max="4" width="12" style="10" customWidth="1"/>
    <col min="5" max="5" width="12.125" style="10" customWidth="1"/>
    <col min="6" max="17" width="12.5" style="10" customWidth="1"/>
    <col min="18" max="18" width="9" style="10" customWidth="1"/>
    <col min="19" max="20" width="9" style="1" hidden="1" customWidth="1"/>
    <col min="21" max="30" width="11.625" style="1" hidden="1" customWidth="1"/>
    <col min="31" max="58" width="11.625" style="1" customWidth="1"/>
    <col min="59" max="16384" width="9" style="1"/>
  </cols>
  <sheetData>
    <row r="1" spans="1:68" ht="17.100000000000001" customHeight="1" x14ac:dyDescent="0.15">
      <c r="A1" s="3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AK1" s="11" t="s">
        <v>359</v>
      </c>
      <c r="AL1" s="11" t="s">
        <v>360</v>
      </c>
    </row>
    <row r="2" spans="1:68" ht="17.100000000000001" customHeight="1" thickBot="1" x14ac:dyDescent="0.3">
      <c r="A2" s="30"/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1"/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1"/>
      <c r="N2" s="11" t="s">
        <v>359</v>
      </c>
      <c r="O2" s="11" t="s">
        <v>360</v>
      </c>
      <c r="P2" s="11" t="s">
        <v>363</v>
      </c>
      <c r="Q2" s="11" t="s">
        <v>359</v>
      </c>
      <c r="R2" s="11" t="s">
        <v>360</v>
      </c>
      <c r="AI2" s="1">
        <v>0</v>
      </c>
      <c r="AJ2" s="1">
        <v>99</v>
      </c>
      <c r="AK2" s="1">
        <f t="array" ref="AK2">SUM(IF($N$3:$N$83=AI2,1,0))</f>
        <v>48</v>
      </c>
      <c r="AL2" s="1">
        <f t="array" ref="AL2">SUM(IF($O$3:$O$83=AI2,1,0))</f>
        <v>48</v>
      </c>
      <c r="BL2" s="50" t="s">
        <v>57</v>
      </c>
      <c r="BM2" s="50" t="s">
        <v>53</v>
      </c>
      <c r="BN2" s="50" t="s">
        <v>52</v>
      </c>
      <c r="BO2" s="50"/>
      <c r="BP2" s="54"/>
    </row>
    <row r="3" spans="1:68" ht="17.100000000000001" customHeight="1" x14ac:dyDescent="0.25">
      <c r="A3" s="14">
        <v>1</v>
      </c>
      <c r="B3" s="10" t="s">
        <v>119</v>
      </c>
      <c r="C3" s="39" t="s">
        <v>125</v>
      </c>
      <c r="D3" s="39" t="s">
        <v>128</v>
      </c>
      <c r="E3" s="39" t="s">
        <v>125</v>
      </c>
      <c r="F3" s="39" t="s">
        <v>127</v>
      </c>
      <c r="G3" s="39"/>
      <c r="H3" s="10" t="s">
        <v>119</v>
      </c>
      <c r="I3" s="39" t="s">
        <v>125</v>
      </c>
      <c r="J3" s="39" t="s">
        <v>128</v>
      </c>
      <c r="K3" s="39" t="s">
        <v>125</v>
      </c>
      <c r="L3" s="39" t="s">
        <v>127</v>
      </c>
      <c r="M3" s="39"/>
      <c r="N3" s="10" t="s">
        <v>353</v>
      </c>
      <c r="O3" s="10">
        <v>5000</v>
      </c>
      <c r="P3" s="10">
        <v>200</v>
      </c>
      <c r="Q3" s="39">
        <f>IFERROR(VLOOKUP(N3,$AI$2:$AJ$20,2,FALSE),"")</f>
        <v>1000</v>
      </c>
      <c r="R3" s="247">
        <f>IFERROR(VLOOKUP(O3,$AI$2:$AJ$20,2,FALSE),"")</f>
        <v>5</v>
      </c>
      <c r="T3" s="1">
        <f>IFERROR(VLOOKUP(B3,'Pay Table'!$M$3:$P$15,4,FALSE),"")</f>
        <v>7</v>
      </c>
      <c r="U3" s="1">
        <f>IFERROR(VLOOKUP(C3,'Pay Table'!$M$3:$P$15,4,FALSE),"")</f>
        <v>201</v>
      </c>
      <c r="V3" s="1">
        <f>IFERROR(VLOOKUP(D3,'Pay Table'!$M$3:$P$15,4,FALSE),"")</f>
        <v>204</v>
      </c>
      <c r="W3" s="1">
        <f>IFERROR(VLOOKUP(E3,'Pay Table'!$M$3:$P$15,4,FALSE),"")</f>
        <v>201</v>
      </c>
      <c r="X3" s="1">
        <f>IFERROR(VLOOKUP(F3,'Pay Table'!$M$3:$P$15,4,FALSE),"")</f>
        <v>203</v>
      </c>
      <c r="Z3" s="1">
        <f>IFERROR(VLOOKUP(H3,'Pay Table'!$M$3:$P$15,4,FALSE),"")</f>
        <v>7</v>
      </c>
      <c r="AA3" s="1">
        <f>IFERROR(VLOOKUP(I3,'Pay Table'!$M$3:$P$15,4,FALSE),"")</f>
        <v>201</v>
      </c>
      <c r="AB3" s="1">
        <f>IFERROR(VLOOKUP(J3,'Pay Table'!$M$3:$P$15,4,FALSE),"")</f>
        <v>204</v>
      </c>
      <c r="AC3" s="1">
        <f>IFERROR(VLOOKUP(K3,'Pay Table'!$M$3:$P$15,4,FALSE),"")</f>
        <v>201</v>
      </c>
      <c r="AD3" s="1">
        <f>IFERROR(VLOOKUP(L3,'Pay Table'!$M$3:$P$15,4,FALSE),"")</f>
        <v>203</v>
      </c>
      <c r="AF3" s="310" t="s">
        <v>367</v>
      </c>
      <c r="AG3" s="1" t="str">
        <f>_xlfn.TEXTJOIN(",",TRUE,T3:T248)</f>
        <v>7,5,7,294,294,294,6,7,200,200,200,8,5,7,294,6,200,200,7,201,201,201,204,294,294,294,7,6,204,8,201,201,201,6,204,8,7,202,5,204,294,203,294,8,202,203,8,7,8,294,7,200,200,200,7,5,202,201,201,201,5</v>
      </c>
      <c r="AH3" s="1" t="str">
        <f>IFERROR(VLOOKUP(T3,'Pay Table'!$M$3:$P$15,4,FALSE),"")</f>
        <v/>
      </c>
      <c r="AI3" s="10" t="s">
        <v>350</v>
      </c>
      <c r="AJ3" s="1">
        <f>Respin!A39</f>
        <v>2</v>
      </c>
      <c r="AK3" s="1">
        <f t="array" ref="AK3">SUM(IF($N$3:$N$83=AI3,1,0))</f>
        <v>1</v>
      </c>
      <c r="AL3" s="1">
        <f t="array" ref="AL3">SUM(IF($O$3:$O$83=AI3,1,0))</f>
        <v>2</v>
      </c>
      <c r="BL3" s="59" t="str">
        <f>IFERROR($BM$2&amp;VLOOKUP(B5,'Pay Table'!$M$3:$N$18,2,FALSE)&amp;$BL$2&amp;#REF!&amp;$BN$2,"")</f>
        <v/>
      </c>
      <c r="BM3" s="49" t="str">
        <f>IFERROR($BM$2&amp;VLOOKUP(C5,'Pay Table'!$M$3:$N$18,2,FALSE)&amp;$BL$2&amp;#REF!&amp;$BN$2,"")</f>
        <v/>
      </c>
      <c r="BN3" s="49" t="str">
        <f>IFERROR($BM$2&amp;VLOOKUP(D5,'Pay Table'!$M$3:$N$18,2,FALSE)&amp;$BL$2&amp;#REF!&amp;$BN$2,"")</f>
        <v/>
      </c>
      <c r="BO3" s="49" t="str">
        <f>IFERROR($BM$2&amp;VLOOKUP(E5,'Pay Table'!$M$3:$N$18,2,FALSE)&amp;$BL$2&amp;#REF!&amp;$BN$2,"")</f>
        <v/>
      </c>
      <c r="BP3" s="60" t="str">
        <f>IFERROR($BM$2&amp;VLOOKUP(F5,'Pay Table'!$M$3:$N$18,2,FALSE)&amp;$BL$2&amp;#REF!&amp;$BN$2,"")</f>
        <v/>
      </c>
    </row>
    <row r="4" spans="1:68" ht="17.100000000000001" customHeight="1" x14ac:dyDescent="0.25">
      <c r="A4" s="14">
        <v>2</v>
      </c>
      <c r="B4" s="10" t="s">
        <v>123</v>
      </c>
      <c r="C4" s="39" t="s">
        <v>152</v>
      </c>
      <c r="D4" s="39" t="s">
        <v>127</v>
      </c>
      <c r="E4" s="39" t="s">
        <v>47</v>
      </c>
      <c r="F4" s="39" t="s">
        <v>293</v>
      </c>
      <c r="G4" s="39"/>
      <c r="H4" s="10" t="s">
        <v>123</v>
      </c>
      <c r="I4" s="39" t="s">
        <v>294</v>
      </c>
      <c r="J4" s="39" t="s">
        <v>127</v>
      </c>
      <c r="K4" s="39" t="s">
        <v>152</v>
      </c>
      <c r="L4" s="39" t="s">
        <v>293</v>
      </c>
      <c r="M4" s="39"/>
      <c r="N4" s="39">
        <v>0</v>
      </c>
      <c r="O4" s="39">
        <v>0</v>
      </c>
      <c r="P4" s="39">
        <v>200</v>
      </c>
      <c r="Q4" s="39">
        <f t="shared" ref="Q4:R67" si="0">IFERROR(VLOOKUP(N4,$AI$2:$AJ$20,2,FALSE),"")</f>
        <v>99</v>
      </c>
      <c r="R4" s="247">
        <f t="shared" si="0"/>
        <v>99</v>
      </c>
      <c r="S4" s="31"/>
      <c r="T4" s="1">
        <f>IFERROR(VLOOKUP(B4,'Pay Table'!$M$3:$P$15,4,FALSE),"")</f>
        <v>5</v>
      </c>
      <c r="U4" s="1">
        <f>IFERROR(VLOOKUP(C4,'Pay Table'!$M$3:$P$15,4,FALSE),"")</f>
        <v>201</v>
      </c>
      <c r="V4" s="1">
        <f>IFERROR(VLOOKUP(D4,'Pay Table'!$M$3:$P$15,4,FALSE),"")</f>
        <v>203</v>
      </c>
      <c r="W4" s="1">
        <f>IFERROR(VLOOKUP(E4,'Pay Table'!$M$3:$P$15,4,FALSE),"")</f>
        <v>294</v>
      </c>
      <c r="X4" s="1">
        <f>IFERROR(VLOOKUP(F4,'Pay Table'!$M$3:$P$15,4,FALSE),"")</f>
        <v>6</v>
      </c>
      <c r="Z4" s="1">
        <f>IFERROR(VLOOKUP(H4,'Pay Table'!$M$3:$P$15,4,FALSE),"")</f>
        <v>5</v>
      </c>
      <c r="AA4" s="1">
        <f>IFERROR(VLOOKUP(I4,'Pay Table'!$M$3:$P$15,4,FALSE),"")</f>
        <v>7</v>
      </c>
      <c r="AB4" s="1">
        <f>IFERROR(VLOOKUP(J4,'Pay Table'!$M$3:$P$15,4,FALSE),"")</f>
        <v>203</v>
      </c>
      <c r="AC4" s="1">
        <f>IFERROR(VLOOKUP(K4,'Pay Table'!$M$3:$P$15,4,FALSE),"")</f>
        <v>201</v>
      </c>
      <c r="AD4" s="1">
        <f>IFERROR(VLOOKUP(L4,'Pay Table'!$M$3:$P$15,4,FALSE),"")</f>
        <v>6</v>
      </c>
      <c r="AF4" s="310"/>
      <c r="AG4" s="1" t="str">
        <f>_xlfn.TEXTJOIN(",",TRUE,U3:U248)</f>
        <v>201,201,201,5,290,6,201,201,7,294,5,8,202,5,294,7,204,6,200,200,204,5,290,6,200,200,203,5,290,202,6,201,203,200,294,294,294,201,202,7,8,7,294,202,294,6,201,204,5,292,6,7,5,201,200,5,6,8</v>
      </c>
      <c r="AH4" s="1" t="str">
        <f>IFERROR(VLOOKUP(T4,'Pay Table'!$M$3:$P$15,4,FALSE),"")</f>
        <v/>
      </c>
      <c r="AI4" s="10" t="s">
        <v>351</v>
      </c>
      <c r="AJ4" s="1">
        <f>Respin!A40</f>
        <v>3</v>
      </c>
      <c r="AK4" s="1">
        <f t="array" ref="AK4">SUM(IF($N$3:$N$83=AI4,1,0))</f>
        <v>1</v>
      </c>
      <c r="AL4" s="1">
        <f t="array" ref="AL4">SUM(IF($O$3:$O$83=AI4,1,0))</f>
        <v>2</v>
      </c>
      <c r="BL4" s="59" t="str">
        <f>IFERROR($BM$2&amp;VLOOKUP(B6,'Pay Table'!$M$3:$N$18,2,FALSE)&amp;$BL$2&amp;#REF!&amp;$BN$2,"")</f>
        <v/>
      </c>
      <c r="BM4" s="49" t="str">
        <f>IFERROR($BM$2&amp;VLOOKUP(C6,'Pay Table'!$M$3:$N$18,2,FALSE)&amp;$BL$2&amp;#REF!&amp;$BN$2,"")</f>
        <v/>
      </c>
      <c r="BN4" s="49" t="str">
        <f>IFERROR($BM$2&amp;VLOOKUP(D6,'Pay Table'!$M$3:$N$18,2,FALSE)&amp;$BL$2&amp;#REF!&amp;$BN$2,"")</f>
        <v/>
      </c>
      <c r="BO4" s="49" t="str">
        <f>IFERROR($BM$2&amp;VLOOKUP(E6,'Pay Table'!$M$3:$N$18,2,FALSE)&amp;$BL$2&amp;#REF!&amp;$BN$2,"")</f>
        <v/>
      </c>
      <c r="BP4" s="60" t="str">
        <f>IFERROR($BM$2&amp;VLOOKUP(F6,'Pay Table'!$M$3:$N$18,2,FALSE)&amp;$BL$2&amp;#REF!&amp;$BN$2,"")</f>
        <v/>
      </c>
    </row>
    <row r="5" spans="1:68" ht="17.100000000000001" customHeight="1" x14ac:dyDescent="0.25">
      <c r="A5" s="14">
        <v>3</v>
      </c>
      <c r="B5" s="10" t="s">
        <v>119</v>
      </c>
      <c r="C5" s="39" t="s">
        <v>152</v>
      </c>
      <c r="D5" s="39" t="s">
        <v>292</v>
      </c>
      <c r="E5" s="39" t="s">
        <v>294</v>
      </c>
      <c r="F5" s="39" t="s">
        <v>47</v>
      </c>
      <c r="G5" s="39"/>
      <c r="H5" s="10" t="s">
        <v>119</v>
      </c>
      <c r="I5" s="39" t="s">
        <v>126</v>
      </c>
      <c r="J5" s="39" t="s">
        <v>292</v>
      </c>
      <c r="K5" s="39" t="s">
        <v>294</v>
      </c>
      <c r="L5" s="39" t="s">
        <v>47</v>
      </c>
      <c r="M5" s="39"/>
      <c r="N5" s="39">
        <v>100</v>
      </c>
      <c r="O5" s="39">
        <v>750</v>
      </c>
      <c r="P5" s="39">
        <v>94</v>
      </c>
      <c r="Q5" s="39">
        <f t="shared" si="0"/>
        <v>12</v>
      </c>
      <c r="R5" s="247">
        <f t="shared" si="0"/>
        <v>7</v>
      </c>
      <c r="S5" s="31"/>
      <c r="T5" s="1">
        <f>IFERROR(VLOOKUP(B5,'Pay Table'!$M$3:$P$15,4,FALSE),"")</f>
        <v>7</v>
      </c>
      <c r="U5" s="1">
        <f>IFERROR(VLOOKUP(C5,'Pay Table'!$M$3:$P$15,4,FALSE),"")</f>
        <v>201</v>
      </c>
      <c r="V5" s="1">
        <f>IFERROR(VLOOKUP(D5,'Pay Table'!$M$3:$P$15,4,FALSE),"")</f>
        <v>5</v>
      </c>
      <c r="W5" s="1">
        <f>IFERROR(VLOOKUP(E5,'Pay Table'!$M$3:$P$15,4,FALSE),"")</f>
        <v>7</v>
      </c>
      <c r="X5" s="1">
        <f>IFERROR(VLOOKUP(F5,'Pay Table'!$M$3:$P$15,4,FALSE),"")</f>
        <v>294</v>
      </c>
      <c r="Z5" s="1">
        <f>IFERROR(VLOOKUP(H5,'Pay Table'!$M$3:$P$15,4,FALSE),"")</f>
        <v>7</v>
      </c>
      <c r="AA5" s="1">
        <f>IFERROR(VLOOKUP(I5,'Pay Table'!$M$3:$P$15,4,FALSE),"")</f>
        <v>202</v>
      </c>
      <c r="AB5" s="1">
        <f>IFERROR(VLOOKUP(J5,'Pay Table'!$M$3:$P$15,4,FALSE),"")</f>
        <v>5</v>
      </c>
      <c r="AC5" s="1">
        <f>IFERROR(VLOOKUP(K5,'Pay Table'!$M$3:$P$15,4,FALSE),"")</f>
        <v>7</v>
      </c>
      <c r="AD5" s="1">
        <f>IFERROR(VLOOKUP(L5,'Pay Table'!$M$3:$P$15,4,FALSE),"")</f>
        <v>294</v>
      </c>
      <c r="AF5" s="310"/>
      <c r="AG5" s="1" t="str">
        <f>_xlfn.TEXTJOIN(",",TRUE,V3:V248)</f>
        <v>204,203,5,201,294,8,294,6,201,201,201,203,294,8,7,201,202,292,8,204,5,201,6,8,200,6,201,202,8,294,6,5,202,7,294,6,203,8,200,200,200,202,290,8,203,200,204,8,290,8,202,203,5,294,294,294,200,204,203,5</v>
      </c>
      <c r="AH5" s="1" t="str">
        <f>IFERROR(VLOOKUP(T5,'Pay Table'!$M$3:$P$15,4,FALSE),"")</f>
        <v/>
      </c>
      <c r="AI5" s="10" t="s">
        <v>352</v>
      </c>
      <c r="AJ5" s="1">
        <f>Respin!A41</f>
        <v>4</v>
      </c>
      <c r="AK5" s="1">
        <f t="array" ref="AK5">SUM(IF($N$3:$N$83=AI5,1,0))</f>
        <v>1</v>
      </c>
      <c r="AL5" s="1">
        <f t="array" ref="AL5">SUM(IF($O$3:$O$83=AI5,1,0))</f>
        <v>1</v>
      </c>
      <c r="BL5" s="59" t="str">
        <f>IFERROR($BM$2&amp;VLOOKUP(B7,'Pay Table'!$M$3:$N$18,2,FALSE)&amp;$BL$2&amp;#REF!&amp;$BN$2,"")</f>
        <v/>
      </c>
      <c r="BM5" s="49" t="str">
        <f>IFERROR($BM$2&amp;VLOOKUP(C7,'Pay Table'!$M$3:$N$18,2,FALSE)&amp;$BL$2&amp;#REF!&amp;$BN$2,"")</f>
        <v/>
      </c>
      <c r="BN5" s="49" t="str">
        <f>IFERROR($BM$2&amp;VLOOKUP(D7,'Pay Table'!$M$3:$N$18,2,FALSE)&amp;$BL$2&amp;#REF!&amp;$BN$2,"")</f>
        <v/>
      </c>
      <c r="BO5" s="49" t="str">
        <f>IFERROR($BM$2&amp;VLOOKUP(E7,'Pay Table'!$M$3:$N$18,2,FALSE)&amp;$BL$2&amp;#REF!&amp;$BN$2,"")</f>
        <v/>
      </c>
      <c r="BP5" s="60" t="str">
        <f>IFERROR($BM$2&amp;VLOOKUP(F7,'Pay Table'!$M$3:$N$18,2,FALSE)&amp;$BL$2&amp;#REF!&amp;$BN$2,"")</f>
        <v/>
      </c>
    </row>
    <row r="6" spans="1:68" ht="17.100000000000001" customHeight="1" x14ac:dyDescent="0.25">
      <c r="A6" s="14">
        <v>4</v>
      </c>
      <c r="B6" s="10" t="s">
        <v>47</v>
      </c>
      <c r="C6" s="39" t="s">
        <v>292</v>
      </c>
      <c r="D6" s="39" t="s">
        <v>125</v>
      </c>
      <c r="E6" s="39" t="s">
        <v>47</v>
      </c>
      <c r="F6" s="39" t="s">
        <v>47</v>
      </c>
      <c r="G6" s="39"/>
      <c r="H6" s="10" t="s">
        <v>47</v>
      </c>
      <c r="I6" s="39" t="s">
        <v>292</v>
      </c>
      <c r="J6" s="39" t="s">
        <v>125</v>
      </c>
      <c r="K6" s="39" t="s">
        <v>47</v>
      </c>
      <c r="L6" s="39" t="s">
        <v>47</v>
      </c>
      <c r="M6" s="39"/>
      <c r="N6" s="39">
        <v>0</v>
      </c>
      <c r="O6" s="39">
        <v>0</v>
      </c>
      <c r="P6" s="39">
        <v>94</v>
      </c>
      <c r="Q6" s="39">
        <f t="shared" si="0"/>
        <v>99</v>
      </c>
      <c r="R6" s="247">
        <f t="shared" si="0"/>
        <v>99</v>
      </c>
      <c r="S6" s="31"/>
      <c r="T6" s="1">
        <f>IFERROR(VLOOKUP(B6,'Pay Table'!$M$3:$P$15,4,FALSE),"")</f>
        <v>294</v>
      </c>
      <c r="U6" s="1">
        <f>IFERROR(VLOOKUP(C6,'Pay Table'!$M$3:$P$15,4,FALSE),"")</f>
        <v>5</v>
      </c>
      <c r="V6" s="1">
        <f>IFERROR(VLOOKUP(D6,'Pay Table'!$M$3:$P$15,4,FALSE),"")</f>
        <v>201</v>
      </c>
      <c r="W6" s="1">
        <f>IFERROR(VLOOKUP(E6,'Pay Table'!$M$3:$P$15,4,FALSE),"")</f>
        <v>294</v>
      </c>
      <c r="X6" s="1">
        <f>IFERROR(VLOOKUP(F6,'Pay Table'!$M$3:$P$15,4,FALSE),"")</f>
        <v>294</v>
      </c>
      <c r="Z6" s="1">
        <f>IFERROR(VLOOKUP(H6,'Pay Table'!$M$3:$P$15,4,FALSE),"")</f>
        <v>294</v>
      </c>
      <c r="AA6" s="1">
        <f>IFERROR(VLOOKUP(I6,'Pay Table'!$M$3:$P$15,4,FALSE),"")</f>
        <v>5</v>
      </c>
      <c r="AB6" s="1">
        <f>IFERROR(VLOOKUP(J6,'Pay Table'!$M$3:$P$15,4,FALSE),"")</f>
        <v>201</v>
      </c>
      <c r="AC6" s="1">
        <f>IFERROR(VLOOKUP(K6,'Pay Table'!$M$3:$P$15,4,FALSE),"")</f>
        <v>294</v>
      </c>
      <c r="AD6" s="1">
        <f>IFERROR(VLOOKUP(L6,'Pay Table'!$M$3:$P$15,4,FALSE),"")</f>
        <v>294</v>
      </c>
      <c r="AF6" s="310"/>
      <c r="AG6" s="1" t="str">
        <f>_xlfn.TEXTJOIN(",",TRUE,W3:W248)</f>
        <v>201,294,7,294,5,290,201,5,294,5,8,202,5,294,6,200,200,200,202,201,200,290,5,201,202,204,201,290,5,204,202,8,294,294,294,201,203,290,7,294,8,6,201,8,7,294,6,294,6,201,202,8,294,294,294,201,203,7,8,7,294,202,5,6,204,201,201,201,8,7,6,290,204,6,200,200,200,292,5,200,5</v>
      </c>
      <c r="AH6" s="1" t="str">
        <f>IFERROR(VLOOKUP(T6,'Pay Table'!$M$3:$P$15,4,FALSE),"")</f>
        <v/>
      </c>
      <c r="AI6" s="10">
        <v>5000</v>
      </c>
      <c r="AJ6" s="1">
        <f>Respin!A42</f>
        <v>5</v>
      </c>
      <c r="AK6" s="1">
        <f t="array" ref="AK6">SUM(IF($N$3:$N$83=AI6,1,0))</f>
        <v>1</v>
      </c>
      <c r="AL6" s="1">
        <f t="array" ref="AL6">SUM(IF($O$3:$O$83=AI6,1,0))</f>
        <v>3</v>
      </c>
      <c r="BL6" s="59" t="str">
        <f>IFERROR($BM$2&amp;VLOOKUP(B8,'Pay Table'!$M$3:$N$18,2,FALSE)&amp;$BL$2&amp;#REF!&amp;$BN$2,"")</f>
        <v/>
      </c>
      <c r="BM6" s="49" t="str">
        <f>IFERROR($BM$2&amp;VLOOKUP(C8,'Pay Table'!$M$3:$N$18,2,FALSE)&amp;$BL$2&amp;#REF!&amp;$BN$2,"")</f>
        <v/>
      </c>
      <c r="BN6" s="49" t="str">
        <f>IFERROR($BM$2&amp;VLOOKUP(D8,'Pay Table'!$M$3:$N$18,2,FALSE)&amp;$BL$2&amp;#REF!&amp;$BN$2,"")</f>
        <v/>
      </c>
      <c r="BO6" s="49" t="str">
        <f>IFERROR($BM$2&amp;VLOOKUP(E8,'Pay Table'!$M$3:$N$18,2,FALSE)&amp;$BL$2&amp;#REF!&amp;$BN$2,"")</f>
        <v/>
      </c>
      <c r="BP6" s="60" t="str">
        <f>IFERROR($BM$2&amp;VLOOKUP(F8,'Pay Table'!$M$3:$N$18,2,FALSE)&amp;$BL$2&amp;#REF!&amp;$BN$2,"")</f>
        <v/>
      </c>
    </row>
    <row r="7" spans="1:68" ht="17.100000000000001" customHeight="1" x14ac:dyDescent="0.25">
      <c r="A7" s="14">
        <v>5</v>
      </c>
      <c r="B7" s="10" t="s">
        <v>47</v>
      </c>
      <c r="C7" s="39" t="s">
        <v>14</v>
      </c>
      <c r="D7" s="39" t="s">
        <v>47</v>
      </c>
      <c r="E7" s="39" t="s">
        <v>292</v>
      </c>
      <c r="F7" s="39" t="s">
        <v>47</v>
      </c>
      <c r="G7" s="39"/>
      <c r="H7" s="10" t="s">
        <v>47</v>
      </c>
      <c r="I7" s="39" t="s">
        <v>364</v>
      </c>
      <c r="J7" s="39" t="s">
        <v>152</v>
      </c>
      <c r="K7" s="39" t="s">
        <v>292</v>
      </c>
      <c r="L7" s="39" t="s">
        <v>47</v>
      </c>
      <c r="M7" s="39"/>
      <c r="N7" s="10" t="s">
        <v>358</v>
      </c>
      <c r="O7" s="10">
        <v>250</v>
      </c>
      <c r="P7" s="10">
        <v>94</v>
      </c>
      <c r="Q7" s="39">
        <f t="shared" si="0"/>
        <v>200</v>
      </c>
      <c r="R7" s="247">
        <f t="shared" si="0"/>
        <v>9</v>
      </c>
      <c r="S7" s="31"/>
      <c r="T7" s="1">
        <f>IFERROR(VLOOKUP(B7,'Pay Table'!$M$3:$P$15,4,FALSE),"")</f>
        <v>294</v>
      </c>
      <c r="U7" s="1">
        <f>IFERROR(VLOOKUP(C7,'Pay Table'!$M$3:$P$15,4,FALSE),"")</f>
        <v>290</v>
      </c>
      <c r="V7" s="1">
        <f>IFERROR(VLOOKUP(D7,'Pay Table'!$M$3:$P$15,4,FALSE),"")</f>
        <v>294</v>
      </c>
      <c r="W7" s="1">
        <f>IFERROR(VLOOKUP(E7,'Pay Table'!$M$3:$P$15,4,FALSE),"")</f>
        <v>5</v>
      </c>
      <c r="X7" s="1">
        <f>IFERROR(VLOOKUP(F7,'Pay Table'!$M$3:$P$15,4,FALSE),"")</f>
        <v>294</v>
      </c>
      <c r="Z7" s="1">
        <f>IFERROR(VLOOKUP(H7,'Pay Table'!$M$3:$P$15,4,FALSE),"")</f>
        <v>294</v>
      </c>
      <c r="AA7" s="1">
        <f>IFERROR(VLOOKUP(I7,'Pay Table'!$M$3:$P$15,4,FALSE),"")</f>
        <v>294</v>
      </c>
      <c r="AB7" s="1">
        <f>IFERROR(VLOOKUP(J7,'Pay Table'!$M$3:$P$15,4,FALSE),"")</f>
        <v>201</v>
      </c>
      <c r="AC7" s="1">
        <f>IFERROR(VLOOKUP(K7,'Pay Table'!$M$3:$P$15,4,FALSE),"")</f>
        <v>5</v>
      </c>
      <c r="AD7" s="1">
        <f>IFERROR(VLOOKUP(L7,'Pay Table'!$M$3:$P$15,4,FALSE),"")</f>
        <v>294</v>
      </c>
      <c r="AF7" s="310"/>
      <c r="AG7" s="1" t="str">
        <f>_xlfn.TEXTJOIN(",",TRUE,X3:X248)</f>
        <v>203,6,294,294,294,204,200,200,200,6,294,203,294,8,7,200,203,7,6,201,201,201,6,8,7,201,203,292,202,204,5,201,294,8,294,6,204,201,8,294,6,5,203,8,8,201,201,201,7,204,201,203,200,202,204,200,202,7,200,202,204,203,6,294,294,294,200,204,203,6,294</v>
      </c>
      <c r="AH7" s="1" t="str">
        <f>IFERROR(VLOOKUP(T7,'Pay Table'!$M$3:$P$15,4,FALSE),"")</f>
        <v/>
      </c>
      <c r="AI7" s="10">
        <v>2500</v>
      </c>
      <c r="AJ7" s="1">
        <f>Respin!A43</f>
        <v>6</v>
      </c>
      <c r="AK7" s="1">
        <f t="array" ref="AK7">SUM(IF($N$3:$N$83=AI7,1,0))</f>
        <v>2</v>
      </c>
      <c r="AL7" s="1">
        <f t="array" ref="AL7">SUM(IF($O$3:$O$83=AI7,1,0))</f>
        <v>5</v>
      </c>
      <c r="BL7" s="59" t="str">
        <f>IFERROR($BM$2&amp;VLOOKUP(B9,'Pay Table'!$M$3:$N$18,2,FALSE)&amp;$BL$2&amp;#REF!&amp;$BN$2,"")</f>
        <v/>
      </c>
      <c r="BM7" s="49" t="str">
        <f>IFERROR($BM$2&amp;VLOOKUP(C9,'Pay Table'!$M$3:$N$18,2,FALSE)&amp;$BL$2&amp;#REF!&amp;$BN$2,"")</f>
        <v/>
      </c>
      <c r="BN7" s="49" t="str">
        <f>IFERROR($BM$2&amp;VLOOKUP(D9,'Pay Table'!$M$3:$N$18,2,FALSE)&amp;$BL$2&amp;#REF!&amp;$BN$2,"")</f>
        <v/>
      </c>
      <c r="BO7" s="49" t="str">
        <f>IFERROR($BM$2&amp;VLOOKUP(E9,'Pay Table'!$M$3:$N$18,2,FALSE)&amp;$BL$2&amp;#REF!&amp;$BN$2,"")</f>
        <v/>
      </c>
      <c r="BP7" s="60" t="str">
        <f>IFERROR($BM$2&amp;VLOOKUP(F9,'Pay Table'!$M$3:$N$18,2,FALSE)&amp;$BL$2&amp;#REF!&amp;$BN$2,"")</f>
        <v/>
      </c>
    </row>
    <row r="8" spans="1:68" ht="17.100000000000001" customHeight="1" x14ac:dyDescent="0.25">
      <c r="A8" s="14">
        <v>6</v>
      </c>
      <c r="B8" s="10" t="s">
        <v>47</v>
      </c>
      <c r="C8" s="39" t="s">
        <v>293</v>
      </c>
      <c r="D8" s="39" t="s">
        <v>295</v>
      </c>
      <c r="E8" s="39" t="s">
        <v>14</v>
      </c>
      <c r="F8" s="39" t="s">
        <v>128</v>
      </c>
      <c r="G8" s="39"/>
      <c r="H8" s="10" t="s">
        <v>47</v>
      </c>
      <c r="I8" s="39" t="s">
        <v>293</v>
      </c>
      <c r="J8" s="39" t="s">
        <v>295</v>
      </c>
      <c r="K8" s="39" t="s">
        <v>127</v>
      </c>
      <c r="L8" s="39" t="s">
        <v>128</v>
      </c>
      <c r="M8" s="39"/>
      <c r="N8" s="39">
        <v>0</v>
      </c>
      <c r="O8" s="39">
        <v>0</v>
      </c>
      <c r="P8" s="39">
        <v>200</v>
      </c>
      <c r="Q8" s="39">
        <f t="shared" si="0"/>
        <v>99</v>
      </c>
      <c r="R8" s="247">
        <f t="shared" si="0"/>
        <v>99</v>
      </c>
      <c r="S8" s="31"/>
      <c r="T8" s="1">
        <f>IFERROR(VLOOKUP(B8,'Pay Table'!$M$3:$P$15,4,FALSE),"")</f>
        <v>294</v>
      </c>
      <c r="U8" s="1">
        <f>IFERROR(VLOOKUP(C8,'Pay Table'!$M$3:$P$15,4,FALSE),"")</f>
        <v>6</v>
      </c>
      <c r="V8" s="1">
        <f>IFERROR(VLOOKUP(D8,'Pay Table'!$M$3:$P$15,4,FALSE),"")</f>
        <v>8</v>
      </c>
      <c r="W8" s="1">
        <f>IFERROR(VLOOKUP(E8,'Pay Table'!$M$3:$P$15,4,FALSE),"")</f>
        <v>290</v>
      </c>
      <c r="X8" s="1">
        <f>IFERROR(VLOOKUP(F8,'Pay Table'!$M$3:$P$15,4,FALSE),"")</f>
        <v>204</v>
      </c>
      <c r="Z8" s="1">
        <f>IFERROR(VLOOKUP(H8,'Pay Table'!$M$3:$P$15,4,FALSE),"")</f>
        <v>294</v>
      </c>
      <c r="AA8" s="1">
        <f>IFERROR(VLOOKUP(I8,'Pay Table'!$M$3:$P$15,4,FALSE),"")</f>
        <v>6</v>
      </c>
      <c r="AB8" s="1">
        <f>IFERROR(VLOOKUP(J8,'Pay Table'!$M$3:$P$15,4,FALSE),"")</f>
        <v>8</v>
      </c>
      <c r="AC8" s="1">
        <f>IFERROR(VLOOKUP(K8,'Pay Table'!$M$3:$P$15,4,FALSE),"")</f>
        <v>203</v>
      </c>
      <c r="AD8" s="1">
        <f>IFERROR(VLOOKUP(L8,'Pay Table'!$M$3:$P$15,4,FALSE),"")</f>
        <v>204</v>
      </c>
      <c r="AG8" s="1" t="str">
        <f>IFERROR(VLOOKUP(R8,'Pay Table'!$M$3:$P$15,4,FALSE),"")</f>
        <v/>
      </c>
      <c r="AH8" s="1" t="str">
        <f>IFERROR(VLOOKUP(T8,'Pay Table'!$M$3:$P$15,4,FALSE),"")</f>
        <v/>
      </c>
      <c r="AI8" s="10">
        <v>750</v>
      </c>
      <c r="AJ8" s="1">
        <f>Respin!A44</f>
        <v>7</v>
      </c>
      <c r="AK8" s="1">
        <f t="array" ref="AK8">SUM(IF($N$3:$N$83=AI8,1,0))</f>
        <v>1</v>
      </c>
      <c r="AL8" s="1">
        <f t="array" ref="AL8">SUM(IF($O$3:$O$83=AI8,1,0))</f>
        <v>4</v>
      </c>
      <c r="BL8" s="59" t="str">
        <f>IFERROR($BM$2&amp;VLOOKUP(B10,'Pay Table'!$M$3:$N$18,2,FALSE)&amp;$BL$2&amp;#REF!&amp;$BN$2,"")</f>
        <v/>
      </c>
      <c r="BM8" s="49" t="str">
        <f>IFERROR($BM$2&amp;VLOOKUP(C10,'Pay Table'!$M$3:$N$18,2,FALSE)&amp;$BL$2&amp;#REF!&amp;$BN$2,"")</f>
        <v/>
      </c>
      <c r="BN8" s="49" t="str">
        <f>IFERROR($BM$2&amp;VLOOKUP(D10,'Pay Table'!$M$3:$N$18,2,FALSE)&amp;$BL$2&amp;#REF!&amp;$BN$2,"")</f>
        <v/>
      </c>
      <c r="BO8" s="49" t="str">
        <f>IFERROR($BM$2&amp;VLOOKUP(E10,'Pay Table'!$M$3:$N$18,2,FALSE)&amp;$BL$2&amp;#REF!&amp;$BN$2,"")</f>
        <v/>
      </c>
      <c r="BP8" s="60" t="str">
        <f>IFERROR($BM$2&amp;VLOOKUP(F10,'Pay Table'!$M$3:$N$18,2,FALSE)&amp;$BL$2&amp;#REF!&amp;$BN$2,"")</f>
        <v/>
      </c>
    </row>
    <row r="9" spans="1:68" ht="17.100000000000001" customHeight="1" x14ac:dyDescent="0.25">
      <c r="A9" s="14">
        <v>7</v>
      </c>
      <c r="B9" s="10" t="s">
        <v>121</v>
      </c>
      <c r="C9" s="39" t="s">
        <v>152</v>
      </c>
      <c r="D9" s="39" t="s">
        <v>47</v>
      </c>
      <c r="E9" s="39" t="s">
        <v>125</v>
      </c>
      <c r="F9" s="39" t="s">
        <v>124</v>
      </c>
      <c r="G9" s="39"/>
      <c r="H9" s="10" t="s">
        <v>121</v>
      </c>
      <c r="I9" s="39" t="s">
        <v>152</v>
      </c>
      <c r="J9" s="39" t="s">
        <v>47</v>
      </c>
      <c r="K9" s="39" t="s">
        <v>125</v>
      </c>
      <c r="L9" s="39" t="s">
        <v>124</v>
      </c>
      <c r="M9" s="39"/>
      <c r="N9" s="10">
        <v>0</v>
      </c>
      <c r="O9" s="10">
        <v>0</v>
      </c>
      <c r="P9" s="39">
        <v>200</v>
      </c>
      <c r="Q9" s="39">
        <f t="shared" si="0"/>
        <v>99</v>
      </c>
      <c r="R9" s="247">
        <f t="shared" si="0"/>
        <v>99</v>
      </c>
      <c r="S9" s="31"/>
      <c r="T9" s="1">
        <f>IFERROR(VLOOKUP(B9,'Pay Table'!$M$3:$P$15,4,FALSE),"")</f>
        <v>6</v>
      </c>
      <c r="U9" s="1">
        <f>IFERROR(VLOOKUP(C9,'Pay Table'!$M$3:$P$15,4,FALSE),"")</f>
        <v>201</v>
      </c>
      <c r="V9" s="1">
        <f>IFERROR(VLOOKUP(D9,'Pay Table'!$M$3:$P$15,4,FALSE),"")</f>
        <v>294</v>
      </c>
      <c r="W9" s="1">
        <f>IFERROR(VLOOKUP(E9,'Pay Table'!$M$3:$P$15,4,FALSE),"")</f>
        <v>201</v>
      </c>
      <c r="X9" s="1">
        <f>IFERROR(VLOOKUP(F9,'Pay Table'!$M$3:$P$15,4,FALSE),"")</f>
        <v>200</v>
      </c>
      <c r="Z9" s="1">
        <f>IFERROR(VLOOKUP(H9,'Pay Table'!$M$3:$P$15,4,FALSE),"")</f>
        <v>6</v>
      </c>
      <c r="AA9" s="1">
        <f>IFERROR(VLOOKUP(I9,'Pay Table'!$M$3:$P$15,4,FALSE),"")</f>
        <v>201</v>
      </c>
      <c r="AB9" s="1">
        <f>IFERROR(VLOOKUP(J9,'Pay Table'!$M$3:$P$15,4,FALSE),"")</f>
        <v>294</v>
      </c>
      <c r="AC9" s="1">
        <f>IFERROR(VLOOKUP(K9,'Pay Table'!$M$3:$P$15,4,FALSE),"")</f>
        <v>201</v>
      </c>
      <c r="AD9" s="1">
        <f>IFERROR(VLOOKUP(L9,'Pay Table'!$M$3:$P$15,4,FALSE),"")</f>
        <v>200</v>
      </c>
      <c r="AF9" s="310" t="s">
        <v>368</v>
      </c>
      <c r="AG9" s="1" t="str">
        <f>_xlfn.TEXTJOIN(",",TRUE,Z3:Z248)</f>
        <v>7,5,7,294,294,294,6,7,200,200,200,8,5,7,294,6,200,200,7,8,201,7,204,294,294,294,7,6,204,8,7,201,201,201,204,8,7,202,5,204,204,202,294,8,202,203,8,7,8,294,7,200,200,200,7,5,202,201,201,201,5</v>
      </c>
      <c r="AH9" s="1" t="str">
        <f>IFERROR(VLOOKUP(T9,'Pay Table'!$M$3:$P$15,4,FALSE),"")</f>
        <v/>
      </c>
      <c r="AI9" s="10">
        <v>500</v>
      </c>
      <c r="AJ9" s="1">
        <f>Respin!A45</f>
        <v>8</v>
      </c>
      <c r="AK9" s="1">
        <f t="array" ref="AK9">SUM(IF($N$3:$N$83=AI9,1,0))</f>
        <v>3</v>
      </c>
      <c r="AL9" s="1">
        <f t="array" ref="AL9">SUM(IF($O$3:$O$83=AI9,1,0))</f>
        <v>2</v>
      </c>
      <c r="BL9" s="59" t="str">
        <f>IFERROR($BM$2&amp;VLOOKUP(B11,'Pay Table'!$M$3:$N$18,2,FALSE)&amp;$BL$2&amp;#REF!&amp;$BN$2,"")</f>
        <v/>
      </c>
      <c r="BM9" s="49" t="str">
        <f>IFERROR($BM$2&amp;VLOOKUP(C11,'Pay Table'!$M$3:$N$18,2,FALSE)&amp;$BL$2&amp;#REF!&amp;$BN$2,"")</f>
        <v/>
      </c>
      <c r="BN9" s="49" t="str">
        <f>IFERROR($BM$2&amp;VLOOKUP(D11,'Pay Table'!$M$3:$N$18,2,FALSE)&amp;$BL$2&amp;#REF!&amp;$BN$2,"")</f>
        <v/>
      </c>
      <c r="BO9" s="49" t="str">
        <f>IFERROR($BM$2&amp;VLOOKUP(E11,'Pay Table'!$M$3:$N$18,2,FALSE)&amp;$BL$2&amp;#REF!&amp;$BN$2,"")</f>
        <v/>
      </c>
      <c r="BP9" s="60" t="str">
        <f>IFERROR($BM$2&amp;VLOOKUP(F11,'Pay Table'!$M$3:$N$18,2,FALSE)&amp;$BL$2&amp;#REF!&amp;$BN$2,"")</f>
        <v/>
      </c>
    </row>
    <row r="10" spans="1:68" ht="17.100000000000001" customHeight="1" x14ac:dyDescent="0.25">
      <c r="A10" s="14">
        <v>8</v>
      </c>
      <c r="B10" s="10" t="s">
        <v>119</v>
      </c>
      <c r="C10" s="39" t="s">
        <v>125</v>
      </c>
      <c r="D10" s="39" t="s">
        <v>293</v>
      </c>
      <c r="E10" s="39" t="s">
        <v>292</v>
      </c>
      <c r="F10" s="39" t="s">
        <v>153</v>
      </c>
      <c r="G10" s="39"/>
      <c r="H10" s="10" t="s">
        <v>119</v>
      </c>
      <c r="I10" s="39" t="s">
        <v>125</v>
      </c>
      <c r="J10" s="39" t="s">
        <v>293</v>
      </c>
      <c r="K10" s="39" t="s">
        <v>292</v>
      </c>
      <c r="L10" s="39" t="s">
        <v>153</v>
      </c>
      <c r="M10" s="39"/>
      <c r="N10" s="10">
        <v>0</v>
      </c>
      <c r="O10" s="10">
        <v>0</v>
      </c>
      <c r="P10" s="10">
        <v>200</v>
      </c>
      <c r="Q10" s="39">
        <f t="shared" si="0"/>
        <v>99</v>
      </c>
      <c r="R10" s="247">
        <f t="shared" si="0"/>
        <v>99</v>
      </c>
      <c r="S10" s="31"/>
      <c r="T10" s="1">
        <f>IFERROR(VLOOKUP(B10,'Pay Table'!$M$3:$P$15,4,FALSE),"")</f>
        <v>7</v>
      </c>
      <c r="U10" s="1">
        <f>IFERROR(VLOOKUP(C10,'Pay Table'!$M$3:$P$15,4,FALSE),"")</f>
        <v>201</v>
      </c>
      <c r="V10" s="1">
        <f>IFERROR(VLOOKUP(D10,'Pay Table'!$M$3:$P$15,4,FALSE),"")</f>
        <v>6</v>
      </c>
      <c r="W10" s="1">
        <f>IFERROR(VLOOKUP(E10,'Pay Table'!$M$3:$P$15,4,FALSE),"")</f>
        <v>5</v>
      </c>
      <c r="X10" s="1">
        <f>IFERROR(VLOOKUP(F10,'Pay Table'!$M$3:$P$15,4,FALSE),"")</f>
        <v>200</v>
      </c>
      <c r="Z10" s="1">
        <f>IFERROR(VLOOKUP(H10,'Pay Table'!$M$3:$P$15,4,FALSE),"")</f>
        <v>7</v>
      </c>
      <c r="AA10" s="1">
        <f>IFERROR(VLOOKUP(I10,'Pay Table'!$M$3:$P$15,4,FALSE),"")</f>
        <v>201</v>
      </c>
      <c r="AB10" s="1">
        <f>IFERROR(VLOOKUP(J10,'Pay Table'!$M$3:$P$15,4,FALSE),"")</f>
        <v>6</v>
      </c>
      <c r="AC10" s="1">
        <f>IFERROR(VLOOKUP(K10,'Pay Table'!$M$3:$P$15,4,FALSE),"")</f>
        <v>5</v>
      </c>
      <c r="AD10" s="1">
        <f>IFERROR(VLOOKUP(L10,'Pay Table'!$M$3:$P$15,4,FALSE),"")</f>
        <v>200</v>
      </c>
      <c r="AF10" s="310"/>
      <c r="AG10" s="1" t="str">
        <f>_xlfn.TEXTJOIN(",",TRUE,AA3:AA248)</f>
        <v>201,7,202,5,294,6,201,201,201,6,5,292,202,5,294,7,292,292,292,7,204,5,294,6,200,200,200,5,294,202,6,201,203,200,294,294,294,201,202,7,8,292,202,202,294,6,201,204,5,292,6,7,5,201,201,201,6,8</v>
      </c>
      <c r="AH10" s="1" t="str">
        <f>IFERROR(VLOOKUP(T10,'Pay Table'!$M$3:$P$15,4,FALSE),"")</f>
        <v/>
      </c>
      <c r="AI10" s="10">
        <v>250</v>
      </c>
      <c r="AJ10" s="1">
        <f>Respin!A46</f>
        <v>9</v>
      </c>
      <c r="AK10" s="1">
        <f t="array" ref="AK10">SUM(IF($N$3:$N$83=AI10,1,0))</f>
        <v>3</v>
      </c>
      <c r="AL10" s="1">
        <f t="array" ref="AL10">SUM(IF($O$3:$O$83=AI10,1,0))</f>
        <v>1</v>
      </c>
      <c r="BL10" s="59" t="str">
        <f>IFERROR($BM$2&amp;VLOOKUP(B12,'Pay Table'!$M$3:$N$18,2,FALSE)&amp;$BL$2&amp;#REF!&amp;$BN$2,"")</f>
        <v/>
      </c>
      <c r="BM10" s="49" t="str">
        <f>IFERROR($BM$2&amp;VLOOKUP(C12,'Pay Table'!$M$3:$N$18,2,FALSE)&amp;$BL$2&amp;#REF!&amp;$BN$2,"")</f>
        <v/>
      </c>
      <c r="BN10" s="49" t="str">
        <f>IFERROR($BM$2&amp;VLOOKUP(D12,'Pay Table'!$M$3:$N$18,2,FALSE)&amp;$BL$2&amp;#REF!&amp;$BN$2,"")</f>
        <v/>
      </c>
      <c r="BO10" s="49" t="str">
        <f>IFERROR($BM$2&amp;VLOOKUP(E12,'Pay Table'!$M$3:$N$18,2,FALSE)&amp;$BL$2&amp;#REF!&amp;$BN$2,"")</f>
        <v/>
      </c>
      <c r="BP10" s="60" t="str">
        <f>IFERROR($BM$2&amp;VLOOKUP(F12,'Pay Table'!$M$3:$N$18,2,FALSE)&amp;$BL$2&amp;#REF!&amp;$BN$2,"")</f>
        <v/>
      </c>
    </row>
    <row r="11" spans="1:68" ht="17.100000000000001" customHeight="1" x14ac:dyDescent="0.25">
      <c r="A11" s="14">
        <v>9</v>
      </c>
      <c r="B11" s="10" t="s">
        <v>153</v>
      </c>
      <c r="C11" s="39" t="s">
        <v>294</v>
      </c>
      <c r="D11" s="39" t="s">
        <v>125</v>
      </c>
      <c r="E11" s="39" t="s">
        <v>47</v>
      </c>
      <c r="F11" s="39" t="s">
        <v>153</v>
      </c>
      <c r="G11" s="39"/>
      <c r="H11" s="10" t="s">
        <v>153</v>
      </c>
      <c r="I11" s="39" t="s">
        <v>152</v>
      </c>
      <c r="J11" s="39" t="s">
        <v>125</v>
      </c>
      <c r="K11" s="39" t="s">
        <v>47</v>
      </c>
      <c r="L11" s="39" t="s">
        <v>153</v>
      </c>
      <c r="M11" s="39"/>
      <c r="N11" s="10" t="s">
        <v>350</v>
      </c>
      <c r="O11" s="10">
        <v>2500</v>
      </c>
      <c r="P11" s="39">
        <v>95</v>
      </c>
      <c r="Q11" s="39">
        <f t="shared" si="0"/>
        <v>2</v>
      </c>
      <c r="R11" s="247">
        <f t="shared" si="0"/>
        <v>6</v>
      </c>
      <c r="S11" s="31"/>
      <c r="T11" s="1">
        <f>IFERROR(VLOOKUP(B11,'Pay Table'!$M$3:$P$15,4,FALSE),"")</f>
        <v>200</v>
      </c>
      <c r="U11" s="1">
        <f>IFERROR(VLOOKUP(C11,'Pay Table'!$M$3:$P$15,4,FALSE),"")</f>
        <v>7</v>
      </c>
      <c r="V11" s="1">
        <f>IFERROR(VLOOKUP(D11,'Pay Table'!$M$3:$P$15,4,FALSE),"")</f>
        <v>201</v>
      </c>
      <c r="W11" s="1">
        <f>IFERROR(VLOOKUP(E11,'Pay Table'!$M$3:$P$15,4,FALSE),"")</f>
        <v>294</v>
      </c>
      <c r="X11" s="1">
        <f>IFERROR(VLOOKUP(F11,'Pay Table'!$M$3:$P$15,4,FALSE),"")</f>
        <v>200</v>
      </c>
      <c r="Z11" s="1">
        <f>IFERROR(VLOOKUP(H11,'Pay Table'!$M$3:$P$15,4,FALSE),"")</f>
        <v>200</v>
      </c>
      <c r="AA11" s="1">
        <f>IFERROR(VLOOKUP(I11,'Pay Table'!$M$3:$P$15,4,FALSE),"")</f>
        <v>201</v>
      </c>
      <c r="AB11" s="1">
        <f>IFERROR(VLOOKUP(J11,'Pay Table'!$M$3:$P$15,4,FALSE),"")</f>
        <v>201</v>
      </c>
      <c r="AC11" s="1">
        <f>IFERROR(VLOOKUP(K11,'Pay Table'!$M$3:$P$15,4,FALSE),"")</f>
        <v>294</v>
      </c>
      <c r="AD11" s="1">
        <f>IFERROR(VLOOKUP(L11,'Pay Table'!$M$3:$P$15,4,FALSE),"")</f>
        <v>200</v>
      </c>
      <c r="AF11" s="310"/>
      <c r="AG11" s="1" t="str">
        <f>_xlfn.TEXTJOIN(",",TRUE,AB3:AB248)</f>
        <v>204,203,5,201,201,8,294,6,201,201,201,203,294,8,7,201,202,292,292,292,5,201,201,8,294,6,201,202,8,294,6,5,202,7,294,6,203,8,200,200,200,202,294,8,203,200,204,8,294,8,202,203,5,294,294,294,200,204,203,5</v>
      </c>
      <c r="AH11" s="1" t="str">
        <f>IFERROR(VLOOKUP(T11,'Pay Table'!$M$3:$P$15,4,FALSE),"")</f>
        <v/>
      </c>
      <c r="AI11" s="10">
        <v>200</v>
      </c>
      <c r="AJ11" s="1">
        <f>Respin!A47</f>
        <v>10</v>
      </c>
      <c r="AK11" s="1">
        <f t="array" ref="AK11">SUM(IF($N$3:$N$83=AI11,1,0))</f>
        <v>1</v>
      </c>
      <c r="AL11" s="1">
        <f t="array" ref="AL11">SUM(IF($O$3:$O$83=AI11,1,0))</f>
        <v>2</v>
      </c>
      <c r="BL11" s="59" t="str">
        <f>IFERROR($BM$2&amp;VLOOKUP(B13,'Pay Table'!$M$3:$N$18,2,FALSE)&amp;$BL$2&amp;#REF!&amp;$BN$2,"")</f>
        <v/>
      </c>
      <c r="BM11" s="49" t="str">
        <f>IFERROR($BM$2&amp;VLOOKUP(C13,'Pay Table'!$M$3:$N$18,2,FALSE)&amp;$BL$2&amp;#REF!&amp;$BN$2,"")</f>
        <v/>
      </c>
      <c r="BN11" s="49" t="str">
        <f>IFERROR($BM$2&amp;VLOOKUP(D13,'Pay Table'!$M$3:$N$18,2,FALSE)&amp;$BL$2&amp;#REF!&amp;$BN$2,"")</f>
        <v/>
      </c>
      <c r="BO11" s="49" t="str">
        <f>IFERROR($BM$2&amp;VLOOKUP(E13,'Pay Table'!$M$3:$N$18,2,FALSE)&amp;$BL$2&amp;#REF!&amp;$BN$2,"")</f>
        <v/>
      </c>
      <c r="BP11" s="60" t="str">
        <f>IFERROR($BM$2&amp;VLOOKUP(F13,'Pay Table'!$M$3:$N$18,2,FALSE)&amp;$BL$2&amp;#REF!&amp;$BN$2,"")</f>
        <v/>
      </c>
    </row>
    <row r="12" spans="1:68" ht="17.100000000000001" customHeight="1" x14ac:dyDescent="0.25">
      <c r="A12" s="14">
        <v>10</v>
      </c>
      <c r="B12" s="10" t="s">
        <v>153</v>
      </c>
      <c r="C12" s="39" t="s">
        <v>47</v>
      </c>
      <c r="D12" s="39" t="s">
        <v>152</v>
      </c>
      <c r="E12" s="39" t="s">
        <v>292</v>
      </c>
      <c r="F12" s="39" t="s">
        <v>121</v>
      </c>
      <c r="G12" s="39"/>
      <c r="H12" s="10" t="s">
        <v>153</v>
      </c>
      <c r="I12" s="39" t="s">
        <v>121</v>
      </c>
      <c r="J12" s="39" t="s">
        <v>152</v>
      </c>
      <c r="K12" s="39" t="s">
        <v>292</v>
      </c>
      <c r="L12" s="39" t="s">
        <v>121</v>
      </c>
      <c r="M12" s="39"/>
      <c r="N12" s="39">
        <v>0</v>
      </c>
      <c r="O12" s="39">
        <v>0</v>
      </c>
      <c r="P12" s="39">
        <v>200</v>
      </c>
      <c r="Q12" s="39">
        <f t="shared" si="0"/>
        <v>99</v>
      </c>
      <c r="R12" s="247">
        <f t="shared" si="0"/>
        <v>99</v>
      </c>
      <c r="S12" s="31"/>
      <c r="T12" s="1">
        <f>IFERROR(VLOOKUP(B12,'Pay Table'!$M$3:$P$15,4,FALSE),"")</f>
        <v>200</v>
      </c>
      <c r="U12" s="1">
        <f>IFERROR(VLOOKUP(C12,'Pay Table'!$M$3:$P$15,4,FALSE),"")</f>
        <v>294</v>
      </c>
      <c r="V12" s="1">
        <f>IFERROR(VLOOKUP(D12,'Pay Table'!$M$3:$P$15,4,FALSE),"")</f>
        <v>201</v>
      </c>
      <c r="W12" s="1">
        <f>IFERROR(VLOOKUP(E12,'Pay Table'!$M$3:$P$15,4,FALSE),"")</f>
        <v>5</v>
      </c>
      <c r="X12" s="1">
        <f>IFERROR(VLOOKUP(F12,'Pay Table'!$M$3:$P$15,4,FALSE),"")</f>
        <v>6</v>
      </c>
      <c r="Z12" s="1">
        <f>IFERROR(VLOOKUP(H12,'Pay Table'!$M$3:$P$15,4,FALSE),"")</f>
        <v>200</v>
      </c>
      <c r="AA12" s="1">
        <f>IFERROR(VLOOKUP(I12,'Pay Table'!$M$3:$P$15,4,FALSE),"")</f>
        <v>6</v>
      </c>
      <c r="AB12" s="1">
        <f>IFERROR(VLOOKUP(J12,'Pay Table'!$M$3:$P$15,4,FALSE),"")</f>
        <v>201</v>
      </c>
      <c r="AC12" s="1">
        <f>IFERROR(VLOOKUP(K12,'Pay Table'!$M$3:$P$15,4,FALSE),"")</f>
        <v>5</v>
      </c>
      <c r="AD12" s="1">
        <f>IFERROR(VLOOKUP(L12,'Pay Table'!$M$3:$P$15,4,FALSE),"")</f>
        <v>6</v>
      </c>
      <c r="AF12" s="310"/>
      <c r="AG12" s="1" t="str">
        <f>_xlfn.TEXTJOIN(",",TRUE,AC3:AC248)</f>
        <v>201,201,7,294,5,203,201,5,294,5,8,202,5,294,6,200,5,292,292,292,200,294,5,201,202,204,201,294,5,204,202,8,294,294,294,201,203,8,7,294,294,6,201,8,7,200,6,294,6,201,202,8,294,294,294,201,203,7,292,7,202,202,294,6,204,201,201,201,8,7,203,202,204,6,200,200,200,292,5,6,5</v>
      </c>
      <c r="AH12" s="1" t="str">
        <f>IFERROR(VLOOKUP(T12,'Pay Table'!$M$3:$P$15,4,FALSE),"")</f>
        <v/>
      </c>
      <c r="AI12" s="10">
        <v>150</v>
      </c>
      <c r="AJ12" s="1">
        <f>Respin!A48</f>
        <v>11</v>
      </c>
      <c r="AK12" s="1">
        <f t="array" ref="AK12">SUM(IF($N$3:$N$83=AI12,1,0))</f>
        <v>1</v>
      </c>
      <c r="AL12" s="1">
        <f t="array" ref="AL12">SUM(IF($O$3:$O$83=AI12,1,0))</f>
        <v>2</v>
      </c>
      <c r="BL12" s="59" t="str">
        <f>IFERROR($BM$2&amp;VLOOKUP(B14,'Pay Table'!$M$3:$N$18,2,FALSE)&amp;$BL$2&amp;#REF!&amp;$BN$2,"")</f>
        <v/>
      </c>
      <c r="BM12" s="49" t="str">
        <f>IFERROR($BM$2&amp;VLOOKUP(C14,'Pay Table'!$M$3:$N$18,2,FALSE)&amp;$BL$2&amp;#REF!&amp;$BN$2,"")</f>
        <v/>
      </c>
      <c r="BN12" s="49" t="str">
        <f>IFERROR($BM$2&amp;VLOOKUP(D14,'Pay Table'!$M$3:$N$18,2,FALSE)&amp;$BL$2&amp;#REF!&amp;$BN$2,"")</f>
        <v/>
      </c>
      <c r="BO12" s="49" t="str">
        <f>IFERROR($BM$2&amp;VLOOKUP(E14,'Pay Table'!$M$3:$N$18,2,FALSE)&amp;$BL$2&amp;#REF!&amp;$BN$2,"")</f>
        <v/>
      </c>
      <c r="BP12" s="60" t="str">
        <f>IFERROR($BM$2&amp;VLOOKUP(F14,'Pay Table'!$M$3:$N$18,2,FALSE)&amp;$BL$2&amp;#REF!&amp;$BN$2,"")</f>
        <v/>
      </c>
    </row>
    <row r="13" spans="1:68" ht="17.100000000000001" customHeight="1" x14ac:dyDescent="0.25">
      <c r="A13" s="14">
        <v>11</v>
      </c>
      <c r="B13" s="282" t="s">
        <v>153</v>
      </c>
      <c r="C13" s="39" t="s">
        <v>292</v>
      </c>
      <c r="D13" s="39" t="s">
        <v>152</v>
      </c>
      <c r="E13" s="39" t="s">
        <v>295</v>
      </c>
      <c r="F13" s="39" t="s">
        <v>47</v>
      </c>
      <c r="G13" s="39"/>
      <c r="H13" s="10" t="s">
        <v>153</v>
      </c>
      <c r="I13" s="39" t="s">
        <v>292</v>
      </c>
      <c r="J13" s="39" t="s">
        <v>152</v>
      </c>
      <c r="K13" s="39" t="s">
        <v>295</v>
      </c>
      <c r="L13" s="39" t="s">
        <v>47</v>
      </c>
      <c r="M13" s="39"/>
      <c r="N13" s="39">
        <v>0</v>
      </c>
      <c r="O13" s="39">
        <v>0</v>
      </c>
      <c r="P13" s="39">
        <v>200</v>
      </c>
      <c r="Q13" s="39">
        <f t="shared" si="0"/>
        <v>99</v>
      </c>
      <c r="R13" s="247">
        <f t="shared" si="0"/>
        <v>99</v>
      </c>
      <c r="S13" s="31"/>
      <c r="T13" s="1">
        <f>IFERROR(VLOOKUP(B13,'Pay Table'!$M$3:$P$15,4,FALSE),"")</f>
        <v>200</v>
      </c>
      <c r="U13" s="1">
        <f>IFERROR(VLOOKUP(C13,'Pay Table'!$M$3:$P$15,4,FALSE),"")</f>
        <v>5</v>
      </c>
      <c r="V13" s="1">
        <f>IFERROR(VLOOKUP(D13,'Pay Table'!$M$3:$P$15,4,FALSE),"")</f>
        <v>201</v>
      </c>
      <c r="W13" s="1">
        <f>IFERROR(VLOOKUP(E13,'Pay Table'!$M$3:$P$15,4,FALSE),"")</f>
        <v>8</v>
      </c>
      <c r="X13" s="1">
        <f>IFERROR(VLOOKUP(F13,'Pay Table'!$M$3:$P$15,4,FALSE),"")</f>
        <v>294</v>
      </c>
      <c r="Z13" s="1">
        <f>IFERROR(VLOOKUP(H13,'Pay Table'!$M$3:$P$15,4,FALSE),"")</f>
        <v>200</v>
      </c>
      <c r="AA13" s="1">
        <f>IFERROR(VLOOKUP(I13,'Pay Table'!$M$3:$P$15,4,FALSE),"")</f>
        <v>5</v>
      </c>
      <c r="AB13" s="1">
        <f>IFERROR(VLOOKUP(J13,'Pay Table'!$M$3:$P$15,4,FALSE),"")</f>
        <v>201</v>
      </c>
      <c r="AC13" s="1">
        <f>IFERROR(VLOOKUP(K13,'Pay Table'!$M$3:$P$15,4,FALSE),"")</f>
        <v>8</v>
      </c>
      <c r="AD13" s="1">
        <f>IFERROR(VLOOKUP(L13,'Pay Table'!$M$3:$P$15,4,FALSE),"")</f>
        <v>294</v>
      </c>
      <c r="AF13" s="310"/>
      <c r="AG13" s="1" t="str">
        <f>_xlfn.TEXTJOIN(",",TRUE,AD3:AD248)</f>
        <v>203,6,294,294,294,204,200,200,200,6,294,203,200,200,7,6,203,7,6,201,201,203,294,8,7,201,203,292,292,292,5,201,201,8,294,6,204,201,8,294,6,5,292,8,8,201,201,201,7,204,201,203,200,202,204,200,202,7,200,202,204,203,6,294,294,294,200,204,203,6,294</v>
      </c>
      <c r="AH13" s="1" t="str">
        <f>IFERROR(VLOOKUP(T13,'Pay Table'!$M$3:$P$15,4,FALSE),"")</f>
        <v/>
      </c>
      <c r="AI13" s="10">
        <v>100</v>
      </c>
      <c r="AJ13" s="1">
        <f>Respin!A49</f>
        <v>12</v>
      </c>
      <c r="AK13" s="1">
        <f t="array" ref="AK13">SUM(IF($N$3:$N$83=AI13,1,0))</f>
        <v>2</v>
      </c>
      <c r="AL13" s="1">
        <f t="array" ref="AL13">SUM(IF($O$3:$O$83=AI13,1,0))</f>
        <v>2</v>
      </c>
      <c r="BL13" s="59" t="str">
        <f>IFERROR($BM$2&amp;VLOOKUP(B15,'Pay Table'!$M$3:$N$18,2,FALSE)&amp;$BL$2&amp;#REF!&amp;$BN$2,"")</f>
        <v/>
      </c>
      <c r="BM13" s="49" t="str">
        <f>IFERROR($BM$2&amp;VLOOKUP(C15,'Pay Table'!$M$3:$N$18,2,FALSE)&amp;$BL$2&amp;#REF!&amp;$BN$2,"")</f>
        <v/>
      </c>
      <c r="BN13" s="49" t="str">
        <f>IFERROR($BM$2&amp;VLOOKUP(D15,'Pay Table'!$M$3:$N$18,2,FALSE)&amp;$BL$2&amp;#REF!&amp;$BN$2,"")</f>
        <v/>
      </c>
      <c r="BO13" s="49" t="str">
        <f>IFERROR($BM$2&amp;VLOOKUP(E15,'Pay Table'!$M$3:$N$18,2,FALSE)&amp;$BL$2&amp;#REF!&amp;$BN$2,"")</f>
        <v/>
      </c>
      <c r="BP13" s="60" t="str">
        <f>IFERROR($BM$2&amp;VLOOKUP(F15,'Pay Table'!$M$3:$N$18,2,FALSE)&amp;$BL$2&amp;#REF!&amp;$BN$2,"")</f>
        <v/>
      </c>
    </row>
    <row r="14" spans="1:68" ht="17.100000000000001" customHeight="1" x14ac:dyDescent="0.25">
      <c r="A14" s="14">
        <v>12</v>
      </c>
      <c r="B14" s="10" t="s">
        <v>120</v>
      </c>
      <c r="C14" s="39" t="s">
        <v>295</v>
      </c>
      <c r="D14" s="39" t="s">
        <v>127</v>
      </c>
      <c r="E14" s="39" t="s">
        <v>126</v>
      </c>
      <c r="F14" s="39" t="s">
        <v>127</v>
      </c>
      <c r="G14" s="39"/>
      <c r="H14" s="10" t="s">
        <v>120</v>
      </c>
      <c r="I14" s="39" t="s">
        <v>122</v>
      </c>
      <c r="J14" s="39" t="s">
        <v>127</v>
      </c>
      <c r="K14" s="39" t="s">
        <v>126</v>
      </c>
      <c r="L14" s="39" t="s">
        <v>127</v>
      </c>
      <c r="M14" s="39"/>
      <c r="N14" s="10" t="s">
        <v>420</v>
      </c>
      <c r="O14" s="10">
        <v>50</v>
      </c>
      <c r="P14" s="10">
        <v>94</v>
      </c>
      <c r="Q14" s="39">
        <f t="shared" si="0"/>
        <v>300</v>
      </c>
      <c r="R14" s="247">
        <f t="shared" si="0"/>
        <v>13</v>
      </c>
      <c r="T14" s="1">
        <f>IFERROR(VLOOKUP(B14,'Pay Table'!$M$3:$P$15,4,FALSE),"")</f>
        <v>8</v>
      </c>
      <c r="U14" s="1">
        <f>IFERROR(VLOOKUP(C14,'Pay Table'!$M$3:$P$15,4,FALSE),"")</f>
        <v>8</v>
      </c>
      <c r="V14" s="1">
        <f>IFERROR(VLOOKUP(D14,'Pay Table'!$M$3:$P$15,4,FALSE),"")</f>
        <v>203</v>
      </c>
      <c r="W14" s="1">
        <f>IFERROR(VLOOKUP(E14,'Pay Table'!$M$3:$P$15,4,FALSE),"")</f>
        <v>202</v>
      </c>
      <c r="X14" s="1">
        <f>IFERROR(VLOOKUP(F14,'Pay Table'!$M$3:$P$15,4,FALSE),"")</f>
        <v>203</v>
      </c>
      <c r="Z14" s="1">
        <f>IFERROR(VLOOKUP(H14,'Pay Table'!$M$3:$P$15,4,FALSE),"")</f>
        <v>8</v>
      </c>
      <c r="AA14" s="1">
        <f>IFERROR(VLOOKUP(I14,'Pay Table'!$M$3:$P$15,4,FALSE),"")</f>
        <v>292</v>
      </c>
      <c r="AB14" s="1">
        <f>IFERROR(VLOOKUP(J14,'Pay Table'!$M$3:$P$15,4,FALSE),"")</f>
        <v>203</v>
      </c>
      <c r="AC14" s="1">
        <f>IFERROR(VLOOKUP(K14,'Pay Table'!$M$3:$P$15,4,FALSE),"")</f>
        <v>202</v>
      </c>
      <c r="AD14" s="1">
        <f>IFERROR(VLOOKUP(L14,'Pay Table'!$M$3:$P$15,4,FALSE),"")</f>
        <v>203</v>
      </c>
      <c r="AH14" s="1" t="str">
        <f>IFERROR(VLOOKUP(T14,'Pay Table'!$M$3:$P$15,4,FALSE),"")</f>
        <v/>
      </c>
      <c r="AI14" s="10">
        <v>50</v>
      </c>
      <c r="AJ14" s="1">
        <f>Respin!A50</f>
        <v>13</v>
      </c>
      <c r="AK14" s="1">
        <f t="array" ref="AK14">SUM(IF($N$3:$N$83=AI14,1,0))</f>
        <v>5</v>
      </c>
      <c r="AL14" s="1">
        <f t="array" ref="AL14">SUM(IF($O$3:$O$83=AI14,1,0))</f>
        <v>7</v>
      </c>
      <c r="BL14" s="59" t="str">
        <f>IFERROR($BM$2&amp;VLOOKUP(B16,'Pay Table'!$M$3:$N$18,2,FALSE)&amp;$BL$2&amp;#REF!&amp;$BN$2,"")</f>
        <v/>
      </c>
      <c r="BM14" s="49" t="str">
        <f>IFERROR($BM$2&amp;VLOOKUP(C16,'Pay Table'!$M$3:$N$18,2,FALSE)&amp;$BL$2&amp;#REF!&amp;$BN$2,"")</f>
        <v/>
      </c>
      <c r="BN14" s="49" t="str">
        <f>IFERROR($BM$2&amp;VLOOKUP(D16,'Pay Table'!$M$3:$N$18,2,FALSE)&amp;$BL$2&amp;#REF!&amp;$BN$2,"")</f>
        <v/>
      </c>
      <c r="BO14" s="49" t="str">
        <f>IFERROR($BM$2&amp;VLOOKUP(E16,'Pay Table'!$M$3:$N$18,2,FALSE)&amp;$BL$2&amp;#REF!&amp;$BN$2,"")</f>
        <v/>
      </c>
      <c r="BP14" s="60" t="str">
        <f>IFERROR($BM$2&amp;VLOOKUP(F16,'Pay Table'!$M$3:$N$18,2,FALSE)&amp;$BL$2&amp;#REF!&amp;$BN$2,"")</f>
        <v/>
      </c>
    </row>
    <row r="15" spans="1:68" ht="17.100000000000001" customHeight="1" x14ac:dyDescent="0.25">
      <c r="A15" s="14">
        <v>13</v>
      </c>
      <c r="B15" s="10" t="s">
        <v>123</v>
      </c>
      <c r="C15" s="39" t="s">
        <v>126</v>
      </c>
      <c r="D15" s="39" t="s">
        <v>47</v>
      </c>
      <c r="E15" s="39" t="s">
        <v>292</v>
      </c>
      <c r="F15" s="39" t="s">
        <v>47</v>
      </c>
      <c r="G15" s="39"/>
      <c r="H15" s="10" t="s">
        <v>123</v>
      </c>
      <c r="I15" s="39" t="s">
        <v>126</v>
      </c>
      <c r="J15" s="39" t="s">
        <v>47</v>
      </c>
      <c r="K15" s="39" t="s">
        <v>292</v>
      </c>
      <c r="L15" s="39" t="s">
        <v>153</v>
      </c>
      <c r="M15" s="39"/>
      <c r="N15" s="39">
        <v>0</v>
      </c>
      <c r="O15" s="39">
        <v>0</v>
      </c>
      <c r="P15" s="39">
        <v>200</v>
      </c>
      <c r="Q15" s="39">
        <f t="shared" si="0"/>
        <v>99</v>
      </c>
      <c r="R15" s="247">
        <f t="shared" si="0"/>
        <v>99</v>
      </c>
      <c r="T15" s="1">
        <f>IFERROR(VLOOKUP(B15,'Pay Table'!$M$3:$P$15,4,FALSE),"")</f>
        <v>5</v>
      </c>
      <c r="U15" s="1">
        <f>IFERROR(VLOOKUP(C15,'Pay Table'!$M$3:$P$15,4,FALSE),"")</f>
        <v>202</v>
      </c>
      <c r="V15" s="1">
        <f>IFERROR(VLOOKUP(D15,'Pay Table'!$M$3:$P$15,4,FALSE),"")</f>
        <v>294</v>
      </c>
      <c r="W15" s="1">
        <f>IFERROR(VLOOKUP(E15,'Pay Table'!$M$3:$P$15,4,FALSE),"")</f>
        <v>5</v>
      </c>
      <c r="X15" s="1">
        <f>IFERROR(VLOOKUP(F15,'Pay Table'!$M$3:$P$15,4,FALSE),"")</f>
        <v>294</v>
      </c>
      <c r="Z15" s="1">
        <f>IFERROR(VLOOKUP(H15,'Pay Table'!$M$3:$P$15,4,FALSE),"")</f>
        <v>5</v>
      </c>
      <c r="AA15" s="1">
        <f>IFERROR(VLOOKUP(I15,'Pay Table'!$M$3:$P$15,4,FALSE),"")</f>
        <v>202</v>
      </c>
      <c r="AB15" s="1">
        <f>IFERROR(VLOOKUP(J15,'Pay Table'!$M$3:$P$15,4,FALSE),"")</f>
        <v>294</v>
      </c>
      <c r="AC15" s="1">
        <f>IFERROR(VLOOKUP(K15,'Pay Table'!$M$3:$P$15,4,FALSE),"")</f>
        <v>5</v>
      </c>
      <c r="AD15" s="1">
        <f>IFERROR(VLOOKUP(L15,'Pay Table'!$M$3:$P$15,4,FALSE),"")</f>
        <v>200</v>
      </c>
      <c r="AG15" s="1" t="str">
        <f>IFERROR(VLOOKUP(R15,'Pay Table'!$M$3:$P$15,4,FALSE),"")</f>
        <v/>
      </c>
      <c r="AH15" s="1" t="str">
        <f>IFERROR(VLOOKUP(T15,'Pay Table'!$M$3:$P$15,4,FALSE),"")</f>
        <v/>
      </c>
      <c r="AI15" s="10" t="s">
        <v>353</v>
      </c>
      <c r="AJ15" s="1">
        <f>Respin!A51</f>
        <v>1000</v>
      </c>
      <c r="AK15" s="1">
        <f t="array" ref="AK15">SUM(IF($N$3:$N$83=AI15,1,0))</f>
        <v>2</v>
      </c>
      <c r="AL15" s="1">
        <f t="array" ref="AL15">SUM(IF($O$3:$O$83=AI15,1,0))</f>
        <v>0</v>
      </c>
      <c r="BL15" s="59" t="str">
        <f>IFERROR($BM$2&amp;VLOOKUP(B17,'Pay Table'!$M$3:$N$18,2,FALSE)&amp;$BL$2&amp;#REF!&amp;$BN$2,"")</f>
        <v/>
      </c>
      <c r="BM15" s="49" t="str">
        <f>IFERROR($BM$2&amp;VLOOKUP(C17,'Pay Table'!$M$3:$N$18,2,FALSE)&amp;$BL$2&amp;#REF!&amp;$BN$2,"")</f>
        <v/>
      </c>
      <c r="BN15" s="49" t="str">
        <f>IFERROR($BM$2&amp;VLOOKUP(D17,'Pay Table'!$M$3:$N$18,2,FALSE)&amp;$BL$2&amp;#REF!&amp;$BN$2,"")</f>
        <v/>
      </c>
      <c r="BO15" s="49" t="str">
        <f>IFERROR($BM$2&amp;VLOOKUP(E17,'Pay Table'!$M$3:$N$18,2,FALSE)&amp;$BL$2&amp;#REF!&amp;$BN$2,"")</f>
        <v/>
      </c>
      <c r="BP15" s="60" t="str">
        <f>IFERROR($BM$2&amp;VLOOKUP(F17,'Pay Table'!$M$3:$N$18,2,FALSE)&amp;$BL$2&amp;#REF!&amp;$BN$2,"")</f>
        <v/>
      </c>
    </row>
    <row r="16" spans="1:68" ht="17.100000000000001" customHeight="1" x14ac:dyDescent="0.25">
      <c r="A16" s="14">
        <v>14</v>
      </c>
      <c r="B16" s="10" t="s">
        <v>119</v>
      </c>
      <c r="C16" s="39" t="s">
        <v>292</v>
      </c>
      <c r="D16" s="39" t="s">
        <v>295</v>
      </c>
      <c r="E16" s="39" t="s">
        <v>47</v>
      </c>
      <c r="F16" s="39" t="s">
        <v>295</v>
      </c>
      <c r="G16" s="39"/>
      <c r="H16" s="10" t="s">
        <v>119</v>
      </c>
      <c r="I16" s="39" t="s">
        <v>292</v>
      </c>
      <c r="J16" s="39" t="s">
        <v>295</v>
      </c>
      <c r="K16" s="39" t="s">
        <v>47</v>
      </c>
      <c r="L16" s="39" t="s">
        <v>153</v>
      </c>
      <c r="M16" s="39"/>
      <c r="N16" s="10">
        <v>2500</v>
      </c>
      <c r="O16" s="10" t="s">
        <v>24</v>
      </c>
      <c r="P16" s="10">
        <v>200</v>
      </c>
      <c r="Q16" s="39">
        <f t="shared" si="0"/>
        <v>6</v>
      </c>
      <c r="R16" s="247">
        <f t="shared" si="0"/>
        <v>2</v>
      </c>
      <c r="T16" s="1">
        <f>IFERROR(VLOOKUP(B16,'Pay Table'!$M$3:$P$15,4,FALSE),"")</f>
        <v>7</v>
      </c>
      <c r="U16" s="1">
        <f>IFERROR(VLOOKUP(C16,'Pay Table'!$M$3:$P$15,4,FALSE),"")</f>
        <v>5</v>
      </c>
      <c r="V16" s="1">
        <f>IFERROR(VLOOKUP(D16,'Pay Table'!$M$3:$P$15,4,FALSE),"")</f>
        <v>8</v>
      </c>
      <c r="W16" s="1">
        <f>IFERROR(VLOOKUP(E16,'Pay Table'!$M$3:$P$15,4,FALSE),"")</f>
        <v>294</v>
      </c>
      <c r="X16" s="1">
        <f>IFERROR(VLOOKUP(F16,'Pay Table'!$M$3:$P$15,4,FALSE),"")</f>
        <v>8</v>
      </c>
      <c r="Z16" s="1">
        <f>IFERROR(VLOOKUP(H16,'Pay Table'!$M$3:$P$15,4,FALSE),"")</f>
        <v>7</v>
      </c>
      <c r="AA16" s="1">
        <f>IFERROR(VLOOKUP(I16,'Pay Table'!$M$3:$P$15,4,FALSE),"")</f>
        <v>5</v>
      </c>
      <c r="AB16" s="1">
        <f>IFERROR(VLOOKUP(J16,'Pay Table'!$M$3:$P$15,4,FALSE),"")</f>
        <v>8</v>
      </c>
      <c r="AC16" s="1">
        <f>IFERROR(VLOOKUP(K16,'Pay Table'!$M$3:$P$15,4,FALSE),"")</f>
        <v>294</v>
      </c>
      <c r="AD16" s="1">
        <f>IFERROR(VLOOKUP(L16,'Pay Table'!$M$3:$P$15,4,FALSE),"")</f>
        <v>200</v>
      </c>
      <c r="AG16" s="1" t="str">
        <f>IFERROR(VLOOKUP(R16,'Pay Table'!$M$3:$P$15,4,FALSE),"")</f>
        <v/>
      </c>
      <c r="AH16" s="1" t="str">
        <f>IFERROR(VLOOKUP(T16,'Pay Table'!$M$3:$P$15,4,FALSE),"")</f>
        <v/>
      </c>
      <c r="AI16" s="10" t="s">
        <v>354</v>
      </c>
      <c r="AJ16" s="1">
        <f>Respin!A52</f>
        <v>800</v>
      </c>
      <c r="AK16" s="1">
        <f t="array" ref="AK16">SUM(IF($N$3:$N$83=AI16,1,0))</f>
        <v>2</v>
      </c>
      <c r="AL16" s="1">
        <f t="array" ref="AL16">SUM(IF($O$3:$O$83=AI16,1,0))</f>
        <v>0</v>
      </c>
      <c r="BL16" s="59" t="str">
        <f>IFERROR($BM$2&amp;VLOOKUP(B18,'Pay Table'!$M$3:$N$18,2,FALSE)&amp;$BL$2&amp;#REF!&amp;$BN$2,"")</f>
        <v/>
      </c>
      <c r="BM16" s="49" t="str">
        <f>IFERROR($BM$2&amp;VLOOKUP(C18,'Pay Table'!$M$3:$N$18,2,FALSE)&amp;$BL$2&amp;#REF!&amp;$BN$2,"")</f>
        <v/>
      </c>
      <c r="BN16" s="49" t="str">
        <f>IFERROR($BM$2&amp;VLOOKUP(D18,'Pay Table'!$M$3:$N$18,2,FALSE)&amp;$BL$2&amp;#REF!&amp;$BN$2,"")</f>
        <v/>
      </c>
      <c r="BO16" s="49" t="str">
        <f>IFERROR($BM$2&amp;VLOOKUP(E18,'Pay Table'!$M$3:$N$18,2,FALSE)&amp;$BL$2&amp;#REF!&amp;$BN$2,"")</f>
        <v/>
      </c>
      <c r="BP16" s="60" t="str">
        <f>IFERROR($BM$2&amp;VLOOKUP(F18,'Pay Table'!$M$3:$N$18,2,FALSE)&amp;$BL$2&amp;#REF!&amp;$BN$2,"")</f>
        <v/>
      </c>
    </row>
    <row r="17" spans="1:68" ht="17.100000000000001" customHeight="1" x14ac:dyDescent="0.25">
      <c r="A17" s="14">
        <v>15</v>
      </c>
      <c r="B17" s="10" t="s">
        <v>47</v>
      </c>
      <c r="C17" s="39" t="s">
        <v>47</v>
      </c>
      <c r="D17" s="39" t="s">
        <v>294</v>
      </c>
      <c r="E17" s="39" t="s">
        <v>293</v>
      </c>
      <c r="F17" s="39" t="s">
        <v>294</v>
      </c>
      <c r="G17" s="39"/>
      <c r="H17" s="10" t="s">
        <v>47</v>
      </c>
      <c r="I17" s="39" t="s">
        <v>47</v>
      </c>
      <c r="J17" s="39" t="s">
        <v>294</v>
      </c>
      <c r="K17" s="39" t="s">
        <v>293</v>
      </c>
      <c r="L17" s="39" t="s">
        <v>294</v>
      </c>
      <c r="M17" s="39"/>
      <c r="N17" s="39">
        <v>0</v>
      </c>
      <c r="O17" s="39">
        <v>0</v>
      </c>
      <c r="P17" s="39">
        <v>94</v>
      </c>
      <c r="Q17" s="39">
        <f t="shared" si="0"/>
        <v>99</v>
      </c>
      <c r="R17" s="247">
        <f t="shared" si="0"/>
        <v>99</v>
      </c>
      <c r="T17" s="1">
        <f>IFERROR(VLOOKUP(B17,'Pay Table'!$M$3:$P$15,4,FALSE),"")</f>
        <v>294</v>
      </c>
      <c r="U17" s="1">
        <f>IFERROR(VLOOKUP(C17,'Pay Table'!$M$3:$P$15,4,FALSE),"")</f>
        <v>294</v>
      </c>
      <c r="V17" s="1">
        <f>IFERROR(VLOOKUP(D17,'Pay Table'!$M$3:$P$15,4,FALSE),"")</f>
        <v>7</v>
      </c>
      <c r="W17" s="1">
        <f>IFERROR(VLOOKUP(E17,'Pay Table'!$M$3:$P$15,4,FALSE),"")</f>
        <v>6</v>
      </c>
      <c r="X17" s="1">
        <f>IFERROR(VLOOKUP(F17,'Pay Table'!$M$3:$P$15,4,FALSE),"")</f>
        <v>7</v>
      </c>
      <c r="Z17" s="1">
        <f>IFERROR(VLOOKUP(H17,'Pay Table'!$M$3:$P$15,4,FALSE),"")</f>
        <v>294</v>
      </c>
      <c r="AA17" s="1">
        <f>IFERROR(VLOOKUP(I17,'Pay Table'!$M$3:$P$15,4,FALSE),"")</f>
        <v>294</v>
      </c>
      <c r="AB17" s="1">
        <f>IFERROR(VLOOKUP(J17,'Pay Table'!$M$3:$P$15,4,FALSE),"")</f>
        <v>7</v>
      </c>
      <c r="AC17" s="1">
        <f>IFERROR(VLOOKUP(K17,'Pay Table'!$M$3:$P$15,4,FALSE),"")</f>
        <v>6</v>
      </c>
      <c r="AD17" s="1">
        <f>IFERROR(VLOOKUP(L17,'Pay Table'!$M$3:$P$15,4,FALSE),"")</f>
        <v>7</v>
      </c>
      <c r="AF17" s="1" t="s">
        <v>369</v>
      </c>
      <c r="AG17" s="1" t="str">
        <f>_xlfn.TEXTJOIN(",",TRUE,Q3:Q248)</f>
        <v>1000,99,12,99,200,99,99,99,2,99,99,300,99,6,99,13,99,9,99,12,99,800,99,99,300,99,99,8,99,99,700,99,99,6,99,99,99,5,99,99,99,4,99,13,99,10,99,700,99,11,99,7,99,13,99,500,99,13,99,3,99,8,99,1000,99,9,99,8,99,500,99,99,99,800,99,9,99,99,13,99,99</v>
      </c>
      <c r="AH17" s="1" t="str">
        <f>IFERROR(VLOOKUP(T17,'Pay Table'!$M$3:$P$15,4,FALSE),"")</f>
        <v/>
      </c>
      <c r="AI17" s="10" t="s">
        <v>355</v>
      </c>
      <c r="AJ17" s="1">
        <f>Respin!A53</f>
        <v>700</v>
      </c>
      <c r="AK17" s="1">
        <f t="array" ref="AK17">SUM(IF($N$3:$N$83=AI17,1,0))</f>
        <v>2</v>
      </c>
      <c r="AL17" s="1">
        <f t="array" ref="AL17">SUM(IF($O$3:$O$83=AI17,1,0))</f>
        <v>0</v>
      </c>
      <c r="BL17" s="59" t="str">
        <f>IFERROR($BM$2&amp;VLOOKUP(B19,'Pay Table'!$M$3:$N$18,2,FALSE)&amp;$BL$2&amp;#REF!&amp;$BN$2,"")</f>
        <v/>
      </c>
      <c r="BM17" s="49" t="str">
        <f>IFERROR($BM$2&amp;VLOOKUP(C19,'Pay Table'!$M$3:$N$18,2,FALSE)&amp;$BL$2&amp;#REF!&amp;$BN$2,"")</f>
        <v/>
      </c>
      <c r="BN17" s="49" t="str">
        <f>IFERROR($BM$2&amp;VLOOKUP(D19,'Pay Table'!$M$3:$N$18,2,FALSE)&amp;$BL$2&amp;#REF!&amp;$BN$2,"")</f>
        <v/>
      </c>
      <c r="BO17" s="49" t="str">
        <f>IFERROR($BM$2&amp;VLOOKUP(E19,'Pay Table'!$M$3:$N$18,2,FALSE)&amp;$BL$2&amp;#REF!&amp;$BN$2,"")</f>
        <v/>
      </c>
      <c r="BP17" s="60" t="str">
        <f>IFERROR($BM$2&amp;VLOOKUP(F19,'Pay Table'!$M$3:$N$18,2,FALSE)&amp;$BL$2&amp;#REF!&amp;$BN$2,"")</f>
        <v/>
      </c>
    </row>
    <row r="18" spans="1:68" ht="17.100000000000001" customHeight="1" x14ac:dyDescent="0.25">
      <c r="A18" s="14">
        <v>16</v>
      </c>
      <c r="B18" s="10" t="s">
        <v>121</v>
      </c>
      <c r="C18" s="39" t="s">
        <v>294</v>
      </c>
      <c r="D18" s="39" t="s">
        <v>125</v>
      </c>
      <c r="E18" s="39" t="s">
        <v>124</v>
      </c>
      <c r="F18" s="39" t="s">
        <v>124</v>
      </c>
      <c r="G18" s="39"/>
      <c r="H18" s="10" t="s">
        <v>121</v>
      </c>
      <c r="I18" s="39" t="s">
        <v>294</v>
      </c>
      <c r="J18" s="39" t="s">
        <v>125</v>
      </c>
      <c r="K18" s="39" t="s">
        <v>124</v>
      </c>
      <c r="L18" s="39" t="s">
        <v>121</v>
      </c>
      <c r="M18" s="39"/>
      <c r="N18" s="39">
        <v>50</v>
      </c>
      <c r="O18" s="39">
        <v>50</v>
      </c>
      <c r="P18" s="39">
        <v>94</v>
      </c>
      <c r="Q18" s="39">
        <f t="shared" si="0"/>
        <v>13</v>
      </c>
      <c r="R18" s="247">
        <f t="shared" si="0"/>
        <v>13</v>
      </c>
      <c r="T18" s="1">
        <f>IFERROR(VLOOKUP(B18,'Pay Table'!$M$3:$P$15,4,FALSE),"")</f>
        <v>6</v>
      </c>
      <c r="U18" s="1">
        <f>IFERROR(VLOOKUP(C18,'Pay Table'!$M$3:$P$15,4,FALSE),"")</f>
        <v>7</v>
      </c>
      <c r="V18" s="1">
        <f>IFERROR(VLOOKUP(D18,'Pay Table'!$M$3:$P$15,4,FALSE),"")</f>
        <v>201</v>
      </c>
      <c r="W18" s="1">
        <f>IFERROR(VLOOKUP(E18,'Pay Table'!$M$3:$P$15,4,FALSE),"")</f>
        <v>200</v>
      </c>
      <c r="X18" s="1">
        <f>IFERROR(VLOOKUP(F18,'Pay Table'!$M$3:$P$15,4,FALSE),"")</f>
        <v>200</v>
      </c>
      <c r="Z18" s="1">
        <f>IFERROR(VLOOKUP(H18,'Pay Table'!$M$3:$P$15,4,FALSE),"")</f>
        <v>6</v>
      </c>
      <c r="AA18" s="1">
        <f>IFERROR(VLOOKUP(I18,'Pay Table'!$M$3:$P$15,4,FALSE),"")</f>
        <v>7</v>
      </c>
      <c r="AB18" s="1">
        <f>IFERROR(VLOOKUP(J18,'Pay Table'!$M$3:$P$15,4,FALSE),"")</f>
        <v>201</v>
      </c>
      <c r="AC18" s="1">
        <f>IFERROR(VLOOKUP(K18,'Pay Table'!$M$3:$P$15,4,FALSE),"")</f>
        <v>200</v>
      </c>
      <c r="AD18" s="1">
        <f>IFERROR(VLOOKUP(L18,'Pay Table'!$M$3:$P$15,4,FALSE),"")</f>
        <v>6</v>
      </c>
      <c r="AF18" s="1" t="s">
        <v>370</v>
      </c>
      <c r="AG18" s="1" t="str">
        <f>_xlfn.TEXTJOIN(",",TRUE,R3:R248)</f>
        <v>5,99,7,99,9,99,99,99,6,99,99,13,99,2,99,13,99,7,99,12,99,6,99,99,12,99,99,8,99,99,13,99,99,6,99,99,99,5,99,99,99,4,99,13,99,10,99,7,99,11,99,2,99,13,99,6,99,13,99,3,99,13,99,5,99,7,99,8,99,11,99,99,99,6,99,10,99,99,3,99,99</v>
      </c>
      <c r="AH18" s="1" t="str">
        <f>IFERROR(VLOOKUP(T18,'Pay Table'!$M$3:$P$15,4,FALSE),"")</f>
        <v/>
      </c>
      <c r="AI18" s="10" t="s">
        <v>356</v>
      </c>
      <c r="AJ18" s="1">
        <f>Respin!A54</f>
        <v>500</v>
      </c>
      <c r="AK18" s="1">
        <f t="array" ref="AK18">SUM(IF($N$3:$N$83=AI18,1,0))</f>
        <v>2</v>
      </c>
      <c r="AL18" s="1">
        <f t="array" ref="AL18">SUM(IF($O$3:$O$83=AI18,1,0))</f>
        <v>0</v>
      </c>
      <c r="BL18" s="59" t="str">
        <f>IFERROR($BM$2&amp;VLOOKUP(B20,'Pay Table'!$M$3:$N$18,2,FALSE)&amp;$BL$2&amp;#REF!&amp;$BN$2,"")</f>
        <v/>
      </c>
      <c r="BM18" s="49" t="str">
        <f>IFERROR($BM$2&amp;VLOOKUP(C20,'Pay Table'!$M$3:$N$18,2,FALSE)&amp;$BL$2&amp;#REF!&amp;$BN$2,"")</f>
        <v/>
      </c>
      <c r="BN18" s="49" t="str">
        <f>IFERROR($BM$2&amp;VLOOKUP(D20,'Pay Table'!$M$3:$N$18,2,FALSE)&amp;$BL$2&amp;#REF!&amp;$BN$2,"")</f>
        <v/>
      </c>
      <c r="BO18" s="49" t="str">
        <f>IFERROR($BM$2&amp;VLOOKUP(E20,'Pay Table'!$M$3:$N$18,2,FALSE)&amp;$BL$2&amp;#REF!&amp;$BN$2,"")</f>
        <v/>
      </c>
      <c r="BP18" s="60" t="str">
        <f>IFERROR($BM$2&amp;VLOOKUP(F20,'Pay Table'!$M$3:$N$18,2,FALSE)&amp;$BL$2&amp;#REF!&amp;$BN$2,"")</f>
        <v/>
      </c>
    </row>
    <row r="19" spans="1:68" ht="17.100000000000001" customHeight="1" x14ac:dyDescent="0.25">
      <c r="A19" s="14">
        <v>17</v>
      </c>
      <c r="B19" s="10" t="s">
        <v>124</v>
      </c>
      <c r="C19" s="39" t="s">
        <v>128</v>
      </c>
      <c r="D19" s="39" t="s">
        <v>126</v>
      </c>
      <c r="E19" s="39" t="s">
        <v>153</v>
      </c>
      <c r="F19" s="39" t="s">
        <v>127</v>
      </c>
      <c r="G19" s="39"/>
      <c r="H19" s="10" t="s">
        <v>124</v>
      </c>
      <c r="I19" s="39" t="s">
        <v>122</v>
      </c>
      <c r="J19" s="39" t="s">
        <v>126</v>
      </c>
      <c r="K19" s="39" t="s">
        <v>292</v>
      </c>
      <c r="L19" s="39" t="s">
        <v>127</v>
      </c>
      <c r="M19" s="39"/>
      <c r="N19" s="39">
        <v>0</v>
      </c>
      <c r="O19" s="39">
        <v>0</v>
      </c>
      <c r="P19" s="39">
        <v>200</v>
      </c>
      <c r="Q19" s="39">
        <f t="shared" si="0"/>
        <v>99</v>
      </c>
      <c r="R19" s="247">
        <f t="shared" si="0"/>
        <v>99</v>
      </c>
      <c r="T19" s="1">
        <f>IFERROR(VLOOKUP(B19,'Pay Table'!$M$3:$P$15,4,FALSE),"")</f>
        <v>200</v>
      </c>
      <c r="U19" s="1">
        <f>IFERROR(VLOOKUP(C19,'Pay Table'!$M$3:$P$15,4,FALSE),"")</f>
        <v>204</v>
      </c>
      <c r="V19" s="1">
        <f>IFERROR(VLOOKUP(D19,'Pay Table'!$M$3:$P$15,4,FALSE),"")</f>
        <v>202</v>
      </c>
      <c r="W19" s="1">
        <f>IFERROR(VLOOKUP(E19,'Pay Table'!$M$3:$P$15,4,FALSE),"")</f>
        <v>200</v>
      </c>
      <c r="X19" s="1">
        <f>IFERROR(VLOOKUP(F19,'Pay Table'!$M$3:$P$15,4,FALSE),"")</f>
        <v>203</v>
      </c>
      <c r="Z19" s="1">
        <f>IFERROR(VLOOKUP(H19,'Pay Table'!$M$3:$P$15,4,FALSE),"")</f>
        <v>200</v>
      </c>
      <c r="AA19" s="1">
        <f>IFERROR(VLOOKUP(I19,'Pay Table'!$M$3:$P$15,4,FALSE),"")</f>
        <v>292</v>
      </c>
      <c r="AB19" s="1">
        <f>IFERROR(VLOOKUP(J19,'Pay Table'!$M$3:$P$15,4,FALSE),"")</f>
        <v>202</v>
      </c>
      <c r="AC19" s="1">
        <f>IFERROR(VLOOKUP(K19,'Pay Table'!$M$3:$P$15,4,FALSE),"")</f>
        <v>5</v>
      </c>
      <c r="AD19" s="1">
        <f>IFERROR(VLOOKUP(L19,'Pay Table'!$M$3:$P$15,4,FALSE),"")</f>
        <v>203</v>
      </c>
      <c r="AF19" s="1" t="s">
        <v>371</v>
      </c>
      <c r="AG19" s="1" t="str">
        <f>_xlfn.TEXTJOIN(",",TRUE,P3:P248)</f>
        <v>200,200,94,94,94,200,200,200,95,200,200,94,200,200,94,94,200,200,200,95,200,200,200,94,200,200,94,94,200,200,200,94</v>
      </c>
      <c r="AH19" s="1" t="str">
        <f>IFERROR(VLOOKUP(T19,'Pay Table'!$M$3:$P$15,4,FALSE),"")</f>
        <v/>
      </c>
      <c r="AI19" s="10" t="s">
        <v>357</v>
      </c>
      <c r="AJ19" s="1">
        <f>Respin!A55</f>
        <v>300</v>
      </c>
      <c r="AK19" s="1">
        <f t="array" ref="AK19">SUM(IF($N$3:$N$83=AI19,1,0))</f>
        <v>2</v>
      </c>
      <c r="AL19" s="1">
        <f t="array" ref="AL19">SUM(IF($O$3:$O$83=AI19,1,0))</f>
        <v>0</v>
      </c>
      <c r="BL19" s="59" t="str">
        <f>IFERROR($BM$2&amp;VLOOKUP(B21,'Pay Table'!$M$3:$N$18,2,FALSE)&amp;$BL$2&amp;#REF!&amp;$BN$2,"")</f>
        <v/>
      </c>
      <c r="BM19" s="49" t="str">
        <f>IFERROR($BM$2&amp;VLOOKUP(C21,'Pay Table'!$M$3:$N$18,2,FALSE)&amp;$BL$2&amp;#REF!&amp;$BN$2,"")</f>
        <v/>
      </c>
      <c r="BN19" s="49" t="str">
        <f>IFERROR($BM$2&amp;VLOOKUP(D21,'Pay Table'!$M$3:$N$18,2,FALSE)&amp;$BL$2&amp;#REF!&amp;$BN$2,"")</f>
        <v/>
      </c>
      <c r="BO19" s="49" t="str">
        <f>IFERROR($BM$2&amp;VLOOKUP(E21,'Pay Table'!$M$3:$N$18,2,FALSE)&amp;$BL$2&amp;#REF!&amp;$BN$2,"")</f>
        <v/>
      </c>
      <c r="BP19" s="60" t="str">
        <f>IFERROR($BM$2&amp;VLOOKUP(F21,'Pay Table'!$M$3:$N$18,2,FALSE)&amp;$BL$2&amp;#REF!&amp;$BN$2,"")</f>
        <v/>
      </c>
    </row>
    <row r="20" spans="1:68" ht="17.100000000000001" customHeight="1" x14ac:dyDescent="0.25">
      <c r="A20" s="14">
        <v>18</v>
      </c>
      <c r="B20" s="10" t="s">
        <v>153</v>
      </c>
      <c r="C20" s="39" t="s">
        <v>293</v>
      </c>
      <c r="D20" s="39" t="s">
        <v>122</v>
      </c>
      <c r="E20" s="39" t="s">
        <v>153</v>
      </c>
      <c r="F20" s="39" t="s">
        <v>294</v>
      </c>
      <c r="G20" s="39"/>
      <c r="H20" s="10" t="s">
        <v>153</v>
      </c>
      <c r="I20" s="39" t="s">
        <v>122</v>
      </c>
      <c r="J20" s="39" t="s">
        <v>122</v>
      </c>
      <c r="K20" s="39" t="s">
        <v>122</v>
      </c>
      <c r="L20" s="39" t="s">
        <v>294</v>
      </c>
      <c r="M20" s="39"/>
      <c r="N20" s="39">
        <v>250</v>
      </c>
      <c r="O20" s="39">
        <v>750</v>
      </c>
      <c r="P20" s="39">
        <v>200</v>
      </c>
      <c r="Q20" s="39">
        <f t="shared" si="0"/>
        <v>9</v>
      </c>
      <c r="R20" s="247">
        <f t="shared" si="0"/>
        <v>7</v>
      </c>
      <c r="T20" s="1">
        <f>IFERROR(VLOOKUP(B20,'Pay Table'!$M$3:$P$15,4,FALSE),"")</f>
        <v>200</v>
      </c>
      <c r="U20" s="1">
        <f>IFERROR(VLOOKUP(C20,'Pay Table'!$M$3:$P$15,4,FALSE),"")</f>
        <v>6</v>
      </c>
      <c r="V20" s="1">
        <f>IFERROR(VLOOKUP(D20,'Pay Table'!$M$3:$P$15,4,FALSE),"")</f>
        <v>292</v>
      </c>
      <c r="W20" s="1">
        <f>IFERROR(VLOOKUP(E20,'Pay Table'!$M$3:$P$15,4,FALSE),"")</f>
        <v>200</v>
      </c>
      <c r="X20" s="1">
        <f>IFERROR(VLOOKUP(F20,'Pay Table'!$M$3:$P$15,4,FALSE),"")</f>
        <v>7</v>
      </c>
      <c r="Z20" s="1">
        <f>IFERROR(VLOOKUP(H20,'Pay Table'!$M$3:$P$15,4,FALSE),"")</f>
        <v>200</v>
      </c>
      <c r="AA20" s="1">
        <f>IFERROR(VLOOKUP(I20,'Pay Table'!$M$3:$P$15,4,FALSE),"")</f>
        <v>292</v>
      </c>
      <c r="AB20" s="1">
        <f>IFERROR(VLOOKUP(J20,'Pay Table'!$M$3:$P$15,4,FALSE),"")</f>
        <v>292</v>
      </c>
      <c r="AC20" s="1">
        <f>IFERROR(VLOOKUP(K20,'Pay Table'!$M$3:$P$15,4,FALSE),"")</f>
        <v>292</v>
      </c>
      <c r="AD20" s="1">
        <f>IFERROR(VLOOKUP(L20,'Pay Table'!$M$3:$P$15,4,FALSE),"")</f>
        <v>7</v>
      </c>
      <c r="AG20" s="1" t="str">
        <f>IFERROR(VLOOKUP(R14,'Pay Table'!$M$3:$P$15,4,FALSE),"")</f>
        <v/>
      </c>
      <c r="AH20" s="1" t="str">
        <f>IFERROR(VLOOKUP(T20,'Pay Table'!$M$3:$P$15,4,FALSE),"")</f>
        <v/>
      </c>
      <c r="AI20" s="10" t="s">
        <v>358</v>
      </c>
      <c r="AJ20" s="1">
        <f>Respin!A56</f>
        <v>200</v>
      </c>
      <c r="AK20" s="1">
        <f t="array" ref="AK20">SUM(IF($N$3:$N$83=AI20,1,0))</f>
        <v>1</v>
      </c>
      <c r="AL20" s="1">
        <f t="array" ref="AL20">SUM(IF($O$3:$O$83=AI20,1,0))</f>
        <v>0</v>
      </c>
      <c r="BL20" s="59" t="str">
        <f>IFERROR($BM$2&amp;VLOOKUP(B22,'Pay Table'!$M$3:$N$18,2,FALSE)&amp;$BL$2&amp;#REF!&amp;$BN$2,"")</f>
        <v/>
      </c>
      <c r="BM20" s="49" t="str">
        <f>IFERROR($BM$2&amp;VLOOKUP(C22,'Pay Table'!$M$3:$N$18,2,FALSE)&amp;$BL$2&amp;#REF!&amp;$BN$2,"")</f>
        <v/>
      </c>
      <c r="BN20" s="49" t="str">
        <f>IFERROR($BM$2&amp;VLOOKUP(D22,'Pay Table'!$M$3:$N$18,2,FALSE)&amp;$BL$2&amp;#REF!&amp;$BN$2,"")</f>
        <v/>
      </c>
      <c r="BO20" s="49" t="str">
        <f>IFERROR($BM$2&amp;VLOOKUP(E22,'Pay Table'!$M$3:$N$18,2,FALSE)&amp;$BL$2&amp;#REF!&amp;$BN$2,"")</f>
        <v/>
      </c>
      <c r="BP20" s="60" t="str">
        <f>IFERROR($BM$2&amp;VLOOKUP(F22,'Pay Table'!$M$3:$N$18,2,FALSE)&amp;$BL$2&amp;#REF!&amp;$BN$2,"")</f>
        <v/>
      </c>
    </row>
    <row r="21" spans="1:68" ht="17.100000000000001" customHeight="1" x14ac:dyDescent="0.25">
      <c r="A21" s="14">
        <v>19</v>
      </c>
      <c r="B21" s="10" t="s">
        <v>119</v>
      </c>
      <c r="C21" s="39" t="s">
        <v>153</v>
      </c>
      <c r="D21" s="39" t="s">
        <v>295</v>
      </c>
      <c r="E21" s="39" t="s">
        <v>126</v>
      </c>
      <c r="F21" s="39" t="s">
        <v>293</v>
      </c>
      <c r="G21" s="39"/>
      <c r="H21" s="10" t="s">
        <v>119</v>
      </c>
      <c r="I21" s="39" t="s">
        <v>122</v>
      </c>
      <c r="J21" s="39" t="s">
        <v>122</v>
      </c>
      <c r="K21" s="39" t="s">
        <v>122</v>
      </c>
      <c r="L21" s="39" t="s">
        <v>293</v>
      </c>
      <c r="M21" s="39"/>
      <c r="N21" s="39">
        <v>0</v>
      </c>
      <c r="O21" s="39">
        <v>0</v>
      </c>
      <c r="P21" s="39">
        <v>200</v>
      </c>
      <c r="Q21" s="39">
        <f t="shared" si="0"/>
        <v>99</v>
      </c>
      <c r="R21" s="247">
        <f t="shared" si="0"/>
        <v>99</v>
      </c>
      <c r="T21" s="1">
        <f>IFERROR(VLOOKUP(B21,'Pay Table'!$M$3:$P$15,4,FALSE),"")</f>
        <v>7</v>
      </c>
      <c r="U21" s="1">
        <f>IFERROR(VLOOKUP(C21,'Pay Table'!$M$3:$P$15,4,FALSE),"")</f>
        <v>200</v>
      </c>
      <c r="V21" s="1">
        <f>IFERROR(VLOOKUP(D21,'Pay Table'!$M$3:$P$15,4,FALSE),"")</f>
        <v>8</v>
      </c>
      <c r="W21" s="1">
        <f>IFERROR(VLOOKUP(E21,'Pay Table'!$M$3:$P$15,4,FALSE),"")</f>
        <v>202</v>
      </c>
      <c r="X21" s="1">
        <f>IFERROR(VLOOKUP(F21,'Pay Table'!$M$3:$P$15,4,FALSE),"")</f>
        <v>6</v>
      </c>
      <c r="Z21" s="1">
        <f>IFERROR(VLOOKUP(H21,'Pay Table'!$M$3:$P$15,4,FALSE),"")</f>
        <v>7</v>
      </c>
      <c r="AA21" s="1">
        <f>IFERROR(VLOOKUP(I21,'Pay Table'!$M$3:$P$15,4,FALSE),"")</f>
        <v>292</v>
      </c>
      <c r="AB21" s="1">
        <f>IFERROR(VLOOKUP(J21,'Pay Table'!$M$3:$P$15,4,FALSE),"")</f>
        <v>292</v>
      </c>
      <c r="AC21" s="1">
        <f>IFERROR(VLOOKUP(K21,'Pay Table'!$M$3:$P$15,4,FALSE),"")</f>
        <v>292</v>
      </c>
      <c r="AD21" s="1">
        <f>IFERROR(VLOOKUP(L21,'Pay Table'!$M$3:$P$15,4,FALSE),"")</f>
        <v>6</v>
      </c>
      <c r="AG21" s="1" t="str">
        <f>IFERROR(VLOOKUP(R21,'Pay Table'!$M$3:$P$15,4,FALSE),"")</f>
        <v/>
      </c>
      <c r="AH21" s="1" t="str">
        <f>IFERROR(VLOOKUP(T21,'Pay Table'!$M$3:$P$15,4,FALSE),"")</f>
        <v/>
      </c>
      <c r="AJ21" s="1" t="str">
        <f>IFERROR(VLOOKUP(V21,'Pay Table'!$M$3:$P$15,4,FALSE),"")</f>
        <v/>
      </c>
      <c r="AK21" s="1" t="str">
        <f>IFERROR(VLOOKUP(#REF!,'Pay Table'!$M$3:$P$15,4,FALSE),"")</f>
        <v/>
      </c>
      <c r="BL21" s="59" t="str">
        <f>IFERROR($BM$2&amp;VLOOKUP(B23,'Pay Table'!$M$3:$N$18,2,FALSE)&amp;$BL$2&amp;#REF!&amp;$BN$2,"")</f>
        <v/>
      </c>
      <c r="BM21" s="49" t="str">
        <f>IFERROR($BM$2&amp;VLOOKUP(C23,'Pay Table'!$M$3:$N$18,2,FALSE)&amp;$BL$2&amp;#REF!&amp;$BN$2,"")</f>
        <v/>
      </c>
      <c r="BN21" s="49" t="str">
        <f>IFERROR($BM$2&amp;VLOOKUP(D23,'Pay Table'!$M$3:$N$18,2,FALSE)&amp;$BL$2&amp;#REF!&amp;$BN$2,"")</f>
        <v/>
      </c>
      <c r="BO21" s="49" t="str">
        <f>IFERROR($BM$2&amp;VLOOKUP(E23,'Pay Table'!$M$3:$N$18,2,FALSE)&amp;$BL$2&amp;#REF!&amp;$BN$2,"")</f>
        <v/>
      </c>
      <c r="BP21" s="60" t="str">
        <f>IFERROR($BM$2&amp;VLOOKUP(F23,'Pay Table'!$M$3:$N$18,2,FALSE)&amp;$BL$2&amp;#REF!&amp;$BN$2,"")</f>
        <v/>
      </c>
    </row>
    <row r="22" spans="1:68" ht="17.100000000000001" customHeight="1" x14ac:dyDescent="0.25">
      <c r="A22" s="14">
        <v>20</v>
      </c>
      <c r="B22" s="10" t="s">
        <v>152</v>
      </c>
      <c r="C22" s="39" t="s">
        <v>153</v>
      </c>
      <c r="D22" s="39" t="s">
        <v>128</v>
      </c>
      <c r="E22" s="39" t="s">
        <v>125</v>
      </c>
      <c r="F22" s="39" t="s">
        <v>125</v>
      </c>
      <c r="G22" s="39"/>
      <c r="H22" s="10" t="s">
        <v>120</v>
      </c>
      <c r="I22" s="39" t="s">
        <v>294</v>
      </c>
      <c r="J22" s="39" t="s">
        <v>122</v>
      </c>
      <c r="K22" s="39" t="s">
        <v>122</v>
      </c>
      <c r="L22" s="39" t="s">
        <v>125</v>
      </c>
      <c r="M22" s="39"/>
      <c r="N22" s="39">
        <v>100</v>
      </c>
      <c r="O22" s="39">
        <v>100</v>
      </c>
      <c r="P22" s="39">
        <v>95</v>
      </c>
      <c r="Q22" s="39">
        <f t="shared" si="0"/>
        <v>12</v>
      </c>
      <c r="R22" s="247">
        <f t="shared" si="0"/>
        <v>12</v>
      </c>
      <c r="T22" s="1">
        <f>IFERROR(VLOOKUP(B22,'Pay Table'!$M$3:$P$15,4,FALSE),"")</f>
        <v>201</v>
      </c>
      <c r="U22" s="1">
        <f>IFERROR(VLOOKUP(C22,'Pay Table'!$M$3:$P$15,4,FALSE),"")</f>
        <v>200</v>
      </c>
      <c r="V22" s="1">
        <f>IFERROR(VLOOKUP(D22,'Pay Table'!$M$3:$P$15,4,FALSE),"")</f>
        <v>204</v>
      </c>
      <c r="W22" s="1">
        <f>IFERROR(VLOOKUP(E22,'Pay Table'!$M$3:$P$15,4,FALSE),"")</f>
        <v>201</v>
      </c>
      <c r="X22" s="1">
        <f>IFERROR(VLOOKUP(F22,'Pay Table'!$M$3:$P$15,4,FALSE),"")</f>
        <v>201</v>
      </c>
      <c r="Z22" s="1">
        <f>IFERROR(VLOOKUP(H22,'Pay Table'!$M$3:$P$15,4,FALSE),"")</f>
        <v>8</v>
      </c>
      <c r="AA22" s="1">
        <f>IFERROR(VLOOKUP(I22,'Pay Table'!$M$3:$P$15,4,FALSE),"")</f>
        <v>7</v>
      </c>
      <c r="AB22" s="1">
        <f>IFERROR(VLOOKUP(J22,'Pay Table'!$M$3:$P$15,4,FALSE),"")</f>
        <v>292</v>
      </c>
      <c r="AC22" s="1">
        <f>IFERROR(VLOOKUP(K22,'Pay Table'!$M$3:$P$15,4,FALSE),"")</f>
        <v>292</v>
      </c>
      <c r="AD22" s="1">
        <f>IFERROR(VLOOKUP(L22,'Pay Table'!$M$3:$P$15,4,FALSE),"")</f>
        <v>201</v>
      </c>
      <c r="AG22" s="1" t="str">
        <f>IFERROR(VLOOKUP(R22,'Pay Table'!$M$3:$P$15,4,FALSE),"")</f>
        <v/>
      </c>
      <c r="AH22" s="1" t="str">
        <f>IFERROR(VLOOKUP(T22,'Pay Table'!$M$3:$P$15,4,FALSE),"")</f>
        <v/>
      </c>
      <c r="AI22" s="1" t="str">
        <f>IFERROR(VLOOKUP(U22,'Pay Table'!$M$3:$P$15,4,FALSE),"")</f>
        <v/>
      </c>
      <c r="AJ22" s="1" t="str">
        <f>IFERROR(VLOOKUP(V22,'Pay Table'!$M$3:$P$15,4,FALSE),"")</f>
        <v/>
      </c>
      <c r="AK22" s="1" t="str">
        <f>IFERROR(VLOOKUP(#REF!,'Pay Table'!$M$3:$P$15,4,FALSE),"")</f>
        <v/>
      </c>
      <c r="BL22" s="59" t="str">
        <f>IFERROR($BM$2&amp;VLOOKUP(B24,'Pay Table'!$M$3:$N$18,2,FALSE)&amp;$BL$2&amp;#REF!&amp;$BN$2,"")</f>
        <v/>
      </c>
      <c r="BM22" s="49" t="str">
        <f>IFERROR($BM$2&amp;VLOOKUP(C24,'Pay Table'!$M$3:$N$18,2,FALSE)&amp;$BL$2&amp;#REF!&amp;$BN$2,"")</f>
        <v/>
      </c>
      <c r="BN22" s="49" t="str">
        <f>IFERROR($BM$2&amp;VLOOKUP(D24,'Pay Table'!$M$3:$N$18,2,FALSE)&amp;$BL$2&amp;#REF!&amp;$BN$2,"")</f>
        <v/>
      </c>
      <c r="BO22" s="49" t="str">
        <f>IFERROR($BM$2&amp;VLOOKUP(E24,'Pay Table'!$M$3:$N$18,2,FALSE)&amp;$BL$2&amp;#REF!&amp;$BN$2,"")</f>
        <v/>
      </c>
      <c r="BP22" s="60" t="str">
        <f>IFERROR($BM$2&amp;VLOOKUP(F24,'Pay Table'!$M$3:$N$18,2,FALSE)&amp;$BL$2&amp;#REF!&amp;$BN$2,"")</f>
        <v/>
      </c>
    </row>
    <row r="23" spans="1:68" ht="17.100000000000001" customHeight="1" x14ac:dyDescent="0.25">
      <c r="A23" s="14">
        <v>21</v>
      </c>
      <c r="B23" s="10" t="s">
        <v>125</v>
      </c>
      <c r="C23" s="39" t="s">
        <v>128</v>
      </c>
      <c r="D23" s="39" t="s">
        <v>292</v>
      </c>
      <c r="E23" s="39" t="s">
        <v>124</v>
      </c>
      <c r="F23" s="39" t="s">
        <v>152</v>
      </c>
      <c r="G23" s="39"/>
      <c r="H23" s="10" t="s">
        <v>125</v>
      </c>
      <c r="I23" s="39" t="s">
        <v>128</v>
      </c>
      <c r="J23" s="39" t="s">
        <v>292</v>
      </c>
      <c r="K23" s="39" t="s">
        <v>124</v>
      </c>
      <c r="L23" s="39" t="s">
        <v>152</v>
      </c>
      <c r="M23" s="39"/>
      <c r="N23" s="39">
        <v>0</v>
      </c>
      <c r="O23" s="39">
        <v>0</v>
      </c>
      <c r="P23" s="39">
        <v>200</v>
      </c>
      <c r="Q23" s="39">
        <f t="shared" si="0"/>
        <v>99</v>
      </c>
      <c r="R23" s="247">
        <f t="shared" si="0"/>
        <v>99</v>
      </c>
      <c r="T23" s="1">
        <f>IFERROR(VLOOKUP(B23,'Pay Table'!$M$3:$P$15,4,FALSE),"")</f>
        <v>201</v>
      </c>
      <c r="U23" s="1">
        <f>IFERROR(VLOOKUP(C23,'Pay Table'!$M$3:$P$15,4,FALSE),"")</f>
        <v>204</v>
      </c>
      <c r="V23" s="1">
        <f>IFERROR(VLOOKUP(D23,'Pay Table'!$M$3:$P$15,4,FALSE),"")</f>
        <v>5</v>
      </c>
      <c r="W23" s="1">
        <f>IFERROR(VLOOKUP(E23,'Pay Table'!$M$3:$P$15,4,FALSE),"")</f>
        <v>200</v>
      </c>
      <c r="X23" s="1">
        <f>IFERROR(VLOOKUP(F23,'Pay Table'!$M$3:$P$15,4,FALSE),"")</f>
        <v>201</v>
      </c>
      <c r="Z23" s="1">
        <f>IFERROR(VLOOKUP(H23,'Pay Table'!$M$3:$P$15,4,FALSE),"")</f>
        <v>201</v>
      </c>
      <c r="AA23" s="1">
        <f>IFERROR(VLOOKUP(I23,'Pay Table'!$M$3:$P$15,4,FALSE),"")</f>
        <v>204</v>
      </c>
      <c r="AB23" s="1">
        <f>IFERROR(VLOOKUP(J23,'Pay Table'!$M$3:$P$15,4,FALSE),"")</f>
        <v>5</v>
      </c>
      <c r="AC23" s="1">
        <f>IFERROR(VLOOKUP(K23,'Pay Table'!$M$3:$P$15,4,FALSE),"")</f>
        <v>200</v>
      </c>
      <c r="AD23" s="1">
        <f>IFERROR(VLOOKUP(L23,'Pay Table'!$M$3:$P$15,4,FALSE),"")</f>
        <v>201</v>
      </c>
      <c r="AG23" s="1" t="str">
        <f>IFERROR(VLOOKUP(R23,'Pay Table'!$M$3:$P$15,4,FALSE),"")</f>
        <v/>
      </c>
      <c r="AH23" s="1" t="str">
        <f>IFERROR(VLOOKUP(T23,'Pay Table'!$M$3:$P$15,4,FALSE),"")</f>
        <v/>
      </c>
      <c r="AI23" s="1" t="str">
        <f>IFERROR(VLOOKUP(U23,'Pay Table'!$M$3:$P$15,4,FALSE),"")</f>
        <v/>
      </c>
      <c r="AJ23" s="1" t="str">
        <f>IFERROR(VLOOKUP(V23,'Pay Table'!$M$3:$P$15,4,FALSE),"")</f>
        <v/>
      </c>
      <c r="AK23" s="1" t="str">
        <f>IFERROR(VLOOKUP(#REF!,'Pay Table'!$M$3:$P$15,4,FALSE),"")</f>
        <v/>
      </c>
      <c r="BL23" s="59" t="str">
        <f>IFERROR($BM$2&amp;VLOOKUP(B25,'Pay Table'!$M$3:$N$18,2,FALSE)&amp;$BL$2&amp;#REF!&amp;$BN$2,"")</f>
        <v/>
      </c>
      <c r="BM23" s="49" t="str">
        <f>IFERROR($BM$2&amp;VLOOKUP(C25,'Pay Table'!$M$3:$N$18,2,FALSE)&amp;$BL$2&amp;#REF!&amp;$BN$2,"")</f>
        <v/>
      </c>
      <c r="BN23" s="49" t="str">
        <f>IFERROR($BM$2&amp;VLOOKUP(D25,'Pay Table'!$M$3:$N$18,2,FALSE)&amp;$BL$2&amp;#REF!&amp;$BN$2,"")</f>
        <v/>
      </c>
      <c r="BO23" s="49" t="str">
        <f>IFERROR($BM$2&amp;VLOOKUP(E25,'Pay Table'!$M$3:$N$18,2,FALSE)&amp;$BL$2&amp;#REF!&amp;$BN$2,"")</f>
        <v/>
      </c>
      <c r="BP23" s="60" t="str">
        <f>IFERROR($BM$2&amp;VLOOKUP(F25,'Pay Table'!$M$3:$N$18,2,FALSE)&amp;$BL$2&amp;#REF!&amp;$BN$2,"")</f>
        <v/>
      </c>
    </row>
    <row r="24" spans="1:68" ht="17.100000000000001" customHeight="1" x14ac:dyDescent="0.25">
      <c r="A24" s="14">
        <v>22</v>
      </c>
      <c r="B24" s="10" t="s">
        <v>152</v>
      </c>
      <c r="C24" s="39" t="s">
        <v>292</v>
      </c>
      <c r="D24" s="39" t="s">
        <v>125</v>
      </c>
      <c r="E24" s="39" t="s">
        <v>14</v>
      </c>
      <c r="F24" s="39" t="s">
        <v>152</v>
      </c>
      <c r="G24" s="39"/>
      <c r="H24" s="10" t="s">
        <v>119</v>
      </c>
      <c r="I24" s="39" t="s">
        <v>292</v>
      </c>
      <c r="J24" s="39" t="s">
        <v>125</v>
      </c>
      <c r="K24" s="39" t="s">
        <v>364</v>
      </c>
      <c r="L24" s="39" t="s">
        <v>127</v>
      </c>
      <c r="M24" s="39"/>
      <c r="N24" s="39" t="s">
        <v>354</v>
      </c>
      <c r="O24" s="39">
        <v>2500</v>
      </c>
      <c r="P24" s="39">
        <v>200</v>
      </c>
      <c r="Q24" s="39">
        <f t="shared" si="0"/>
        <v>800</v>
      </c>
      <c r="R24" s="247">
        <f t="shared" si="0"/>
        <v>6</v>
      </c>
      <c r="T24" s="1">
        <f>IFERROR(VLOOKUP(B24,'Pay Table'!$M$3:$P$15,4,FALSE),"")</f>
        <v>201</v>
      </c>
      <c r="U24" s="1">
        <f>IFERROR(VLOOKUP(C24,'Pay Table'!$M$3:$P$15,4,FALSE),"")</f>
        <v>5</v>
      </c>
      <c r="V24" s="1">
        <f>IFERROR(VLOOKUP(D24,'Pay Table'!$M$3:$P$15,4,FALSE),"")</f>
        <v>201</v>
      </c>
      <c r="W24" s="1">
        <f>IFERROR(VLOOKUP(E24,'Pay Table'!$M$3:$P$15,4,FALSE),"")</f>
        <v>290</v>
      </c>
      <c r="X24" s="1">
        <f>IFERROR(VLOOKUP(F24,'Pay Table'!$M$3:$P$15,4,FALSE),"")</f>
        <v>201</v>
      </c>
      <c r="Z24" s="1">
        <f>IFERROR(VLOOKUP(H24,'Pay Table'!$M$3:$P$15,4,FALSE),"")</f>
        <v>7</v>
      </c>
      <c r="AA24" s="1">
        <f>IFERROR(VLOOKUP(I24,'Pay Table'!$M$3:$P$15,4,FALSE),"")</f>
        <v>5</v>
      </c>
      <c r="AB24" s="1">
        <f>IFERROR(VLOOKUP(J24,'Pay Table'!$M$3:$P$15,4,FALSE),"")</f>
        <v>201</v>
      </c>
      <c r="AC24" s="1">
        <f>IFERROR(VLOOKUP(K24,'Pay Table'!$M$3:$P$15,4,FALSE),"")</f>
        <v>294</v>
      </c>
      <c r="AD24" s="1">
        <f>IFERROR(VLOOKUP(L24,'Pay Table'!$M$3:$P$15,4,FALSE),"")</f>
        <v>203</v>
      </c>
      <c r="AG24" s="1" t="str">
        <f>IFERROR(VLOOKUP(R24,'Pay Table'!$M$3:$P$15,4,FALSE),"")</f>
        <v/>
      </c>
      <c r="AH24" s="1" t="str">
        <f>IFERROR(VLOOKUP(T24,'Pay Table'!$M$3:$P$15,4,FALSE),"")</f>
        <v/>
      </c>
      <c r="AI24" s="1" t="str">
        <f>IFERROR(VLOOKUP(U24,'Pay Table'!$M$3:$P$15,4,FALSE),"")</f>
        <v/>
      </c>
      <c r="AJ24" s="1" t="str">
        <f>IFERROR(VLOOKUP(V24,'Pay Table'!$M$3:$P$15,4,FALSE),"")</f>
        <v/>
      </c>
      <c r="AK24" s="1" t="str">
        <f>IFERROR(VLOOKUP(#REF!,'Pay Table'!$M$3:$P$15,4,FALSE),"")</f>
        <v/>
      </c>
      <c r="BL24" s="59" t="str">
        <f>IFERROR($BM$2&amp;VLOOKUP(B26,'Pay Table'!$M$3:$N$18,2,FALSE)&amp;$BL$2&amp;#REF!&amp;$BN$2,"")</f>
        <v/>
      </c>
      <c r="BM24" s="49" t="str">
        <f>IFERROR($BM$2&amp;VLOOKUP(C26,'Pay Table'!$M$3:$N$18,2,FALSE)&amp;$BL$2&amp;#REF!&amp;$BN$2,"")</f>
        <v/>
      </c>
      <c r="BN24" s="49" t="str">
        <f>IFERROR($BM$2&amp;VLOOKUP(D26,'Pay Table'!$M$3:$N$18,2,FALSE)&amp;$BL$2&amp;#REF!&amp;$BN$2,"")</f>
        <v/>
      </c>
      <c r="BO24" s="49" t="str">
        <f>IFERROR($BM$2&amp;VLOOKUP(E26,'Pay Table'!$M$3:$N$18,2,FALSE)&amp;$BL$2&amp;#REF!&amp;$BN$2,"")</f>
        <v/>
      </c>
      <c r="BP24" s="60" t="str">
        <f>IFERROR($BM$2&amp;VLOOKUP(F26,'Pay Table'!$M$3:$N$18,2,FALSE)&amp;$BL$2&amp;#REF!&amp;$BN$2,"")</f>
        <v/>
      </c>
    </row>
    <row r="25" spans="1:68" ht="17.100000000000001" customHeight="1" x14ac:dyDescent="0.25">
      <c r="A25" s="14">
        <v>23</v>
      </c>
      <c r="B25" s="10" t="s">
        <v>128</v>
      </c>
      <c r="C25" s="39" t="s">
        <v>14</v>
      </c>
      <c r="D25" s="39" t="s">
        <v>121</v>
      </c>
      <c r="E25" s="39" t="s">
        <v>292</v>
      </c>
      <c r="F25" s="39" t="s">
        <v>121</v>
      </c>
      <c r="G25" s="39"/>
      <c r="H25" s="10" t="s">
        <v>128</v>
      </c>
      <c r="I25" s="39" t="s">
        <v>364</v>
      </c>
      <c r="J25" s="39" t="s">
        <v>152</v>
      </c>
      <c r="K25" s="39" t="s">
        <v>292</v>
      </c>
      <c r="L25" s="39" t="s">
        <v>47</v>
      </c>
      <c r="M25" s="39"/>
      <c r="N25" s="39">
        <v>0</v>
      </c>
      <c r="O25" s="39">
        <v>0</v>
      </c>
      <c r="P25" s="39">
        <v>200</v>
      </c>
      <c r="Q25" s="39">
        <f t="shared" si="0"/>
        <v>99</v>
      </c>
      <c r="R25" s="247">
        <f t="shared" si="0"/>
        <v>99</v>
      </c>
      <c r="T25" s="1">
        <f>IFERROR(VLOOKUP(B25,'Pay Table'!$M$3:$P$15,4,FALSE),"")</f>
        <v>204</v>
      </c>
      <c r="U25" s="1">
        <f>IFERROR(VLOOKUP(C25,'Pay Table'!$M$3:$P$15,4,FALSE),"")</f>
        <v>290</v>
      </c>
      <c r="V25" s="1">
        <f>IFERROR(VLOOKUP(D25,'Pay Table'!$M$3:$P$15,4,FALSE),"")</f>
        <v>6</v>
      </c>
      <c r="W25" s="1">
        <f>IFERROR(VLOOKUP(E25,'Pay Table'!$M$3:$P$15,4,FALSE),"")</f>
        <v>5</v>
      </c>
      <c r="X25" s="1">
        <f>IFERROR(VLOOKUP(F25,'Pay Table'!$M$3:$P$15,4,FALSE),"")</f>
        <v>6</v>
      </c>
      <c r="Z25" s="1">
        <f>IFERROR(VLOOKUP(H25,'Pay Table'!$M$3:$P$15,4,FALSE),"")</f>
        <v>204</v>
      </c>
      <c r="AA25" s="1">
        <f>IFERROR(VLOOKUP(I25,'Pay Table'!$M$3:$P$15,4,FALSE),"")</f>
        <v>294</v>
      </c>
      <c r="AB25" s="1">
        <f>IFERROR(VLOOKUP(J25,'Pay Table'!$M$3:$P$15,4,FALSE),"")</f>
        <v>201</v>
      </c>
      <c r="AC25" s="1">
        <f>IFERROR(VLOOKUP(K25,'Pay Table'!$M$3:$P$15,4,FALSE),"")</f>
        <v>5</v>
      </c>
      <c r="AD25" s="1">
        <f>IFERROR(VLOOKUP(L25,'Pay Table'!$M$3:$P$15,4,FALSE),"")</f>
        <v>294</v>
      </c>
      <c r="AG25" s="1" t="str">
        <f>IFERROR(VLOOKUP(R25,'Pay Table'!$M$3:$P$15,4,FALSE),"")</f>
        <v/>
      </c>
      <c r="AH25" s="1" t="str">
        <f>IFERROR(VLOOKUP(T25,'Pay Table'!$M$3:$P$15,4,FALSE),"")</f>
        <v/>
      </c>
      <c r="AI25" s="1" t="str">
        <f>IFERROR(VLOOKUP(U25,'Pay Table'!$M$3:$P$15,4,FALSE),"")</f>
        <v/>
      </c>
      <c r="AJ25" s="1" t="str">
        <f>IFERROR(VLOOKUP(V25,'Pay Table'!$M$3:$P$15,4,FALSE),"")</f>
        <v/>
      </c>
      <c r="AK25" s="1" t="str">
        <f>IFERROR(VLOOKUP(#REF!,'Pay Table'!$M$3:$P$15,4,FALSE),"")</f>
        <v/>
      </c>
      <c r="BL25" s="59" t="str">
        <f>IFERROR($BM$2&amp;VLOOKUP(B27,'Pay Table'!$M$3:$N$18,2,FALSE)&amp;$BL$2&amp;#REF!&amp;$BN$2,"")</f>
        <v/>
      </c>
      <c r="BM25" s="49" t="str">
        <f>IFERROR($BM$2&amp;VLOOKUP(C27,'Pay Table'!$M$3:$N$18,2,FALSE)&amp;$BL$2&amp;#REF!&amp;$BN$2,"")</f>
        <v/>
      </c>
      <c r="BN25" s="49" t="str">
        <f>IFERROR($BM$2&amp;VLOOKUP(D27,'Pay Table'!$M$3:$N$18,2,FALSE)&amp;$BL$2&amp;#REF!&amp;$BN$2,"")</f>
        <v/>
      </c>
      <c r="BO25" s="49" t="str">
        <f>IFERROR($BM$2&amp;VLOOKUP(E27,'Pay Table'!$M$3:$N$18,2,FALSE)&amp;$BL$2&amp;#REF!&amp;$BN$2,"")</f>
        <v/>
      </c>
      <c r="BP25" s="60" t="str">
        <f>IFERROR($BM$2&amp;VLOOKUP(F27,'Pay Table'!$M$3:$N$18,2,FALSE)&amp;$BL$2&amp;#REF!&amp;$BN$2,"")</f>
        <v/>
      </c>
    </row>
    <row r="26" spans="1:68" ht="17.100000000000001" customHeight="1" x14ac:dyDescent="0.25">
      <c r="A26" s="14">
        <v>24</v>
      </c>
      <c r="B26" s="10" t="s">
        <v>47</v>
      </c>
      <c r="C26" s="39" t="s">
        <v>293</v>
      </c>
      <c r="D26" s="39" t="s">
        <v>295</v>
      </c>
      <c r="E26" s="39" t="s">
        <v>125</v>
      </c>
      <c r="F26" s="39" t="s">
        <v>295</v>
      </c>
      <c r="G26" s="39"/>
      <c r="H26" s="10" t="s">
        <v>47</v>
      </c>
      <c r="I26" s="39" t="s">
        <v>293</v>
      </c>
      <c r="J26" s="39" t="s">
        <v>295</v>
      </c>
      <c r="K26" s="39" t="s">
        <v>125</v>
      </c>
      <c r="L26" s="39" t="s">
        <v>295</v>
      </c>
      <c r="M26" s="39"/>
      <c r="N26" s="39">
        <v>0</v>
      </c>
      <c r="O26" s="39">
        <v>0</v>
      </c>
      <c r="P26" s="39">
        <v>94</v>
      </c>
      <c r="Q26" s="39">
        <f t="shared" si="0"/>
        <v>99</v>
      </c>
      <c r="R26" s="247">
        <f t="shared" si="0"/>
        <v>99</v>
      </c>
      <c r="T26" s="1">
        <f>IFERROR(VLOOKUP(B26,'Pay Table'!$M$3:$P$15,4,FALSE),"")</f>
        <v>294</v>
      </c>
      <c r="U26" s="1">
        <f>IFERROR(VLOOKUP(C26,'Pay Table'!$M$3:$P$15,4,FALSE),"")</f>
        <v>6</v>
      </c>
      <c r="V26" s="1">
        <f>IFERROR(VLOOKUP(D26,'Pay Table'!$M$3:$P$15,4,FALSE),"")</f>
        <v>8</v>
      </c>
      <c r="W26" s="1">
        <f>IFERROR(VLOOKUP(E26,'Pay Table'!$M$3:$P$15,4,FALSE),"")</f>
        <v>201</v>
      </c>
      <c r="X26" s="1">
        <f>IFERROR(VLOOKUP(F26,'Pay Table'!$M$3:$P$15,4,FALSE),"")</f>
        <v>8</v>
      </c>
      <c r="Z26" s="1">
        <f>IFERROR(VLOOKUP(H26,'Pay Table'!$M$3:$P$15,4,FALSE),"")</f>
        <v>294</v>
      </c>
      <c r="AA26" s="1">
        <f>IFERROR(VLOOKUP(I26,'Pay Table'!$M$3:$P$15,4,FALSE),"")</f>
        <v>6</v>
      </c>
      <c r="AB26" s="1">
        <f>IFERROR(VLOOKUP(J26,'Pay Table'!$M$3:$P$15,4,FALSE),"")</f>
        <v>8</v>
      </c>
      <c r="AC26" s="1">
        <f>IFERROR(VLOOKUP(K26,'Pay Table'!$M$3:$P$15,4,FALSE),"")</f>
        <v>201</v>
      </c>
      <c r="AD26" s="1">
        <f>IFERROR(VLOOKUP(L26,'Pay Table'!$M$3:$P$15,4,FALSE),"")</f>
        <v>8</v>
      </c>
      <c r="AG26" s="1" t="str">
        <f>IFERROR(VLOOKUP(R26,'Pay Table'!$M$3:$P$15,4,FALSE),"")</f>
        <v/>
      </c>
      <c r="AH26" s="1" t="str">
        <f>IFERROR(VLOOKUP(T26,'Pay Table'!$M$3:$P$15,4,FALSE),"")</f>
        <v/>
      </c>
      <c r="AI26" s="1" t="str">
        <f>IFERROR(VLOOKUP(U26,'Pay Table'!$M$3:$P$15,4,FALSE),"")</f>
        <v/>
      </c>
      <c r="AJ26" s="1" t="str">
        <f>IFERROR(VLOOKUP(V26,'Pay Table'!$M$3:$P$15,4,FALSE),"")</f>
        <v/>
      </c>
      <c r="AK26" s="1" t="str">
        <f>IFERROR(VLOOKUP(#REF!,'Pay Table'!$M$3:$P$15,4,FALSE),"")</f>
        <v/>
      </c>
      <c r="BL26" s="59" t="str">
        <f>IFERROR($BM$2&amp;VLOOKUP(B28,'Pay Table'!$M$3:$N$18,2,FALSE)&amp;$BL$2&amp;#REF!&amp;$BN$2,"")</f>
        <v/>
      </c>
      <c r="BM26" s="49" t="str">
        <f>IFERROR($BM$2&amp;VLOOKUP(C28,'Pay Table'!$M$3:$N$18,2,FALSE)&amp;$BL$2&amp;#REF!&amp;$BN$2,"")</f>
        <v/>
      </c>
      <c r="BN26" s="49" t="str">
        <f>IFERROR($BM$2&amp;VLOOKUP(D28,'Pay Table'!$M$3:$N$18,2,FALSE)&amp;$BL$2&amp;#REF!&amp;$BN$2,"")</f>
        <v/>
      </c>
      <c r="BO26" s="49" t="str">
        <f>IFERROR($BM$2&amp;VLOOKUP(E28,'Pay Table'!$M$3:$N$18,2,FALSE)&amp;$BL$2&amp;#REF!&amp;$BN$2,"")</f>
        <v/>
      </c>
      <c r="BP26" s="60" t="str">
        <f>IFERROR($BM$2&amp;VLOOKUP(F28,'Pay Table'!$M$3:$N$18,2,FALSE)&amp;$BL$2&amp;#REF!&amp;$BN$2,"")</f>
        <v/>
      </c>
    </row>
    <row r="27" spans="1:68" ht="17.100000000000001" customHeight="1" x14ac:dyDescent="0.25">
      <c r="A27" s="14">
        <v>25</v>
      </c>
      <c r="B27" s="10" t="s">
        <v>47</v>
      </c>
      <c r="C27" s="39" t="s">
        <v>124</v>
      </c>
      <c r="D27" s="39" t="s">
        <v>153</v>
      </c>
      <c r="E27" s="39" t="s">
        <v>126</v>
      </c>
      <c r="F27" s="39" t="s">
        <v>294</v>
      </c>
      <c r="G27" s="39"/>
      <c r="H27" s="10" t="s">
        <v>47</v>
      </c>
      <c r="I27" s="39" t="s">
        <v>124</v>
      </c>
      <c r="J27" s="39" t="s">
        <v>47</v>
      </c>
      <c r="K27" s="39" t="s">
        <v>126</v>
      </c>
      <c r="L27" s="39" t="s">
        <v>294</v>
      </c>
      <c r="M27" s="39"/>
      <c r="N27" s="39" t="s">
        <v>357</v>
      </c>
      <c r="O27" s="39">
        <v>100</v>
      </c>
      <c r="P27" s="39">
        <v>200</v>
      </c>
      <c r="Q27" s="39">
        <f t="shared" si="0"/>
        <v>300</v>
      </c>
      <c r="R27" s="247">
        <f t="shared" si="0"/>
        <v>12</v>
      </c>
      <c r="T27" s="1">
        <f>IFERROR(VLOOKUP(B27,'Pay Table'!$M$3:$P$15,4,FALSE),"")</f>
        <v>294</v>
      </c>
      <c r="U27" s="1">
        <f>IFERROR(VLOOKUP(C27,'Pay Table'!$M$3:$P$15,4,FALSE),"")</f>
        <v>200</v>
      </c>
      <c r="V27" s="1">
        <f>IFERROR(VLOOKUP(D27,'Pay Table'!$M$3:$P$15,4,FALSE),"")</f>
        <v>200</v>
      </c>
      <c r="W27" s="1">
        <f>IFERROR(VLOOKUP(E27,'Pay Table'!$M$3:$P$15,4,FALSE),"")</f>
        <v>202</v>
      </c>
      <c r="X27" s="1">
        <f>IFERROR(VLOOKUP(F27,'Pay Table'!$M$3:$P$15,4,FALSE),"")</f>
        <v>7</v>
      </c>
      <c r="Z27" s="1">
        <f>IFERROR(VLOOKUP(H27,'Pay Table'!$M$3:$P$15,4,FALSE),"")</f>
        <v>294</v>
      </c>
      <c r="AA27" s="1">
        <f>IFERROR(VLOOKUP(I27,'Pay Table'!$M$3:$P$15,4,FALSE),"")</f>
        <v>200</v>
      </c>
      <c r="AB27" s="1">
        <f>IFERROR(VLOOKUP(J27,'Pay Table'!$M$3:$P$15,4,FALSE),"")</f>
        <v>294</v>
      </c>
      <c r="AC27" s="1">
        <f>IFERROR(VLOOKUP(K27,'Pay Table'!$M$3:$P$15,4,FALSE),"")</f>
        <v>202</v>
      </c>
      <c r="AD27" s="1">
        <f>IFERROR(VLOOKUP(L27,'Pay Table'!$M$3:$P$15,4,FALSE),"")</f>
        <v>7</v>
      </c>
      <c r="AG27" s="1" t="str">
        <f>IFERROR(VLOOKUP(R27,'Pay Table'!$M$3:$P$15,4,FALSE),"")</f>
        <v/>
      </c>
      <c r="AH27" s="1" t="str">
        <f>IFERROR(VLOOKUP(T27,'Pay Table'!$M$3:$P$15,4,FALSE),"")</f>
        <v/>
      </c>
      <c r="AI27" s="1" t="str">
        <f>IFERROR(VLOOKUP(U27,'Pay Table'!$M$3:$P$15,4,FALSE),"")</f>
        <v/>
      </c>
      <c r="AJ27" s="1" t="str">
        <f>IFERROR(VLOOKUP(V27,'Pay Table'!$M$3:$P$15,4,FALSE),"")</f>
        <v/>
      </c>
      <c r="AK27" s="1" t="str">
        <f>IFERROR(VLOOKUP(#REF!,'Pay Table'!$M$3:$P$15,4,FALSE),"")</f>
        <v/>
      </c>
      <c r="BL27" s="59" t="str">
        <f>IFERROR($BM$2&amp;VLOOKUP(B29,'Pay Table'!$M$3:$N$18,2,FALSE)&amp;$BL$2&amp;#REF!&amp;$BN$2,"")</f>
        <v/>
      </c>
      <c r="BM27" s="49" t="str">
        <f>IFERROR($BM$2&amp;VLOOKUP(C29,'Pay Table'!$M$3:$N$18,2,FALSE)&amp;$BL$2&amp;#REF!&amp;$BN$2,"")</f>
        <v/>
      </c>
      <c r="BN27" s="49" t="str">
        <f>IFERROR($BM$2&amp;VLOOKUP(D29,'Pay Table'!$M$3:$N$18,2,FALSE)&amp;$BL$2&amp;#REF!&amp;$BN$2,"")</f>
        <v/>
      </c>
      <c r="BO27" s="49" t="str">
        <f>IFERROR($BM$2&amp;VLOOKUP(E29,'Pay Table'!$M$3:$N$18,2,FALSE)&amp;$BL$2&amp;#REF!&amp;$BN$2,"")</f>
        <v/>
      </c>
      <c r="BP27" s="60" t="str">
        <f>IFERROR($BM$2&amp;VLOOKUP(F29,'Pay Table'!$M$3:$N$18,2,FALSE)&amp;$BL$2&amp;#REF!&amp;$BN$2,"")</f>
        <v/>
      </c>
    </row>
    <row r="28" spans="1:68" ht="17.100000000000001" customHeight="1" x14ac:dyDescent="0.25">
      <c r="A28" s="14">
        <v>26</v>
      </c>
      <c r="B28" s="10" t="s">
        <v>47</v>
      </c>
      <c r="C28" s="39" t="s">
        <v>153</v>
      </c>
      <c r="D28" s="39" t="s">
        <v>293</v>
      </c>
      <c r="E28" s="39" t="s">
        <v>128</v>
      </c>
      <c r="F28" s="39" t="s">
        <v>125</v>
      </c>
      <c r="G28" s="39"/>
      <c r="H28" s="10" t="s">
        <v>47</v>
      </c>
      <c r="I28" s="39" t="s">
        <v>153</v>
      </c>
      <c r="J28" s="39" t="s">
        <v>293</v>
      </c>
      <c r="K28" s="39" t="s">
        <v>128</v>
      </c>
      <c r="L28" s="39" t="s">
        <v>125</v>
      </c>
      <c r="M28" s="39"/>
      <c r="N28" s="39">
        <v>0</v>
      </c>
      <c r="O28" s="39">
        <v>0</v>
      </c>
      <c r="P28" s="39">
        <v>200</v>
      </c>
      <c r="Q28" s="39">
        <f t="shared" si="0"/>
        <v>99</v>
      </c>
      <c r="R28" s="247">
        <f t="shared" si="0"/>
        <v>99</v>
      </c>
      <c r="T28" s="1">
        <f>IFERROR(VLOOKUP(B28,'Pay Table'!$M$3:$P$15,4,FALSE),"")</f>
        <v>294</v>
      </c>
      <c r="U28" s="1">
        <f>IFERROR(VLOOKUP(C28,'Pay Table'!$M$3:$P$15,4,FALSE),"")</f>
        <v>200</v>
      </c>
      <c r="V28" s="1">
        <f>IFERROR(VLOOKUP(D28,'Pay Table'!$M$3:$P$15,4,FALSE),"")</f>
        <v>6</v>
      </c>
      <c r="W28" s="1">
        <f>IFERROR(VLOOKUP(E28,'Pay Table'!$M$3:$P$15,4,FALSE),"")</f>
        <v>204</v>
      </c>
      <c r="X28" s="1">
        <f>IFERROR(VLOOKUP(F28,'Pay Table'!$M$3:$P$15,4,FALSE),"")</f>
        <v>201</v>
      </c>
      <c r="Z28" s="1">
        <f>IFERROR(VLOOKUP(H28,'Pay Table'!$M$3:$P$15,4,FALSE),"")</f>
        <v>294</v>
      </c>
      <c r="AA28" s="1">
        <f>IFERROR(VLOOKUP(I28,'Pay Table'!$M$3:$P$15,4,FALSE),"")</f>
        <v>200</v>
      </c>
      <c r="AB28" s="1">
        <f>IFERROR(VLOOKUP(J28,'Pay Table'!$M$3:$P$15,4,FALSE),"")</f>
        <v>6</v>
      </c>
      <c r="AC28" s="1">
        <f>IFERROR(VLOOKUP(K28,'Pay Table'!$M$3:$P$15,4,FALSE),"")</f>
        <v>204</v>
      </c>
      <c r="AD28" s="1">
        <f>IFERROR(VLOOKUP(L28,'Pay Table'!$M$3:$P$15,4,FALSE),"")</f>
        <v>201</v>
      </c>
      <c r="AG28" s="1" t="str">
        <f>IFERROR(VLOOKUP(R28,'Pay Table'!$M$3:$P$15,4,FALSE),"")</f>
        <v/>
      </c>
      <c r="AH28" s="1" t="str">
        <f>IFERROR(VLOOKUP(T28,'Pay Table'!$M$3:$P$15,4,FALSE),"")</f>
        <v/>
      </c>
      <c r="AI28" s="1" t="str">
        <f>IFERROR(VLOOKUP(U28,'Pay Table'!$M$3:$P$15,4,FALSE),"")</f>
        <v/>
      </c>
      <c r="AJ28" s="1" t="str">
        <f>IFERROR(VLOOKUP(V28,'Pay Table'!$M$3:$P$15,4,FALSE),"")</f>
        <v/>
      </c>
      <c r="AK28" s="1" t="str">
        <f>IFERROR(VLOOKUP(#REF!,'Pay Table'!$M$3:$P$15,4,FALSE),"")</f>
        <v/>
      </c>
      <c r="BL28" s="59" t="str">
        <f>IFERROR($BM$2&amp;VLOOKUP(B30,'Pay Table'!$M$3:$N$18,2,FALSE)&amp;$BL$2&amp;#REF!&amp;$BN$2,"")</f>
        <v/>
      </c>
      <c r="BM28" s="49" t="str">
        <f>IFERROR($BM$2&amp;VLOOKUP(C30,'Pay Table'!$M$3:$N$18,2,FALSE)&amp;$BL$2&amp;#REF!&amp;$BN$2,"")</f>
        <v/>
      </c>
      <c r="BN28" s="49" t="str">
        <f>IFERROR($BM$2&amp;VLOOKUP(D30,'Pay Table'!$M$3:$N$18,2,FALSE)&amp;$BL$2&amp;#REF!&amp;$BN$2,"")</f>
        <v/>
      </c>
      <c r="BO28" s="49" t="str">
        <f>IFERROR($BM$2&amp;VLOOKUP(E30,'Pay Table'!$M$3:$N$18,2,FALSE)&amp;$BL$2&amp;#REF!&amp;$BN$2,"")</f>
        <v/>
      </c>
      <c r="BP28" s="60" t="str">
        <f>IFERROR($BM$2&amp;VLOOKUP(F30,'Pay Table'!$M$3:$N$18,2,FALSE)&amp;$BL$2&amp;#REF!&amp;$BN$2,"")</f>
        <v/>
      </c>
    </row>
    <row r="29" spans="1:68" ht="17.100000000000001" customHeight="1" x14ac:dyDescent="0.25">
      <c r="A29" s="14">
        <v>27</v>
      </c>
      <c r="B29" s="10" t="s">
        <v>119</v>
      </c>
      <c r="C29" s="39" t="s">
        <v>127</v>
      </c>
      <c r="D29" s="39" t="s">
        <v>125</v>
      </c>
      <c r="E29" s="39" t="s">
        <v>125</v>
      </c>
      <c r="F29" s="39" t="s">
        <v>127</v>
      </c>
      <c r="G29" s="39"/>
      <c r="H29" s="10" t="s">
        <v>119</v>
      </c>
      <c r="I29" s="39" t="s">
        <v>153</v>
      </c>
      <c r="J29" s="39" t="s">
        <v>125</v>
      </c>
      <c r="K29" s="39" t="s">
        <v>125</v>
      </c>
      <c r="L29" s="39" t="s">
        <v>127</v>
      </c>
      <c r="M29" s="39"/>
      <c r="N29" s="39">
        <v>0</v>
      </c>
      <c r="O29" s="39">
        <v>0</v>
      </c>
      <c r="P29" s="39">
        <v>94</v>
      </c>
      <c r="Q29" s="39">
        <f t="shared" si="0"/>
        <v>99</v>
      </c>
      <c r="R29" s="247">
        <f t="shared" si="0"/>
        <v>99</v>
      </c>
      <c r="T29" s="1">
        <f>IFERROR(VLOOKUP(B29,'Pay Table'!$M$3:$P$15,4,FALSE),"")</f>
        <v>7</v>
      </c>
      <c r="U29" s="1">
        <f>IFERROR(VLOOKUP(C29,'Pay Table'!$M$3:$P$15,4,FALSE),"")</f>
        <v>203</v>
      </c>
      <c r="V29" s="1">
        <f>IFERROR(VLOOKUP(D29,'Pay Table'!$M$3:$P$15,4,FALSE),"")</f>
        <v>201</v>
      </c>
      <c r="W29" s="1">
        <f>IFERROR(VLOOKUP(E29,'Pay Table'!$M$3:$P$15,4,FALSE),"")</f>
        <v>201</v>
      </c>
      <c r="X29" s="1">
        <f>IFERROR(VLOOKUP(F29,'Pay Table'!$M$3:$P$15,4,FALSE),"")</f>
        <v>203</v>
      </c>
      <c r="Z29" s="1">
        <f>IFERROR(VLOOKUP(H29,'Pay Table'!$M$3:$P$15,4,FALSE),"")</f>
        <v>7</v>
      </c>
      <c r="AA29" s="1">
        <f>IFERROR(VLOOKUP(I29,'Pay Table'!$M$3:$P$15,4,FALSE),"")</f>
        <v>200</v>
      </c>
      <c r="AB29" s="1">
        <f>IFERROR(VLOOKUP(J29,'Pay Table'!$M$3:$P$15,4,FALSE),"")</f>
        <v>201</v>
      </c>
      <c r="AC29" s="1">
        <f>IFERROR(VLOOKUP(K29,'Pay Table'!$M$3:$P$15,4,FALSE),"")</f>
        <v>201</v>
      </c>
      <c r="AD29" s="1">
        <f>IFERROR(VLOOKUP(L29,'Pay Table'!$M$3:$P$15,4,FALSE),"")</f>
        <v>203</v>
      </c>
      <c r="AG29" s="1" t="str">
        <f>IFERROR(VLOOKUP(R29,'Pay Table'!$M$3:$P$15,4,FALSE),"")</f>
        <v/>
      </c>
      <c r="AH29" s="1" t="str">
        <f>IFERROR(VLOOKUP(T29,'Pay Table'!$M$3:$P$15,4,FALSE),"")</f>
        <v/>
      </c>
      <c r="AI29" s="1" t="str">
        <f>IFERROR(VLOOKUP(U29,'Pay Table'!$M$3:$P$15,4,FALSE),"")</f>
        <v/>
      </c>
      <c r="AJ29" s="1" t="str">
        <f>IFERROR(VLOOKUP(V29,'Pay Table'!$M$3:$P$15,4,FALSE),"")</f>
        <v/>
      </c>
      <c r="AK29" s="1" t="str">
        <f>IFERROR(VLOOKUP(#REF!,'Pay Table'!$M$3:$P$15,4,FALSE),"")</f>
        <v/>
      </c>
      <c r="BL29" s="59" t="str">
        <f>IFERROR($BM$2&amp;VLOOKUP(B31,'Pay Table'!$M$3:$N$18,2,FALSE)&amp;$BL$2&amp;#REF!&amp;$BN$2,"")</f>
        <v/>
      </c>
      <c r="BM29" s="49" t="str">
        <f>IFERROR($BM$2&amp;VLOOKUP(C31,'Pay Table'!$M$3:$N$18,2,FALSE)&amp;$BL$2&amp;#REF!&amp;$BN$2,"")</f>
        <v/>
      </c>
      <c r="BN29" s="49" t="str">
        <f>IFERROR($BM$2&amp;VLOOKUP(D31,'Pay Table'!$M$3:$N$18,2,FALSE)&amp;$BL$2&amp;#REF!&amp;$BN$2,"")</f>
        <v/>
      </c>
      <c r="BO29" s="49" t="str">
        <f>IFERROR($BM$2&amp;VLOOKUP(E31,'Pay Table'!$M$3:$N$18,2,FALSE)&amp;$BL$2&amp;#REF!&amp;$BN$2,"")</f>
        <v/>
      </c>
      <c r="BP29" s="60" t="str">
        <f>IFERROR($BM$2&amp;VLOOKUP(F31,'Pay Table'!$M$3:$N$18,2,FALSE)&amp;$BL$2&amp;#REF!&amp;$BN$2,"")</f>
        <v/>
      </c>
    </row>
    <row r="30" spans="1:68" ht="17.100000000000001" customHeight="1" x14ac:dyDescent="0.25">
      <c r="A30" s="14">
        <v>28</v>
      </c>
      <c r="B30" s="10" t="s">
        <v>121</v>
      </c>
      <c r="C30" s="39" t="s">
        <v>292</v>
      </c>
      <c r="D30" s="39" t="s">
        <v>126</v>
      </c>
      <c r="E30" s="39" t="s">
        <v>14</v>
      </c>
      <c r="F30" s="39" t="s">
        <v>122</v>
      </c>
      <c r="G30" s="39"/>
      <c r="H30" s="10" t="s">
        <v>121</v>
      </c>
      <c r="I30" s="39" t="s">
        <v>292</v>
      </c>
      <c r="J30" s="39" t="s">
        <v>126</v>
      </c>
      <c r="K30" s="39" t="s">
        <v>364</v>
      </c>
      <c r="L30" s="39" t="s">
        <v>122</v>
      </c>
      <c r="M30" s="39"/>
      <c r="N30" s="39">
        <v>500</v>
      </c>
      <c r="O30" s="39">
        <v>500</v>
      </c>
      <c r="P30" s="39">
        <v>94</v>
      </c>
      <c r="Q30" s="39">
        <f t="shared" si="0"/>
        <v>8</v>
      </c>
      <c r="R30" s="247">
        <f t="shared" si="0"/>
        <v>8</v>
      </c>
      <c r="T30" s="1">
        <f>IFERROR(VLOOKUP(B30,'Pay Table'!$M$3:$P$15,4,FALSE),"")</f>
        <v>6</v>
      </c>
      <c r="U30" s="1">
        <f>IFERROR(VLOOKUP(C30,'Pay Table'!$M$3:$P$15,4,FALSE),"")</f>
        <v>5</v>
      </c>
      <c r="V30" s="1">
        <f>IFERROR(VLOOKUP(D30,'Pay Table'!$M$3:$P$15,4,FALSE),"")</f>
        <v>202</v>
      </c>
      <c r="W30" s="1">
        <f>IFERROR(VLOOKUP(E30,'Pay Table'!$M$3:$P$15,4,FALSE),"")</f>
        <v>290</v>
      </c>
      <c r="X30" s="1">
        <f>IFERROR(VLOOKUP(F30,'Pay Table'!$M$3:$P$15,4,FALSE),"")</f>
        <v>292</v>
      </c>
      <c r="Z30" s="1">
        <f>IFERROR(VLOOKUP(H30,'Pay Table'!$M$3:$P$15,4,FALSE),"")</f>
        <v>6</v>
      </c>
      <c r="AA30" s="1">
        <f>IFERROR(VLOOKUP(I30,'Pay Table'!$M$3:$P$15,4,FALSE),"")</f>
        <v>5</v>
      </c>
      <c r="AB30" s="1">
        <f>IFERROR(VLOOKUP(J30,'Pay Table'!$M$3:$P$15,4,FALSE),"")</f>
        <v>202</v>
      </c>
      <c r="AC30" s="1">
        <f>IFERROR(VLOOKUP(K30,'Pay Table'!$M$3:$P$15,4,FALSE),"")</f>
        <v>294</v>
      </c>
      <c r="AD30" s="1">
        <f>IFERROR(VLOOKUP(L30,'Pay Table'!$M$3:$P$15,4,FALSE),"")</f>
        <v>292</v>
      </c>
      <c r="AG30" s="1" t="str">
        <f>IFERROR(VLOOKUP(R30,'Pay Table'!$M$3:$P$15,4,FALSE),"")</f>
        <v/>
      </c>
      <c r="AH30" s="1" t="str">
        <f>IFERROR(VLOOKUP(T30,'Pay Table'!$M$3:$P$15,4,FALSE),"")</f>
        <v/>
      </c>
      <c r="AI30" s="1" t="str">
        <f>IFERROR(VLOOKUP(U30,'Pay Table'!$M$3:$P$15,4,FALSE),"")</f>
        <v/>
      </c>
      <c r="AJ30" s="1" t="str">
        <f>IFERROR(VLOOKUP(V30,'Pay Table'!$M$3:$P$15,4,FALSE),"")</f>
        <v/>
      </c>
      <c r="AK30" s="1" t="str">
        <f>IFERROR(VLOOKUP(#REF!,'Pay Table'!$M$3:$P$15,4,FALSE),"")</f>
        <v/>
      </c>
      <c r="BL30" s="59" t="str">
        <f>IFERROR($BM$2&amp;VLOOKUP(B32,'Pay Table'!$M$3:$N$18,2,FALSE)&amp;$BL$2&amp;#REF!&amp;$BN$2,"")</f>
        <v/>
      </c>
      <c r="BM30" s="49" t="str">
        <f>IFERROR($BM$2&amp;VLOOKUP(C32,'Pay Table'!$M$3:$N$18,2,FALSE)&amp;$BL$2&amp;#REF!&amp;$BN$2,"")</f>
        <v/>
      </c>
      <c r="BN30" s="49" t="str">
        <f>IFERROR($BM$2&amp;VLOOKUP(D32,'Pay Table'!$M$3:$N$18,2,FALSE)&amp;$BL$2&amp;#REF!&amp;$BN$2,"")</f>
        <v/>
      </c>
      <c r="BO30" s="49" t="str">
        <f>IFERROR($BM$2&amp;VLOOKUP(E32,'Pay Table'!$M$3:$N$18,2,FALSE)&amp;$BL$2&amp;#REF!&amp;$BN$2,"")</f>
        <v/>
      </c>
      <c r="BP30" s="60" t="str">
        <f>IFERROR($BM$2&amp;VLOOKUP(F32,'Pay Table'!$M$3:$N$18,2,FALSE)&amp;$BL$2&amp;#REF!&amp;$BN$2,"")</f>
        <v/>
      </c>
    </row>
    <row r="31" spans="1:68" ht="17.100000000000001" customHeight="1" x14ac:dyDescent="0.25">
      <c r="A31" s="14">
        <v>29</v>
      </c>
      <c r="B31" s="10" t="s">
        <v>128</v>
      </c>
      <c r="C31" s="39" t="s">
        <v>14</v>
      </c>
      <c r="D31" s="39" t="s">
        <v>295</v>
      </c>
      <c r="E31" s="39" t="s">
        <v>292</v>
      </c>
      <c r="F31" s="39" t="s">
        <v>126</v>
      </c>
      <c r="G31" s="39"/>
      <c r="H31" s="10" t="s">
        <v>128</v>
      </c>
      <c r="I31" s="39" t="s">
        <v>364</v>
      </c>
      <c r="J31" s="39" t="s">
        <v>295</v>
      </c>
      <c r="K31" s="39" t="s">
        <v>292</v>
      </c>
      <c r="L31" s="39" t="s">
        <v>122</v>
      </c>
      <c r="M31" s="39"/>
      <c r="N31" s="39">
        <v>0</v>
      </c>
      <c r="O31" s="39">
        <v>0</v>
      </c>
      <c r="P31" s="39">
        <v>200</v>
      </c>
      <c r="Q31" s="39">
        <f t="shared" si="0"/>
        <v>99</v>
      </c>
      <c r="R31" s="247">
        <f t="shared" si="0"/>
        <v>99</v>
      </c>
      <c r="T31" s="1">
        <f>IFERROR(VLOOKUP(B31,'Pay Table'!$M$3:$P$15,4,FALSE),"")</f>
        <v>204</v>
      </c>
      <c r="U31" s="1">
        <f>IFERROR(VLOOKUP(C31,'Pay Table'!$M$3:$P$15,4,FALSE),"")</f>
        <v>290</v>
      </c>
      <c r="V31" s="1">
        <f>IFERROR(VLOOKUP(D31,'Pay Table'!$M$3:$P$15,4,FALSE),"")</f>
        <v>8</v>
      </c>
      <c r="W31" s="1">
        <f>IFERROR(VLOOKUP(E31,'Pay Table'!$M$3:$P$15,4,FALSE),"")</f>
        <v>5</v>
      </c>
      <c r="X31" s="1">
        <f>IFERROR(VLOOKUP(F31,'Pay Table'!$M$3:$P$15,4,FALSE),"")</f>
        <v>202</v>
      </c>
      <c r="Z31" s="1">
        <f>IFERROR(VLOOKUP(H31,'Pay Table'!$M$3:$P$15,4,FALSE),"")</f>
        <v>204</v>
      </c>
      <c r="AA31" s="1">
        <f>IFERROR(VLOOKUP(I31,'Pay Table'!$M$3:$P$15,4,FALSE),"")</f>
        <v>294</v>
      </c>
      <c r="AB31" s="1">
        <f>IFERROR(VLOOKUP(J31,'Pay Table'!$M$3:$P$15,4,FALSE),"")</f>
        <v>8</v>
      </c>
      <c r="AC31" s="1">
        <f>IFERROR(VLOOKUP(K31,'Pay Table'!$M$3:$P$15,4,FALSE),"")</f>
        <v>5</v>
      </c>
      <c r="AD31" s="1">
        <f>IFERROR(VLOOKUP(L31,'Pay Table'!$M$3:$P$15,4,FALSE),"")</f>
        <v>292</v>
      </c>
      <c r="AG31" s="1" t="str">
        <f>IFERROR(VLOOKUP(R31,'Pay Table'!$M$3:$P$15,4,FALSE),"")</f>
        <v/>
      </c>
      <c r="AH31" s="1" t="str">
        <f>IFERROR(VLOOKUP(T31,'Pay Table'!$M$3:$P$15,4,FALSE),"")</f>
        <v/>
      </c>
      <c r="AI31" s="1" t="str">
        <f>IFERROR(VLOOKUP(U31,'Pay Table'!$M$3:$P$15,4,FALSE),"")</f>
        <v/>
      </c>
      <c r="AJ31" s="1" t="str">
        <f>IFERROR(VLOOKUP(V31,'Pay Table'!$M$3:$P$15,4,FALSE),"")</f>
        <v/>
      </c>
      <c r="AK31" s="1" t="str">
        <f>IFERROR(VLOOKUP(#REF!,'Pay Table'!$M$3:$P$15,4,FALSE),"")</f>
        <v/>
      </c>
      <c r="BL31" s="59" t="str">
        <f>IFERROR($BM$2&amp;VLOOKUP(B33,'Pay Table'!$M$3:$N$18,2,FALSE)&amp;$BL$2&amp;#REF!&amp;$BN$2,"")</f>
        <v/>
      </c>
      <c r="BM31" s="49" t="str">
        <f>IFERROR($BM$2&amp;VLOOKUP(C33,'Pay Table'!$M$3:$N$18,2,FALSE)&amp;$BL$2&amp;#REF!&amp;$BN$2,"")</f>
        <v/>
      </c>
      <c r="BN31" s="49" t="str">
        <f>IFERROR($BM$2&amp;VLOOKUP(D33,'Pay Table'!$M$3:$N$18,2,FALSE)&amp;$BL$2&amp;#REF!&amp;$BN$2,"")</f>
        <v/>
      </c>
      <c r="BO31" s="49" t="str">
        <f>IFERROR($BM$2&amp;VLOOKUP(E33,'Pay Table'!$M$3:$N$18,2,FALSE)&amp;$BL$2&amp;#REF!&amp;$BN$2,"")</f>
        <v/>
      </c>
      <c r="BP31" s="60" t="str">
        <f>IFERROR($BM$2&amp;VLOOKUP(F33,'Pay Table'!$M$3:$N$18,2,FALSE)&amp;$BL$2&amp;#REF!&amp;$BN$2,"")</f>
        <v/>
      </c>
    </row>
    <row r="32" spans="1:68" ht="17.100000000000001" customHeight="1" x14ac:dyDescent="0.25">
      <c r="A32" s="14">
        <v>30</v>
      </c>
      <c r="B32" s="10" t="s">
        <v>120</v>
      </c>
      <c r="C32" s="39" t="s">
        <v>126</v>
      </c>
      <c r="D32" s="39" t="s">
        <v>47</v>
      </c>
      <c r="E32" s="39" t="s">
        <v>128</v>
      </c>
      <c r="F32" s="39" t="s">
        <v>128</v>
      </c>
      <c r="G32" s="39"/>
      <c r="H32" s="10" t="s">
        <v>120</v>
      </c>
      <c r="I32" s="39" t="s">
        <v>126</v>
      </c>
      <c r="J32" s="39" t="s">
        <v>47</v>
      </c>
      <c r="K32" s="39" t="s">
        <v>128</v>
      </c>
      <c r="L32" s="39" t="s">
        <v>122</v>
      </c>
      <c r="M32" s="39"/>
      <c r="N32" s="39">
        <v>0</v>
      </c>
      <c r="O32" s="39">
        <v>0</v>
      </c>
      <c r="P32" s="39">
        <v>200</v>
      </c>
      <c r="Q32" s="39">
        <f t="shared" si="0"/>
        <v>99</v>
      </c>
      <c r="R32" s="247">
        <f t="shared" si="0"/>
        <v>99</v>
      </c>
      <c r="T32" s="1">
        <f>IFERROR(VLOOKUP(B32,'Pay Table'!$M$3:$P$15,4,FALSE),"")</f>
        <v>8</v>
      </c>
      <c r="U32" s="1">
        <f>IFERROR(VLOOKUP(C32,'Pay Table'!$M$3:$P$15,4,FALSE),"")</f>
        <v>202</v>
      </c>
      <c r="V32" s="1">
        <f>IFERROR(VLOOKUP(D32,'Pay Table'!$M$3:$P$15,4,FALSE),"")</f>
        <v>294</v>
      </c>
      <c r="W32" s="1">
        <f>IFERROR(VLOOKUP(E32,'Pay Table'!$M$3:$P$15,4,FALSE),"")</f>
        <v>204</v>
      </c>
      <c r="X32" s="1">
        <f>IFERROR(VLOOKUP(F32,'Pay Table'!$M$3:$P$15,4,FALSE),"")</f>
        <v>204</v>
      </c>
      <c r="Z32" s="1">
        <f>IFERROR(VLOOKUP(H32,'Pay Table'!$M$3:$P$15,4,FALSE),"")</f>
        <v>8</v>
      </c>
      <c r="AA32" s="1">
        <f>IFERROR(VLOOKUP(I32,'Pay Table'!$M$3:$P$15,4,FALSE),"")</f>
        <v>202</v>
      </c>
      <c r="AB32" s="1">
        <f>IFERROR(VLOOKUP(J32,'Pay Table'!$M$3:$P$15,4,FALSE),"")</f>
        <v>294</v>
      </c>
      <c r="AC32" s="1">
        <f>IFERROR(VLOOKUP(K32,'Pay Table'!$M$3:$P$15,4,FALSE),"")</f>
        <v>204</v>
      </c>
      <c r="AD32" s="1">
        <f>IFERROR(VLOOKUP(L32,'Pay Table'!$M$3:$P$15,4,FALSE),"")</f>
        <v>292</v>
      </c>
      <c r="AG32" s="1" t="str">
        <f>IFERROR(VLOOKUP(R32,'Pay Table'!$M$3:$P$15,4,FALSE),"")</f>
        <v/>
      </c>
      <c r="AH32" s="1" t="str">
        <f>IFERROR(VLOOKUP(T32,'Pay Table'!$M$3:$P$15,4,FALSE),"")</f>
        <v/>
      </c>
      <c r="AI32" s="1" t="str">
        <f>IFERROR(VLOOKUP(U32,'Pay Table'!$M$3:$P$15,4,FALSE),"")</f>
        <v/>
      </c>
      <c r="AJ32" s="1" t="str">
        <f>IFERROR(VLOOKUP(V32,'Pay Table'!$M$3:$P$15,4,FALSE),"")</f>
        <v/>
      </c>
      <c r="AK32" s="1" t="str">
        <f>IFERROR(VLOOKUP(#REF!,'Pay Table'!$M$3:$P$15,4,FALSE),"")</f>
        <v/>
      </c>
      <c r="BL32" s="59" t="str">
        <f>IFERROR($BM$2&amp;VLOOKUP(B34,'Pay Table'!$M$3:$N$18,2,FALSE)&amp;$BL$2&amp;#REF!&amp;$BN$2,"")</f>
        <v/>
      </c>
      <c r="BM32" s="49" t="str">
        <f>IFERROR($BM$2&amp;VLOOKUP(C34,'Pay Table'!$M$3:$N$18,2,FALSE)&amp;$BL$2&amp;#REF!&amp;$BN$2,"")</f>
        <v/>
      </c>
      <c r="BN32" s="49" t="str">
        <f>IFERROR($BM$2&amp;VLOOKUP(D34,'Pay Table'!$M$3:$N$18,2,FALSE)&amp;$BL$2&amp;#REF!&amp;$BN$2,"")</f>
        <v/>
      </c>
      <c r="BO32" s="49" t="str">
        <f>IFERROR($BM$2&amp;VLOOKUP(E34,'Pay Table'!$M$3:$N$18,2,FALSE)&amp;$BL$2&amp;#REF!&amp;$BN$2,"")</f>
        <v/>
      </c>
      <c r="BP32" s="60" t="str">
        <f>IFERROR($BM$2&amp;VLOOKUP(F34,'Pay Table'!$M$3:$N$18,2,FALSE)&amp;$BL$2&amp;#REF!&amp;$BN$2,"")</f>
        <v/>
      </c>
    </row>
    <row r="33" spans="1:68" ht="17.100000000000001" customHeight="1" x14ac:dyDescent="0.25">
      <c r="A33" s="14">
        <v>31</v>
      </c>
      <c r="B33" s="10" t="s">
        <v>152</v>
      </c>
      <c r="C33" s="39" t="s">
        <v>293</v>
      </c>
      <c r="D33" s="39" t="s">
        <v>293</v>
      </c>
      <c r="E33" s="39" t="s">
        <v>126</v>
      </c>
      <c r="F33" s="39" t="s">
        <v>292</v>
      </c>
      <c r="G33" s="39"/>
      <c r="H33" s="10" t="s">
        <v>119</v>
      </c>
      <c r="I33" s="39" t="s">
        <v>293</v>
      </c>
      <c r="J33" s="39" t="s">
        <v>293</v>
      </c>
      <c r="K33" s="39" t="s">
        <v>126</v>
      </c>
      <c r="L33" s="39" t="s">
        <v>292</v>
      </c>
      <c r="M33" s="39"/>
      <c r="N33" s="39" t="s">
        <v>418</v>
      </c>
      <c r="O33" s="39">
        <v>50</v>
      </c>
      <c r="P33" s="39">
        <v>200</v>
      </c>
      <c r="Q33" s="39">
        <f t="shared" si="0"/>
        <v>700</v>
      </c>
      <c r="R33" s="247">
        <f t="shared" si="0"/>
        <v>13</v>
      </c>
      <c r="T33" s="1">
        <f>IFERROR(VLOOKUP(B33,'Pay Table'!$M$3:$P$15,4,FALSE),"")</f>
        <v>201</v>
      </c>
      <c r="U33" s="1">
        <f>IFERROR(VLOOKUP(C33,'Pay Table'!$M$3:$P$15,4,FALSE),"")</f>
        <v>6</v>
      </c>
      <c r="V33" s="1">
        <f>IFERROR(VLOOKUP(D33,'Pay Table'!$M$3:$P$15,4,FALSE),"")</f>
        <v>6</v>
      </c>
      <c r="W33" s="1">
        <f>IFERROR(VLOOKUP(E33,'Pay Table'!$M$3:$P$15,4,FALSE),"")</f>
        <v>202</v>
      </c>
      <c r="X33" s="1">
        <f>IFERROR(VLOOKUP(F33,'Pay Table'!$M$3:$P$15,4,FALSE),"")</f>
        <v>5</v>
      </c>
      <c r="Z33" s="1">
        <f>IFERROR(VLOOKUP(H33,'Pay Table'!$M$3:$P$15,4,FALSE),"")</f>
        <v>7</v>
      </c>
      <c r="AA33" s="1">
        <f>IFERROR(VLOOKUP(I33,'Pay Table'!$M$3:$P$15,4,FALSE),"")</f>
        <v>6</v>
      </c>
      <c r="AB33" s="1">
        <f>IFERROR(VLOOKUP(J33,'Pay Table'!$M$3:$P$15,4,FALSE),"")</f>
        <v>6</v>
      </c>
      <c r="AC33" s="1">
        <f>IFERROR(VLOOKUP(K33,'Pay Table'!$M$3:$P$15,4,FALSE),"")</f>
        <v>202</v>
      </c>
      <c r="AD33" s="1">
        <f>IFERROR(VLOOKUP(L33,'Pay Table'!$M$3:$P$15,4,FALSE),"")</f>
        <v>5</v>
      </c>
      <c r="AG33" s="1" t="str">
        <f>IFERROR(VLOOKUP(R33,'Pay Table'!$M$3:$P$15,4,FALSE),"")</f>
        <v/>
      </c>
      <c r="AH33" s="1" t="str">
        <f>IFERROR(VLOOKUP(T33,'Pay Table'!$M$3:$P$15,4,FALSE),"")</f>
        <v/>
      </c>
      <c r="AI33" s="1" t="str">
        <f>IFERROR(VLOOKUP(U33,'Pay Table'!$M$3:$P$15,4,FALSE),"")</f>
        <v/>
      </c>
      <c r="AJ33" s="1" t="str">
        <f>IFERROR(VLOOKUP(V33,'Pay Table'!$M$3:$P$15,4,FALSE),"")</f>
        <v/>
      </c>
      <c r="AK33" s="1" t="str">
        <f>IFERROR(VLOOKUP(#REF!,'Pay Table'!$M$3:$P$15,4,FALSE),"")</f>
        <v/>
      </c>
      <c r="BL33" s="59" t="str">
        <f>IFERROR($BM$2&amp;VLOOKUP(B35,'Pay Table'!$M$3:$N$18,2,FALSE)&amp;$BL$2&amp;#REF!&amp;$BN$2,"")</f>
        <v/>
      </c>
      <c r="BM33" s="49" t="str">
        <f>IFERROR($BM$2&amp;VLOOKUP(C35,'Pay Table'!$M$3:$N$18,2,FALSE)&amp;$BL$2&amp;#REF!&amp;$BN$2,"")</f>
        <v/>
      </c>
      <c r="BN33" s="49" t="str">
        <f>IFERROR($BM$2&amp;VLOOKUP(D35,'Pay Table'!$M$3:$N$18,2,FALSE)&amp;$BL$2&amp;#REF!&amp;$BN$2,"")</f>
        <v/>
      </c>
      <c r="BO33" s="49" t="str">
        <f>IFERROR($BM$2&amp;VLOOKUP(E35,'Pay Table'!$M$3:$N$18,2,FALSE)&amp;$BL$2&amp;#REF!&amp;$BN$2,"")</f>
        <v/>
      </c>
      <c r="BP33" s="60" t="str">
        <f>IFERROR($BM$2&amp;VLOOKUP(F35,'Pay Table'!$M$3:$N$18,2,FALSE)&amp;$BL$2&amp;#REF!&amp;$BN$2,"")</f>
        <v/>
      </c>
    </row>
    <row r="34" spans="1:68" ht="17.100000000000001" customHeight="1" x14ac:dyDescent="0.25">
      <c r="A34" s="14">
        <v>32</v>
      </c>
      <c r="B34" s="10" t="s">
        <v>152</v>
      </c>
      <c r="C34" s="39" t="s">
        <v>125</v>
      </c>
      <c r="D34" s="39" t="s">
        <v>292</v>
      </c>
      <c r="E34" s="39" t="s">
        <v>295</v>
      </c>
      <c r="F34" s="39" t="s">
        <v>125</v>
      </c>
      <c r="G34" s="39"/>
      <c r="H34" s="10" t="s">
        <v>152</v>
      </c>
      <c r="I34" s="39" t="s">
        <v>125</v>
      </c>
      <c r="J34" s="39" t="s">
        <v>292</v>
      </c>
      <c r="K34" s="39" t="s">
        <v>295</v>
      </c>
      <c r="L34" s="39" t="s">
        <v>125</v>
      </c>
      <c r="M34" s="39"/>
      <c r="N34" s="39">
        <v>0</v>
      </c>
      <c r="O34" s="39">
        <v>0</v>
      </c>
      <c r="P34" s="39">
        <v>94</v>
      </c>
      <c r="Q34" s="39">
        <f t="shared" si="0"/>
        <v>99</v>
      </c>
      <c r="R34" s="247">
        <f t="shared" si="0"/>
        <v>99</v>
      </c>
      <c r="T34" s="1">
        <f>IFERROR(VLOOKUP(B34,'Pay Table'!$M$3:$P$15,4,FALSE),"")</f>
        <v>201</v>
      </c>
      <c r="U34" s="1">
        <f>IFERROR(VLOOKUP(C34,'Pay Table'!$M$3:$P$15,4,FALSE),"")</f>
        <v>201</v>
      </c>
      <c r="V34" s="1">
        <f>IFERROR(VLOOKUP(D34,'Pay Table'!$M$3:$P$15,4,FALSE),"")</f>
        <v>5</v>
      </c>
      <c r="W34" s="1">
        <f>IFERROR(VLOOKUP(E34,'Pay Table'!$M$3:$P$15,4,FALSE),"")</f>
        <v>8</v>
      </c>
      <c r="X34" s="1">
        <f>IFERROR(VLOOKUP(F34,'Pay Table'!$M$3:$P$15,4,FALSE),"")</f>
        <v>201</v>
      </c>
      <c r="Z34" s="1">
        <f>IFERROR(VLOOKUP(H34,'Pay Table'!$M$3:$P$15,4,FALSE),"")</f>
        <v>201</v>
      </c>
      <c r="AA34" s="1">
        <f>IFERROR(VLOOKUP(I34,'Pay Table'!$M$3:$P$15,4,FALSE),"")</f>
        <v>201</v>
      </c>
      <c r="AB34" s="1">
        <f>IFERROR(VLOOKUP(J34,'Pay Table'!$M$3:$P$15,4,FALSE),"")</f>
        <v>5</v>
      </c>
      <c r="AC34" s="1">
        <f>IFERROR(VLOOKUP(K34,'Pay Table'!$M$3:$P$15,4,FALSE),"")</f>
        <v>8</v>
      </c>
      <c r="AD34" s="1">
        <f>IFERROR(VLOOKUP(L34,'Pay Table'!$M$3:$P$15,4,FALSE),"")</f>
        <v>201</v>
      </c>
      <c r="AG34" s="1" t="str">
        <f>IFERROR(VLOOKUP(R34,'Pay Table'!$M$3:$P$15,4,FALSE),"")</f>
        <v/>
      </c>
      <c r="AH34" s="1" t="str">
        <f>IFERROR(VLOOKUP(T34,'Pay Table'!$M$3:$P$15,4,FALSE),"")</f>
        <v/>
      </c>
      <c r="AI34" s="1" t="str">
        <f>IFERROR(VLOOKUP(U34,'Pay Table'!$M$3:$P$15,4,FALSE),"")</f>
        <v/>
      </c>
      <c r="AJ34" s="1" t="str">
        <f>IFERROR(VLOOKUP(V34,'Pay Table'!$M$3:$P$15,4,FALSE),"")</f>
        <v/>
      </c>
      <c r="AK34" s="1" t="str">
        <f>IFERROR(VLOOKUP(#REF!,'Pay Table'!$M$3:$P$15,4,FALSE),"")</f>
        <v/>
      </c>
      <c r="BL34" s="59" t="str">
        <f>IFERROR($BM$2&amp;VLOOKUP(B36,'Pay Table'!$M$3:$N$18,2,FALSE)&amp;$BL$2&amp;#REF!&amp;$BN$2,"")</f>
        <v/>
      </c>
      <c r="BM34" s="49" t="str">
        <f>IFERROR($BM$2&amp;VLOOKUP(C36,'Pay Table'!$M$3:$N$18,2,FALSE)&amp;$BL$2&amp;#REF!&amp;$BN$2,"")</f>
        <v/>
      </c>
      <c r="BN34" s="49" t="str">
        <f>IFERROR($BM$2&amp;VLOOKUP(D36,'Pay Table'!$M$3:$N$18,2,FALSE)&amp;$BL$2&amp;#REF!&amp;$BN$2,"")</f>
        <v/>
      </c>
      <c r="BO34" s="49" t="str">
        <f>IFERROR($BM$2&amp;VLOOKUP(E36,'Pay Table'!$M$3:$N$18,2,FALSE)&amp;$BL$2&amp;#REF!&amp;$BN$2,"")</f>
        <v/>
      </c>
      <c r="BP34" s="60" t="str">
        <f>IFERROR($BM$2&amp;VLOOKUP(F36,'Pay Table'!$M$3:$N$18,2,FALSE)&amp;$BL$2&amp;#REF!&amp;$BN$2,"")</f>
        <v/>
      </c>
    </row>
    <row r="35" spans="1:68" ht="17.100000000000001" customHeight="1" x14ac:dyDescent="0.25">
      <c r="A35" s="14">
        <v>33</v>
      </c>
      <c r="B35" s="10" t="s">
        <v>152</v>
      </c>
      <c r="C35" s="39" t="s">
        <v>127</v>
      </c>
      <c r="D35" s="39" t="s">
        <v>126</v>
      </c>
      <c r="E35" s="39" t="s">
        <v>47</v>
      </c>
      <c r="F35" s="39" t="s">
        <v>47</v>
      </c>
      <c r="G35" s="39"/>
      <c r="H35" s="10" t="s">
        <v>152</v>
      </c>
      <c r="I35" s="39" t="s">
        <v>127</v>
      </c>
      <c r="J35" s="39" t="s">
        <v>126</v>
      </c>
      <c r="K35" s="39" t="s">
        <v>47</v>
      </c>
      <c r="L35" s="39" t="s">
        <v>152</v>
      </c>
      <c r="M35" s="39"/>
      <c r="N35" s="39">
        <v>0</v>
      </c>
      <c r="O35" s="39">
        <v>0</v>
      </c>
      <c r="P35"/>
      <c r="Q35" s="39">
        <f t="shared" si="0"/>
        <v>99</v>
      </c>
      <c r="R35" s="247">
        <f t="shared" si="0"/>
        <v>99</v>
      </c>
      <c r="T35" s="1">
        <f>IFERROR(VLOOKUP(B35,'Pay Table'!$M$3:$P$15,4,FALSE),"")</f>
        <v>201</v>
      </c>
      <c r="U35" s="1">
        <f>IFERROR(VLOOKUP(C35,'Pay Table'!$M$3:$P$15,4,FALSE),"")</f>
        <v>203</v>
      </c>
      <c r="V35" s="1">
        <f>IFERROR(VLOOKUP(D35,'Pay Table'!$M$3:$P$15,4,FALSE),"")</f>
        <v>202</v>
      </c>
      <c r="W35" s="1">
        <f>IFERROR(VLOOKUP(E35,'Pay Table'!$M$3:$P$15,4,FALSE),"")</f>
        <v>294</v>
      </c>
      <c r="X35" s="1">
        <f>IFERROR(VLOOKUP(F35,'Pay Table'!$M$3:$P$15,4,FALSE),"")</f>
        <v>294</v>
      </c>
      <c r="Z35" s="1">
        <f>IFERROR(VLOOKUP(H35,'Pay Table'!$M$3:$P$15,4,FALSE),"")</f>
        <v>201</v>
      </c>
      <c r="AA35" s="1">
        <f>IFERROR(VLOOKUP(I35,'Pay Table'!$M$3:$P$15,4,FALSE),"")</f>
        <v>203</v>
      </c>
      <c r="AB35" s="1">
        <f>IFERROR(VLOOKUP(J35,'Pay Table'!$M$3:$P$15,4,FALSE),"")</f>
        <v>202</v>
      </c>
      <c r="AC35" s="1">
        <f>IFERROR(VLOOKUP(K35,'Pay Table'!$M$3:$P$15,4,FALSE),"")</f>
        <v>294</v>
      </c>
      <c r="AD35" s="1">
        <f>IFERROR(VLOOKUP(L35,'Pay Table'!$M$3:$P$15,4,FALSE),"")</f>
        <v>201</v>
      </c>
      <c r="AG35" s="1" t="str">
        <f>IFERROR(VLOOKUP(R35,'Pay Table'!$M$3:$P$15,4,FALSE),"")</f>
        <v/>
      </c>
      <c r="AH35" s="1" t="str">
        <f>IFERROR(VLOOKUP(T35,'Pay Table'!$M$3:$P$15,4,FALSE),"")</f>
        <v/>
      </c>
      <c r="AI35" s="1" t="str">
        <f>IFERROR(VLOOKUP(U35,'Pay Table'!$M$3:$P$15,4,FALSE),"")</f>
        <v/>
      </c>
      <c r="AJ35" s="1" t="str">
        <f>IFERROR(VLOOKUP(V35,'Pay Table'!$M$3:$P$15,4,FALSE),"")</f>
        <v/>
      </c>
      <c r="AK35" s="1" t="str">
        <f>IFERROR(VLOOKUP(#REF!,'Pay Table'!$M$3:$P$15,4,FALSE),"")</f>
        <v/>
      </c>
      <c r="BL35" s="59" t="str">
        <f>IFERROR($BM$2&amp;VLOOKUP(B37,'Pay Table'!$M$3:$N$18,2,FALSE)&amp;$BL$2&amp;#REF!&amp;$BN$2,"")</f>
        <v/>
      </c>
      <c r="BM35" s="49" t="str">
        <f>IFERROR($BM$2&amp;VLOOKUP(C37,'Pay Table'!$M$3:$N$18,2,FALSE)&amp;$BL$2&amp;#REF!&amp;$BN$2,"")</f>
        <v/>
      </c>
      <c r="BN35" s="49" t="str">
        <f>IFERROR($BM$2&amp;VLOOKUP(D37,'Pay Table'!$M$3:$N$18,2,FALSE)&amp;$BL$2&amp;#REF!&amp;$BN$2,"")</f>
        <v/>
      </c>
      <c r="BO35" s="49" t="str">
        <f>IFERROR($BM$2&amp;VLOOKUP(E37,'Pay Table'!$M$3:$N$18,2,FALSE)&amp;$BL$2&amp;#REF!&amp;$BN$2,"")</f>
        <v/>
      </c>
      <c r="BP35" s="60" t="str">
        <f>IFERROR($BM$2&amp;VLOOKUP(F37,'Pay Table'!$M$3:$N$18,2,FALSE)&amp;$BL$2&amp;#REF!&amp;$BN$2,"")</f>
        <v/>
      </c>
    </row>
    <row r="36" spans="1:68" ht="17.100000000000001" customHeight="1" x14ac:dyDescent="0.25">
      <c r="A36" s="14">
        <v>34</v>
      </c>
      <c r="B36" s="10" t="s">
        <v>121</v>
      </c>
      <c r="C36" s="39" t="s">
        <v>124</v>
      </c>
      <c r="D36" s="39" t="s">
        <v>294</v>
      </c>
      <c r="E36" s="39" t="s">
        <v>47</v>
      </c>
      <c r="F36" s="39" t="s">
        <v>295</v>
      </c>
      <c r="G36" s="39"/>
      <c r="H36" s="10" t="s">
        <v>152</v>
      </c>
      <c r="I36" s="39" t="s">
        <v>124</v>
      </c>
      <c r="J36" s="39" t="s">
        <v>294</v>
      </c>
      <c r="K36" s="39" t="s">
        <v>47</v>
      </c>
      <c r="L36" s="39" t="s">
        <v>295</v>
      </c>
      <c r="M36" s="39"/>
      <c r="N36" s="39">
        <v>2500</v>
      </c>
      <c r="O36" s="39">
        <v>2500</v>
      </c>
      <c r="P36"/>
      <c r="Q36" s="39">
        <f t="shared" si="0"/>
        <v>6</v>
      </c>
      <c r="R36" s="247">
        <f t="shared" si="0"/>
        <v>6</v>
      </c>
      <c r="T36" s="1">
        <f>IFERROR(VLOOKUP(B36,'Pay Table'!$M$3:$P$15,4,FALSE),"")</f>
        <v>6</v>
      </c>
      <c r="U36" s="1">
        <f>IFERROR(VLOOKUP(C36,'Pay Table'!$M$3:$P$15,4,FALSE),"")</f>
        <v>200</v>
      </c>
      <c r="V36" s="1">
        <f>IFERROR(VLOOKUP(D36,'Pay Table'!$M$3:$P$15,4,FALSE),"")</f>
        <v>7</v>
      </c>
      <c r="W36" s="1">
        <f>IFERROR(VLOOKUP(E36,'Pay Table'!$M$3:$P$15,4,FALSE),"")</f>
        <v>294</v>
      </c>
      <c r="X36" s="1">
        <f>IFERROR(VLOOKUP(F36,'Pay Table'!$M$3:$P$15,4,FALSE),"")</f>
        <v>8</v>
      </c>
      <c r="Z36" s="1">
        <f>IFERROR(VLOOKUP(H36,'Pay Table'!$M$3:$P$15,4,FALSE),"")</f>
        <v>201</v>
      </c>
      <c r="AA36" s="1">
        <f>IFERROR(VLOOKUP(I36,'Pay Table'!$M$3:$P$15,4,FALSE),"")</f>
        <v>200</v>
      </c>
      <c r="AB36" s="1">
        <f>IFERROR(VLOOKUP(J36,'Pay Table'!$M$3:$P$15,4,FALSE),"")</f>
        <v>7</v>
      </c>
      <c r="AC36" s="1">
        <f>IFERROR(VLOOKUP(K36,'Pay Table'!$M$3:$P$15,4,FALSE),"")</f>
        <v>294</v>
      </c>
      <c r="AD36" s="1">
        <f>IFERROR(VLOOKUP(L36,'Pay Table'!$M$3:$P$15,4,FALSE),"")</f>
        <v>8</v>
      </c>
      <c r="AG36" s="1" t="str">
        <f>IFERROR(VLOOKUP(R36,'Pay Table'!$M$3:$P$15,4,FALSE),"")</f>
        <v/>
      </c>
      <c r="AH36" s="1" t="str">
        <f>IFERROR(VLOOKUP(T36,'Pay Table'!$M$3:$P$15,4,FALSE),"")</f>
        <v/>
      </c>
      <c r="AI36" s="1" t="str">
        <f>IFERROR(VLOOKUP(U36,'Pay Table'!$M$3:$P$15,4,FALSE),"")</f>
        <v/>
      </c>
      <c r="AJ36" s="1" t="str">
        <f>IFERROR(VLOOKUP(V36,'Pay Table'!$M$3:$P$15,4,FALSE),"")</f>
        <v/>
      </c>
      <c r="AK36" s="1" t="str">
        <f>IFERROR(VLOOKUP(#REF!,'Pay Table'!$M$3:$P$15,4,FALSE),"")</f>
        <v/>
      </c>
      <c r="BL36" s="59" t="str">
        <f>IFERROR($BM$2&amp;VLOOKUP(B38,'Pay Table'!$M$3:$N$18,2,FALSE)&amp;$BL$2&amp;#REF!&amp;$BN$2,"")</f>
        <v/>
      </c>
      <c r="BM36" s="49" t="str">
        <f>IFERROR($BM$2&amp;VLOOKUP(C38,'Pay Table'!$M$3:$N$18,2,FALSE)&amp;$BL$2&amp;#REF!&amp;$BN$2,"")</f>
        <v/>
      </c>
      <c r="BN36" s="49" t="str">
        <f>IFERROR($BM$2&amp;VLOOKUP(D38,'Pay Table'!$M$3:$N$18,2,FALSE)&amp;$BL$2&amp;#REF!&amp;$BN$2,"")</f>
        <v/>
      </c>
      <c r="BO36" s="49" t="str">
        <f>IFERROR($BM$2&amp;VLOOKUP(E38,'Pay Table'!$M$3:$N$18,2,FALSE)&amp;$BL$2&amp;#REF!&amp;$BN$2,"")</f>
        <v/>
      </c>
      <c r="BP36" s="60" t="str">
        <f>IFERROR($BM$2&amp;VLOOKUP(F38,'Pay Table'!$M$3:$N$18,2,FALSE)&amp;$BL$2&amp;#REF!&amp;$BN$2,"")</f>
        <v/>
      </c>
    </row>
    <row r="37" spans="1:68" ht="17.100000000000001" customHeight="1" x14ac:dyDescent="0.25">
      <c r="A37" s="14">
        <v>35</v>
      </c>
      <c r="B37" s="10" t="s">
        <v>128</v>
      </c>
      <c r="C37" s="39" t="s">
        <v>47</v>
      </c>
      <c r="D37" s="39" t="s">
        <v>47</v>
      </c>
      <c r="E37" s="39" t="s">
        <v>47</v>
      </c>
      <c r="F37" s="39" t="s">
        <v>47</v>
      </c>
      <c r="G37" s="39"/>
      <c r="H37" s="10" t="s">
        <v>128</v>
      </c>
      <c r="I37" s="39" t="s">
        <v>47</v>
      </c>
      <c r="J37" s="39" t="s">
        <v>47</v>
      </c>
      <c r="K37" s="39" t="s">
        <v>47</v>
      </c>
      <c r="L37" s="39" t="s">
        <v>47</v>
      </c>
      <c r="M37" s="39"/>
      <c r="N37" s="39">
        <v>0</v>
      </c>
      <c r="O37" s="39">
        <v>0</v>
      </c>
      <c r="P37"/>
      <c r="Q37" s="39">
        <f t="shared" si="0"/>
        <v>99</v>
      </c>
      <c r="R37" s="247">
        <f t="shared" si="0"/>
        <v>99</v>
      </c>
      <c r="T37" s="1">
        <f>IFERROR(VLOOKUP(B37,'Pay Table'!$M$3:$P$15,4,FALSE),"")</f>
        <v>204</v>
      </c>
      <c r="U37" s="1">
        <f>IFERROR(VLOOKUP(C37,'Pay Table'!$M$3:$P$15,4,FALSE),"")</f>
        <v>294</v>
      </c>
      <c r="V37" s="1">
        <f>IFERROR(VLOOKUP(D37,'Pay Table'!$M$3:$P$15,4,FALSE),"")</f>
        <v>294</v>
      </c>
      <c r="W37" s="1">
        <f>IFERROR(VLOOKUP(E37,'Pay Table'!$M$3:$P$15,4,FALSE),"")</f>
        <v>294</v>
      </c>
      <c r="X37" s="1">
        <f>IFERROR(VLOOKUP(F37,'Pay Table'!$M$3:$P$15,4,FALSE),"")</f>
        <v>294</v>
      </c>
      <c r="Z37" s="1">
        <f>IFERROR(VLOOKUP(H37,'Pay Table'!$M$3:$P$15,4,FALSE),"")</f>
        <v>204</v>
      </c>
      <c r="AA37" s="1">
        <f>IFERROR(VLOOKUP(I37,'Pay Table'!$M$3:$P$15,4,FALSE),"")</f>
        <v>294</v>
      </c>
      <c r="AB37" s="1">
        <f>IFERROR(VLOOKUP(J37,'Pay Table'!$M$3:$P$15,4,FALSE),"")</f>
        <v>294</v>
      </c>
      <c r="AC37" s="1">
        <f>IFERROR(VLOOKUP(K37,'Pay Table'!$M$3:$P$15,4,FALSE),"")</f>
        <v>294</v>
      </c>
      <c r="AD37" s="1">
        <f>IFERROR(VLOOKUP(L37,'Pay Table'!$M$3:$P$15,4,FALSE),"")</f>
        <v>294</v>
      </c>
      <c r="AG37" s="1" t="str">
        <f>IFERROR(VLOOKUP(R37,'Pay Table'!$M$3:$P$15,4,FALSE),"")</f>
        <v/>
      </c>
      <c r="AH37" s="1" t="str">
        <f>IFERROR(VLOOKUP(T37,'Pay Table'!$M$3:$P$15,4,FALSE),"")</f>
        <v/>
      </c>
      <c r="AI37" s="1" t="str">
        <f>IFERROR(VLOOKUP(U37,'Pay Table'!$M$3:$P$15,4,FALSE),"")</f>
        <v/>
      </c>
      <c r="AJ37" s="1" t="str">
        <f>IFERROR(VLOOKUP(V37,'Pay Table'!$M$3:$P$15,4,FALSE),"")</f>
        <v/>
      </c>
      <c r="AK37" s="1" t="str">
        <f>IFERROR(VLOOKUP(#REF!,'Pay Table'!$M$3:$P$15,4,FALSE),"")</f>
        <v/>
      </c>
      <c r="BL37" s="59" t="str">
        <f>IFERROR($BM$2&amp;VLOOKUP(B39,'Pay Table'!$M$3:$N$18,2,FALSE)&amp;$BL$2&amp;#REF!&amp;$BN$2,"")</f>
        <v/>
      </c>
      <c r="BM37" s="49" t="str">
        <f>IFERROR($BM$2&amp;VLOOKUP(C39,'Pay Table'!$M$3:$N$18,2,FALSE)&amp;$BL$2&amp;#REF!&amp;$BN$2,"")</f>
        <v/>
      </c>
      <c r="BN37" s="49" t="str">
        <f>IFERROR($BM$2&amp;VLOOKUP(D39,'Pay Table'!$M$3:$N$18,2,FALSE)&amp;$BL$2&amp;#REF!&amp;$BN$2,"")</f>
        <v/>
      </c>
      <c r="BO37" s="49" t="str">
        <f>IFERROR($BM$2&amp;VLOOKUP(E39,'Pay Table'!$M$3:$N$18,2,FALSE)&amp;$BL$2&amp;#REF!&amp;$BN$2,"")</f>
        <v/>
      </c>
      <c r="BP37" s="60" t="str">
        <f>IFERROR($BM$2&amp;VLOOKUP(F39,'Pay Table'!$M$3:$N$18,2,FALSE)&amp;$BL$2&amp;#REF!&amp;$BN$2,"")</f>
        <v/>
      </c>
    </row>
    <row r="38" spans="1:68" ht="17.100000000000001" customHeight="1" x14ac:dyDescent="0.25">
      <c r="A38" s="14">
        <v>36</v>
      </c>
      <c r="B38" s="10" t="s">
        <v>120</v>
      </c>
      <c r="C38" s="39" t="s">
        <v>47</v>
      </c>
      <c r="D38" s="39" t="s">
        <v>293</v>
      </c>
      <c r="E38" s="39" t="s">
        <v>125</v>
      </c>
      <c r="F38" s="39" t="s">
        <v>293</v>
      </c>
      <c r="G38" s="39"/>
      <c r="H38" s="10" t="s">
        <v>120</v>
      </c>
      <c r="I38" s="39" t="s">
        <v>47</v>
      </c>
      <c r="J38" s="39" t="s">
        <v>293</v>
      </c>
      <c r="K38" s="39" t="s">
        <v>125</v>
      </c>
      <c r="L38" s="39" t="s">
        <v>293</v>
      </c>
      <c r="M38" s="39"/>
      <c r="N38" s="39">
        <v>0</v>
      </c>
      <c r="O38" s="39">
        <v>0</v>
      </c>
      <c r="P38"/>
      <c r="Q38" s="39">
        <f t="shared" si="0"/>
        <v>99</v>
      </c>
      <c r="R38" s="247">
        <f t="shared" si="0"/>
        <v>99</v>
      </c>
      <c r="T38" s="1">
        <f>IFERROR(VLOOKUP(B38,'Pay Table'!$M$3:$P$15,4,FALSE),"")</f>
        <v>8</v>
      </c>
      <c r="U38" s="1">
        <f>IFERROR(VLOOKUP(C38,'Pay Table'!$M$3:$P$15,4,FALSE),"")</f>
        <v>294</v>
      </c>
      <c r="V38" s="1">
        <f>IFERROR(VLOOKUP(D38,'Pay Table'!$M$3:$P$15,4,FALSE),"")</f>
        <v>6</v>
      </c>
      <c r="W38" s="1">
        <f>IFERROR(VLOOKUP(E38,'Pay Table'!$M$3:$P$15,4,FALSE),"")</f>
        <v>201</v>
      </c>
      <c r="X38" s="1">
        <f>IFERROR(VLOOKUP(F38,'Pay Table'!$M$3:$P$15,4,FALSE),"")</f>
        <v>6</v>
      </c>
      <c r="Z38" s="1">
        <f>IFERROR(VLOOKUP(H38,'Pay Table'!$M$3:$P$15,4,FALSE),"")</f>
        <v>8</v>
      </c>
      <c r="AA38" s="1">
        <f>IFERROR(VLOOKUP(I38,'Pay Table'!$M$3:$P$15,4,FALSE),"")</f>
        <v>294</v>
      </c>
      <c r="AB38" s="1">
        <f>IFERROR(VLOOKUP(J38,'Pay Table'!$M$3:$P$15,4,FALSE),"")</f>
        <v>6</v>
      </c>
      <c r="AC38" s="1">
        <f>IFERROR(VLOOKUP(K38,'Pay Table'!$M$3:$P$15,4,FALSE),"")</f>
        <v>201</v>
      </c>
      <c r="AD38" s="1">
        <f>IFERROR(VLOOKUP(L38,'Pay Table'!$M$3:$P$15,4,FALSE),"")</f>
        <v>6</v>
      </c>
      <c r="AG38" s="1" t="str">
        <f>IFERROR(VLOOKUP(R38,'Pay Table'!$M$3:$P$15,4,FALSE),"")</f>
        <v/>
      </c>
      <c r="AH38" s="1" t="str">
        <f>IFERROR(VLOOKUP(T38,'Pay Table'!$M$3:$P$15,4,FALSE),"")</f>
        <v/>
      </c>
      <c r="AI38" s="1" t="str">
        <f>IFERROR(VLOOKUP(U38,'Pay Table'!$M$3:$P$15,4,FALSE),"")</f>
        <v/>
      </c>
      <c r="AJ38" s="1" t="str">
        <f>IFERROR(VLOOKUP(V38,'Pay Table'!$M$3:$P$15,4,FALSE),"")</f>
        <v/>
      </c>
      <c r="AK38" s="1" t="str">
        <f>IFERROR(VLOOKUP(#REF!,'Pay Table'!$M$3:$P$15,4,FALSE),"")</f>
        <v/>
      </c>
      <c r="BL38" s="59" t="str">
        <f>IFERROR($BM$2&amp;VLOOKUP(B40,'Pay Table'!$M$3:$N$18,2,FALSE)&amp;$BL$2&amp;#REF!&amp;$BN$2,"")</f>
        <v/>
      </c>
      <c r="BM38" s="49" t="str">
        <f>IFERROR($BM$2&amp;VLOOKUP(C40,'Pay Table'!$M$3:$N$18,2,FALSE)&amp;$BL$2&amp;#REF!&amp;$BN$2,"")</f>
        <v/>
      </c>
      <c r="BN38" s="49" t="str">
        <f>IFERROR($BM$2&amp;VLOOKUP(D40,'Pay Table'!$M$3:$N$18,2,FALSE)&amp;$BL$2&amp;#REF!&amp;$BN$2,"")</f>
        <v/>
      </c>
      <c r="BO38" s="49" t="str">
        <f>IFERROR($BM$2&amp;VLOOKUP(E40,'Pay Table'!$M$3:$N$18,2,FALSE)&amp;$BL$2&amp;#REF!&amp;$BN$2,"")</f>
        <v/>
      </c>
      <c r="BP38" s="60" t="str">
        <f>IFERROR($BM$2&amp;VLOOKUP(F40,'Pay Table'!$M$3:$N$18,2,FALSE)&amp;$BL$2&amp;#REF!&amp;$BN$2,"")</f>
        <v/>
      </c>
    </row>
    <row r="39" spans="1:68" ht="17.100000000000001" customHeight="1" x14ac:dyDescent="0.25">
      <c r="A39" s="14">
        <v>37</v>
      </c>
      <c r="B39" s="10" t="s">
        <v>119</v>
      </c>
      <c r="C39" s="39" t="s">
        <v>47</v>
      </c>
      <c r="D39" s="39" t="s">
        <v>127</v>
      </c>
      <c r="E39" s="39" t="s">
        <v>127</v>
      </c>
      <c r="F39" s="39" t="s">
        <v>128</v>
      </c>
      <c r="G39" s="39"/>
      <c r="H39" s="10" t="s">
        <v>119</v>
      </c>
      <c r="I39" s="39" t="s">
        <v>47</v>
      </c>
      <c r="J39" s="39" t="s">
        <v>127</v>
      </c>
      <c r="K39" s="39" t="s">
        <v>127</v>
      </c>
      <c r="L39" s="39" t="s">
        <v>128</v>
      </c>
      <c r="M39" s="39"/>
      <c r="N39" s="39">
        <v>0</v>
      </c>
      <c r="O39" s="39">
        <v>0</v>
      </c>
      <c r="P39"/>
      <c r="Q39" s="39">
        <f t="shared" si="0"/>
        <v>99</v>
      </c>
      <c r="R39" s="247">
        <f t="shared" si="0"/>
        <v>99</v>
      </c>
      <c r="T39" s="1">
        <f>IFERROR(VLOOKUP(B39,'Pay Table'!$M$3:$P$15,4,FALSE),"")</f>
        <v>7</v>
      </c>
      <c r="U39" s="1">
        <f>IFERROR(VLOOKUP(C39,'Pay Table'!$M$3:$P$15,4,FALSE),"")</f>
        <v>294</v>
      </c>
      <c r="V39" s="1">
        <f>IFERROR(VLOOKUP(D39,'Pay Table'!$M$3:$P$15,4,FALSE),"")</f>
        <v>203</v>
      </c>
      <c r="W39" s="1">
        <f>IFERROR(VLOOKUP(E39,'Pay Table'!$M$3:$P$15,4,FALSE),"")</f>
        <v>203</v>
      </c>
      <c r="X39" s="1">
        <f>IFERROR(VLOOKUP(F39,'Pay Table'!$M$3:$P$15,4,FALSE),"")</f>
        <v>204</v>
      </c>
      <c r="Z39" s="1">
        <f>IFERROR(VLOOKUP(H39,'Pay Table'!$M$3:$P$15,4,FALSE),"")</f>
        <v>7</v>
      </c>
      <c r="AA39" s="1">
        <f>IFERROR(VLOOKUP(I39,'Pay Table'!$M$3:$P$15,4,FALSE),"")</f>
        <v>294</v>
      </c>
      <c r="AB39" s="1">
        <f>IFERROR(VLOOKUP(J39,'Pay Table'!$M$3:$P$15,4,FALSE),"")</f>
        <v>203</v>
      </c>
      <c r="AC39" s="1">
        <f>IFERROR(VLOOKUP(K39,'Pay Table'!$M$3:$P$15,4,FALSE),"")</f>
        <v>203</v>
      </c>
      <c r="AD39" s="1">
        <f>IFERROR(VLOOKUP(L39,'Pay Table'!$M$3:$P$15,4,FALSE),"")</f>
        <v>204</v>
      </c>
      <c r="AG39" s="1" t="str">
        <f>IFERROR(VLOOKUP(R39,'Pay Table'!$M$3:$P$15,4,FALSE),"")</f>
        <v/>
      </c>
      <c r="AH39" s="1" t="str">
        <f>IFERROR(VLOOKUP(T39,'Pay Table'!$M$3:$P$15,4,FALSE),"")</f>
        <v/>
      </c>
      <c r="AI39" s="1" t="str">
        <f>IFERROR(VLOOKUP(U39,'Pay Table'!$M$3:$P$15,4,FALSE),"")</f>
        <v/>
      </c>
      <c r="AJ39" s="1" t="str">
        <f>IFERROR(VLOOKUP(V39,'Pay Table'!$M$3:$P$15,4,FALSE),"")</f>
        <v/>
      </c>
      <c r="AK39" s="1" t="str">
        <f>IFERROR(VLOOKUP(#REF!,'Pay Table'!$M$3:$P$15,4,FALSE),"")</f>
        <v/>
      </c>
      <c r="BL39" s="59" t="str">
        <f>IFERROR($BM$2&amp;VLOOKUP(B41,'Pay Table'!$M$3:$N$18,2,FALSE)&amp;$BL$2&amp;#REF!&amp;$BN$2,"")</f>
        <v/>
      </c>
      <c r="BM39" s="49" t="str">
        <f>IFERROR($BM$2&amp;VLOOKUP(C41,'Pay Table'!$M$3:$N$18,2,FALSE)&amp;$BL$2&amp;#REF!&amp;$BN$2,"")</f>
        <v/>
      </c>
      <c r="BN39" s="49" t="str">
        <f>IFERROR($BM$2&amp;VLOOKUP(D41,'Pay Table'!$M$3:$N$18,2,FALSE)&amp;$BL$2&amp;#REF!&amp;$BN$2,"")</f>
        <v/>
      </c>
      <c r="BO39" s="49" t="str">
        <f>IFERROR($BM$2&amp;VLOOKUP(E41,'Pay Table'!$M$3:$N$18,2,FALSE)&amp;$BL$2&amp;#REF!&amp;$BN$2,"")</f>
        <v/>
      </c>
      <c r="BP39" s="60" t="str">
        <f>IFERROR($BM$2&amp;VLOOKUP(F41,'Pay Table'!$M$3:$N$18,2,FALSE)&amp;$BL$2&amp;#REF!&amp;$BN$2,"")</f>
        <v/>
      </c>
    </row>
    <row r="40" spans="1:68" ht="17.100000000000001" customHeight="1" x14ac:dyDescent="0.25">
      <c r="A40" s="14">
        <v>38</v>
      </c>
      <c r="B40" s="10" t="s">
        <v>151</v>
      </c>
      <c r="C40" s="39" t="s">
        <v>125</v>
      </c>
      <c r="D40" s="39" t="s">
        <v>295</v>
      </c>
      <c r="E40" s="39" t="s">
        <v>14</v>
      </c>
      <c r="F40" s="39" t="s">
        <v>125</v>
      </c>
      <c r="G40" s="39"/>
      <c r="H40" s="10" t="s">
        <v>151</v>
      </c>
      <c r="I40" s="39" t="s">
        <v>125</v>
      </c>
      <c r="J40" s="39" t="s">
        <v>295</v>
      </c>
      <c r="K40" s="39" t="s">
        <v>295</v>
      </c>
      <c r="L40" s="39" t="s">
        <v>125</v>
      </c>
      <c r="M40" s="39"/>
      <c r="N40" s="39">
        <v>5000</v>
      </c>
      <c r="O40" s="39">
        <v>5000</v>
      </c>
      <c r="P40"/>
      <c r="Q40" s="39">
        <f t="shared" si="0"/>
        <v>5</v>
      </c>
      <c r="R40" s="247">
        <f t="shared" si="0"/>
        <v>5</v>
      </c>
      <c r="T40" s="1">
        <f>IFERROR(VLOOKUP(B40,'Pay Table'!$M$3:$P$15,4,FALSE),"")</f>
        <v>202</v>
      </c>
      <c r="U40" s="1">
        <f>IFERROR(VLOOKUP(C40,'Pay Table'!$M$3:$P$15,4,FALSE),"")</f>
        <v>201</v>
      </c>
      <c r="V40" s="1">
        <f>IFERROR(VLOOKUP(D40,'Pay Table'!$M$3:$P$15,4,FALSE),"")</f>
        <v>8</v>
      </c>
      <c r="W40" s="1">
        <f>IFERROR(VLOOKUP(E40,'Pay Table'!$M$3:$P$15,4,FALSE),"")</f>
        <v>290</v>
      </c>
      <c r="X40" s="1">
        <f>IFERROR(VLOOKUP(F40,'Pay Table'!$M$3:$P$15,4,FALSE),"")</f>
        <v>201</v>
      </c>
      <c r="Z40" s="1">
        <f>IFERROR(VLOOKUP(H40,'Pay Table'!$M$3:$P$15,4,FALSE),"")</f>
        <v>202</v>
      </c>
      <c r="AA40" s="1">
        <f>IFERROR(VLOOKUP(I40,'Pay Table'!$M$3:$P$15,4,FALSE),"")</f>
        <v>201</v>
      </c>
      <c r="AB40" s="1">
        <f>IFERROR(VLOOKUP(J40,'Pay Table'!$M$3:$P$15,4,FALSE),"")</f>
        <v>8</v>
      </c>
      <c r="AC40" s="1">
        <f>IFERROR(VLOOKUP(K40,'Pay Table'!$M$3:$P$15,4,FALSE),"")</f>
        <v>8</v>
      </c>
      <c r="AD40" s="1">
        <f>IFERROR(VLOOKUP(L40,'Pay Table'!$M$3:$P$15,4,FALSE),"")</f>
        <v>201</v>
      </c>
      <c r="AG40" s="1" t="str">
        <f>IFERROR(VLOOKUP(R40,'Pay Table'!$M$3:$P$15,4,FALSE),"")</f>
        <v/>
      </c>
      <c r="AH40" s="1" t="str">
        <f>IFERROR(VLOOKUP(T40,'Pay Table'!$M$3:$P$15,4,FALSE),"")</f>
        <v/>
      </c>
      <c r="AI40" s="1" t="str">
        <f>IFERROR(VLOOKUP(U40,'Pay Table'!$M$3:$P$15,4,FALSE),"")</f>
        <v/>
      </c>
      <c r="AJ40" s="1" t="str">
        <f>IFERROR(VLOOKUP(V40,'Pay Table'!$M$3:$P$15,4,FALSE),"")</f>
        <v/>
      </c>
      <c r="AK40" s="1" t="str">
        <f>IFERROR(VLOOKUP(#REF!,'Pay Table'!$M$3:$P$15,4,FALSE),"")</f>
        <v/>
      </c>
      <c r="BL40" s="59" t="str">
        <f>IFERROR($BM$2&amp;VLOOKUP(B42,'Pay Table'!$M$3:$N$18,2,FALSE)&amp;$BL$2&amp;#REF!&amp;$BN$2,"")</f>
        <v/>
      </c>
      <c r="BM40" s="49" t="str">
        <f>IFERROR($BM$2&amp;VLOOKUP(C42,'Pay Table'!$M$3:$N$18,2,FALSE)&amp;$BL$2&amp;#REF!&amp;$BN$2,"")</f>
        <v/>
      </c>
      <c r="BN40" s="49" t="str">
        <f>IFERROR($BM$2&amp;VLOOKUP(D42,'Pay Table'!$M$3:$N$18,2,FALSE)&amp;$BL$2&amp;#REF!&amp;$BN$2,"")</f>
        <v/>
      </c>
      <c r="BO40" s="49" t="str">
        <f>IFERROR($BM$2&amp;VLOOKUP(E42,'Pay Table'!$M$3:$N$18,2,FALSE)&amp;$BL$2&amp;#REF!&amp;$BN$2,"")</f>
        <v/>
      </c>
      <c r="BP40" s="60" t="str">
        <f>IFERROR($BM$2&amp;VLOOKUP(F42,'Pay Table'!$M$3:$N$18,2,FALSE)&amp;$BL$2&amp;#REF!&amp;$BN$2,"")</f>
        <v/>
      </c>
    </row>
    <row r="41" spans="1:68" ht="17.100000000000001" customHeight="1" x14ac:dyDescent="0.25">
      <c r="A41" s="14">
        <v>39</v>
      </c>
      <c r="B41" s="10" t="s">
        <v>123</v>
      </c>
      <c r="C41" s="39" t="s">
        <v>126</v>
      </c>
      <c r="D41" s="39" t="s">
        <v>153</v>
      </c>
      <c r="E41" s="39" t="s">
        <v>294</v>
      </c>
      <c r="F41" s="39" t="s">
        <v>295</v>
      </c>
      <c r="G41" s="39"/>
      <c r="H41" s="10" t="s">
        <v>123</v>
      </c>
      <c r="I41" s="39" t="s">
        <v>126</v>
      </c>
      <c r="J41" s="39" t="s">
        <v>153</v>
      </c>
      <c r="K41" s="39" t="s">
        <v>294</v>
      </c>
      <c r="L41" s="39" t="s">
        <v>295</v>
      </c>
      <c r="M41" s="39"/>
      <c r="N41" s="10">
        <v>0</v>
      </c>
      <c r="O41" s="10">
        <v>0</v>
      </c>
      <c r="P41"/>
      <c r="Q41" s="39">
        <f t="shared" si="0"/>
        <v>99</v>
      </c>
      <c r="R41" s="247">
        <f t="shared" si="0"/>
        <v>99</v>
      </c>
      <c r="T41" s="1">
        <f>IFERROR(VLOOKUP(B41,'Pay Table'!$M$3:$P$15,4,FALSE),"")</f>
        <v>5</v>
      </c>
      <c r="U41" s="1">
        <f>IFERROR(VLOOKUP(C41,'Pay Table'!$M$3:$P$15,4,FALSE),"")</f>
        <v>202</v>
      </c>
      <c r="V41" s="1">
        <f>IFERROR(VLOOKUP(D41,'Pay Table'!$M$3:$P$15,4,FALSE),"")</f>
        <v>200</v>
      </c>
      <c r="W41" s="1">
        <f>IFERROR(VLOOKUP(E41,'Pay Table'!$M$3:$P$15,4,FALSE),"")</f>
        <v>7</v>
      </c>
      <c r="X41" s="1">
        <f>IFERROR(VLOOKUP(F41,'Pay Table'!$M$3:$P$15,4,FALSE),"")</f>
        <v>8</v>
      </c>
      <c r="Z41" s="1">
        <f>IFERROR(VLOOKUP(H41,'Pay Table'!$M$3:$P$15,4,FALSE),"")</f>
        <v>5</v>
      </c>
      <c r="AA41" s="1">
        <f>IFERROR(VLOOKUP(I41,'Pay Table'!$M$3:$P$15,4,FALSE),"")</f>
        <v>202</v>
      </c>
      <c r="AB41" s="1">
        <f>IFERROR(VLOOKUP(J41,'Pay Table'!$M$3:$P$15,4,FALSE),"")</f>
        <v>200</v>
      </c>
      <c r="AC41" s="1">
        <f>IFERROR(VLOOKUP(K41,'Pay Table'!$M$3:$P$15,4,FALSE),"")</f>
        <v>7</v>
      </c>
      <c r="AD41" s="1">
        <f>IFERROR(VLOOKUP(L41,'Pay Table'!$M$3:$P$15,4,FALSE),"")</f>
        <v>8</v>
      </c>
      <c r="AG41" s="1" t="str">
        <f>IFERROR(VLOOKUP(R41,'Pay Table'!$M$3:$P$15,4,FALSE),"")</f>
        <v/>
      </c>
      <c r="AH41" s="1" t="str">
        <f>IFERROR(VLOOKUP(T41,'Pay Table'!$M$3:$P$15,4,FALSE),"")</f>
        <v/>
      </c>
      <c r="AI41" s="1" t="str">
        <f>IFERROR(VLOOKUP(U41,'Pay Table'!$M$3:$P$15,4,FALSE),"")</f>
        <v/>
      </c>
      <c r="AJ41" s="1" t="str">
        <f>IFERROR(VLOOKUP(V41,'Pay Table'!$M$3:$P$15,4,FALSE),"")</f>
        <v/>
      </c>
      <c r="AK41" s="1" t="str">
        <f>IFERROR(VLOOKUP(#REF!,'Pay Table'!$M$3:$P$15,4,FALSE),"")</f>
        <v/>
      </c>
      <c r="BL41" s="59" t="str">
        <f>IFERROR($BM$2&amp;VLOOKUP(B43,'Pay Table'!$M$3:$N$18,2,FALSE)&amp;$BL$2&amp;#REF!&amp;$BN$2,"")</f>
        <v/>
      </c>
      <c r="BM41" s="49" t="str">
        <f>IFERROR($BM$2&amp;VLOOKUP(C43,'Pay Table'!$M$3:$N$18,2,FALSE)&amp;$BL$2&amp;#REF!&amp;$BN$2,"")</f>
        <v/>
      </c>
      <c r="BN41" s="49" t="str">
        <f>IFERROR($BM$2&amp;VLOOKUP(D43,'Pay Table'!$M$3:$N$18,2,FALSE)&amp;$BL$2&amp;#REF!&amp;$BN$2,"")</f>
        <v/>
      </c>
      <c r="BO41" s="49" t="str">
        <f>IFERROR($BM$2&amp;VLOOKUP(E43,'Pay Table'!$M$3:$N$18,2,FALSE)&amp;$BL$2&amp;#REF!&amp;$BN$2,"")</f>
        <v/>
      </c>
      <c r="BP41" s="60" t="str">
        <f>IFERROR($BM$2&amp;VLOOKUP(F43,'Pay Table'!$M$3:$N$18,2,FALSE)&amp;$BL$2&amp;#REF!&amp;$BN$2,"")</f>
        <v/>
      </c>
    </row>
    <row r="42" spans="1:68" ht="17.100000000000001" customHeight="1" x14ac:dyDescent="0.25">
      <c r="A42" s="14">
        <v>40</v>
      </c>
      <c r="B42" s="10" t="s">
        <v>128</v>
      </c>
      <c r="C42" s="39" t="s">
        <v>294</v>
      </c>
      <c r="D42" s="39" t="s">
        <v>153</v>
      </c>
      <c r="E42" s="39" t="s">
        <v>47</v>
      </c>
      <c r="F42" s="39" t="s">
        <v>47</v>
      </c>
      <c r="G42" s="39"/>
      <c r="H42" s="10" t="s">
        <v>128</v>
      </c>
      <c r="I42" s="39" t="s">
        <v>294</v>
      </c>
      <c r="J42" s="39" t="s">
        <v>153</v>
      </c>
      <c r="K42" s="39" t="s">
        <v>47</v>
      </c>
      <c r="L42" s="39" t="s">
        <v>47</v>
      </c>
      <c r="M42" s="39"/>
      <c r="N42" s="39">
        <v>0</v>
      </c>
      <c r="O42" s="39">
        <v>0</v>
      </c>
      <c r="P42"/>
      <c r="Q42" s="39">
        <f t="shared" si="0"/>
        <v>99</v>
      </c>
      <c r="R42" s="247">
        <f t="shared" si="0"/>
        <v>99</v>
      </c>
      <c r="T42" s="1">
        <f>IFERROR(VLOOKUP(B42,'Pay Table'!$M$3:$P$15,4,FALSE),"")</f>
        <v>204</v>
      </c>
      <c r="U42" s="1">
        <f>IFERROR(VLOOKUP(C42,'Pay Table'!$M$3:$P$15,4,FALSE),"")</f>
        <v>7</v>
      </c>
      <c r="V42" s="1">
        <f>IFERROR(VLOOKUP(D42,'Pay Table'!$M$3:$P$15,4,FALSE),"")</f>
        <v>200</v>
      </c>
      <c r="W42" s="1">
        <f>IFERROR(VLOOKUP(E42,'Pay Table'!$M$3:$P$15,4,FALSE),"")</f>
        <v>294</v>
      </c>
      <c r="X42" s="1">
        <f>IFERROR(VLOOKUP(F42,'Pay Table'!$M$3:$P$15,4,FALSE),"")</f>
        <v>294</v>
      </c>
      <c r="Z42" s="1">
        <f>IFERROR(VLOOKUP(H42,'Pay Table'!$M$3:$P$15,4,FALSE),"")</f>
        <v>204</v>
      </c>
      <c r="AA42" s="1">
        <f>IFERROR(VLOOKUP(I42,'Pay Table'!$M$3:$P$15,4,FALSE),"")</f>
        <v>7</v>
      </c>
      <c r="AB42" s="1">
        <f>IFERROR(VLOOKUP(J42,'Pay Table'!$M$3:$P$15,4,FALSE),"")</f>
        <v>200</v>
      </c>
      <c r="AC42" s="1">
        <f>IFERROR(VLOOKUP(K42,'Pay Table'!$M$3:$P$15,4,FALSE),"")</f>
        <v>294</v>
      </c>
      <c r="AD42" s="1">
        <f>IFERROR(VLOOKUP(L42,'Pay Table'!$M$3:$P$15,4,FALSE),"")</f>
        <v>294</v>
      </c>
      <c r="AG42" s="1" t="str">
        <f>IFERROR(VLOOKUP(R42,'Pay Table'!$M$3:$P$15,4,FALSE),"")</f>
        <v/>
      </c>
      <c r="AH42" s="1" t="str">
        <f>IFERROR(VLOOKUP(T42,'Pay Table'!$M$3:$P$15,4,FALSE),"")</f>
        <v/>
      </c>
      <c r="AI42" s="1" t="str">
        <f>IFERROR(VLOOKUP(U42,'Pay Table'!$M$3:$P$15,4,FALSE),"")</f>
        <v/>
      </c>
      <c r="AJ42" s="1" t="str">
        <f>IFERROR(VLOOKUP(V42,'Pay Table'!$M$3:$P$15,4,FALSE),"")</f>
        <v/>
      </c>
      <c r="AK42" s="1" t="str">
        <f>IFERROR(VLOOKUP(#REF!,'Pay Table'!$M$3:$P$15,4,FALSE),"")</f>
        <v/>
      </c>
      <c r="BL42" s="59" t="str">
        <f>IFERROR($BM$2&amp;VLOOKUP(B44,'Pay Table'!$M$3:$N$18,2,FALSE)&amp;$BL$2&amp;#REF!&amp;$BN$2,"")</f>
        <v/>
      </c>
      <c r="BM42" s="49" t="str">
        <f>IFERROR($BM$2&amp;VLOOKUP(C44,'Pay Table'!$M$3:$N$18,2,FALSE)&amp;$BL$2&amp;#REF!&amp;$BN$2,"")</f>
        <v/>
      </c>
      <c r="BN42" s="49" t="str">
        <f>IFERROR($BM$2&amp;VLOOKUP(D44,'Pay Table'!$M$3:$N$18,2,FALSE)&amp;$BL$2&amp;#REF!&amp;$BN$2,"")</f>
        <v/>
      </c>
      <c r="BO42" s="49" t="str">
        <f>IFERROR($BM$2&amp;VLOOKUP(E44,'Pay Table'!$M$3:$N$18,2,FALSE)&amp;$BL$2&amp;#REF!&amp;$BN$2,"")</f>
        <v/>
      </c>
      <c r="BP42" s="60" t="str">
        <f>IFERROR($BM$2&amp;VLOOKUP(F44,'Pay Table'!$M$3:$N$18,2,FALSE)&amp;$BL$2&amp;#REF!&amp;$BN$2,"")</f>
        <v/>
      </c>
    </row>
    <row r="43" spans="1:68" ht="17.100000000000001" customHeight="1" x14ac:dyDescent="0.25">
      <c r="A43" s="14">
        <v>41</v>
      </c>
      <c r="B43" s="10" t="s">
        <v>47</v>
      </c>
      <c r="C43" s="39" t="s">
        <v>295</v>
      </c>
      <c r="D43" s="39" t="s">
        <v>153</v>
      </c>
      <c r="E43" s="39" t="s">
        <v>120</v>
      </c>
      <c r="F43" s="39" t="s">
        <v>293</v>
      </c>
      <c r="G43" s="39"/>
      <c r="H43" s="10" t="s">
        <v>148</v>
      </c>
      <c r="I43" s="39" t="s">
        <v>295</v>
      </c>
      <c r="J43" s="39" t="s">
        <v>153</v>
      </c>
      <c r="K43" s="39" t="s">
        <v>47</v>
      </c>
      <c r="L43" s="39" t="s">
        <v>293</v>
      </c>
      <c r="M43" s="39"/>
      <c r="N43" s="39">
        <v>0</v>
      </c>
      <c r="O43" s="39">
        <v>0</v>
      </c>
      <c r="P43"/>
      <c r="Q43" s="39">
        <f t="shared" si="0"/>
        <v>99</v>
      </c>
      <c r="R43" s="247">
        <f t="shared" si="0"/>
        <v>99</v>
      </c>
      <c r="T43" s="1">
        <f>IFERROR(VLOOKUP(B43,'Pay Table'!$M$3:$P$15,4,FALSE),"")</f>
        <v>294</v>
      </c>
      <c r="U43" s="1">
        <f>IFERROR(VLOOKUP(C43,'Pay Table'!$M$3:$P$15,4,FALSE),"")</f>
        <v>8</v>
      </c>
      <c r="V43" s="1">
        <f>IFERROR(VLOOKUP(D43,'Pay Table'!$M$3:$P$15,4,FALSE),"")</f>
        <v>200</v>
      </c>
      <c r="W43" s="1">
        <f>IFERROR(VLOOKUP(E43,'Pay Table'!$M$3:$P$15,4,FALSE),"")</f>
        <v>8</v>
      </c>
      <c r="X43" s="1">
        <f>IFERROR(VLOOKUP(F43,'Pay Table'!$M$3:$P$15,4,FALSE),"")</f>
        <v>6</v>
      </c>
      <c r="Z43" s="1">
        <f>IFERROR(VLOOKUP(H43,'Pay Table'!$M$3:$P$15,4,FALSE),"")</f>
        <v>204</v>
      </c>
      <c r="AA43" s="1">
        <f>IFERROR(VLOOKUP(I43,'Pay Table'!$M$3:$P$15,4,FALSE),"")</f>
        <v>8</v>
      </c>
      <c r="AB43" s="1">
        <f>IFERROR(VLOOKUP(J43,'Pay Table'!$M$3:$P$15,4,FALSE),"")</f>
        <v>200</v>
      </c>
      <c r="AC43" s="1">
        <f>IFERROR(VLOOKUP(K43,'Pay Table'!$M$3:$P$15,4,FALSE),"")</f>
        <v>294</v>
      </c>
      <c r="AD43" s="1">
        <f>IFERROR(VLOOKUP(L43,'Pay Table'!$M$3:$P$15,4,FALSE),"")</f>
        <v>6</v>
      </c>
      <c r="AG43" s="1" t="str">
        <f>IFERROR(VLOOKUP(R43,'Pay Table'!$M$3:$P$15,4,FALSE),"")</f>
        <v/>
      </c>
      <c r="AH43" s="1" t="str">
        <f>IFERROR(VLOOKUP(T43,'Pay Table'!$M$3:$P$15,4,FALSE),"")</f>
        <v/>
      </c>
      <c r="AI43" s="1" t="str">
        <f>IFERROR(VLOOKUP(U43,'Pay Table'!$M$3:$P$15,4,FALSE),"")</f>
        <v/>
      </c>
      <c r="AJ43" s="1" t="str">
        <f>IFERROR(VLOOKUP(V43,'Pay Table'!$M$3:$P$15,4,FALSE),"")</f>
        <v/>
      </c>
      <c r="AK43" s="1" t="str">
        <f>IFERROR(VLOOKUP(#REF!,'Pay Table'!$M$3:$P$15,4,FALSE),"")</f>
        <v/>
      </c>
      <c r="BL43" s="59" t="str">
        <f>IFERROR($BM$2&amp;VLOOKUP(B45,'Pay Table'!$M$3:$N$18,2,FALSE)&amp;$BL$2&amp;#REF!&amp;$BN$2,"")</f>
        <v/>
      </c>
      <c r="BM43" s="49" t="str">
        <f>IFERROR($BM$2&amp;VLOOKUP(C45,'Pay Table'!$M$3:$N$18,2,FALSE)&amp;$BL$2&amp;#REF!&amp;$BN$2,"")</f>
        <v/>
      </c>
      <c r="BN43" s="49" t="str">
        <f>IFERROR($BM$2&amp;VLOOKUP(D45,'Pay Table'!$M$3:$N$18,2,FALSE)&amp;$BL$2&amp;#REF!&amp;$BN$2,"")</f>
        <v/>
      </c>
      <c r="BO43" s="49" t="str">
        <f>IFERROR($BM$2&amp;VLOOKUP(E45,'Pay Table'!$M$3:$N$18,2,FALSE)&amp;$BL$2&amp;#REF!&amp;$BN$2,"")</f>
        <v/>
      </c>
      <c r="BP43" s="60" t="str">
        <f>IFERROR($BM$2&amp;VLOOKUP(F45,'Pay Table'!$M$3:$N$18,2,FALSE)&amp;$BL$2&amp;#REF!&amp;$BN$2,"")</f>
        <v/>
      </c>
    </row>
    <row r="44" spans="1:68" ht="17.100000000000001" customHeight="1" x14ac:dyDescent="0.25">
      <c r="A44" s="14">
        <v>42</v>
      </c>
      <c r="B44" s="10" t="s">
        <v>172</v>
      </c>
      <c r="C44" s="39" t="s">
        <v>294</v>
      </c>
      <c r="D44" s="39" t="s">
        <v>126</v>
      </c>
      <c r="E44" s="39" t="s">
        <v>293</v>
      </c>
      <c r="F44" s="39" t="s">
        <v>292</v>
      </c>
      <c r="G44" s="39"/>
      <c r="H44" s="10" t="s">
        <v>151</v>
      </c>
      <c r="I44" s="39" t="s">
        <v>122</v>
      </c>
      <c r="J44" s="39" t="s">
        <v>126</v>
      </c>
      <c r="K44" s="39" t="s">
        <v>293</v>
      </c>
      <c r="L44" s="39" t="s">
        <v>292</v>
      </c>
      <c r="M44" s="39"/>
      <c r="N44" s="39" t="s">
        <v>168</v>
      </c>
      <c r="O44" s="39" t="s">
        <v>168</v>
      </c>
      <c r="P44"/>
      <c r="Q44" s="39">
        <f t="shared" si="0"/>
        <v>4</v>
      </c>
      <c r="R44" s="247">
        <f t="shared" si="0"/>
        <v>4</v>
      </c>
      <c r="T44" s="1">
        <f>IFERROR(VLOOKUP(B44,'Pay Table'!$M$3:$P$15,4,FALSE),"")</f>
        <v>203</v>
      </c>
      <c r="U44" s="1">
        <f>IFERROR(VLOOKUP(C44,'Pay Table'!$M$3:$P$15,4,FALSE),"")</f>
        <v>7</v>
      </c>
      <c r="V44" s="1">
        <f>IFERROR(VLOOKUP(D44,'Pay Table'!$M$3:$P$15,4,FALSE),"")</f>
        <v>202</v>
      </c>
      <c r="W44" s="1">
        <f>IFERROR(VLOOKUP(E44,'Pay Table'!$M$3:$P$15,4,FALSE),"")</f>
        <v>6</v>
      </c>
      <c r="X44" s="1">
        <f>IFERROR(VLOOKUP(F44,'Pay Table'!$M$3:$P$15,4,FALSE),"")</f>
        <v>5</v>
      </c>
      <c r="Z44" s="1">
        <f>IFERROR(VLOOKUP(H44,'Pay Table'!$M$3:$P$15,4,FALSE),"")</f>
        <v>202</v>
      </c>
      <c r="AA44" s="1">
        <f>IFERROR(VLOOKUP(I44,'Pay Table'!$M$3:$P$15,4,FALSE),"")</f>
        <v>292</v>
      </c>
      <c r="AB44" s="1">
        <f>IFERROR(VLOOKUP(J44,'Pay Table'!$M$3:$P$15,4,FALSE),"")</f>
        <v>202</v>
      </c>
      <c r="AC44" s="1">
        <f>IFERROR(VLOOKUP(K44,'Pay Table'!$M$3:$P$15,4,FALSE),"")</f>
        <v>6</v>
      </c>
      <c r="AD44" s="1">
        <f>IFERROR(VLOOKUP(L44,'Pay Table'!$M$3:$P$15,4,FALSE),"")</f>
        <v>5</v>
      </c>
      <c r="AG44" s="1" t="str">
        <f>IFERROR(VLOOKUP(R44,'Pay Table'!$M$3:$P$15,4,FALSE),"")</f>
        <v/>
      </c>
      <c r="AH44" s="1" t="str">
        <f>IFERROR(VLOOKUP(T44,'Pay Table'!$M$3:$P$15,4,FALSE),"")</f>
        <v/>
      </c>
      <c r="AI44" s="1" t="str">
        <f>IFERROR(VLOOKUP(U44,'Pay Table'!$M$3:$P$15,4,FALSE),"")</f>
        <v/>
      </c>
      <c r="AJ44" s="1" t="str">
        <f>IFERROR(VLOOKUP(V44,'Pay Table'!$M$3:$P$15,4,FALSE),"")</f>
        <v/>
      </c>
      <c r="AK44" s="1" t="str">
        <f>IFERROR(VLOOKUP(#REF!,'Pay Table'!$M$3:$P$15,4,FALSE),"")</f>
        <v/>
      </c>
      <c r="BL44" s="59" t="str">
        <f>IFERROR($BM$2&amp;VLOOKUP(B46,'Pay Table'!$M$3:$N$18,2,FALSE)&amp;$BL$2&amp;#REF!&amp;$BN$2,"")</f>
        <v/>
      </c>
      <c r="BM44" s="49" t="str">
        <f>IFERROR($BM$2&amp;VLOOKUP(C46,'Pay Table'!$M$3:$N$18,2,FALSE)&amp;$BL$2&amp;#REF!&amp;$BN$2,"")</f>
        <v/>
      </c>
      <c r="BN44" s="49" t="str">
        <f>IFERROR($BM$2&amp;VLOOKUP(D46,'Pay Table'!$M$3:$N$18,2,FALSE)&amp;$BL$2&amp;#REF!&amp;$BN$2,"")</f>
        <v/>
      </c>
      <c r="BO44" s="49" t="str">
        <f>IFERROR($BM$2&amp;VLOOKUP(E46,'Pay Table'!$M$3:$N$18,2,FALSE)&amp;$BL$2&amp;#REF!&amp;$BN$2,"")</f>
        <v/>
      </c>
      <c r="BP44" s="60" t="str">
        <f>IFERROR($BM$2&amp;VLOOKUP(F46,'Pay Table'!$M$3:$N$18,2,FALSE)&amp;$BL$2&amp;#REF!&amp;$BN$2,"")</f>
        <v/>
      </c>
    </row>
    <row r="45" spans="1:68" ht="17.100000000000001" customHeight="1" x14ac:dyDescent="0.25">
      <c r="A45" s="14">
        <v>43</v>
      </c>
      <c r="B45" s="10" t="s">
        <v>47</v>
      </c>
      <c r="C45" s="39" t="s">
        <v>47</v>
      </c>
      <c r="D45" s="39" t="s">
        <v>14</v>
      </c>
      <c r="E45" s="39" t="s">
        <v>125</v>
      </c>
      <c r="F45" s="39" t="s">
        <v>127</v>
      </c>
      <c r="G45" s="39"/>
      <c r="H45" s="10" t="s">
        <v>47</v>
      </c>
      <c r="I45" s="39" t="s">
        <v>151</v>
      </c>
      <c r="J45" s="39" t="s">
        <v>364</v>
      </c>
      <c r="K45" s="39" t="s">
        <v>125</v>
      </c>
      <c r="L45" s="39" t="s">
        <v>122</v>
      </c>
      <c r="M45" s="39"/>
      <c r="N45" s="39">
        <v>0</v>
      </c>
      <c r="O45" s="39">
        <v>0</v>
      </c>
      <c r="P45"/>
      <c r="Q45" s="39">
        <f t="shared" si="0"/>
        <v>99</v>
      </c>
      <c r="R45" s="247">
        <f t="shared" si="0"/>
        <v>99</v>
      </c>
      <c r="T45" s="1">
        <f>IFERROR(VLOOKUP(B45,'Pay Table'!$M$3:$P$15,4,FALSE),"")</f>
        <v>294</v>
      </c>
      <c r="U45" s="1">
        <f>IFERROR(VLOOKUP(C45,'Pay Table'!$M$3:$P$15,4,FALSE),"")</f>
        <v>294</v>
      </c>
      <c r="V45" s="1">
        <f>IFERROR(VLOOKUP(D45,'Pay Table'!$M$3:$P$15,4,FALSE),"")</f>
        <v>290</v>
      </c>
      <c r="W45" s="1">
        <f>IFERROR(VLOOKUP(E45,'Pay Table'!$M$3:$P$15,4,FALSE),"")</f>
        <v>201</v>
      </c>
      <c r="X45" s="1">
        <f>IFERROR(VLOOKUP(F45,'Pay Table'!$M$3:$P$15,4,FALSE),"")</f>
        <v>203</v>
      </c>
      <c r="Z45" s="1">
        <f>IFERROR(VLOOKUP(H45,'Pay Table'!$M$3:$P$15,4,FALSE),"")</f>
        <v>294</v>
      </c>
      <c r="AA45" s="1">
        <f>IFERROR(VLOOKUP(I45,'Pay Table'!$M$3:$P$15,4,FALSE),"")</f>
        <v>202</v>
      </c>
      <c r="AB45" s="1">
        <f>IFERROR(VLOOKUP(J45,'Pay Table'!$M$3:$P$15,4,FALSE),"")</f>
        <v>294</v>
      </c>
      <c r="AC45" s="1">
        <f>IFERROR(VLOOKUP(K45,'Pay Table'!$M$3:$P$15,4,FALSE),"")</f>
        <v>201</v>
      </c>
      <c r="AD45" s="1">
        <f>IFERROR(VLOOKUP(L45,'Pay Table'!$M$3:$P$15,4,FALSE),"")</f>
        <v>292</v>
      </c>
      <c r="AG45" s="1" t="str">
        <f>IFERROR(VLOOKUP(R45,'Pay Table'!$M$3:$P$15,4,FALSE),"")</f>
        <v/>
      </c>
      <c r="AH45" s="1" t="str">
        <f>IFERROR(VLOOKUP(T45,'Pay Table'!$M$3:$P$15,4,FALSE),"")</f>
        <v/>
      </c>
      <c r="AI45" s="1" t="str">
        <f>IFERROR(VLOOKUP(U45,'Pay Table'!$M$3:$P$15,4,FALSE),"")</f>
        <v/>
      </c>
      <c r="AJ45" s="1" t="str">
        <f>IFERROR(VLOOKUP(V45,'Pay Table'!$M$3:$P$15,4,FALSE),"")</f>
        <v/>
      </c>
      <c r="AK45" s="1" t="str">
        <f>IFERROR(VLOOKUP(#REF!,'Pay Table'!$M$3:$P$15,4,FALSE),"")</f>
        <v/>
      </c>
      <c r="BL45" s="59" t="str">
        <f>IFERROR($BM$2&amp;VLOOKUP(B47,'Pay Table'!$M$3:$N$18,2,FALSE)&amp;$BL$2&amp;#REF!&amp;$BN$2,"")</f>
        <v/>
      </c>
      <c r="BM45" s="49" t="str">
        <f>IFERROR($BM$2&amp;VLOOKUP(C47,'Pay Table'!$M$3:$N$18,2,FALSE)&amp;$BL$2&amp;#REF!&amp;$BN$2,"")</f>
        <v/>
      </c>
      <c r="BN45" s="49" t="str">
        <f>IFERROR($BM$2&amp;VLOOKUP(D47,'Pay Table'!$M$3:$N$18,2,FALSE)&amp;$BL$2&amp;#REF!&amp;$BN$2,"")</f>
        <v/>
      </c>
      <c r="BO45" s="49" t="str">
        <f>IFERROR($BM$2&amp;VLOOKUP(E47,'Pay Table'!$M$3:$N$18,2,FALSE)&amp;$BL$2&amp;#REF!&amp;$BN$2,"")</f>
        <v/>
      </c>
      <c r="BP45" s="60" t="str">
        <f>IFERROR($BM$2&amp;VLOOKUP(F47,'Pay Table'!$M$3:$N$18,2,FALSE)&amp;$BL$2&amp;#REF!&amp;$BN$2,"")</f>
        <v/>
      </c>
    </row>
    <row r="46" spans="1:68" ht="17.100000000000001" customHeight="1" x14ac:dyDescent="0.25">
      <c r="A46" s="14">
        <v>44</v>
      </c>
      <c r="B46" s="10" t="s">
        <v>120</v>
      </c>
      <c r="C46" s="39" t="s">
        <v>126</v>
      </c>
      <c r="D46" s="39" t="s">
        <v>295</v>
      </c>
      <c r="E46" s="39" t="s">
        <v>295</v>
      </c>
      <c r="F46" s="39" t="s">
        <v>295</v>
      </c>
      <c r="G46" s="39"/>
      <c r="H46" s="10" t="s">
        <v>120</v>
      </c>
      <c r="I46" s="39" t="s">
        <v>126</v>
      </c>
      <c r="J46" s="39" t="s">
        <v>295</v>
      </c>
      <c r="K46" s="39" t="s">
        <v>295</v>
      </c>
      <c r="L46" s="39" t="s">
        <v>295</v>
      </c>
      <c r="M46" s="39"/>
      <c r="N46" s="39">
        <v>50</v>
      </c>
      <c r="O46" s="39">
        <v>50</v>
      </c>
      <c r="P46"/>
      <c r="Q46" s="39">
        <f t="shared" si="0"/>
        <v>13</v>
      </c>
      <c r="R46" s="247">
        <f t="shared" si="0"/>
        <v>13</v>
      </c>
      <c r="T46" s="1">
        <f>IFERROR(VLOOKUP(B46,'Pay Table'!$M$3:$P$15,4,FALSE),"")</f>
        <v>8</v>
      </c>
      <c r="U46" s="1">
        <f>IFERROR(VLOOKUP(C46,'Pay Table'!$M$3:$P$15,4,FALSE),"")</f>
        <v>202</v>
      </c>
      <c r="V46" s="1">
        <f>IFERROR(VLOOKUP(D46,'Pay Table'!$M$3:$P$15,4,FALSE),"")</f>
        <v>8</v>
      </c>
      <c r="W46" s="1">
        <f>IFERROR(VLOOKUP(E46,'Pay Table'!$M$3:$P$15,4,FALSE),"")</f>
        <v>8</v>
      </c>
      <c r="X46" s="1">
        <f>IFERROR(VLOOKUP(F46,'Pay Table'!$M$3:$P$15,4,FALSE),"")</f>
        <v>8</v>
      </c>
      <c r="Z46" s="1">
        <f>IFERROR(VLOOKUP(H46,'Pay Table'!$M$3:$P$15,4,FALSE),"")</f>
        <v>8</v>
      </c>
      <c r="AA46" s="1">
        <f>IFERROR(VLOOKUP(I46,'Pay Table'!$M$3:$P$15,4,FALSE),"")</f>
        <v>202</v>
      </c>
      <c r="AB46" s="1">
        <f>IFERROR(VLOOKUP(J46,'Pay Table'!$M$3:$P$15,4,FALSE),"")</f>
        <v>8</v>
      </c>
      <c r="AC46" s="1">
        <f>IFERROR(VLOOKUP(K46,'Pay Table'!$M$3:$P$15,4,FALSE),"")</f>
        <v>8</v>
      </c>
      <c r="AD46" s="1">
        <f>IFERROR(VLOOKUP(L46,'Pay Table'!$M$3:$P$15,4,FALSE),"")</f>
        <v>8</v>
      </c>
      <c r="AG46" s="1" t="str">
        <f>IFERROR(VLOOKUP(R46,'Pay Table'!$M$3:$P$15,4,FALSE),"")</f>
        <v/>
      </c>
      <c r="AH46" s="1" t="str">
        <f>IFERROR(VLOOKUP(T46,'Pay Table'!$M$3:$P$15,4,FALSE),"")</f>
        <v/>
      </c>
      <c r="AI46" s="1" t="str">
        <f>IFERROR(VLOOKUP(U46,'Pay Table'!$M$3:$P$15,4,FALSE),"")</f>
        <v/>
      </c>
      <c r="AJ46" s="1" t="str">
        <f>IFERROR(VLOOKUP(V46,'Pay Table'!$M$3:$P$15,4,FALSE),"")</f>
        <v/>
      </c>
      <c r="AK46" s="1" t="str">
        <f>IFERROR(VLOOKUP(#REF!,'Pay Table'!$M$3:$P$15,4,FALSE),"")</f>
        <v/>
      </c>
      <c r="BL46" s="59" t="str">
        <f>IFERROR($BM$2&amp;VLOOKUP(B48,'Pay Table'!$M$3:$N$18,2,FALSE)&amp;$BL$2&amp;#REF!&amp;$BN$2,"")</f>
        <v/>
      </c>
      <c r="BM46" s="49" t="str">
        <f>IFERROR($BM$2&amp;VLOOKUP(C48,'Pay Table'!$M$3:$N$18,2,FALSE)&amp;$BL$2&amp;#REF!&amp;$BN$2,"")</f>
        <v/>
      </c>
      <c r="BN46" s="49" t="str">
        <f>IFERROR($BM$2&amp;VLOOKUP(D48,'Pay Table'!$M$3:$N$18,2,FALSE)&amp;$BL$2&amp;#REF!&amp;$BN$2,"")</f>
        <v/>
      </c>
      <c r="BO46" s="49" t="str">
        <f>IFERROR($BM$2&amp;VLOOKUP(E48,'Pay Table'!$M$3:$N$18,2,FALSE)&amp;$BL$2&amp;#REF!&amp;$BN$2,"")</f>
        <v/>
      </c>
      <c r="BP46" s="60" t="str">
        <f>IFERROR($BM$2&amp;VLOOKUP(F48,'Pay Table'!$M$3:$N$18,2,FALSE)&amp;$BL$2&amp;#REF!&amp;$BN$2,"")</f>
        <v/>
      </c>
    </row>
    <row r="47" spans="1:68" ht="17.100000000000001" customHeight="1" x14ac:dyDescent="0.25">
      <c r="A47" s="14">
        <v>45</v>
      </c>
      <c r="B47" s="10" t="s">
        <v>151</v>
      </c>
      <c r="C47" s="39" t="s">
        <v>47</v>
      </c>
      <c r="D47" s="39" t="s">
        <v>127</v>
      </c>
      <c r="E47" s="39" t="s">
        <v>294</v>
      </c>
      <c r="F47" s="39" t="s">
        <v>295</v>
      </c>
      <c r="G47" s="39"/>
      <c r="H47" s="10" t="s">
        <v>151</v>
      </c>
      <c r="I47" s="39" t="s">
        <v>47</v>
      </c>
      <c r="J47" s="39" t="s">
        <v>127</v>
      </c>
      <c r="K47" s="39" t="s">
        <v>294</v>
      </c>
      <c r="L47" s="39" t="s">
        <v>295</v>
      </c>
      <c r="M47" s="39"/>
      <c r="N47" s="39">
        <v>0</v>
      </c>
      <c r="O47" s="39">
        <v>0</v>
      </c>
      <c r="P47"/>
      <c r="Q47" s="39">
        <f t="shared" si="0"/>
        <v>99</v>
      </c>
      <c r="R47" s="247">
        <f t="shared" si="0"/>
        <v>99</v>
      </c>
      <c r="T47" s="1">
        <f>IFERROR(VLOOKUP(B47,'Pay Table'!$M$3:$P$15,4,FALSE),"")</f>
        <v>202</v>
      </c>
      <c r="U47" s="1">
        <f>IFERROR(VLOOKUP(C47,'Pay Table'!$M$3:$P$15,4,FALSE),"")</f>
        <v>294</v>
      </c>
      <c r="V47" s="1">
        <f>IFERROR(VLOOKUP(D47,'Pay Table'!$M$3:$P$15,4,FALSE),"")</f>
        <v>203</v>
      </c>
      <c r="W47" s="1">
        <f>IFERROR(VLOOKUP(E47,'Pay Table'!$M$3:$P$15,4,FALSE),"")</f>
        <v>7</v>
      </c>
      <c r="X47" s="1">
        <f>IFERROR(VLOOKUP(F47,'Pay Table'!$M$3:$P$15,4,FALSE),"")</f>
        <v>8</v>
      </c>
      <c r="Z47" s="1">
        <f>IFERROR(VLOOKUP(H47,'Pay Table'!$M$3:$P$15,4,FALSE),"")</f>
        <v>202</v>
      </c>
      <c r="AA47" s="1">
        <f>IFERROR(VLOOKUP(I47,'Pay Table'!$M$3:$P$15,4,FALSE),"")</f>
        <v>294</v>
      </c>
      <c r="AB47" s="1">
        <f>IFERROR(VLOOKUP(J47,'Pay Table'!$M$3:$P$15,4,FALSE),"")</f>
        <v>203</v>
      </c>
      <c r="AC47" s="1">
        <f>IFERROR(VLOOKUP(K47,'Pay Table'!$M$3:$P$15,4,FALSE),"")</f>
        <v>7</v>
      </c>
      <c r="AD47" s="1">
        <f>IFERROR(VLOOKUP(L47,'Pay Table'!$M$3:$P$15,4,FALSE),"")</f>
        <v>8</v>
      </c>
      <c r="AG47" s="1" t="str">
        <f>IFERROR(VLOOKUP(R47,'Pay Table'!$M$3:$P$15,4,FALSE),"")</f>
        <v/>
      </c>
      <c r="AH47" s="1" t="str">
        <f>IFERROR(VLOOKUP(T47,'Pay Table'!$M$3:$P$15,4,FALSE),"")</f>
        <v/>
      </c>
      <c r="AI47" s="1" t="str">
        <f>IFERROR(VLOOKUP(U47,'Pay Table'!$M$3:$P$15,4,FALSE),"")</f>
        <v/>
      </c>
      <c r="AJ47" s="1" t="str">
        <f>IFERROR(VLOOKUP(V47,'Pay Table'!$M$3:$P$15,4,FALSE),"")</f>
        <v/>
      </c>
      <c r="AK47" s="1" t="str">
        <f>IFERROR(VLOOKUP(#REF!,'Pay Table'!$M$3:$P$15,4,FALSE),"")</f>
        <v/>
      </c>
      <c r="BL47" s="59" t="str">
        <f>IFERROR($BM$2&amp;VLOOKUP(B49,'Pay Table'!$M$3:$N$18,2,FALSE)&amp;$BL$2&amp;#REF!&amp;$BN$2,"")</f>
        <v/>
      </c>
      <c r="BM47" s="49" t="str">
        <f>IFERROR($BM$2&amp;VLOOKUP(C49,'Pay Table'!$M$3:$N$18,2,FALSE)&amp;$BL$2&amp;#REF!&amp;$BN$2,"")</f>
        <v/>
      </c>
      <c r="BN47" s="49" t="str">
        <f>IFERROR($BM$2&amp;VLOOKUP(D49,'Pay Table'!$M$3:$N$18,2,FALSE)&amp;$BL$2&amp;#REF!&amp;$BN$2,"")</f>
        <v/>
      </c>
      <c r="BO47" s="49" t="str">
        <f>IFERROR($BM$2&amp;VLOOKUP(E49,'Pay Table'!$M$3:$N$18,2,FALSE)&amp;$BL$2&amp;#REF!&amp;$BN$2,"")</f>
        <v/>
      </c>
      <c r="BP47" s="60" t="str">
        <f>IFERROR($BM$2&amp;VLOOKUP(F49,'Pay Table'!$M$3:$N$18,2,FALSE)&amp;$BL$2&amp;#REF!&amp;$BN$2,"")</f>
        <v/>
      </c>
    </row>
    <row r="48" spans="1:68" ht="17.100000000000001" customHeight="1" x14ac:dyDescent="0.25">
      <c r="A48" s="14">
        <v>46</v>
      </c>
      <c r="B48" s="10" t="s">
        <v>172</v>
      </c>
      <c r="C48" s="39" t="s">
        <v>293</v>
      </c>
      <c r="D48" s="39" t="s">
        <v>124</v>
      </c>
      <c r="E48" s="39" t="s">
        <v>47</v>
      </c>
      <c r="F48" s="39" t="s">
        <v>152</v>
      </c>
      <c r="G48" s="39"/>
      <c r="H48" s="10" t="s">
        <v>172</v>
      </c>
      <c r="I48" s="39" t="s">
        <v>293</v>
      </c>
      <c r="J48" s="39" t="s">
        <v>124</v>
      </c>
      <c r="K48" s="39" t="s">
        <v>153</v>
      </c>
      <c r="L48" s="39" t="s">
        <v>152</v>
      </c>
      <c r="M48" s="39"/>
      <c r="N48" s="39">
        <v>200</v>
      </c>
      <c r="O48" s="39">
        <v>200</v>
      </c>
      <c r="P48"/>
      <c r="Q48" s="39">
        <f t="shared" si="0"/>
        <v>10</v>
      </c>
      <c r="R48" s="247">
        <f t="shared" si="0"/>
        <v>10</v>
      </c>
      <c r="T48" s="1">
        <f>IFERROR(VLOOKUP(B48,'Pay Table'!$M$3:$P$15,4,FALSE),"")</f>
        <v>203</v>
      </c>
      <c r="U48" s="1">
        <f>IFERROR(VLOOKUP(C48,'Pay Table'!$M$3:$P$15,4,FALSE),"")</f>
        <v>6</v>
      </c>
      <c r="V48" s="1">
        <f>IFERROR(VLOOKUP(D48,'Pay Table'!$M$3:$P$15,4,FALSE),"")</f>
        <v>200</v>
      </c>
      <c r="W48" s="1">
        <f>IFERROR(VLOOKUP(E48,'Pay Table'!$M$3:$P$15,4,FALSE),"")</f>
        <v>294</v>
      </c>
      <c r="X48" s="1">
        <f>IFERROR(VLOOKUP(F48,'Pay Table'!$M$3:$P$15,4,FALSE),"")</f>
        <v>201</v>
      </c>
      <c r="Z48" s="1">
        <f>IFERROR(VLOOKUP(H48,'Pay Table'!$M$3:$P$15,4,FALSE),"")</f>
        <v>203</v>
      </c>
      <c r="AA48" s="1">
        <f>IFERROR(VLOOKUP(I48,'Pay Table'!$M$3:$P$15,4,FALSE),"")</f>
        <v>6</v>
      </c>
      <c r="AB48" s="1">
        <f>IFERROR(VLOOKUP(J48,'Pay Table'!$M$3:$P$15,4,FALSE),"")</f>
        <v>200</v>
      </c>
      <c r="AC48" s="1">
        <f>IFERROR(VLOOKUP(K48,'Pay Table'!$M$3:$P$15,4,FALSE),"")</f>
        <v>200</v>
      </c>
      <c r="AD48" s="1">
        <f>IFERROR(VLOOKUP(L48,'Pay Table'!$M$3:$P$15,4,FALSE),"")</f>
        <v>201</v>
      </c>
      <c r="AG48" s="1" t="str">
        <f>IFERROR(VLOOKUP(R48,'Pay Table'!$M$3:$P$15,4,FALSE),"")</f>
        <v/>
      </c>
      <c r="AH48" s="1" t="str">
        <f>IFERROR(VLOOKUP(T48,'Pay Table'!$M$3:$P$15,4,FALSE),"")</f>
        <v/>
      </c>
      <c r="AI48" s="1" t="str">
        <f>IFERROR(VLOOKUP(U48,'Pay Table'!$M$3:$P$15,4,FALSE),"")</f>
        <v/>
      </c>
      <c r="AJ48" s="1" t="str">
        <f>IFERROR(VLOOKUP(V48,'Pay Table'!$M$3:$P$15,4,FALSE),"")</f>
        <v/>
      </c>
      <c r="AK48" s="1" t="str">
        <f>IFERROR(VLOOKUP(#REF!,'Pay Table'!$M$3:$P$15,4,FALSE),"")</f>
        <v/>
      </c>
      <c r="BL48" s="59" t="str">
        <f>IFERROR($BM$2&amp;VLOOKUP(B50,'Pay Table'!$M$3:$N$18,2,FALSE)&amp;$BL$2&amp;#REF!&amp;$BN$2,"")</f>
        <v/>
      </c>
      <c r="BM48" s="49" t="str">
        <f>IFERROR($BM$2&amp;VLOOKUP(C50,'Pay Table'!$M$3:$N$18,2,FALSE)&amp;$BL$2&amp;#REF!&amp;$BN$2,"")</f>
        <v/>
      </c>
      <c r="BN48" s="49" t="str">
        <f>IFERROR($BM$2&amp;VLOOKUP(D50,'Pay Table'!$M$3:$N$18,2,FALSE)&amp;$BL$2&amp;#REF!&amp;$BN$2,"")</f>
        <v/>
      </c>
      <c r="BO48" s="49" t="str">
        <f>IFERROR($BM$2&amp;VLOOKUP(E50,'Pay Table'!$M$3:$N$18,2,FALSE)&amp;$BL$2&amp;#REF!&amp;$BN$2,"")</f>
        <v/>
      </c>
      <c r="BP48" s="60" t="str">
        <f>IFERROR($BM$2&amp;VLOOKUP(F50,'Pay Table'!$M$3:$N$18,2,FALSE)&amp;$BL$2&amp;#REF!&amp;$BN$2,"")</f>
        <v/>
      </c>
    </row>
    <row r="49" spans="1:68" ht="17.100000000000001" customHeight="1" x14ac:dyDescent="0.25">
      <c r="A49" s="14">
        <v>47</v>
      </c>
      <c r="B49" s="10" t="s">
        <v>120</v>
      </c>
      <c r="C49" s="39" t="s">
        <v>125</v>
      </c>
      <c r="D49" s="39" t="s">
        <v>128</v>
      </c>
      <c r="E49" s="39" t="s">
        <v>293</v>
      </c>
      <c r="F49" s="39" t="s">
        <v>152</v>
      </c>
      <c r="G49" s="39"/>
      <c r="H49" s="10" t="s">
        <v>120</v>
      </c>
      <c r="I49" s="39" t="s">
        <v>125</v>
      </c>
      <c r="J49" s="39" t="s">
        <v>128</v>
      </c>
      <c r="K49" s="39" t="s">
        <v>293</v>
      </c>
      <c r="L49" s="39" t="s">
        <v>152</v>
      </c>
      <c r="M49" s="39"/>
      <c r="N49" s="39">
        <v>0</v>
      </c>
      <c r="O49" s="39">
        <v>0</v>
      </c>
      <c r="P49"/>
      <c r="Q49" s="39">
        <f t="shared" si="0"/>
        <v>99</v>
      </c>
      <c r="R49" s="247">
        <f t="shared" si="0"/>
        <v>99</v>
      </c>
      <c r="T49" s="1">
        <f>IFERROR(VLOOKUP(B49,'Pay Table'!$M$3:$P$15,4,FALSE),"")</f>
        <v>8</v>
      </c>
      <c r="U49" s="1">
        <f>IFERROR(VLOOKUP(C49,'Pay Table'!$M$3:$P$15,4,FALSE),"")</f>
        <v>201</v>
      </c>
      <c r="V49" s="1">
        <f>IFERROR(VLOOKUP(D49,'Pay Table'!$M$3:$P$15,4,FALSE),"")</f>
        <v>204</v>
      </c>
      <c r="W49" s="1">
        <f>IFERROR(VLOOKUP(E49,'Pay Table'!$M$3:$P$15,4,FALSE),"")</f>
        <v>6</v>
      </c>
      <c r="X49" s="1">
        <f>IFERROR(VLOOKUP(F49,'Pay Table'!$M$3:$P$15,4,FALSE),"")</f>
        <v>201</v>
      </c>
      <c r="Z49" s="1">
        <f>IFERROR(VLOOKUP(H49,'Pay Table'!$M$3:$P$15,4,FALSE),"")</f>
        <v>8</v>
      </c>
      <c r="AA49" s="1">
        <f>IFERROR(VLOOKUP(I49,'Pay Table'!$M$3:$P$15,4,FALSE),"")</f>
        <v>201</v>
      </c>
      <c r="AB49" s="1">
        <f>IFERROR(VLOOKUP(J49,'Pay Table'!$M$3:$P$15,4,FALSE),"")</f>
        <v>204</v>
      </c>
      <c r="AC49" s="1">
        <f>IFERROR(VLOOKUP(K49,'Pay Table'!$M$3:$P$15,4,FALSE),"")</f>
        <v>6</v>
      </c>
      <c r="AD49" s="1">
        <f>IFERROR(VLOOKUP(L49,'Pay Table'!$M$3:$P$15,4,FALSE),"")</f>
        <v>201</v>
      </c>
      <c r="AG49" s="1" t="str">
        <f>IFERROR(VLOOKUP(R49,'Pay Table'!$M$3:$P$15,4,FALSE),"")</f>
        <v/>
      </c>
      <c r="AH49" s="1" t="str">
        <f>IFERROR(VLOOKUP(T49,'Pay Table'!$M$3:$P$15,4,FALSE),"")</f>
        <v/>
      </c>
      <c r="AI49" s="1" t="str">
        <f>IFERROR(VLOOKUP(U49,'Pay Table'!$M$3:$P$15,4,FALSE),"")</f>
        <v/>
      </c>
      <c r="AJ49" s="1" t="str">
        <f>IFERROR(VLOOKUP(V49,'Pay Table'!$M$3:$P$15,4,FALSE),"")</f>
        <v/>
      </c>
      <c r="AK49" s="1" t="str">
        <f>IFERROR(VLOOKUP(#REF!,'Pay Table'!$M$3:$P$15,4,FALSE),"")</f>
        <v/>
      </c>
      <c r="BL49" s="59" t="str">
        <f>IFERROR($BM$2&amp;VLOOKUP(B51,'Pay Table'!$M$3:$N$18,2,FALSE)&amp;$BL$2&amp;#REF!&amp;$BN$2,"")</f>
        <v/>
      </c>
      <c r="BM49" s="49" t="str">
        <f>IFERROR($BM$2&amp;VLOOKUP(C51,'Pay Table'!$M$3:$N$18,2,FALSE)&amp;$BL$2&amp;#REF!&amp;$BN$2,"")</f>
        <v/>
      </c>
      <c r="BN49" s="49" t="str">
        <f>IFERROR($BM$2&amp;VLOOKUP(D51,'Pay Table'!$M$3:$N$18,2,FALSE)&amp;$BL$2&amp;#REF!&amp;$BN$2,"")</f>
        <v/>
      </c>
      <c r="BO49" s="49" t="str">
        <f>IFERROR($BM$2&amp;VLOOKUP(E51,'Pay Table'!$M$3:$N$18,2,FALSE)&amp;$BL$2&amp;#REF!&amp;$BN$2,"")</f>
        <v/>
      </c>
      <c r="BP49" s="60" t="str">
        <f>IFERROR($BM$2&amp;VLOOKUP(F51,'Pay Table'!$M$3:$N$18,2,FALSE)&amp;$BL$2&amp;#REF!&amp;$BN$2,"")</f>
        <v/>
      </c>
    </row>
    <row r="50" spans="1:68" ht="17.100000000000001" customHeight="1" x14ac:dyDescent="0.25">
      <c r="A50" s="14">
        <v>48</v>
      </c>
      <c r="B50" s="10" t="s">
        <v>119</v>
      </c>
      <c r="C50" s="39" t="s">
        <v>128</v>
      </c>
      <c r="D50" s="39" t="s">
        <v>295</v>
      </c>
      <c r="E50" s="39" t="s">
        <v>47</v>
      </c>
      <c r="F50" s="39" t="s">
        <v>125</v>
      </c>
      <c r="G50" s="39"/>
      <c r="H50" s="10" t="s">
        <v>119</v>
      </c>
      <c r="I50" s="39" t="s">
        <v>128</v>
      </c>
      <c r="J50" s="39" t="s">
        <v>295</v>
      </c>
      <c r="K50" s="39" t="s">
        <v>47</v>
      </c>
      <c r="L50" s="39" t="s">
        <v>125</v>
      </c>
      <c r="M50" s="39"/>
      <c r="N50" s="39" t="s">
        <v>256</v>
      </c>
      <c r="O50" s="39">
        <v>750</v>
      </c>
      <c r="P50"/>
      <c r="Q50" s="39">
        <f t="shared" si="0"/>
        <v>700</v>
      </c>
      <c r="R50" s="247">
        <f t="shared" si="0"/>
        <v>7</v>
      </c>
      <c r="T50" s="1">
        <f>IFERROR(VLOOKUP(B50,'Pay Table'!$M$3:$P$15,4,FALSE),"")</f>
        <v>7</v>
      </c>
      <c r="U50" s="1">
        <f>IFERROR(VLOOKUP(C50,'Pay Table'!$M$3:$P$15,4,FALSE),"")</f>
        <v>204</v>
      </c>
      <c r="V50" s="1">
        <f>IFERROR(VLOOKUP(D50,'Pay Table'!$M$3:$P$15,4,FALSE),"")</f>
        <v>8</v>
      </c>
      <c r="W50" s="1">
        <f>IFERROR(VLOOKUP(E50,'Pay Table'!$M$3:$P$15,4,FALSE),"")</f>
        <v>294</v>
      </c>
      <c r="X50" s="1">
        <f>IFERROR(VLOOKUP(F50,'Pay Table'!$M$3:$P$15,4,FALSE),"")</f>
        <v>201</v>
      </c>
      <c r="Z50" s="1">
        <f>IFERROR(VLOOKUP(H50,'Pay Table'!$M$3:$P$15,4,FALSE),"")</f>
        <v>7</v>
      </c>
      <c r="AA50" s="1">
        <f>IFERROR(VLOOKUP(I50,'Pay Table'!$M$3:$P$15,4,FALSE),"")</f>
        <v>204</v>
      </c>
      <c r="AB50" s="1">
        <f>IFERROR(VLOOKUP(J50,'Pay Table'!$M$3:$P$15,4,FALSE),"")</f>
        <v>8</v>
      </c>
      <c r="AC50" s="1">
        <f>IFERROR(VLOOKUP(K50,'Pay Table'!$M$3:$P$15,4,FALSE),"")</f>
        <v>294</v>
      </c>
      <c r="AD50" s="1">
        <f>IFERROR(VLOOKUP(L50,'Pay Table'!$M$3:$P$15,4,FALSE),"")</f>
        <v>201</v>
      </c>
      <c r="AG50" s="1" t="str">
        <f>IFERROR(VLOOKUP(R50,'Pay Table'!$M$3:$P$15,4,FALSE),"")</f>
        <v/>
      </c>
      <c r="AH50" s="1" t="str">
        <f>IFERROR(VLOOKUP(T50,'Pay Table'!$M$3:$P$15,4,FALSE),"")</f>
        <v/>
      </c>
      <c r="AI50" s="1" t="str">
        <f>IFERROR(VLOOKUP(U50,'Pay Table'!$M$3:$P$15,4,FALSE),"")</f>
        <v/>
      </c>
      <c r="AJ50" s="1" t="str">
        <f>IFERROR(VLOOKUP(V50,'Pay Table'!$M$3:$P$15,4,FALSE),"")</f>
        <v/>
      </c>
      <c r="AK50" s="1" t="str">
        <f>IFERROR(VLOOKUP(#REF!,'Pay Table'!$M$3:$P$15,4,FALSE),"")</f>
        <v/>
      </c>
      <c r="BL50" s="59" t="str">
        <f>IFERROR($BM$2&amp;VLOOKUP(B52,'Pay Table'!$M$3:$N$18,2,FALSE)&amp;$BL$2&amp;#REF!&amp;$BN$2,"")</f>
        <v/>
      </c>
      <c r="BM50" s="49" t="str">
        <f>IFERROR($BM$2&amp;VLOOKUP(C52,'Pay Table'!$M$3:$N$18,2,FALSE)&amp;$BL$2&amp;#REF!&amp;$BN$2,"")</f>
        <v/>
      </c>
      <c r="BN50" s="49" t="str">
        <f>IFERROR($BM$2&amp;VLOOKUP(D52,'Pay Table'!$M$3:$N$18,2,FALSE)&amp;$BL$2&amp;#REF!&amp;$BN$2,"")</f>
        <v/>
      </c>
      <c r="BO50" s="49" t="str">
        <f>IFERROR($BM$2&amp;VLOOKUP(E52,'Pay Table'!$M$3:$N$18,2,FALSE)&amp;$BL$2&amp;#REF!&amp;$BN$2,"")</f>
        <v/>
      </c>
      <c r="BP50" s="60" t="str">
        <f>IFERROR($BM$2&amp;VLOOKUP(F52,'Pay Table'!$M$3:$N$18,2,FALSE)&amp;$BL$2&amp;#REF!&amp;$BN$2,"")</f>
        <v/>
      </c>
    </row>
    <row r="51" spans="1:68" ht="17.100000000000001" customHeight="1" x14ac:dyDescent="0.25">
      <c r="A51" s="14">
        <v>49</v>
      </c>
      <c r="B51" s="10" t="s">
        <v>120</v>
      </c>
      <c r="C51" s="39" t="s">
        <v>292</v>
      </c>
      <c r="D51" s="39" t="s">
        <v>14</v>
      </c>
      <c r="E51" s="39" t="s">
        <v>293</v>
      </c>
      <c r="F51" s="39" t="s">
        <v>294</v>
      </c>
      <c r="G51" s="39"/>
      <c r="H51" s="10" t="s">
        <v>120</v>
      </c>
      <c r="I51" s="39" t="s">
        <v>292</v>
      </c>
      <c r="J51" s="39" t="s">
        <v>364</v>
      </c>
      <c r="K51" s="39" t="s">
        <v>293</v>
      </c>
      <c r="L51" s="39" t="s">
        <v>294</v>
      </c>
      <c r="M51" s="39"/>
      <c r="N51" s="39">
        <v>0</v>
      </c>
      <c r="O51" s="39">
        <v>0</v>
      </c>
      <c r="P51"/>
      <c r="Q51" s="39">
        <f t="shared" si="0"/>
        <v>99</v>
      </c>
      <c r="R51" s="247">
        <f t="shared" si="0"/>
        <v>99</v>
      </c>
      <c r="T51" s="1">
        <f>IFERROR(VLOOKUP(B51,'Pay Table'!$M$3:$P$15,4,FALSE),"")</f>
        <v>8</v>
      </c>
      <c r="U51" s="1">
        <f>IFERROR(VLOOKUP(C51,'Pay Table'!$M$3:$P$15,4,FALSE),"")</f>
        <v>5</v>
      </c>
      <c r="V51" s="1">
        <f>IFERROR(VLOOKUP(D51,'Pay Table'!$M$3:$P$15,4,FALSE),"")</f>
        <v>290</v>
      </c>
      <c r="W51" s="1">
        <f>IFERROR(VLOOKUP(E51,'Pay Table'!$M$3:$P$15,4,FALSE),"")</f>
        <v>6</v>
      </c>
      <c r="X51" s="1">
        <f>IFERROR(VLOOKUP(F51,'Pay Table'!$M$3:$P$15,4,FALSE),"")</f>
        <v>7</v>
      </c>
      <c r="Z51" s="1">
        <f>IFERROR(VLOOKUP(H51,'Pay Table'!$M$3:$P$15,4,FALSE),"")</f>
        <v>8</v>
      </c>
      <c r="AA51" s="1">
        <f>IFERROR(VLOOKUP(I51,'Pay Table'!$M$3:$P$15,4,FALSE),"")</f>
        <v>5</v>
      </c>
      <c r="AB51" s="1">
        <f>IFERROR(VLOOKUP(J51,'Pay Table'!$M$3:$P$15,4,FALSE),"")</f>
        <v>294</v>
      </c>
      <c r="AC51" s="1">
        <f>IFERROR(VLOOKUP(K51,'Pay Table'!$M$3:$P$15,4,FALSE),"")</f>
        <v>6</v>
      </c>
      <c r="AD51" s="1">
        <f>IFERROR(VLOOKUP(L51,'Pay Table'!$M$3:$P$15,4,FALSE),"")</f>
        <v>7</v>
      </c>
      <c r="AG51" s="1" t="str">
        <f>IFERROR(VLOOKUP(R51,'Pay Table'!$M$3:$P$15,4,FALSE),"")</f>
        <v/>
      </c>
      <c r="AH51" s="1" t="str">
        <f>IFERROR(VLOOKUP(T51,'Pay Table'!$M$3:$P$15,4,FALSE),"")</f>
        <v/>
      </c>
      <c r="AI51" s="1" t="str">
        <f>IFERROR(VLOOKUP(U51,'Pay Table'!$M$3:$P$15,4,FALSE),"")</f>
        <v/>
      </c>
      <c r="AJ51" s="1" t="str">
        <f>IFERROR(VLOOKUP(V51,'Pay Table'!$M$3:$P$15,4,FALSE),"")</f>
        <v/>
      </c>
      <c r="AK51" s="1" t="str">
        <f>IFERROR(VLOOKUP(#REF!,'Pay Table'!$M$3:$P$15,4,FALSE),"")</f>
        <v/>
      </c>
      <c r="BL51" s="59" t="str">
        <f>IFERROR($BM$2&amp;VLOOKUP(B53,'Pay Table'!$M$3:$N$18,2,FALSE)&amp;$BL$2&amp;#REF!&amp;$BN$2,"")</f>
        <v/>
      </c>
      <c r="BM51" s="49" t="str">
        <f>IFERROR($BM$2&amp;VLOOKUP(C53,'Pay Table'!$M$3:$N$18,2,FALSE)&amp;$BL$2&amp;#REF!&amp;$BN$2,"")</f>
        <v/>
      </c>
      <c r="BN51" s="49" t="str">
        <f>IFERROR($BM$2&amp;VLOOKUP(D53,'Pay Table'!$M$3:$N$18,2,FALSE)&amp;$BL$2&amp;#REF!&amp;$BN$2,"")</f>
        <v/>
      </c>
      <c r="BO51" s="49" t="str">
        <f>IFERROR($BM$2&amp;VLOOKUP(E53,'Pay Table'!$M$3:$N$18,2,FALSE)&amp;$BL$2&amp;#REF!&amp;$BN$2,"")</f>
        <v/>
      </c>
      <c r="BP51" s="60" t="str">
        <f>IFERROR($BM$2&amp;VLOOKUP(F53,'Pay Table'!$M$3:$N$18,2,FALSE)&amp;$BL$2&amp;#REF!&amp;$BN$2,"")</f>
        <v/>
      </c>
    </row>
    <row r="52" spans="1:68" ht="17.100000000000001" customHeight="1" x14ac:dyDescent="0.25">
      <c r="A52" s="14">
        <v>50</v>
      </c>
      <c r="B52" s="10" t="s">
        <v>47</v>
      </c>
      <c r="C52" s="39" t="s">
        <v>122</v>
      </c>
      <c r="D52" s="39" t="s">
        <v>295</v>
      </c>
      <c r="E52" s="39" t="s">
        <v>125</v>
      </c>
      <c r="F52" s="39" t="s">
        <v>128</v>
      </c>
      <c r="G52" s="39"/>
      <c r="H52" s="10" t="s">
        <v>47</v>
      </c>
      <c r="I52" s="39" t="s">
        <v>122</v>
      </c>
      <c r="J52" s="39" t="s">
        <v>295</v>
      </c>
      <c r="K52" s="39" t="s">
        <v>125</v>
      </c>
      <c r="L52" s="39" t="s">
        <v>128</v>
      </c>
      <c r="M52" s="39"/>
      <c r="N52" s="39">
        <v>150</v>
      </c>
      <c r="O52" s="39">
        <v>150</v>
      </c>
      <c r="P52"/>
      <c r="Q52" s="39">
        <f t="shared" si="0"/>
        <v>11</v>
      </c>
      <c r="R52" s="247">
        <f t="shared" si="0"/>
        <v>11</v>
      </c>
      <c r="T52" s="1">
        <f>IFERROR(VLOOKUP(B52,'Pay Table'!$M$3:$P$15,4,FALSE),"")</f>
        <v>294</v>
      </c>
      <c r="U52" s="1">
        <f>IFERROR(VLOOKUP(C52,'Pay Table'!$M$3:$P$15,4,FALSE),"")</f>
        <v>292</v>
      </c>
      <c r="V52" s="1">
        <f>IFERROR(VLOOKUP(D52,'Pay Table'!$M$3:$P$15,4,FALSE),"")</f>
        <v>8</v>
      </c>
      <c r="W52" s="1">
        <f>IFERROR(VLOOKUP(E52,'Pay Table'!$M$3:$P$15,4,FALSE),"")</f>
        <v>201</v>
      </c>
      <c r="X52" s="1">
        <f>IFERROR(VLOOKUP(F52,'Pay Table'!$M$3:$P$15,4,FALSE),"")</f>
        <v>204</v>
      </c>
      <c r="Z52" s="1">
        <f>IFERROR(VLOOKUP(H52,'Pay Table'!$M$3:$P$15,4,FALSE),"")</f>
        <v>294</v>
      </c>
      <c r="AA52" s="1">
        <f>IFERROR(VLOOKUP(I52,'Pay Table'!$M$3:$P$15,4,FALSE),"")</f>
        <v>292</v>
      </c>
      <c r="AB52" s="1">
        <f>IFERROR(VLOOKUP(J52,'Pay Table'!$M$3:$P$15,4,FALSE),"")</f>
        <v>8</v>
      </c>
      <c r="AC52" s="1">
        <f>IFERROR(VLOOKUP(K52,'Pay Table'!$M$3:$P$15,4,FALSE),"")</f>
        <v>201</v>
      </c>
      <c r="AD52" s="1">
        <f>IFERROR(VLOOKUP(L52,'Pay Table'!$M$3:$P$15,4,FALSE),"")</f>
        <v>204</v>
      </c>
      <c r="AG52" s="1" t="str">
        <f>IFERROR(VLOOKUP(R52,'Pay Table'!$M$3:$P$15,4,FALSE),"")</f>
        <v/>
      </c>
      <c r="AH52" s="1" t="str">
        <f>IFERROR(VLOOKUP(T52,'Pay Table'!$M$3:$P$15,4,FALSE),"")</f>
        <v/>
      </c>
      <c r="AI52" s="1" t="str">
        <f>IFERROR(VLOOKUP(U52,'Pay Table'!$M$3:$P$15,4,FALSE),"")</f>
        <v/>
      </c>
      <c r="AJ52" s="1" t="str">
        <f>IFERROR(VLOOKUP(V52,'Pay Table'!$M$3:$P$15,4,FALSE),"")</f>
        <v/>
      </c>
      <c r="AK52" s="1" t="str">
        <f>IFERROR(VLOOKUP(#REF!,'Pay Table'!$M$3:$P$15,4,FALSE),"")</f>
        <v/>
      </c>
      <c r="BL52" s="59" t="str">
        <f>IFERROR($BM$2&amp;VLOOKUP(B54,'Pay Table'!$M$3:$N$18,2,FALSE)&amp;$BL$2&amp;#REF!&amp;$BN$2,"")</f>
        <v/>
      </c>
      <c r="BM52" s="49" t="str">
        <f>IFERROR($BM$2&amp;VLOOKUP(C54,'Pay Table'!$M$3:$N$18,2,FALSE)&amp;$BL$2&amp;#REF!&amp;$BN$2,"")</f>
        <v/>
      </c>
      <c r="BN52" s="49" t="str">
        <f>IFERROR($BM$2&amp;VLOOKUP(D54,'Pay Table'!$M$3:$N$18,2,FALSE)&amp;$BL$2&amp;#REF!&amp;$BN$2,"")</f>
        <v/>
      </c>
      <c r="BO52" s="49" t="str">
        <f>IFERROR($BM$2&amp;VLOOKUP(E54,'Pay Table'!$M$3:$N$18,2,FALSE)&amp;$BL$2&amp;#REF!&amp;$BN$2,"")</f>
        <v/>
      </c>
      <c r="BP52" s="60" t="str">
        <f>IFERROR($BM$2&amp;VLOOKUP(F54,'Pay Table'!$M$3:$N$18,2,FALSE)&amp;$BL$2&amp;#REF!&amp;$BN$2,"")</f>
        <v/>
      </c>
    </row>
    <row r="53" spans="1:68" ht="17.100000000000001" customHeight="1" x14ac:dyDescent="0.25">
      <c r="A53" s="14">
        <v>51</v>
      </c>
      <c r="B53" s="10" t="s">
        <v>119</v>
      </c>
      <c r="C53" s="39" t="s">
        <v>293</v>
      </c>
      <c r="D53" s="39" t="s">
        <v>126</v>
      </c>
      <c r="E53" s="39" t="s">
        <v>126</v>
      </c>
      <c r="F53" s="39" t="s">
        <v>125</v>
      </c>
      <c r="G53" s="39"/>
      <c r="H53" s="10" t="s">
        <v>119</v>
      </c>
      <c r="I53" s="39" t="s">
        <v>293</v>
      </c>
      <c r="J53" s="39" t="s">
        <v>126</v>
      </c>
      <c r="K53" s="39" t="s">
        <v>126</v>
      </c>
      <c r="L53" s="39" t="s">
        <v>125</v>
      </c>
      <c r="M53" s="39"/>
      <c r="N53" s="39">
        <v>0</v>
      </c>
      <c r="O53" s="39">
        <v>0</v>
      </c>
      <c r="P53"/>
      <c r="Q53" s="39">
        <f t="shared" si="0"/>
        <v>99</v>
      </c>
      <c r="R53" s="247">
        <f t="shared" si="0"/>
        <v>99</v>
      </c>
      <c r="T53" s="1">
        <f>IFERROR(VLOOKUP(B53,'Pay Table'!$M$3:$P$15,4,FALSE),"")</f>
        <v>7</v>
      </c>
      <c r="U53" s="1">
        <f>IFERROR(VLOOKUP(C53,'Pay Table'!$M$3:$P$15,4,FALSE),"")</f>
        <v>6</v>
      </c>
      <c r="V53" s="1">
        <f>IFERROR(VLOOKUP(D53,'Pay Table'!$M$3:$P$15,4,FALSE),"")</f>
        <v>202</v>
      </c>
      <c r="W53" s="1">
        <f>IFERROR(VLOOKUP(E53,'Pay Table'!$M$3:$P$15,4,FALSE),"")</f>
        <v>202</v>
      </c>
      <c r="X53" s="1">
        <f>IFERROR(VLOOKUP(F53,'Pay Table'!$M$3:$P$15,4,FALSE),"")</f>
        <v>201</v>
      </c>
      <c r="Z53" s="1">
        <f>IFERROR(VLOOKUP(H53,'Pay Table'!$M$3:$P$15,4,FALSE),"")</f>
        <v>7</v>
      </c>
      <c r="AA53" s="1">
        <f>IFERROR(VLOOKUP(I53,'Pay Table'!$M$3:$P$15,4,FALSE),"")</f>
        <v>6</v>
      </c>
      <c r="AB53" s="1">
        <f>IFERROR(VLOOKUP(J53,'Pay Table'!$M$3:$P$15,4,FALSE),"")</f>
        <v>202</v>
      </c>
      <c r="AC53" s="1">
        <f>IFERROR(VLOOKUP(K53,'Pay Table'!$M$3:$P$15,4,FALSE),"")</f>
        <v>202</v>
      </c>
      <c r="AD53" s="1">
        <f>IFERROR(VLOOKUP(L53,'Pay Table'!$M$3:$P$15,4,FALSE),"")</f>
        <v>201</v>
      </c>
      <c r="AG53" s="1" t="str">
        <f>IFERROR(VLOOKUP(R53,'Pay Table'!$M$3:$P$15,4,FALSE),"")</f>
        <v/>
      </c>
      <c r="AH53" s="1" t="str">
        <f>IFERROR(VLOOKUP(T53,'Pay Table'!$M$3:$P$15,4,FALSE),"")</f>
        <v/>
      </c>
      <c r="AI53" s="1" t="str">
        <f>IFERROR(VLOOKUP(U53,'Pay Table'!$M$3:$P$15,4,FALSE),"")</f>
        <v/>
      </c>
      <c r="AJ53" s="1" t="str">
        <f>IFERROR(VLOOKUP(V53,'Pay Table'!$M$3:$P$15,4,FALSE),"")</f>
        <v/>
      </c>
      <c r="AK53" s="1" t="str">
        <f>IFERROR(VLOOKUP(#REF!,'Pay Table'!$M$3:$P$15,4,FALSE),"")</f>
        <v/>
      </c>
      <c r="BL53" s="59" t="str">
        <f>IFERROR($BM$2&amp;VLOOKUP(B55,'Pay Table'!$M$3:$N$18,2,FALSE)&amp;$BL$2&amp;#REF!&amp;$BN$2,"")</f>
        <v/>
      </c>
      <c r="BM53" s="49" t="str">
        <f>IFERROR($BM$2&amp;VLOOKUP(C55,'Pay Table'!$M$3:$N$18,2,FALSE)&amp;$BL$2&amp;#REF!&amp;$BN$2,"")</f>
        <v/>
      </c>
      <c r="BN53" s="49" t="str">
        <f>IFERROR($BM$2&amp;VLOOKUP(D55,'Pay Table'!$M$3:$N$18,2,FALSE)&amp;$BL$2&amp;#REF!&amp;$BN$2,"")</f>
        <v/>
      </c>
      <c r="BO53" s="49" t="str">
        <f>IFERROR($BM$2&amp;VLOOKUP(E55,'Pay Table'!$M$3:$N$18,2,FALSE)&amp;$BL$2&amp;#REF!&amp;$BN$2,"")</f>
        <v/>
      </c>
      <c r="BP53" s="60" t="str">
        <f>IFERROR($BM$2&amp;VLOOKUP(F55,'Pay Table'!$M$3:$N$18,2,FALSE)&amp;$BL$2&amp;#REF!&amp;$BN$2,"")</f>
        <v/>
      </c>
    </row>
    <row r="54" spans="1:68" ht="17.100000000000001" customHeight="1" x14ac:dyDescent="0.25">
      <c r="A54" s="14">
        <v>52</v>
      </c>
      <c r="B54" s="10" t="s">
        <v>153</v>
      </c>
      <c r="C54" s="39" t="s">
        <v>294</v>
      </c>
      <c r="D54" s="39" t="s">
        <v>127</v>
      </c>
      <c r="E54" s="39" t="s">
        <v>295</v>
      </c>
      <c r="F54" s="39" t="s">
        <v>127</v>
      </c>
      <c r="G54" s="39"/>
      <c r="H54" s="10" t="s">
        <v>124</v>
      </c>
      <c r="I54" s="39" t="s">
        <v>294</v>
      </c>
      <c r="J54" s="39" t="s">
        <v>127</v>
      </c>
      <c r="K54" s="39" t="s">
        <v>295</v>
      </c>
      <c r="L54" s="39" t="s">
        <v>127</v>
      </c>
      <c r="M54" s="39"/>
      <c r="N54" s="39">
        <v>750</v>
      </c>
      <c r="O54" s="39" t="s">
        <v>24</v>
      </c>
      <c r="P54"/>
      <c r="Q54" s="39">
        <f t="shared" si="0"/>
        <v>7</v>
      </c>
      <c r="R54" s="247">
        <f t="shared" si="0"/>
        <v>2</v>
      </c>
      <c r="T54" s="1">
        <f>IFERROR(VLOOKUP(B54,'Pay Table'!$M$3:$P$15,4,FALSE),"")</f>
        <v>200</v>
      </c>
      <c r="U54" s="1">
        <f>IFERROR(VLOOKUP(C54,'Pay Table'!$M$3:$P$15,4,FALSE),"")</f>
        <v>7</v>
      </c>
      <c r="V54" s="1">
        <f>IFERROR(VLOOKUP(D54,'Pay Table'!$M$3:$P$15,4,FALSE),"")</f>
        <v>203</v>
      </c>
      <c r="W54" s="1">
        <f>IFERROR(VLOOKUP(E54,'Pay Table'!$M$3:$P$15,4,FALSE),"")</f>
        <v>8</v>
      </c>
      <c r="X54" s="1">
        <f>IFERROR(VLOOKUP(F54,'Pay Table'!$M$3:$P$15,4,FALSE),"")</f>
        <v>203</v>
      </c>
      <c r="Z54" s="1">
        <f>IFERROR(VLOOKUP(H54,'Pay Table'!$M$3:$P$15,4,FALSE),"")</f>
        <v>200</v>
      </c>
      <c r="AA54" s="1">
        <f>IFERROR(VLOOKUP(I54,'Pay Table'!$M$3:$P$15,4,FALSE),"")</f>
        <v>7</v>
      </c>
      <c r="AB54" s="1">
        <f>IFERROR(VLOOKUP(J54,'Pay Table'!$M$3:$P$15,4,FALSE),"")</f>
        <v>203</v>
      </c>
      <c r="AC54" s="1">
        <f>IFERROR(VLOOKUP(K54,'Pay Table'!$M$3:$P$15,4,FALSE),"")</f>
        <v>8</v>
      </c>
      <c r="AD54" s="1">
        <f>IFERROR(VLOOKUP(L54,'Pay Table'!$M$3:$P$15,4,FALSE),"")</f>
        <v>203</v>
      </c>
      <c r="AG54" s="1" t="str">
        <f>IFERROR(VLOOKUP(R54,'Pay Table'!$M$3:$P$15,4,FALSE),"")</f>
        <v/>
      </c>
      <c r="AH54" s="1" t="str">
        <f>IFERROR(VLOOKUP(T54,'Pay Table'!$M$3:$P$15,4,FALSE),"")</f>
        <v/>
      </c>
      <c r="AI54" s="1" t="str">
        <f>IFERROR(VLOOKUP(U54,'Pay Table'!$M$3:$P$15,4,FALSE),"")</f>
        <v/>
      </c>
      <c r="AJ54" s="1" t="str">
        <f>IFERROR(VLOOKUP(V54,'Pay Table'!$M$3:$P$15,4,FALSE),"")</f>
        <v/>
      </c>
      <c r="AK54" s="1" t="str">
        <f>IFERROR(VLOOKUP(#REF!,'Pay Table'!$M$3:$P$15,4,FALSE),"")</f>
        <v/>
      </c>
      <c r="BL54" s="59" t="str">
        <f>IFERROR($BM$2&amp;VLOOKUP(B56,'Pay Table'!$M$3:$N$18,2,FALSE)&amp;$BL$2&amp;#REF!&amp;$BN$2,"")</f>
        <v/>
      </c>
      <c r="BM54" s="49" t="str">
        <f>IFERROR($BM$2&amp;VLOOKUP(C56,'Pay Table'!$M$3:$N$18,2,FALSE)&amp;$BL$2&amp;#REF!&amp;$BN$2,"")</f>
        <v/>
      </c>
      <c r="BN54" s="49" t="str">
        <f>IFERROR($BM$2&amp;VLOOKUP(D56,'Pay Table'!$M$3:$N$18,2,FALSE)&amp;$BL$2&amp;#REF!&amp;$BN$2,"")</f>
        <v/>
      </c>
      <c r="BO54" s="49" t="str">
        <f>IFERROR($BM$2&amp;VLOOKUP(E56,'Pay Table'!$M$3:$N$18,2,FALSE)&amp;$BL$2&amp;#REF!&amp;$BN$2,"")</f>
        <v/>
      </c>
      <c r="BP54" s="60" t="str">
        <f>IFERROR($BM$2&amp;VLOOKUP(F56,'Pay Table'!$M$3:$N$18,2,FALSE)&amp;$BL$2&amp;#REF!&amp;$BN$2,"")</f>
        <v/>
      </c>
    </row>
    <row r="55" spans="1:68" ht="17.100000000000001" customHeight="1" x14ac:dyDescent="0.25">
      <c r="A55" s="14">
        <v>53</v>
      </c>
      <c r="B55" s="10" t="s">
        <v>153</v>
      </c>
      <c r="C55" s="39" t="s">
        <v>292</v>
      </c>
      <c r="D55" s="39" t="s">
        <v>292</v>
      </c>
      <c r="E55" s="39" t="s">
        <v>47</v>
      </c>
      <c r="F55" s="39" t="s">
        <v>124</v>
      </c>
      <c r="G55" s="39"/>
      <c r="H55" s="10" t="s">
        <v>153</v>
      </c>
      <c r="I55" s="39" t="s">
        <v>292</v>
      </c>
      <c r="J55" s="39" t="s">
        <v>292</v>
      </c>
      <c r="K55" s="39" t="s">
        <v>47</v>
      </c>
      <c r="L55" s="39" t="s">
        <v>124</v>
      </c>
      <c r="M55" s="39"/>
      <c r="N55" s="39">
        <v>0</v>
      </c>
      <c r="O55" s="39">
        <v>0</v>
      </c>
      <c r="P55"/>
      <c r="Q55" s="39">
        <f t="shared" si="0"/>
        <v>99</v>
      </c>
      <c r="R55" s="247">
        <f t="shared" si="0"/>
        <v>99</v>
      </c>
      <c r="T55" s="1">
        <f>IFERROR(VLOOKUP(B55,'Pay Table'!$M$3:$P$15,4,FALSE),"")</f>
        <v>200</v>
      </c>
      <c r="U55" s="1">
        <f>IFERROR(VLOOKUP(C55,'Pay Table'!$M$3:$P$15,4,FALSE),"")</f>
        <v>5</v>
      </c>
      <c r="V55" s="1">
        <f>IFERROR(VLOOKUP(D55,'Pay Table'!$M$3:$P$15,4,FALSE),"")</f>
        <v>5</v>
      </c>
      <c r="W55" s="1">
        <f>IFERROR(VLOOKUP(E55,'Pay Table'!$M$3:$P$15,4,FALSE),"")</f>
        <v>294</v>
      </c>
      <c r="X55" s="1">
        <f>IFERROR(VLOOKUP(F55,'Pay Table'!$M$3:$P$15,4,FALSE),"")</f>
        <v>200</v>
      </c>
      <c r="Z55" s="1">
        <f>IFERROR(VLOOKUP(H55,'Pay Table'!$M$3:$P$15,4,FALSE),"")</f>
        <v>200</v>
      </c>
      <c r="AA55" s="1">
        <f>IFERROR(VLOOKUP(I55,'Pay Table'!$M$3:$P$15,4,FALSE),"")</f>
        <v>5</v>
      </c>
      <c r="AB55" s="1">
        <f>IFERROR(VLOOKUP(J55,'Pay Table'!$M$3:$P$15,4,FALSE),"")</f>
        <v>5</v>
      </c>
      <c r="AC55" s="1">
        <f>IFERROR(VLOOKUP(K55,'Pay Table'!$M$3:$P$15,4,FALSE),"")</f>
        <v>294</v>
      </c>
      <c r="AD55" s="1">
        <f>IFERROR(VLOOKUP(L55,'Pay Table'!$M$3:$P$15,4,FALSE),"")</f>
        <v>200</v>
      </c>
      <c r="AG55" s="1" t="str">
        <f>IFERROR(VLOOKUP(R55,'Pay Table'!$M$3:$P$15,4,FALSE),"")</f>
        <v/>
      </c>
      <c r="AH55" s="1" t="str">
        <f>IFERROR(VLOOKUP(T55,'Pay Table'!$M$3:$P$15,4,FALSE),"")</f>
        <v/>
      </c>
      <c r="AI55" s="1" t="str">
        <f>IFERROR(VLOOKUP(U55,'Pay Table'!$M$3:$P$15,4,FALSE),"")</f>
        <v/>
      </c>
      <c r="AJ55" s="1" t="str">
        <f>IFERROR(VLOOKUP(V55,'Pay Table'!$M$3:$P$15,4,FALSE),"")</f>
        <v/>
      </c>
      <c r="AK55" s="1" t="str">
        <f>IFERROR(VLOOKUP(#REF!,'Pay Table'!$M$3:$P$15,4,FALSE),"")</f>
        <v/>
      </c>
      <c r="BL55" s="59" t="str">
        <f>IFERROR($BM$2&amp;VLOOKUP(B57,'Pay Table'!$M$3:$N$18,2,FALSE)&amp;$BL$2&amp;#REF!&amp;$BN$2,"")</f>
        <v/>
      </c>
      <c r="BM55" s="49" t="str">
        <f>IFERROR($BM$2&amp;VLOOKUP(C57,'Pay Table'!$M$3:$N$18,2,FALSE)&amp;$BL$2&amp;#REF!&amp;$BN$2,"")</f>
        <v/>
      </c>
      <c r="BN55" s="49" t="str">
        <f>IFERROR($BM$2&amp;VLOOKUP(D57,'Pay Table'!$M$3:$N$18,2,FALSE)&amp;$BL$2&amp;#REF!&amp;$BN$2,"")</f>
        <v/>
      </c>
      <c r="BO55" s="49" t="str">
        <f>IFERROR($BM$2&amp;VLOOKUP(E57,'Pay Table'!$M$3:$N$18,2,FALSE)&amp;$BL$2&amp;#REF!&amp;$BN$2,"")</f>
        <v/>
      </c>
      <c r="BP55" s="60" t="str">
        <f>IFERROR($BM$2&amp;VLOOKUP(F57,'Pay Table'!$M$3:$N$18,2,FALSE)&amp;$BL$2&amp;#REF!&amp;$BN$2,"")</f>
        <v/>
      </c>
    </row>
    <row r="56" spans="1:68" ht="17.100000000000001" customHeight="1" x14ac:dyDescent="0.25">
      <c r="A56" s="14">
        <v>54</v>
      </c>
      <c r="B56" s="10" t="s">
        <v>153</v>
      </c>
      <c r="C56" s="39" t="s">
        <v>125</v>
      </c>
      <c r="D56" s="39" t="s">
        <v>47</v>
      </c>
      <c r="E56" s="39" t="s">
        <v>47</v>
      </c>
      <c r="F56" s="39" t="s">
        <v>126</v>
      </c>
      <c r="G56" s="39"/>
      <c r="H56" s="10" t="s">
        <v>153</v>
      </c>
      <c r="I56" s="39" t="s">
        <v>125</v>
      </c>
      <c r="J56" s="39" t="s">
        <v>47</v>
      </c>
      <c r="K56" s="39" t="s">
        <v>47</v>
      </c>
      <c r="L56" s="39" t="s">
        <v>126</v>
      </c>
      <c r="M56" s="39"/>
      <c r="N56" s="39">
        <v>50</v>
      </c>
      <c r="O56" s="39">
        <v>50</v>
      </c>
      <c r="P56"/>
      <c r="Q56" s="39">
        <f t="shared" si="0"/>
        <v>13</v>
      </c>
      <c r="R56" s="247">
        <f t="shared" si="0"/>
        <v>13</v>
      </c>
      <c r="T56" s="1">
        <f>IFERROR(VLOOKUP(B56,'Pay Table'!$M$3:$P$15,4,FALSE),"")</f>
        <v>200</v>
      </c>
      <c r="U56" s="1">
        <f>IFERROR(VLOOKUP(C56,'Pay Table'!$M$3:$P$15,4,FALSE),"")</f>
        <v>201</v>
      </c>
      <c r="V56" s="1">
        <f>IFERROR(VLOOKUP(D56,'Pay Table'!$M$3:$P$15,4,FALSE),"")</f>
        <v>294</v>
      </c>
      <c r="W56" s="1">
        <f>IFERROR(VLOOKUP(E56,'Pay Table'!$M$3:$P$15,4,FALSE),"")</f>
        <v>294</v>
      </c>
      <c r="X56" s="1">
        <f>IFERROR(VLOOKUP(F56,'Pay Table'!$M$3:$P$15,4,FALSE),"")</f>
        <v>202</v>
      </c>
      <c r="Z56" s="1">
        <f>IFERROR(VLOOKUP(H56,'Pay Table'!$M$3:$P$15,4,FALSE),"")</f>
        <v>200</v>
      </c>
      <c r="AA56" s="1">
        <f>IFERROR(VLOOKUP(I56,'Pay Table'!$M$3:$P$15,4,FALSE),"")</f>
        <v>201</v>
      </c>
      <c r="AB56" s="1">
        <f>IFERROR(VLOOKUP(J56,'Pay Table'!$M$3:$P$15,4,FALSE),"")</f>
        <v>294</v>
      </c>
      <c r="AC56" s="1">
        <f>IFERROR(VLOOKUP(K56,'Pay Table'!$M$3:$P$15,4,FALSE),"")</f>
        <v>294</v>
      </c>
      <c r="AD56" s="1">
        <f>IFERROR(VLOOKUP(L56,'Pay Table'!$M$3:$P$15,4,FALSE),"")</f>
        <v>202</v>
      </c>
      <c r="AG56" s="1" t="str">
        <f>IFERROR(VLOOKUP(R56,'Pay Table'!$M$3:$P$15,4,FALSE),"")</f>
        <v/>
      </c>
      <c r="AH56" s="1" t="str">
        <f>IFERROR(VLOOKUP(T56,'Pay Table'!$M$3:$P$15,4,FALSE),"")</f>
        <v/>
      </c>
      <c r="AI56" s="1" t="str">
        <f>IFERROR(VLOOKUP(U56,'Pay Table'!$M$3:$P$15,4,FALSE),"")</f>
        <v/>
      </c>
      <c r="AJ56" s="1" t="str">
        <f>IFERROR(VLOOKUP(V56,'Pay Table'!$M$3:$P$15,4,FALSE),"")</f>
        <v/>
      </c>
      <c r="AK56" s="1" t="str">
        <f>IFERROR(VLOOKUP(#REF!,'Pay Table'!$M$3:$P$15,4,FALSE),"")</f>
        <v/>
      </c>
      <c r="BL56" s="59" t="str">
        <f>IFERROR($BM$2&amp;VLOOKUP(B58,'Pay Table'!$M$3:$N$18,2,FALSE)&amp;$BL$2&amp;#REF!&amp;$BN$2,"")</f>
        <v/>
      </c>
      <c r="BM56" s="49" t="str">
        <f>IFERROR($BM$2&amp;VLOOKUP(C58,'Pay Table'!$M$3:$N$18,2,FALSE)&amp;$BL$2&amp;#REF!&amp;$BN$2,"")</f>
        <v/>
      </c>
      <c r="BN56" s="49" t="str">
        <f>IFERROR($BM$2&amp;VLOOKUP(D58,'Pay Table'!$M$3:$N$18,2,FALSE)&amp;$BL$2&amp;#REF!&amp;$BN$2,"")</f>
        <v/>
      </c>
      <c r="BO56" s="49" t="str">
        <f>IFERROR($BM$2&amp;VLOOKUP(E58,'Pay Table'!$M$3:$N$18,2,FALSE)&amp;$BL$2&amp;#REF!&amp;$BN$2,"")</f>
        <v/>
      </c>
      <c r="BP56" s="60" t="str">
        <f>IFERROR($BM$2&amp;VLOOKUP(F58,'Pay Table'!$M$3:$N$18,2,FALSE)&amp;$BL$2&amp;#REF!&amp;$BN$2,"")</f>
        <v/>
      </c>
    </row>
    <row r="57" spans="1:68" ht="17.100000000000001" customHeight="1" x14ac:dyDescent="0.25">
      <c r="A57" s="14">
        <v>55</v>
      </c>
      <c r="B57" s="10" t="s">
        <v>119</v>
      </c>
      <c r="C57" s="39" t="s">
        <v>153</v>
      </c>
      <c r="D57" s="39" t="s">
        <v>47</v>
      </c>
      <c r="E57" s="39" t="s">
        <v>47</v>
      </c>
      <c r="F57" s="39" t="s">
        <v>128</v>
      </c>
      <c r="G57" s="39"/>
      <c r="H57" s="10" t="s">
        <v>119</v>
      </c>
      <c r="I57" s="39" t="s">
        <v>152</v>
      </c>
      <c r="J57" s="39" t="s">
        <v>47</v>
      </c>
      <c r="K57" s="39" t="s">
        <v>47</v>
      </c>
      <c r="L57" s="39" t="s">
        <v>128</v>
      </c>
      <c r="M57" s="39"/>
      <c r="N57" s="39">
        <v>0</v>
      </c>
      <c r="O57" s="39">
        <v>0</v>
      </c>
      <c r="P57"/>
      <c r="Q57" s="39">
        <f t="shared" si="0"/>
        <v>99</v>
      </c>
      <c r="R57" s="247">
        <f t="shared" si="0"/>
        <v>99</v>
      </c>
      <c r="T57" s="1">
        <f>IFERROR(VLOOKUP(B57,'Pay Table'!$M$3:$P$15,4,FALSE),"")</f>
        <v>7</v>
      </c>
      <c r="U57" s="1">
        <f>IFERROR(VLOOKUP(C57,'Pay Table'!$M$3:$P$15,4,FALSE),"")</f>
        <v>200</v>
      </c>
      <c r="V57" s="1">
        <f>IFERROR(VLOOKUP(D57,'Pay Table'!$M$3:$P$15,4,FALSE),"")</f>
        <v>294</v>
      </c>
      <c r="W57" s="1">
        <f>IFERROR(VLOOKUP(E57,'Pay Table'!$M$3:$P$15,4,FALSE),"")</f>
        <v>294</v>
      </c>
      <c r="X57" s="1">
        <f>IFERROR(VLOOKUP(F57,'Pay Table'!$M$3:$P$15,4,FALSE),"")</f>
        <v>204</v>
      </c>
      <c r="Z57" s="1">
        <f>IFERROR(VLOOKUP(H57,'Pay Table'!$M$3:$P$15,4,FALSE),"")</f>
        <v>7</v>
      </c>
      <c r="AA57" s="1">
        <f>IFERROR(VLOOKUP(I57,'Pay Table'!$M$3:$P$15,4,FALSE),"")</f>
        <v>201</v>
      </c>
      <c r="AB57" s="1">
        <f>IFERROR(VLOOKUP(J57,'Pay Table'!$M$3:$P$15,4,FALSE),"")</f>
        <v>294</v>
      </c>
      <c r="AC57" s="1">
        <f>IFERROR(VLOOKUP(K57,'Pay Table'!$M$3:$P$15,4,FALSE),"")</f>
        <v>294</v>
      </c>
      <c r="AD57" s="1">
        <f>IFERROR(VLOOKUP(L57,'Pay Table'!$M$3:$P$15,4,FALSE),"")</f>
        <v>204</v>
      </c>
      <c r="AG57" s="1" t="str">
        <f>IFERROR(VLOOKUP(R57,'Pay Table'!$M$3:$P$15,4,FALSE),"")</f>
        <v/>
      </c>
      <c r="AH57" s="1" t="str">
        <f>IFERROR(VLOOKUP(T57,'Pay Table'!$M$3:$P$15,4,FALSE),"")</f>
        <v/>
      </c>
      <c r="AI57" s="1" t="str">
        <f>IFERROR(VLOOKUP(U57,'Pay Table'!$M$3:$P$15,4,FALSE),"")</f>
        <v/>
      </c>
      <c r="AJ57" s="1" t="str">
        <f>IFERROR(VLOOKUP(V57,'Pay Table'!$M$3:$P$15,4,FALSE),"")</f>
        <v/>
      </c>
      <c r="AK57" s="1" t="str">
        <f>IFERROR(VLOOKUP(#REF!,'Pay Table'!$M$3:$P$15,4,FALSE),"")</f>
        <v/>
      </c>
      <c r="BL57" s="59" t="str">
        <f>IFERROR($BM$2&amp;VLOOKUP(B59,'Pay Table'!$M$3:$N$18,2,FALSE)&amp;$BL$2&amp;#REF!&amp;$BN$2,"")</f>
        <v/>
      </c>
      <c r="BM57" s="49" t="str">
        <f>IFERROR($BM$2&amp;VLOOKUP(C59,'Pay Table'!$M$3:$N$18,2,FALSE)&amp;$BL$2&amp;#REF!&amp;$BN$2,"")</f>
        <v/>
      </c>
      <c r="BN57" s="49" t="str">
        <f>IFERROR($BM$2&amp;VLOOKUP(D59,'Pay Table'!$M$3:$N$18,2,FALSE)&amp;$BL$2&amp;#REF!&amp;$BN$2,"")</f>
        <v/>
      </c>
      <c r="BO57" s="49" t="str">
        <f>IFERROR($BM$2&amp;VLOOKUP(E59,'Pay Table'!$M$3:$N$18,2,FALSE)&amp;$BL$2&amp;#REF!&amp;$BN$2,"")</f>
        <v/>
      </c>
      <c r="BP57" s="60" t="str">
        <f>IFERROR($BM$2&amp;VLOOKUP(F59,'Pay Table'!$M$3:$N$18,2,FALSE)&amp;$BL$2&amp;#REF!&amp;$BN$2,"")</f>
        <v/>
      </c>
    </row>
    <row r="58" spans="1:68" ht="17.100000000000001" customHeight="1" x14ac:dyDescent="0.25">
      <c r="A58" s="14">
        <v>56</v>
      </c>
      <c r="B58" s="10" t="s">
        <v>123</v>
      </c>
      <c r="C58" s="39" t="s">
        <v>292</v>
      </c>
      <c r="D58" s="39" t="s">
        <v>47</v>
      </c>
      <c r="E58" s="39" t="s">
        <v>125</v>
      </c>
      <c r="F58" s="39" t="s">
        <v>124</v>
      </c>
      <c r="G58" s="39"/>
      <c r="H58" s="10" t="s">
        <v>123</v>
      </c>
      <c r="I58" s="39" t="s">
        <v>152</v>
      </c>
      <c r="J58" s="39" t="s">
        <v>47</v>
      </c>
      <c r="K58" s="39" t="s">
        <v>125</v>
      </c>
      <c r="L58" s="39" t="s">
        <v>124</v>
      </c>
      <c r="M58" s="39"/>
      <c r="N58" s="39" t="s">
        <v>374</v>
      </c>
      <c r="O58" s="39">
        <v>2500</v>
      </c>
      <c r="P58"/>
      <c r="Q58" s="39">
        <f t="shared" si="0"/>
        <v>500</v>
      </c>
      <c r="R58" s="247">
        <f t="shared" si="0"/>
        <v>6</v>
      </c>
      <c r="T58" s="1">
        <f>IFERROR(VLOOKUP(B58,'Pay Table'!$M$3:$P$15,4,FALSE),"")</f>
        <v>5</v>
      </c>
      <c r="U58" s="1">
        <f>IFERROR(VLOOKUP(C58,'Pay Table'!$M$3:$P$15,4,FALSE),"")</f>
        <v>5</v>
      </c>
      <c r="V58" s="1">
        <f>IFERROR(VLOOKUP(D58,'Pay Table'!$M$3:$P$15,4,FALSE),"")</f>
        <v>294</v>
      </c>
      <c r="W58" s="1">
        <f>IFERROR(VLOOKUP(E58,'Pay Table'!$M$3:$P$15,4,FALSE),"")</f>
        <v>201</v>
      </c>
      <c r="X58" s="1">
        <f>IFERROR(VLOOKUP(F58,'Pay Table'!$M$3:$P$15,4,FALSE),"")</f>
        <v>200</v>
      </c>
      <c r="Z58" s="1">
        <f>IFERROR(VLOOKUP(H58,'Pay Table'!$M$3:$P$15,4,FALSE),"")</f>
        <v>5</v>
      </c>
      <c r="AA58" s="1">
        <f>IFERROR(VLOOKUP(I58,'Pay Table'!$M$3:$P$15,4,FALSE),"")</f>
        <v>201</v>
      </c>
      <c r="AB58" s="1">
        <f>IFERROR(VLOOKUP(J58,'Pay Table'!$M$3:$P$15,4,FALSE),"")</f>
        <v>294</v>
      </c>
      <c r="AC58" s="1">
        <f>IFERROR(VLOOKUP(K58,'Pay Table'!$M$3:$P$15,4,FALSE),"")</f>
        <v>201</v>
      </c>
      <c r="AD58" s="1">
        <f>IFERROR(VLOOKUP(L58,'Pay Table'!$M$3:$P$15,4,FALSE),"")</f>
        <v>200</v>
      </c>
      <c r="AG58" s="1" t="str">
        <f>IFERROR(VLOOKUP(R58,'Pay Table'!$M$3:$P$15,4,FALSE),"")</f>
        <v/>
      </c>
      <c r="AH58" s="1" t="str">
        <f>IFERROR(VLOOKUP(T58,'Pay Table'!$M$3:$P$15,4,FALSE),"")</f>
        <v/>
      </c>
      <c r="AI58" s="1" t="str">
        <f>IFERROR(VLOOKUP(U58,'Pay Table'!$M$3:$P$15,4,FALSE),"")</f>
        <v/>
      </c>
      <c r="AJ58" s="1" t="str">
        <f>IFERROR(VLOOKUP(V58,'Pay Table'!$M$3:$P$15,4,FALSE),"")</f>
        <v/>
      </c>
      <c r="AK58" s="1" t="str">
        <f>IFERROR(VLOOKUP(#REF!,'Pay Table'!$M$3:$P$15,4,FALSE),"")</f>
        <v/>
      </c>
      <c r="BL58" s="59" t="str">
        <f>IFERROR($BM$2&amp;VLOOKUP(B60,'Pay Table'!$M$3:$N$18,2,FALSE)&amp;$BL$2&amp;#REF!&amp;$BN$2,"")</f>
        <v/>
      </c>
      <c r="BM58" s="49" t="str">
        <f>IFERROR($BM$2&amp;VLOOKUP(C60,'Pay Table'!$M$3:$N$18,2,FALSE)&amp;$BL$2&amp;#REF!&amp;$BN$2,"")</f>
        <v/>
      </c>
      <c r="BN58" s="49" t="str">
        <f>IFERROR($BM$2&amp;VLOOKUP(D60,'Pay Table'!$M$3:$N$18,2,FALSE)&amp;$BL$2&amp;#REF!&amp;$BN$2,"")</f>
        <v/>
      </c>
      <c r="BO58" s="49" t="str">
        <f>IFERROR($BM$2&amp;VLOOKUP(E60,'Pay Table'!$M$3:$N$18,2,FALSE)&amp;$BL$2&amp;#REF!&amp;$BN$2,"")</f>
        <v/>
      </c>
      <c r="BP58" s="60" t="str">
        <f>IFERROR($BM$2&amp;VLOOKUP(F60,'Pay Table'!$M$3:$N$18,2,FALSE)&amp;$BL$2&amp;#REF!&amp;$BN$2,"")</f>
        <v/>
      </c>
    </row>
    <row r="59" spans="1:68" ht="17.100000000000001" customHeight="1" x14ac:dyDescent="0.25">
      <c r="A59" s="14">
        <v>57</v>
      </c>
      <c r="B59" s="39" t="s">
        <v>151</v>
      </c>
      <c r="C59" s="39" t="s">
        <v>121</v>
      </c>
      <c r="D59" s="39" t="s">
        <v>124</v>
      </c>
      <c r="E59" s="39" t="s">
        <v>127</v>
      </c>
      <c r="F59" s="39" t="s">
        <v>126</v>
      </c>
      <c r="G59" s="39"/>
      <c r="H59" s="39" t="s">
        <v>151</v>
      </c>
      <c r="I59" s="39" t="s">
        <v>121</v>
      </c>
      <c r="J59" s="39" t="s">
        <v>124</v>
      </c>
      <c r="K59" s="39" t="s">
        <v>127</v>
      </c>
      <c r="L59" s="39" t="s">
        <v>126</v>
      </c>
      <c r="M59" s="39"/>
      <c r="N59" s="39">
        <v>0</v>
      </c>
      <c r="O59" s="39">
        <v>0</v>
      </c>
      <c r="P59"/>
      <c r="Q59" s="39">
        <f t="shared" si="0"/>
        <v>99</v>
      </c>
      <c r="R59" s="247">
        <f t="shared" si="0"/>
        <v>99</v>
      </c>
      <c r="T59" s="1">
        <f>IFERROR(VLOOKUP(B59,'Pay Table'!$M$3:$P$15,4,FALSE),"")</f>
        <v>202</v>
      </c>
      <c r="U59" s="1">
        <f>IFERROR(VLOOKUP(C59,'Pay Table'!$M$3:$P$15,4,FALSE),"")</f>
        <v>6</v>
      </c>
      <c r="V59" s="1">
        <f>IFERROR(VLOOKUP(D59,'Pay Table'!$M$3:$P$15,4,FALSE),"")</f>
        <v>200</v>
      </c>
      <c r="W59" s="1">
        <f>IFERROR(VLOOKUP(E59,'Pay Table'!$M$3:$P$15,4,FALSE),"")</f>
        <v>203</v>
      </c>
      <c r="X59" s="1">
        <f>IFERROR(VLOOKUP(F59,'Pay Table'!$M$3:$P$15,4,FALSE),"")</f>
        <v>202</v>
      </c>
      <c r="Z59" s="1">
        <f>IFERROR(VLOOKUP(H59,'Pay Table'!$M$3:$P$15,4,FALSE),"")</f>
        <v>202</v>
      </c>
      <c r="AA59" s="1">
        <f>IFERROR(VLOOKUP(I59,'Pay Table'!$M$3:$P$15,4,FALSE),"")</f>
        <v>6</v>
      </c>
      <c r="AB59" s="1">
        <f>IFERROR(VLOOKUP(J59,'Pay Table'!$M$3:$P$15,4,FALSE),"")</f>
        <v>200</v>
      </c>
      <c r="AC59" s="1">
        <f>IFERROR(VLOOKUP(K59,'Pay Table'!$M$3:$P$15,4,FALSE),"")</f>
        <v>203</v>
      </c>
      <c r="AD59" s="1">
        <f>IFERROR(VLOOKUP(L59,'Pay Table'!$M$3:$P$15,4,FALSE),"")</f>
        <v>202</v>
      </c>
      <c r="AG59" s="1" t="str">
        <f>IFERROR(VLOOKUP(R59,'Pay Table'!$M$3:$P$15,4,FALSE),"")</f>
        <v/>
      </c>
      <c r="AH59" s="1" t="str">
        <f>IFERROR(VLOOKUP(T59,'Pay Table'!$M$3:$P$15,4,FALSE),"")</f>
        <v/>
      </c>
      <c r="AI59" s="1" t="str">
        <f>IFERROR(VLOOKUP(U59,'Pay Table'!$M$3:$P$15,4,FALSE),"")</f>
        <v/>
      </c>
      <c r="AJ59" s="1" t="str">
        <f>IFERROR(VLOOKUP(V59,'Pay Table'!$M$3:$P$15,4,FALSE),"")</f>
        <v/>
      </c>
      <c r="AK59" s="1" t="str">
        <f>IFERROR(VLOOKUP(#REF!,'Pay Table'!$M$3:$P$15,4,FALSE),"")</f>
        <v/>
      </c>
      <c r="BL59" s="59" t="str">
        <f>IFERROR($BM$2&amp;VLOOKUP(B61,'Pay Table'!$M$3:$N$18,2,FALSE)&amp;$BL$2&amp;#REF!&amp;$BN$2,"")</f>
        <v/>
      </c>
      <c r="BM59" s="49" t="str">
        <f>IFERROR($BM$2&amp;VLOOKUP(C61,'Pay Table'!$M$3:$N$18,2,FALSE)&amp;$BL$2&amp;#REF!&amp;$BN$2,"")</f>
        <v/>
      </c>
      <c r="BN59" s="49" t="str">
        <f>IFERROR($BM$2&amp;VLOOKUP(D61,'Pay Table'!$M$3:$N$18,2,FALSE)&amp;$BL$2&amp;#REF!&amp;$BN$2,"")</f>
        <v/>
      </c>
      <c r="BO59" s="49" t="str">
        <f>IFERROR($BM$2&amp;VLOOKUP(E61,'Pay Table'!$M$3:$N$18,2,FALSE)&amp;$BL$2&amp;#REF!&amp;$BN$2,"")</f>
        <v/>
      </c>
      <c r="BP59" s="60" t="str">
        <f>IFERROR($BM$2&amp;VLOOKUP(F61,'Pay Table'!$M$3:$N$18,2,FALSE)&amp;$BL$2&amp;#REF!&amp;$BN$2,"")</f>
        <v/>
      </c>
    </row>
    <row r="60" spans="1:68" ht="17.100000000000001" customHeight="1" x14ac:dyDescent="0.25">
      <c r="A60" s="14">
        <v>58</v>
      </c>
      <c r="B60" s="39" t="s">
        <v>152</v>
      </c>
      <c r="C60" s="39" t="s">
        <v>295</v>
      </c>
      <c r="D60" s="39" t="s">
        <v>128</v>
      </c>
      <c r="E60" s="39" t="s">
        <v>294</v>
      </c>
      <c r="F60" s="39" t="s">
        <v>294</v>
      </c>
      <c r="G60" s="39"/>
      <c r="H60" s="39" t="s">
        <v>152</v>
      </c>
      <c r="I60" s="39" t="s">
        <v>295</v>
      </c>
      <c r="J60" s="39" t="s">
        <v>128</v>
      </c>
      <c r="K60" s="39" t="s">
        <v>294</v>
      </c>
      <c r="L60" s="39" t="s">
        <v>294</v>
      </c>
      <c r="M60" s="39"/>
      <c r="N60" s="39">
        <v>50</v>
      </c>
      <c r="O60" s="39">
        <v>50</v>
      </c>
      <c r="P60"/>
      <c r="Q60" s="39">
        <f t="shared" si="0"/>
        <v>13</v>
      </c>
      <c r="R60" s="247">
        <f t="shared" si="0"/>
        <v>13</v>
      </c>
      <c r="T60" s="1">
        <f>IFERROR(VLOOKUP(B60,'Pay Table'!$M$3:$P$15,4,FALSE),"")</f>
        <v>201</v>
      </c>
      <c r="U60" s="1">
        <f>IFERROR(VLOOKUP(C60,'Pay Table'!$M$3:$P$15,4,FALSE),"")</f>
        <v>8</v>
      </c>
      <c r="V60" s="1">
        <f>IFERROR(VLOOKUP(D60,'Pay Table'!$M$3:$P$15,4,FALSE),"")</f>
        <v>204</v>
      </c>
      <c r="W60" s="1">
        <f>IFERROR(VLOOKUP(E60,'Pay Table'!$M$3:$P$15,4,FALSE),"")</f>
        <v>7</v>
      </c>
      <c r="X60" s="1">
        <f>IFERROR(VLOOKUP(F60,'Pay Table'!$M$3:$P$15,4,FALSE),"")</f>
        <v>7</v>
      </c>
      <c r="Z60" s="1">
        <f>IFERROR(VLOOKUP(H60,'Pay Table'!$M$3:$P$15,4,FALSE),"")</f>
        <v>201</v>
      </c>
      <c r="AA60" s="1">
        <f>IFERROR(VLOOKUP(I60,'Pay Table'!$M$3:$P$15,4,FALSE),"")</f>
        <v>8</v>
      </c>
      <c r="AB60" s="1">
        <f>IFERROR(VLOOKUP(J60,'Pay Table'!$M$3:$P$15,4,FALSE),"")</f>
        <v>204</v>
      </c>
      <c r="AC60" s="1">
        <f>IFERROR(VLOOKUP(K60,'Pay Table'!$M$3:$P$15,4,FALSE),"")</f>
        <v>7</v>
      </c>
      <c r="AD60" s="1">
        <f>IFERROR(VLOOKUP(L60,'Pay Table'!$M$3:$P$15,4,FALSE),"")</f>
        <v>7</v>
      </c>
      <c r="AG60" s="1" t="str">
        <f>IFERROR(VLOOKUP(R60,'Pay Table'!$M$3:$P$15,4,FALSE),"")</f>
        <v/>
      </c>
      <c r="AH60" s="1" t="str">
        <f>IFERROR(VLOOKUP(T60,'Pay Table'!$M$3:$P$15,4,FALSE),"")</f>
        <v/>
      </c>
      <c r="AI60" s="1" t="str">
        <f>IFERROR(VLOOKUP(U60,'Pay Table'!$M$3:$P$15,4,FALSE),"")</f>
        <v/>
      </c>
      <c r="AJ60" s="1" t="str">
        <f>IFERROR(VLOOKUP(V60,'Pay Table'!$M$3:$P$15,4,FALSE),"")</f>
        <v/>
      </c>
      <c r="AK60" s="1" t="str">
        <f>IFERROR(VLOOKUP(#REF!,'Pay Table'!$M$3:$P$15,4,FALSE),"")</f>
        <v/>
      </c>
      <c r="BL60" s="59" t="str">
        <f>IFERROR($BM$2&amp;VLOOKUP(B62,'Pay Table'!$M$3:$N$18,2,FALSE)&amp;$BL$2&amp;#REF!&amp;$BN$2,"")</f>
        <v/>
      </c>
      <c r="BM60" s="49" t="str">
        <f>IFERROR($BM$2&amp;VLOOKUP(C62,'Pay Table'!$M$3:$N$18,2,FALSE)&amp;$BL$2&amp;#REF!&amp;$BN$2,"")</f>
        <v/>
      </c>
      <c r="BN60" s="49" t="str">
        <f>IFERROR($BM$2&amp;VLOOKUP(D62,'Pay Table'!$M$3:$N$18,2,FALSE)&amp;$BL$2&amp;#REF!&amp;$BN$2,"")</f>
        <v/>
      </c>
      <c r="BO60" s="49" t="str">
        <f>IFERROR($BM$2&amp;VLOOKUP(E62,'Pay Table'!$M$3:$N$18,2,FALSE)&amp;$BL$2&amp;#REF!&amp;$BN$2,"")</f>
        <v/>
      </c>
      <c r="BP60" s="60" t="str">
        <f>IFERROR($BM$2&amp;VLOOKUP(F62,'Pay Table'!$M$3:$N$18,2,FALSE)&amp;$BL$2&amp;#REF!&amp;$BN$2,"")</f>
        <v/>
      </c>
    </row>
    <row r="61" spans="1:68" ht="17.100000000000001" customHeight="1" x14ac:dyDescent="0.25">
      <c r="A61" s="14">
        <v>59</v>
      </c>
      <c r="B61" s="39" t="s">
        <v>152</v>
      </c>
      <c r="D61" s="39" t="s">
        <v>127</v>
      </c>
      <c r="E61" s="39" t="s">
        <v>295</v>
      </c>
      <c r="F61" s="39" t="s">
        <v>124</v>
      </c>
      <c r="G61" s="39"/>
      <c r="H61" s="39" t="s">
        <v>152</v>
      </c>
      <c r="J61" s="39" t="s">
        <v>127</v>
      </c>
      <c r="K61" s="39" t="s">
        <v>122</v>
      </c>
      <c r="L61" s="39" t="s">
        <v>124</v>
      </c>
      <c r="M61" s="39"/>
      <c r="N61" s="39">
        <v>0</v>
      </c>
      <c r="O61" s="39">
        <v>0</v>
      </c>
      <c r="P61"/>
      <c r="Q61" s="39">
        <f t="shared" si="0"/>
        <v>99</v>
      </c>
      <c r="R61" s="247">
        <f t="shared" si="0"/>
        <v>99</v>
      </c>
      <c r="T61" s="1">
        <f>IFERROR(VLOOKUP(B61,'Pay Table'!$M$3:$P$15,4,FALSE),"")</f>
        <v>201</v>
      </c>
      <c r="U61" s="1" t="str">
        <f>IFERROR(VLOOKUP(C61,'Pay Table'!$M$3:$P$15,4,FALSE),"")</f>
        <v/>
      </c>
      <c r="V61" s="1">
        <f>IFERROR(VLOOKUP(D61,'Pay Table'!$M$3:$P$15,4,FALSE),"")</f>
        <v>203</v>
      </c>
      <c r="W61" s="1">
        <f>IFERROR(VLOOKUP(E61,'Pay Table'!$M$3:$P$15,4,FALSE),"")</f>
        <v>8</v>
      </c>
      <c r="X61" s="1">
        <f>IFERROR(VLOOKUP(F61,'Pay Table'!$M$3:$P$15,4,FALSE),"")</f>
        <v>200</v>
      </c>
      <c r="Z61" s="1">
        <f>IFERROR(VLOOKUP(H61,'Pay Table'!$M$3:$P$15,4,FALSE),"")</f>
        <v>201</v>
      </c>
      <c r="AA61" s="1" t="str">
        <f>IFERROR(VLOOKUP(I61,'Pay Table'!$M$3:$P$15,4,FALSE),"")</f>
        <v/>
      </c>
      <c r="AB61" s="1">
        <f>IFERROR(VLOOKUP(J61,'Pay Table'!$M$3:$P$15,4,FALSE),"")</f>
        <v>203</v>
      </c>
      <c r="AC61" s="1">
        <f>IFERROR(VLOOKUP(K61,'Pay Table'!$M$3:$P$15,4,FALSE),"")</f>
        <v>292</v>
      </c>
      <c r="AD61" s="1">
        <f>IFERROR(VLOOKUP(L61,'Pay Table'!$M$3:$P$15,4,FALSE),"")</f>
        <v>200</v>
      </c>
      <c r="AG61" s="1" t="str">
        <f>IFERROR(VLOOKUP(R61,'Pay Table'!$M$3:$P$15,4,FALSE),"")</f>
        <v/>
      </c>
      <c r="AH61" s="1" t="str">
        <f>IFERROR(VLOOKUP(T61,'Pay Table'!$M$3:$P$15,4,FALSE),"")</f>
        <v/>
      </c>
      <c r="AI61" s="1" t="str">
        <f>IFERROR(VLOOKUP(U61,'Pay Table'!$M$3:$P$15,4,FALSE),"")</f>
        <v/>
      </c>
      <c r="AJ61" s="1" t="str">
        <f>IFERROR(VLOOKUP(V61,'Pay Table'!$M$3:$P$15,4,FALSE),"")</f>
        <v/>
      </c>
      <c r="AK61" s="1" t="str">
        <f>IFERROR(VLOOKUP(#REF!,'Pay Table'!$M$3:$P$15,4,FALSE),"")</f>
        <v/>
      </c>
      <c r="BL61" s="59" t="str">
        <f>IFERROR($BM$2&amp;VLOOKUP(B63,'Pay Table'!$M$3:$N$18,2,FALSE)&amp;$BL$2&amp;#REF!&amp;$BN$2,"")</f>
        <v/>
      </c>
      <c r="BM61" s="49" t="str">
        <f>IFERROR($BM$2&amp;VLOOKUP(C63,'Pay Table'!$M$3:$N$18,2,FALSE)&amp;$BL$2&amp;#REF!&amp;$BN$2,"")</f>
        <v/>
      </c>
      <c r="BN61" s="49" t="str">
        <f>IFERROR($BM$2&amp;VLOOKUP(D63,'Pay Table'!$M$3:$N$18,2,FALSE)&amp;$BL$2&amp;#REF!&amp;$BN$2,"")</f>
        <v/>
      </c>
      <c r="BO61" s="49" t="str">
        <f>IFERROR($BM$2&amp;VLOOKUP(E63,'Pay Table'!$M$3:$N$18,2,FALSE)&amp;$BL$2&amp;#REF!&amp;$BN$2,"")</f>
        <v/>
      </c>
      <c r="BP61" s="60" t="str">
        <f>IFERROR($BM$2&amp;VLOOKUP(F63,'Pay Table'!$M$3:$N$18,2,FALSE)&amp;$BL$2&amp;#REF!&amp;$BN$2,"")</f>
        <v/>
      </c>
    </row>
    <row r="62" spans="1:68" ht="17.100000000000001" customHeight="1" x14ac:dyDescent="0.25">
      <c r="A62" s="14">
        <v>60</v>
      </c>
      <c r="B62" s="10" t="s">
        <v>152</v>
      </c>
      <c r="D62" s="39" t="s">
        <v>292</v>
      </c>
      <c r="E62" s="39" t="s">
        <v>294</v>
      </c>
      <c r="F62" s="39" t="s">
        <v>126</v>
      </c>
      <c r="G62" s="39"/>
      <c r="H62" s="10" t="s">
        <v>152</v>
      </c>
      <c r="J62" s="39" t="s">
        <v>292</v>
      </c>
      <c r="K62" s="39" t="s">
        <v>294</v>
      </c>
      <c r="L62" s="39" t="s">
        <v>126</v>
      </c>
      <c r="M62" s="39"/>
      <c r="N62" s="39" t="s">
        <v>169</v>
      </c>
      <c r="O62" s="39" t="s">
        <v>169</v>
      </c>
      <c r="P62"/>
      <c r="Q62" s="39">
        <f t="shared" si="0"/>
        <v>3</v>
      </c>
      <c r="R62" s="247">
        <f t="shared" si="0"/>
        <v>3</v>
      </c>
      <c r="T62" s="1">
        <f>IFERROR(VLOOKUP(B62,'Pay Table'!$M$3:$P$15,4,FALSE),"")</f>
        <v>201</v>
      </c>
      <c r="U62" s="1" t="str">
        <f>IFERROR(VLOOKUP(C62,'Pay Table'!$M$3:$P$15,4,FALSE),"")</f>
        <v/>
      </c>
      <c r="V62" s="1">
        <f>IFERROR(VLOOKUP(D62,'Pay Table'!$M$3:$P$15,4,FALSE),"")</f>
        <v>5</v>
      </c>
      <c r="W62" s="1">
        <f>IFERROR(VLOOKUP(E62,'Pay Table'!$M$3:$P$15,4,FALSE),"")</f>
        <v>7</v>
      </c>
      <c r="X62" s="1">
        <f>IFERROR(VLOOKUP(F62,'Pay Table'!$M$3:$P$15,4,FALSE),"")</f>
        <v>202</v>
      </c>
      <c r="Z62" s="1">
        <f>IFERROR(VLOOKUP(H62,'Pay Table'!$M$3:$P$15,4,FALSE),"")</f>
        <v>201</v>
      </c>
      <c r="AA62" s="1" t="str">
        <f>IFERROR(VLOOKUP(I62,'Pay Table'!$M$3:$P$15,4,FALSE),"")</f>
        <v/>
      </c>
      <c r="AB62" s="1">
        <f>IFERROR(VLOOKUP(J62,'Pay Table'!$M$3:$P$15,4,FALSE),"")</f>
        <v>5</v>
      </c>
      <c r="AC62" s="1">
        <f>IFERROR(VLOOKUP(K62,'Pay Table'!$M$3:$P$15,4,FALSE),"")</f>
        <v>7</v>
      </c>
      <c r="AD62" s="1">
        <f>IFERROR(VLOOKUP(L62,'Pay Table'!$M$3:$P$15,4,FALSE),"")</f>
        <v>202</v>
      </c>
      <c r="AG62" s="1" t="str">
        <f>IFERROR(VLOOKUP(R62,'Pay Table'!$M$3:$P$15,4,FALSE),"")</f>
        <v/>
      </c>
      <c r="AH62" s="1" t="str">
        <f>IFERROR(VLOOKUP(T62,'Pay Table'!$M$3:$P$15,4,FALSE),"")</f>
        <v/>
      </c>
      <c r="AI62" s="1" t="str">
        <f>IFERROR(VLOOKUP(U62,'Pay Table'!$M$3:$P$15,4,FALSE),"")</f>
        <v/>
      </c>
      <c r="AJ62" s="1" t="str">
        <f>IFERROR(VLOOKUP(V62,'Pay Table'!$M$3:$P$15,4,FALSE),"")</f>
        <v/>
      </c>
      <c r="AK62" s="1" t="str">
        <f>IFERROR(VLOOKUP(#REF!,'Pay Table'!$M$3:$P$15,4,FALSE),"")</f>
        <v/>
      </c>
      <c r="BL62" s="59" t="str">
        <f>IFERROR($BM$2&amp;VLOOKUP(B64,'Pay Table'!$M$3:$N$18,2,FALSE)&amp;$BL$2&amp;#REF!&amp;$BN$2,"")</f>
        <v/>
      </c>
      <c r="BM62" s="49" t="str">
        <f>IFERROR($BM$2&amp;VLOOKUP(C64,'Pay Table'!$M$3:$N$18,2,FALSE)&amp;$BL$2&amp;#REF!&amp;$BN$2,"")</f>
        <v/>
      </c>
      <c r="BN62" s="49" t="str">
        <f>IFERROR($BM$2&amp;VLOOKUP(D64,'Pay Table'!$M$3:$N$18,2,FALSE)&amp;$BL$2&amp;#REF!&amp;$BN$2,"")</f>
        <v/>
      </c>
      <c r="BO62" s="49" t="str">
        <f>IFERROR($BM$2&amp;VLOOKUP(E64,'Pay Table'!$M$3:$N$18,2,FALSE)&amp;$BL$2&amp;#REF!&amp;$BN$2,"")</f>
        <v/>
      </c>
      <c r="BP62" s="60" t="str">
        <f>IFERROR($BM$2&amp;VLOOKUP(F64,'Pay Table'!$M$3:$N$18,2,FALSE)&amp;$BL$2&amp;#REF!&amp;$BN$2,"")</f>
        <v/>
      </c>
    </row>
    <row r="63" spans="1:68" ht="17.100000000000001" customHeight="1" x14ac:dyDescent="0.25">
      <c r="A63" s="14">
        <v>61</v>
      </c>
      <c r="B63" s="10" t="s">
        <v>123</v>
      </c>
      <c r="E63" s="39" t="s">
        <v>47</v>
      </c>
      <c r="F63" s="39" t="s">
        <v>128</v>
      </c>
      <c r="G63" s="39"/>
      <c r="H63" s="10" t="s">
        <v>123</v>
      </c>
      <c r="K63" s="39" t="s">
        <v>151</v>
      </c>
      <c r="L63" s="39" t="s">
        <v>128</v>
      </c>
      <c r="M63" s="39"/>
      <c r="N63" s="39">
        <v>0</v>
      </c>
      <c r="O63" s="39">
        <v>0</v>
      </c>
      <c r="P63"/>
      <c r="Q63" s="39">
        <f t="shared" si="0"/>
        <v>99</v>
      </c>
      <c r="R63" s="247">
        <f t="shared" si="0"/>
        <v>99</v>
      </c>
      <c r="T63" s="1">
        <f>IFERROR(VLOOKUP(B63,'Pay Table'!$M$3:$P$15,4,FALSE),"")</f>
        <v>5</v>
      </c>
      <c r="U63" s="1" t="str">
        <f>IFERROR(VLOOKUP(C63,'Pay Table'!$M$3:$P$15,4,FALSE),"")</f>
        <v/>
      </c>
      <c r="V63" s="1" t="str">
        <f>IFERROR(VLOOKUP(D63,'Pay Table'!$M$3:$P$15,4,FALSE),"")</f>
        <v/>
      </c>
      <c r="W63" s="1">
        <f>IFERROR(VLOOKUP(E63,'Pay Table'!$M$3:$P$15,4,FALSE),"")</f>
        <v>294</v>
      </c>
      <c r="X63" s="1">
        <f>IFERROR(VLOOKUP(F63,'Pay Table'!$M$3:$P$15,4,FALSE),"")</f>
        <v>204</v>
      </c>
      <c r="Z63" s="1">
        <f>IFERROR(VLOOKUP(H63,'Pay Table'!$M$3:$P$15,4,FALSE),"")</f>
        <v>5</v>
      </c>
      <c r="AA63" s="1" t="str">
        <f>IFERROR(VLOOKUP(I63,'Pay Table'!$M$3:$P$15,4,FALSE),"")</f>
        <v/>
      </c>
      <c r="AB63" s="1" t="str">
        <f>IFERROR(VLOOKUP(J63,'Pay Table'!$M$3:$P$15,4,FALSE),"")</f>
        <v/>
      </c>
      <c r="AC63" s="1">
        <f>IFERROR(VLOOKUP(K63,'Pay Table'!$M$3:$P$15,4,FALSE),"")</f>
        <v>202</v>
      </c>
      <c r="AD63" s="1">
        <f>IFERROR(VLOOKUP(L63,'Pay Table'!$M$3:$P$15,4,FALSE),"")</f>
        <v>204</v>
      </c>
      <c r="AG63" s="1" t="str">
        <f>IFERROR(VLOOKUP(R63,'Pay Table'!$M$3:$P$15,4,FALSE),"")</f>
        <v/>
      </c>
      <c r="AH63" s="1" t="str">
        <f>IFERROR(VLOOKUP(T63,'Pay Table'!$M$3:$P$15,4,FALSE),"")</f>
        <v/>
      </c>
      <c r="AI63" s="1" t="str">
        <f>IFERROR(VLOOKUP(U63,'Pay Table'!$M$3:$P$15,4,FALSE),"")</f>
        <v/>
      </c>
      <c r="AJ63" s="1" t="str">
        <f>IFERROR(VLOOKUP(V63,'Pay Table'!$M$3:$P$15,4,FALSE),"")</f>
        <v/>
      </c>
      <c r="AK63" s="1" t="str">
        <f>IFERROR(VLOOKUP(#REF!,'Pay Table'!$M$3:$P$15,4,FALSE),"")</f>
        <v/>
      </c>
      <c r="BL63" s="59" t="str">
        <f>IFERROR($BM$2&amp;VLOOKUP(B65,'Pay Table'!$M$3:$N$18,2,FALSE)&amp;$BL$2&amp;#REF!&amp;$BN$2,"")</f>
        <v/>
      </c>
      <c r="BM63" s="49" t="str">
        <f>IFERROR($BM$2&amp;VLOOKUP(C65,'Pay Table'!$M$3:$N$18,2,FALSE)&amp;$BL$2&amp;#REF!&amp;$BN$2,"")</f>
        <v/>
      </c>
      <c r="BN63" s="49" t="str">
        <f>IFERROR($BM$2&amp;VLOOKUP(D65,'Pay Table'!$M$3:$N$18,2,FALSE)&amp;$BL$2&amp;#REF!&amp;$BN$2,"")</f>
        <v/>
      </c>
      <c r="BO63" s="49" t="str">
        <f>IFERROR($BM$2&amp;VLOOKUP(E65,'Pay Table'!$M$3:$N$18,2,FALSE)&amp;$BL$2&amp;#REF!&amp;$BN$2,"")</f>
        <v/>
      </c>
      <c r="BP63" s="60" t="str">
        <f>IFERROR($BM$2&amp;VLOOKUP(F65,'Pay Table'!$M$3:$N$18,2,FALSE)&amp;$BL$2&amp;#REF!&amp;$BN$2,"")</f>
        <v/>
      </c>
    </row>
    <row r="64" spans="1:68" ht="17.100000000000001" customHeight="1" x14ac:dyDescent="0.25">
      <c r="A64" s="14">
        <v>62</v>
      </c>
      <c r="E64" s="39" t="s">
        <v>126</v>
      </c>
      <c r="F64" s="39" t="s">
        <v>127</v>
      </c>
      <c r="G64" s="39"/>
      <c r="K64" s="39" t="s">
        <v>126</v>
      </c>
      <c r="L64" s="39" t="s">
        <v>127</v>
      </c>
      <c r="M64" s="39"/>
      <c r="N64" s="39">
        <v>500</v>
      </c>
      <c r="O64" s="39">
        <v>50</v>
      </c>
      <c r="P64"/>
      <c r="Q64" s="39">
        <f t="shared" si="0"/>
        <v>8</v>
      </c>
      <c r="R64" s="247">
        <f t="shared" si="0"/>
        <v>13</v>
      </c>
      <c r="T64" s="1" t="str">
        <f>IFERROR(VLOOKUP(B64,'Pay Table'!$M$3:$P$15,4,FALSE),"")</f>
        <v/>
      </c>
      <c r="U64" s="1" t="str">
        <f>IFERROR(VLOOKUP(C64,'Pay Table'!$M$3:$P$15,4,FALSE),"")</f>
        <v/>
      </c>
      <c r="V64" s="1" t="str">
        <f>IFERROR(VLOOKUP(D64,'Pay Table'!$M$3:$P$15,4,FALSE),"")</f>
        <v/>
      </c>
      <c r="W64" s="1">
        <f>IFERROR(VLOOKUP(E64,'Pay Table'!$M$3:$P$15,4,FALSE),"")</f>
        <v>202</v>
      </c>
      <c r="X64" s="1">
        <f>IFERROR(VLOOKUP(F64,'Pay Table'!$M$3:$P$15,4,FALSE),"")</f>
        <v>203</v>
      </c>
      <c r="Z64" s="1" t="str">
        <f>IFERROR(VLOOKUP(H64,'Pay Table'!$M$3:$P$15,4,FALSE),"")</f>
        <v/>
      </c>
      <c r="AA64" s="1" t="str">
        <f>IFERROR(VLOOKUP(I64,'Pay Table'!$M$3:$P$15,4,FALSE),"")</f>
        <v/>
      </c>
      <c r="AB64" s="1" t="str">
        <f>IFERROR(VLOOKUP(J64,'Pay Table'!$M$3:$P$15,4,FALSE),"")</f>
        <v/>
      </c>
      <c r="AC64" s="1">
        <f>IFERROR(VLOOKUP(K64,'Pay Table'!$M$3:$P$15,4,FALSE),"")</f>
        <v>202</v>
      </c>
      <c r="AD64" s="1">
        <f>IFERROR(VLOOKUP(L64,'Pay Table'!$M$3:$P$15,4,FALSE),"")</f>
        <v>203</v>
      </c>
      <c r="AG64" s="1" t="str">
        <f>IFERROR(VLOOKUP(R64,'Pay Table'!$M$3:$P$15,4,FALSE),"")</f>
        <v/>
      </c>
      <c r="AH64" s="1" t="str">
        <f>IFERROR(VLOOKUP(T64,'Pay Table'!$M$3:$P$15,4,FALSE),"")</f>
        <v/>
      </c>
      <c r="AI64" s="1" t="str">
        <f>IFERROR(VLOOKUP(U64,'Pay Table'!$M$3:$P$15,4,FALSE),"")</f>
        <v/>
      </c>
      <c r="AJ64" s="1" t="str">
        <f>IFERROR(VLOOKUP(V64,'Pay Table'!$M$3:$P$15,4,FALSE),"")</f>
        <v/>
      </c>
      <c r="AK64" s="1" t="str">
        <f>IFERROR(VLOOKUP(#REF!,'Pay Table'!$M$3:$P$15,4,FALSE),"")</f>
        <v/>
      </c>
      <c r="BL64" s="59" t="str">
        <f>IFERROR($BM$2&amp;VLOOKUP(B66,'Pay Table'!$M$3:$N$18,2,FALSE)&amp;$BL$2&amp;#REF!&amp;$BN$2,"")</f>
        <v/>
      </c>
      <c r="BM64" s="49" t="str">
        <f>IFERROR($BM$2&amp;VLOOKUP(C66,'Pay Table'!$M$3:$N$18,2,FALSE)&amp;$BL$2&amp;#REF!&amp;$BN$2,"")</f>
        <v/>
      </c>
      <c r="BN64" s="49" t="str">
        <f>IFERROR($BM$2&amp;VLOOKUP(D66,'Pay Table'!$M$3:$N$18,2,FALSE)&amp;$BL$2&amp;#REF!&amp;$BN$2,"")</f>
        <v/>
      </c>
      <c r="BO64" s="49" t="str">
        <f>IFERROR($BM$2&amp;VLOOKUP(E66,'Pay Table'!$M$3:$N$18,2,FALSE)&amp;$BL$2&amp;#REF!&amp;$BN$2,"")</f>
        <v/>
      </c>
      <c r="BP64" s="60" t="str">
        <f>IFERROR($BM$2&amp;VLOOKUP(F66,'Pay Table'!$M$3:$N$18,2,FALSE)&amp;$BL$2&amp;#REF!&amp;$BN$2,"")</f>
        <v/>
      </c>
    </row>
    <row r="65" spans="1:68" ht="17.100000000000001" customHeight="1" x14ac:dyDescent="0.25">
      <c r="A65" s="14">
        <v>63</v>
      </c>
      <c r="E65" s="39" t="s">
        <v>123</v>
      </c>
      <c r="F65" s="39" t="s">
        <v>293</v>
      </c>
      <c r="G65" s="39"/>
      <c r="K65" s="39" t="s">
        <v>47</v>
      </c>
      <c r="L65" s="39" t="s">
        <v>293</v>
      </c>
      <c r="M65" s="39"/>
      <c r="N65" s="39">
        <v>0</v>
      </c>
      <c r="O65" s="39">
        <v>0</v>
      </c>
      <c r="P65"/>
      <c r="Q65" s="39">
        <f t="shared" si="0"/>
        <v>99</v>
      </c>
      <c r="R65" s="247">
        <f t="shared" si="0"/>
        <v>99</v>
      </c>
      <c r="T65" s="1" t="str">
        <f>IFERROR(VLOOKUP(B65,'Pay Table'!$M$3:$P$15,4,FALSE),"")</f>
        <v/>
      </c>
      <c r="U65" s="1" t="str">
        <f>IFERROR(VLOOKUP(C65,'Pay Table'!$M$3:$P$15,4,FALSE),"")</f>
        <v/>
      </c>
      <c r="V65" s="1" t="str">
        <f>IFERROR(VLOOKUP(D65,'Pay Table'!$M$3:$P$15,4,FALSE),"")</f>
        <v/>
      </c>
      <c r="W65" s="1">
        <f>IFERROR(VLOOKUP(E65,'Pay Table'!$M$3:$P$15,4,FALSE),"")</f>
        <v>5</v>
      </c>
      <c r="X65" s="1">
        <f>IFERROR(VLOOKUP(F65,'Pay Table'!$M$3:$P$15,4,FALSE),"")</f>
        <v>6</v>
      </c>
      <c r="Z65" s="1" t="str">
        <f>IFERROR(VLOOKUP(H65,'Pay Table'!$M$3:$P$15,4,FALSE),"")</f>
        <v/>
      </c>
      <c r="AA65" s="1" t="str">
        <f>IFERROR(VLOOKUP(I65,'Pay Table'!$M$3:$P$15,4,FALSE),"")</f>
        <v/>
      </c>
      <c r="AB65" s="1" t="str">
        <f>IFERROR(VLOOKUP(J65,'Pay Table'!$M$3:$P$15,4,FALSE),"")</f>
        <v/>
      </c>
      <c r="AC65" s="1">
        <f>IFERROR(VLOOKUP(K65,'Pay Table'!$M$3:$P$15,4,FALSE),"")</f>
        <v>294</v>
      </c>
      <c r="AD65" s="1">
        <f>IFERROR(VLOOKUP(L65,'Pay Table'!$M$3:$P$15,4,FALSE),"")</f>
        <v>6</v>
      </c>
      <c r="AG65" s="1" t="str">
        <f>IFERROR(VLOOKUP(R65,'Pay Table'!$M$3:$P$15,4,FALSE),"")</f>
        <v/>
      </c>
      <c r="AH65" s="1" t="str">
        <f>IFERROR(VLOOKUP(T65,'Pay Table'!$M$3:$P$15,4,FALSE),"")</f>
        <v/>
      </c>
      <c r="AI65" s="1" t="str">
        <f>IFERROR(VLOOKUP(U65,'Pay Table'!$M$3:$P$15,4,FALSE),"")</f>
        <v/>
      </c>
      <c r="AJ65" s="1" t="str">
        <f>IFERROR(VLOOKUP(V65,'Pay Table'!$M$3:$P$15,4,FALSE),"")</f>
        <v/>
      </c>
      <c r="AK65" s="1" t="str">
        <f>IFERROR(VLOOKUP(#REF!,'Pay Table'!$M$3:$P$15,4,FALSE),"")</f>
        <v/>
      </c>
      <c r="BL65" s="59" t="str">
        <f>IFERROR($BM$2&amp;VLOOKUP(B67,'Pay Table'!$M$3:$N$18,2,FALSE)&amp;$BL$2&amp;#REF!&amp;$BN$2,"")</f>
        <v/>
      </c>
      <c r="BM65" s="49" t="str">
        <f>IFERROR($BM$2&amp;VLOOKUP(C67,'Pay Table'!$M$3:$N$18,2,FALSE)&amp;$BL$2&amp;#REF!&amp;$BN$2,"")</f>
        <v/>
      </c>
      <c r="BN65" s="49" t="str">
        <f>IFERROR($BM$2&amp;VLOOKUP(D67,'Pay Table'!$M$3:$N$18,2,FALSE)&amp;$BL$2&amp;#REF!&amp;$BN$2,"")</f>
        <v/>
      </c>
      <c r="BO65" s="49" t="str">
        <f>IFERROR($BM$2&amp;VLOOKUP(E67,'Pay Table'!$M$3:$N$18,2,FALSE)&amp;$BL$2&amp;#REF!&amp;$BN$2,"")</f>
        <v/>
      </c>
      <c r="BP65" s="60" t="str">
        <f>IFERROR($BM$2&amp;VLOOKUP(F67,'Pay Table'!$M$3:$N$18,2,FALSE)&amp;$BL$2&amp;#REF!&amp;$BN$2,"")</f>
        <v/>
      </c>
    </row>
    <row r="66" spans="1:68" ht="17.100000000000001" customHeight="1" x14ac:dyDescent="0.25">
      <c r="A66" s="14">
        <v>64</v>
      </c>
      <c r="E66" s="39" t="s">
        <v>293</v>
      </c>
      <c r="F66" s="39" t="s">
        <v>47</v>
      </c>
      <c r="G66" s="39"/>
      <c r="K66" s="39" t="s">
        <v>293</v>
      </c>
      <c r="L66" s="39" t="s">
        <v>47</v>
      </c>
      <c r="M66" s="39"/>
      <c r="N66" s="39" t="s">
        <v>353</v>
      </c>
      <c r="O66" s="39">
        <v>5000</v>
      </c>
      <c r="P66"/>
      <c r="Q66" s="39">
        <f t="shared" si="0"/>
        <v>1000</v>
      </c>
      <c r="R66" s="247">
        <f t="shared" si="0"/>
        <v>5</v>
      </c>
      <c r="T66" s="1" t="str">
        <f>IFERROR(VLOOKUP(B66,'Pay Table'!$M$3:$P$15,4,FALSE),"")</f>
        <v/>
      </c>
      <c r="U66" s="1" t="str">
        <f>IFERROR(VLOOKUP(C66,'Pay Table'!$M$3:$P$15,4,FALSE),"")</f>
        <v/>
      </c>
      <c r="V66" s="1" t="str">
        <f>IFERROR(VLOOKUP(D66,'Pay Table'!$M$3:$P$15,4,FALSE),"")</f>
        <v/>
      </c>
      <c r="W66" s="1">
        <f>IFERROR(VLOOKUP(E66,'Pay Table'!$M$3:$P$15,4,FALSE),"")</f>
        <v>6</v>
      </c>
      <c r="X66" s="1">
        <f>IFERROR(VLOOKUP(F66,'Pay Table'!$M$3:$P$15,4,FALSE),"")</f>
        <v>294</v>
      </c>
      <c r="Z66" s="1" t="str">
        <f>IFERROR(VLOOKUP(H66,'Pay Table'!$M$3:$P$15,4,FALSE),"")</f>
        <v/>
      </c>
      <c r="AA66" s="1" t="str">
        <f>IFERROR(VLOOKUP(I66,'Pay Table'!$M$3:$P$15,4,FALSE),"")</f>
        <v/>
      </c>
      <c r="AB66" s="1" t="str">
        <f>IFERROR(VLOOKUP(J66,'Pay Table'!$M$3:$P$15,4,FALSE),"")</f>
        <v/>
      </c>
      <c r="AC66" s="1">
        <f>IFERROR(VLOOKUP(K66,'Pay Table'!$M$3:$P$15,4,FALSE),"")</f>
        <v>6</v>
      </c>
      <c r="AD66" s="1">
        <f>IFERROR(VLOOKUP(L66,'Pay Table'!$M$3:$P$15,4,FALSE),"")</f>
        <v>294</v>
      </c>
      <c r="AG66" s="1" t="str">
        <f>IFERROR(VLOOKUP(R66,'Pay Table'!$M$3:$P$15,4,FALSE),"")</f>
        <v/>
      </c>
      <c r="AH66" s="1" t="str">
        <f>IFERROR(VLOOKUP(T66,'Pay Table'!$M$3:$P$15,4,FALSE),"")</f>
        <v/>
      </c>
      <c r="AI66" s="1" t="str">
        <f>IFERROR(VLOOKUP(U66,'Pay Table'!$M$3:$P$15,4,FALSE),"")</f>
        <v/>
      </c>
      <c r="AJ66" s="1" t="str">
        <f>IFERROR(VLOOKUP(V66,'Pay Table'!$M$3:$P$15,4,FALSE),"")</f>
        <v/>
      </c>
      <c r="AK66" s="1" t="str">
        <f>IFERROR(VLOOKUP(#REF!,'Pay Table'!$M$3:$P$15,4,FALSE),"")</f>
        <v/>
      </c>
      <c r="BL66" s="59" t="str">
        <f>IFERROR($BM$2&amp;VLOOKUP(B68,'Pay Table'!$M$3:$N$18,2,FALSE)&amp;$BL$2&amp;#REF!&amp;$BN$2,"")</f>
        <v/>
      </c>
      <c r="BM66" s="49" t="str">
        <f>IFERROR($BM$2&amp;VLOOKUP(C68,'Pay Table'!$M$3:$N$18,2,FALSE)&amp;$BL$2&amp;#REF!&amp;$BN$2,"")</f>
        <v/>
      </c>
      <c r="BN66" s="49" t="str">
        <f>IFERROR($BM$2&amp;VLOOKUP(D68,'Pay Table'!$M$3:$N$18,2,FALSE)&amp;$BL$2&amp;#REF!&amp;$BN$2,"")</f>
        <v/>
      </c>
      <c r="BO66" s="49" t="str">
        <f>IFERROR($BM$2&amp;VLOOKUP(E68,'Pay Table'!$M$3:$N$18,2,FALSE)&amp;$BL$2&amp;#REF!&amp;$BN$2,"")</f>
        <v/>
      </c>
      <c r="BP66" s="60" t="str">
        <f>IFERROR($BM$2&amp;VLOOKUP(F68,'Pay Table'!$M$3:$N$18,2,FALSE)&amp;$BL$2&amp;#REF!&amp;$BN$2,"")</f>
        <v/>
      </c>
    </row>
    <row r="67" spans="1:68" ht="17.100000000000001" customHeight="1" x14ac:dyDescent="0.25">
      <c r="A67" s="14">
        <v>65</v>
      </c>
      <c r="E67" s="39" t="s">
        <v>148</v>
      </c>
      <c r="F67" s="39" t="s">
        <v>47</v>
      </c>
      <c r="G67" s="39"/>
      <c r="K67" s="39" t="s">
        <v>148</v>
      </c>
      <c r="L67" s="39" t="s">
        <v>47</v>
      </c>
      <c r="M67" s="39"/>
      <c r="N67" s="39">
        <v>0</v>
      </c>
      <c r="O67" s="39">
        <v>0</v>
      </c>
      <c r="P67"/>
      <c r="Q67" s="39">
        <f t="shared" si="0"/>
        <v>99</v>
      </c>
      <c r="R67" s="247">
        <f t="shared" si="0"/>
        <v>99</v>
      </c>
      <c r="T67" s="1" t="str">
        <f>IFERROR(VLOOKUP(B67,'Pay Table'!$M$3:$P$15,4,FALSE),"")</f>
        <v/>
      </c>
      <c r="U67" s="1" t="str">
        <f>IFERROR(VLOOKUP(C67,'Pay Table'!$M$3:$P$15,4,FALSE),"")</f>
        <v/>
      </c>
      <c r="V67" s="1" t="str">
        <f>IFERROR(VLOOKUP(D67,'Pay Table'!$M$3:$P$15,4,FALSE),"")</f>
        <v/>
      </c>
      <c r="W67" s="1">
        <f>IFERROR(VLOOKUP(E67,'Pay Table'!$M$3:$P$15,4,FALSE),"")</f>
        <v>204</v>
      </c>
      <c r="X67" s="1">
        <f>IFERROR(VLOOKUP(F67,'Pay Table'!$M$3:$P$15,4,FALSE),"")</f>
        <v>294</v>
      </c>
      <c r="Z67" s="1" t="str">
        <f>IFERROR(VLOOKUP(H67,'Pay Table'!$M$3:$P$15,4,FALSE),"")</f>
        <v/>
      </c>
      <c r="AA67" s="1" t="str">
        <f>IFERROR(VLOOKUP(I67,'Pay Table'!$M$3:$P$15,4,FALSE),"")</f>
        <v/>
      </c>
      <c r="AB67" s="1" t="str">
        <f>IFERROR(VLOOKUP(J67,'Pay Table'!$M$3:$P$15,4,FALSE),"")</f>
        <v/>
      </c>
      <c r="AC67" s="1">
        <f>IFERROR(VLOOKUP(K67,'Pay Table'!$M$3:$P$15,4,FALSE),"")</f>
        <v>204</v>
      </c>
      <c r="AD67" s="1">
        <f>IFERROR(VLOOKUP(L67,'Pay Table'!$M$3:$P$15,4,FALSE),"")</f>
        <v>294</v>
      </c>
      <c r="AG67" s="1" t="str">
        <f>IFERROR(VLOOKUP(R67,'Pay Table'!$M$3:$P$15,4,FALSE),"")</f>
        <v/>
      </c>
      <c r="AH67" s="1" t="str">
        <f>IFERROR(VLOOKUP(T67,'Pay Table'!$M$3:$P$15,4,FALSE),"")</f>
        <v/>
      </c>
      <c r="AI67" s="1" t="str">
        <f>IFERROR(VLOOKUP(U67,'Pay Table'!$M$3:$P$15,4,FALSE),"")</f>
        <v/>
      </c>
      <c r="AJ67" s="1" t="str">
        <f>IFERROR(VLOOKUP(V67,'Pay Table'!$M$3:$P$15,4,FALSE),"")</f>
        <v/>
      </c>
      <c r="AK67" s="1" t="str">
        <f>IFERROR(VLOOKUP(#REF!,'Pay Table'!$M$3:$P$15,4,FALSE),"")</f>
        <v/>
      </c>
      <c r="BL67" s="59" t="str">
        <f>IFERROR($BM$2&amp;VLOOKUP(B69,'Pay Table'!$M$3:$N$18,2,FALSE)&amp;$BL$2&amp;#REF!&amp;$BN$2,"")</f>
        <v/>
      </c>
      <c r="BM67" s="49" t="str">
        <f>IFERROR($BM$2&amp;VLOOKUP(C69,'Pay Table'!$M$3:$N$18,2,FALSE)&amp;$BL$2&amp;#REF!&amp;$BN$2,"")</f>
        <v/>
      </c>
      <c r="BN67" s="49" t="str">
        <f>IFERROR($BM$2&amp;VLOOKUP(D69,'Pay Table'!$M$3:$N$18,2,FALSE)&amp;$BL$2&amp;#REF!&amp;$BN$2,"")</f>
        <v/>
      </c>
      <c r="BO67" s="49" t="str">
        <f>IFERROR($BM$2&amp;VLOOKUP(E69,'Pay Table'!$M$3:$N$18,2,FALSE)&amp;$BL$2&amp;#REF!&amp;$BN$2,"")</f>
        <v/>
      </c>
      <c r="BP67" s="60" t="str">
        <f>IFERROR($BM$2&amp;VLOOKUP(F69,'Pay Table'!$M$3:$N$18,2,FALSE)&amp;$BL$2&amp;#REF!&amp;$BN$2,"")</f>
        <v/>
      </c>
    </row>
    <row r="68" spans="1:68" ht="17.100000000000001" customHeight="1" x14ac:dyDescent="0.25">
      <c r="A68" s="14">
        <v>66</v>
      </c>
      <c r="E68" s="39" t="s">
        <v>152</v>
      </c>
      <c r="F68" s="39" t="s">
        <v>47</v>
      </c>
      <c r="G68" s="39"/>
      <c r="K68" s="39" t="s">
        <v>152</v>
      </c>
      <c r="L68" s="39" t="s">
        <v>47</v>
      </c>
      <c r="M68" s="39"/>
      <c r="N68" s="39">
        <v>250</v>
      </c>
      <c r="O68" s="39">
        <v>750</v>
      </c>
      <c r="P68"/>
      <c r="Q68" s="39">
        <f t="shared" ref="Q68:Q83" si="1">IFERROR(VLOOKUP(N68,$AI$2:$AJ$20,2,FALSE),"")</f>
        <v>9</v>
      </c>
      <c r="R68" s="247">
        <f t="shared" ref="R68:R83" si="2">IFERROR(VLOOKUP(O68,$AI$2:$AJ$20,2,FALSE),"")</f>
        <v>7</v>
      </c>
      <c r="T68" s="1" t="str">
        <f>IFERROR(VLOOKUP(B68,'Pay Table'!$M$3:$P$15,4,FALSE),"")</f>
        <v/>
      </c>
      <c r="U68" s="1" t="str">
        <f>IFERROR(VLOOKUP(C68,'Pay Table'!$M$3:$P$15,4,FALSE),"")</f>
        <v/>
      </c>
      <c r="V68" s="1" t="str">
        <f>IFERROR(VLOOKUP(D68,'Pay Table'!$M$3:$P$15,4,FALSE),"")</f>
        <v/>
      </c>
      <c r="W68" s="1">
        <f>IFERROR(VLOOKUP(E68,'Pay Table'!$M$3:$P$15,4,FALSE),"")</f>
        <v>201</v>
      </c>
      <c r="X68" s="1">
        <f>IFERROR(VLOOKUP(F68,'Pay Table'!$M$3:$P$15,4,FALSE),"")</f>
        <v>294</v>
      </c>
      <c r="Z68" s="1" t="str">
        <f>IFERROR(VLOOKUP(H68,'Pay Table'!$M$3:$P$15,4,FALSE),"")</f>
        <v/>
      </c>
      <c r="AA68" s="1" t="str">
        <f>IFERROR(VLOOKUP(I68,'Pay Table'!$M$3:$P$15,4,FALSE),"")</f>
        <v/>
      </c>
      <c r="AB68" s="1" t="str">
        <f>IFERROR(VLOOKUP(J68,'Pay Table'!$M$3:$P$15,4,FALSE),"")</f>
        <v/>
      </c>
      <c r="AC68" s="1">
        <f>IFERROR(VLOOKUP(K68,'Pay Table'!$M$3:$P$15,4,FALSE),"")</f>
        <v>201</v>
      </c>
      <c r="AD68" s="1">
        <f>IFERROR(VLOOKUP(L68,'Pay Table'!$M$3:$P$15,4,FALSE),"")</f>
        <v>294</v>
      </c>
      <c r="AG68" s="1" t="str">
        <f>IFERROR(VLOOKUP(R68,'Pay Table'!$M$3:$P$15,4,FALSE),"")</f>
        <v/>
      </c>
      <c r="AH68" s="1" t="str">
        <f>IFERROR(VLOOKUP(T68,'Pay Table'!$M$3:$P$15,4,FALSE),"")</f>
        <v/>
      </c>
      <c r="AI68" s="1" t="str">
        <f>IFERROR(VLOOKUP(U68,'Pay Table'!$M$3:$P$15,4,FALSE),"")</f>
        <v/>
      </c>
      <c r="AJ68" s="1" t="str">
        <f>IFERROR(VLOOKUP(V68,'Pay Table'!$M$3:$P$15,4,FALSE),"")</f>
        <v/>
      </c>
      <c r="AK68" s="1" t="str">
        <f>IFERROR(VLOOKUP(#REF!,'Pay Table'!$M$3:$P$15,4,FALSE),"")</f>
        <v/>
      </c>
      <c r="BL68" s="59" t="str">
        <f>IFERROR($BM$2&amp;VLOOKUP(B70,'Pay Table'!$M$3:$N$18,2,FALSE)&amp;$BL$2&amp;#REF!&amp;$BN$2,"")</f>
        <v/>
      </c>
      <c r="BM68" s="49" t="str">
        <f>IFERROR($BM$2&amp;VLOOKUP(C70,'Pay Table'!$M$3:$N$18,2,FALSE)&amp;$BL$2&amp;#REF!&amp;$BN$2,"")</f>
        <v/>
      </c>
      <c r="BN68" s="49" t="str">
        <f>IFERROR($BM$2&amp;VLOOKUP(D70,'Pay Table'!$M$3:$N$18,2,FALSE)&amp;$BL$2&amp;#REF!&amp;$BN$2,"")</f>
        <v/>
      </c>
      <c r="BO68" s="49" t="str">
        <f>IFERROR($BM$2&amp;VLOOKUP(E70,'Pay Table'!$M$3:$N$18,2,FALSE)&amp;$BL$2&amp;#REF!&amp;$BN$2,"")</f>
        <v/>
      </c>
      <c r="BP68" s="60" t="str">
        <f>IFERROR($BM$2&amp;VLOOKUP(F70,'Pay Table'!$M$3:$N$18,2,FALSE)&amp;$BL$2&amp;#REF!&amp;$BN$2,"")</f>
        <v/>
      </c>
    </row>
    <row r="69" spans="1:68" ht="17.100000000000001" customHeight="1" x14ac:dyDescent="0.25">
      <c r="A69" s="14">
        <v>67</v>
      </c>
      <c r="E69" s="39" t="s">
        <v>152</v>
      </c>
      <c r="F69" s="39" t="s">
        <v>124</v>
      </c>
      <c r="G69" s="39"/>
      <c r="K69" s="39" t="s">
        <v>152</v>
      </c>
      <c r="L69" s="39" t="s">
        <v>124</v>
      </c>
      <c r="M69" s="39"/>
      <c r="N69" s="10">
        <v>0</v>
      </c>
      <c r="O69" s="10">
        <v>0</v>
      </c>
      <c r="P69"/>
      <c r="Q69" s="39">
        <f t="shared" si="1"/>
        <v>99</v>
      </c>
      <c r="R69" s="247">
        <f t="shared" si="2"/>
        <v>99</v>
      </c>
      <c r="T69" s="1" t="str">
        <f>IFERROR(VLOOKUP(B69,'Pay Table'!$M$3:$P$15,4,FALSE),"")</f>
        <v/>
      </c>
      <c r="U69" s="1" t="str">
        <f>IFERROR(VLOOKUP(C69,'Pay Table'!$M$3:$P$15,4,FALSE),"")</f>
        <v/>
      </c>
      <c r="V69" s="1" t="str">
        <f>IFERROR(VLOOKUP(D69,'Pay Table'!$M$3:$P$15,4,FALSE),"")</f>
        <v/>
      </c>
      <c r="W69" s="1">
        <f>IFERROR(VLOOKUP(E69,'Pay Table'!$M$3:$P$15,4,FALSE),"")</f>
        <v>201</v>
      </c>
      <c r="X69" s="1">
        <f>IFERROR(VLOOKUP(F69,'Pay Table'!$M$3:$P$15,4,FALSE),"")</f>
        <v>200</v>
      </c>
      <c r="Z69" s="1" t="str">
        <f>IFERROR(VLOOKUP(H69,'Pay Table'!$M$3:$P$15,4,FALSE),"")</f>
        <v/>
      </c>
      <c r="AA69" s="1" t="str">
        <f>IFERROR(VLOOKUP(I69,'Pay Table'!$M$3:$P$15,4,FALSE),"")</f>
        <v/>
      </c>
      <c r="AB69" s="1" t="str">
        <f>IFERROR(VLOOKUP(J69,'Pay Table'!$M$3:$P$15,4,FALSE),"")</f>
        <v/>
      </c>
      <c r="AC69" s="1">
        <f>IFERROR(VLOOKUP(K69,'Pay Table'!$M$3:$P$15,4,FALSE),"")</f>
        <v>201</v>
      </c>
      <c r="AD69" s="1">
        <f>IFERROR(VLOOKUP(L69,'Pay Table'!$M$3:$P$15,4,FALSE),"")</f>
        <v>200</v>
      </c>
      <c r="AG69" s="1" t="str">
        <f>IFERROR(VLOOKUP(R69,'Pay Table'!$M$3:$P$15,4,FALSE),"")</f>
        <v/>
      </c>
      <c r="AH69" s="1" t="str">
        <f>IFERROR(VLOOKUP(T69,'Pay Table'!$M$3:$P$15,4,FALSE),"")</f>
        <v/>
      </c>
      <c r="AI69" s="1" t="str">
        <f>IFERROR(VLOOKUP(U69,'Pay Table'!$M$3:$P$15,4,FALSE),"")</f>
        <v/>
      </c>
      <c r="AJ69" s="1" t="str">
        <f>IFERROR(VLOOKUP(V69,'Pay Table'!$M$3:$P$15,4,FALSE),"")</f>
        <v/>
      </c>
      <c r="AK69" s="1" t="str">
        <f>IFERROR(VLOOKUP(#REF!,'Pay Table'!$M$3:$P$15,4,FALSE),"")</f>
        <v/>
      </c>
      <c r="BL69" s="59" t="str">
        <f>IFERROR($BM$2&amp;VLOOKUP(B71,'Pay Table'!$M$3:$N$18,2,FALSE)&amp;$BL$2&amp;#REF!&amp;$BN$2,"")</f>
        <v/>
      </c>
      <c r="BM69" s="49" t="str">
        <f>IFERROR($BM$2&amp;VLOOKUP(C71,'Pay Table'!$M$3:$N$18,2,FALSE)&amp;$BL$2&amp;#REF!&amp;$BN$2,"")</f>
        <v/>
      </c>
      <c r="BN69" s="49" t="str">
        <f>IFERROR($BM$2&amp;VLOOKUP(D71,'Pay Table'!$M$3:$N$18,2,FALSE)&amp;$BL$2&amp;#REF!&amp;$BN$2,"")</f>
        <v/>
      </c>
      <c r="BO69" s="49" t="str">
        <f>IFERROR($BM$2&amp;VLOOKUP(E71,'Pay Table'!$M$3:$N$18,2,FALSE)&amp;$BL$2&amp;#REF!&amp;$BN$2,"")</f>
        <v/>
      </c>
      <c r="BP69" s="60" t="str">
        <f>IFERROR($BM$2&amp;VLOOKUP(F71,'Pay Table'!$M$3:$N$18,2,FALSE)&amp;$BL$2&amp;#REF!&amp;$BN$2,"")</f>
        <v/>
      </c>
    </row>
    <row r="70" spans="1:68" ht="17.100000000000001" customHeight="1" x14ac:dyDescent="0.25">
      <c r="A70" s="14">
        <v>68</v>
      </c>
      <c r="E70" s="39" t="s">
        <v>125</v>
      </c>
      <c r="F70" s="39" t="s">
        <v>128</v>
      </c>
      <c r="G70" s="39"/>
      <c r="K70" s="39" t="s">
        <v>125</v>
      </c>
      <c r="L70" s="39" t="s">
        <v>128</v>
      </c>
      <c r="M70" s="39"/>
      <c r="N70" s="39">
        <v>500</v>
      </c>
      <c r="O70" s="39">
        <v>500</v>
      </c>
      <c r="P70"/>
      <c r="Q70" s="39">
        <f t="shared" si="1"/>
        <v>8</v>
      </c>
      <c r="R70" s="247">
        <f t="shared" si="2"/>
        <v>8</v>
      </c>
      <c r="T70" s="1" t="str">
        <f>IFERROR(VLOOKUP(B70,'Pay Table'!$M$3:$P$15,4,FALSE),"")</f>
        <v/>
      </c>
      <c r="U70" s="1" t="str">
        <f>IFERROR(VLOOKUP(C70,'Pay Table'!$M$3:$P$15,4,FALSE),"")</f>
        <v/>
      </c>
      <c r="V70" s="1" t="str">
        <f>IFERROR(VLOOKUP(D70,'Pay Table'!$M$3:$P$15,4,FALSE),"")</f>
        <v/>
      </c>
      <c r="W70" s="1">
        <f>IFERROR(VLOOKUP(E70,'Pay Table'!$M$3:$P$15,4,FALSE),"")</f>
        <v>201</v>
      </c>
      <c r="X70" s="1">
        <f>IFERROR(VLOOKUP(F70,'Pay Table'!$M$3:$P$15,4,FALSE),"")</f>
        <v>204</v>
      </c>
      <c r="Z70" s="1" t="str">
        <f>IFERROR(VLOOKUP(H70,'Pay Table'!$M$3:$P$15,4,FALSE),"")</f>
        <v/>
      </c>
      <c r="AA70" s="1" t="str">
        <f>IFERROR(VLOOKUP(I70,'Pay Table'!$M$3:$P$15,4,FALSE),"")</f>
        <v/>
      </c>
      <c r="AB70" s="1" t="str">
        <f>IFERROR(VLOOKUP(J70,'Pay Table'!$M$3:$P$15,4,FALSE),"")</f>
        <v/>
      </c>
      <c r="AC70" s="1">
        <f>IFERROR(VLOOKUP(K70,'Pay Table'!$M$3:$P$15,4,FALSE),"")</f>
        <v>201</v>
      </c>
      <c r="AD70" s="1">
        <f>IFERROR(VLOOKUP(L70,'Pay Table'!$M$3:$P$15,4,FALSE),"")</f>
        <v>204</v>
      </c>
      <c r="AG70" s="1" t="str">
        <f>IFERROR(VLOOKUP(R70,'Pay Table'!$M$3:$P$15,4,FALSE),"")</f>
        <v/>
      </c>
      <c r="AH70" s="1" t="str">
        <f>IFERROR(VLOOKUP(T70,'Pay Table'!$M$3:$P$15,4,FALSE),"")</f>
        <v/>
      </c>
      <c r="AI70" s="1" t="str">
        <f>IFERROR(VLOOKUP(U70,'Pay Table'!$M$3:$P$15,4,FALSE),"")</f>
        <v/>
      </c>
      <c r="AJ70" s="1" t="str">
        <f>IFERROR(VLOOKUP(V70,'Pay Table'!$M$3:$P$15,4,FALSE),"")</f>
        <v/>
      </c>
      <c r="AK70" s="1" t="str">
        <f>IFERROR(VLOOKUP(#REF!,'Pay Table'!$M$3:$P$15,4,FALSE),"")</f>
        <v/>
      </c>
      <c r="BL70" s="59" t="str">
        <f>IFERROR($BM$2&amp;VLOOKUP(B72,'Pay Table'!$M$3:$N$18,2,FALSE)&amp;$BL$2&amp;#REF!&amp;$BN$2,"")</f>
        <v/>
      </c>
      <c r="BM70" s="49" t="str">
        <f>IFERROR($BM$2&amp;VLOOKUP(C72,'Pay Table'!$M$3:$N$18,2,FALSE)&amp;$BL$2&amp;#REF!&amp;$BN$2,"")</f>
        <v/>
      </c>
      <c r="BN70" s="49" t="str">
        <f>IFERROR($BM$2&amp;VLOOKUP(D72,'Pay Table'!$M$3:$N$18,2,FALSE)&amp;$BL$2&amp;#REF!&amp;$BN$2,"")</f>
        <v/>
      </c>
      <c r="BO70" s="49" t="str">
        <f>IFERROR($BM$2&amp;VLOOKUP(E72,'Pay Table'!$M$3:$N$18,2,FALSE)&amp;$BL$2&amp;#REF!&amp;$BN$2,"")</f>
        <v/>
      </c>
      <c r="BP70" s="60" t="str">
        <f>IFERROR($BM$2&amp;VLOOKUP(F72,'Pay Table'!$M$3:$N$18,2,FALSE)&amp;$BL$2&amp;#REF!&amp;$BN$2,"")</f>
        <v/>
      </c>
    </row>
    <row r="71" spans="1:68" ht="17.100000000000001" customHeight="1" x14ac:dyDescent="0.25">
      <c r="A71" s="14">
        <v>69</v>
      </c>
      <c r="E71" s="39" t="s">
        <v>295</v>
      </c>
      <c r="F71" s="39" t="s">
        <v>127</v>
      </c>
      <c r="G71" s="39"/>
      <c r="K71" s="39" t="s">
        <v>295</v>
      </c>
      <c r="L71" s="39" t="s">
        <v>127</v>
      </c>
      <c r="M71" s="39"/>
      <c r="N71" s="39">
        <v>0</v>
      </c>
      <c r="O71" s="39">
        <v>0</v>
      </c>
      <c r="P71"/>
      <c r="Q71" s="39">
        <f t="shared" si="1"/>
        <v>99</v>
      </c>
      <c r="R71" s="247">
        <f t="shared" si="2"/>
        <v>99</v>
      </c>
      <c r="T71" s="1" t="str">
        <f>IFERROR(VLOOKUP(B71,'Pay Table'!$M$3:$P$15,4,FALSE),"")</f>
        <v/>
      </c>
      <c r="U71" s="1" t="str">
        <f>IFERROR(VLOOKUP(C71,'Pay Table'!$M$3:$P$15,4,FALSE),"")</f>
        <v/>
      </c>
      <c r="V71" s="1" t="str">
        <f>IFERROR(VLOOKUP(D71,'Pay Table'!$M$3:$P$15,4,FALSE),"")</f>
        <v/>
      </c>
      <c r="W71" s="1">
        <f>IFERROR(VLOOKUP(E71,'Pay Table'!$M$3:$P$15,4,FALSE),"")</f>
        <v>8</v>
      </c>
      <c r="X71" s="1">
        <f>IFERROR(VLOOKUP(F71,'Pay Table'!$M$3:$P$15,4,FALSE),"")</f>
        <v>203</v>
      </c>
      <c r="Z71" s="1" t="str">
        <f>IFERROR(VLOOKUP(H71,'Pay Table'!$M$3:$P$15,4,FALSE),"")</f>
        <v/>
      </c>
      <c r="AA71" s="1" t="str">
        <f>IFERROR(VLOOKUP(I71,'Pay Table'!$M$3:$P$15,4,FALSE),"")</f>
        <v/>
      </c>
      <c r="AB71" s="1" t="str">
        <f>IFERROR(VLOOKUP(J71,'Pay Table'!$M$3:$P$15,4,FALSE),"")</f>
        <v/>
      </c>
      <c r="AC71" s="1">
        <f>IFERROR(VLOOKUP(K71,'Pay Table'!$M$3:$P$15,4,FALSE),"")</f>
        <v>8</v>
      </c>
      <c r="AD71" s="1">
        <f>IFERROR(VLOOKUP(L71,'Pay Table'!$M$3:$P$15,4,FALSE),"")</f>
        <v>203</v>
      </c>
      <c r="AG71" s="1" t="str">
        <f>IFERROR(VLOOKUP(R71,'Pay Table'!$M$3:$P$15,4,FALSE),"")</f>
        <v/>
      </c>
      <c r="AH71" s="1" t="str">
        <f>IFERROR(VLOOKUP(T71,'Pay Table'!$M$3:$P$15,4,FALSE),"")</f>
        <v/>
      </c>
      <c r="AI71" s="1" t="str">
        <f>IFERROR(VLOOKUP(U71,'Pay Table'!$M$3:$P$15,4,FALSE),"")</f>
        <v/>
      </c>
      <c r="AJ71" s="1" t="str">
        <f>IFERROR(VLOOKUP(V71,'Pay Table'!$M$3:$P$15,4,FALSE),"")</f>
        <v/>
      </c>
      <c r="AK71" s="1" t="str">
        <f>IFERROR(VLOOKUP(#REF!,'Pay Table'!$M$3:$P$15,4,FALSE),"")</f>
        <v/>
      </c>
      <c r="BL71" s="59" t="str">
        <f>IFERROR($BM$2&amp;VLOOKUP(B73,'Pay Table'!$M$3:$N$18,2,FALSE)&amp;$BL$2&amp;#REF!&amp;$BN$2,"")</f>
        <v/>
      </c>
      <c r="BM71" s="49" t="str">
        <f>IFERROR($BM$2&amp;VLOOKUP(C73,'Pay Table'!$M$3:$N$18,2,FALSE)&amp;$BL$2&amp;#REF!&amp;$BN$2,"")</f>
        <v/>
      </c>
      <c r="BN71" s="49" t="str">
        <f>IFERROR($BM$2&amp;VLOOKUP(D73,'Pay Table'!$M$3:$N$18,2,FALSE)&amp;$BL$2&amp;#REF!&amp;$BN$2,"")</f>
        <v/>
      </c>
      <c r="BO71" s="49" t="str">
        <f>IFERROR($BM$2&amp;VLOOKUP(E73,'Pay Table'!$M$3:$N$18,2,FALSE)&amp;$BL$2&amp;#REF!&amp;$BN$2,"")</f>
        <v/>
      </c>
      <c r="BP71" s="60" t="str">
        <f>IFERROR($BM$2&amp;VLOOKUP(F73,'Pay Table'!$M$3:$N$18,2,FALSE)&amp;$BL$2&amp;#REF!&amp;$BN$2,"")</f>
        <v/>
      </c>
    </row>
    <row r="72" spans="1:68" ht="17.100000000000001" customHeight="1" x14ac:dyDescent="0.25">
      <c r="A72" s="14">
        <v>70</v>
      </c>
      <c r="E72" s="39" t="s">
        <v>294</v>
      </c>
      <c r="F72" s="39" t="s">
        <v>293</v>
      </c>
      <c r="G72" s="39"/>
      <c r="K72" s="39" t="s">
        <v>294</v>
      </c>
      <c r="L72" s="39" t="s">
        <v>293</v>
      </c>
      <c r="M72" s="39"/>
      <c r="N72" s="39" t="s">
        <v>419</v>
      </c>
      <c r="O72" s="39">
        <v>150</v>
      </c>
      <c r="P72"/>
      <c r="Q72" s="39">
        <f t="shared" si="1"/>
        <v>500</v>
      </c>
      <c r="R72" s="247">
        <f t="shared" si="2"/>
        <v>11</v>
      </c>
      <c r="T72" s="1" t="str">
        <f>IFERROR(VLOOKUP(B72,'Pay Table'!$M$3:$P$15,4,FALSE),"")</f>
        <v/>
      </c>
      <c r="U72" s="1" t="str">
        <f>IFERROR(VLOOKUP(C72,'Pay Table'!$M$3:$P$15,4,FALSE),"")</f>
        <v/>
      </c>
      <c r="V72" s="1" t="str">
        <f>IFERROR(VLOOKUP(D72,'Pay Table'!$M$3:$P$15,4,FALSE),"")</f>
        <v/>
      </c>
      <c r="W72" s="1">
        <f>IFERROR(VLOOKUP(E72,'Pay Table'!$M$3:$P$15,4,FALSE),"")</f>
        <v>7</v>
      </c>
      <c r="X72" s="1">
        <f>IFERROR(VLOOKUP(F72,'Pay Table'!$M$3:$P$15,4,FALSE),"")</f>
        <v>6</v>
      </c>
      <c r="Z72" s="1" t="str">
        <f>IFERROR(VLOOKUP(H72,'Pay Table'!$M$3:$P$15,4,FALSE),"")</f>
        <v/>
      </c>
      <c r="AA72" s="1" t="str">
        <f>IFERROR(VLOOKUP(I72,'Pay Table'!$M$3:$P$15,4,FALSE),"")</f>
        <v/>
      </c>
      <c r="AB72" s="1" t="str">
        <f>IFERROR(VLOOKUP(J72,'Pay Table'!$M$3:$P$15,4,FALSE),"")</f>
        <v/>
      </c>
      <c r="AC72" s="1">
        <f>IFERROR(VLOOKUP(K72,'Pay Table'!$M$3:$P$15,4,FALSE),"")</f>
        <v>7</v>
      </c>
      <c r="AD72" s="1">
        <f>IFERROR(VLOOKUP(L72,'Pay Table'!$M$3:$P$15,4,FALSE),"")</f>
        <v>6</v>
      </c>
      <c r="AG72" s="1" t="str">
        <f>IFERROR(VLOOKUP(R72,'Pay Table'!$M$3:$P$15,4,FALSE),"")</f>
        <v/>
      </c>
      <c r="AH72" s="1" t="str">
        <f>IFERROR(VLOOKUP(T72,'Pay Table'!$M$3:$P$15,4,FALSE),"")</f>
        <v/>
      </c>
      <c r="AI72" s="1" t="str">
        <f>IFERROR(VLOOKUP(U72,'Pay Table'!$M$3:$P$15,4,FALSE),"")</f>
        <v/>
      </c>
      <c r="AJ72" s="1" t="str">
        <f>IFERROR(VLOOKUP(V72,'Pay Table'!$M$3:$P$15,4,FALSE),"")</f>
        <v/>
      </c>
      <c r="AK72" s="1" t="str">
        <f>IFERROR(VLOOKUP(#REF!,'Pay Table'!$M$3:$P$15,4,FALSE),"")</f>
        <v/>
      </c>
      <c r="BL72" s="59" t="str">
        <f>IFERROR($BM$2&amp;VLOOKUP(B74,'Pay Table'!$M$3:$N$18,2,FALSE)&amp;$BL$2&amp;#REF!&amp;$BN$2,"")</f>
        <v/>
      </c>
      <c r="BM72" s="49" t="str">
        <f>IFERROR($BM$2&amp;VLOOKUP(C74,'Pay Table'!$M$3:$N$18,2,FALSE)&amp;$BL$2&amp;#REF!&amp;$BN$2,"")</f>
        <v/>
      </c>
      <c r="BN72" s="49" t="str">
        <f>IFERROR($BM$2&amp;VLOOKUP(D74,'Pay Table'!$M$3:$N$18,2,FALSE)&amp;$BL$2&amp;#REF!&amp;$BN$2,"")</f>
        <v/>
      </c>
      <c r="BO72" s="49" t="str">
        <f>IFERROR($BM$2&amp;VLOOKUP(E74,'Pay Table'!$M$3:$N$18,2,FALSE)&amp;$BL$2&amp;#REF!&amp;$BN$2,"")</f>
        <v/>
      </c>
      <c r="BP72" s="60" t="str">
        <f>IFERROR($BM$2&amp;VLOOKUP(F74,'Pay Table'!$M$3:$N$18,2,FALSE)&amp;$BL$2&amp;#REF!&amp;$BN$2,"")</f>
        <v/>
      </c>
    </row>
    <row r="73" spans="1:68" ht="17.100000000000001" customHeight="1" x14ac:dyDescent="0.25">
      <c r="A73" s="14">
        <v>71</v>
      </c>
      <c r="E73" s="39" t="s">
        <v>121</v>
      </c>
      <c r="F73" s="39" t="s">
        <v>47</v>
      </c>
      <c r="G73" s="39"/>
      <c r="K73" s="39" t="s">
        <v>172</v>
      </c>
      <c r="L73" s="39" t="s">
        <v>47</v>
      </c>
      <c r="M73" s="39"/>
      <c r="N73" s="39">
        <v>0</v>
      </c>
      <c r="O73" s="39">
        <v>0</v>
      </c>
      <c r="P73"/>
      <c r="Q73" s="39">
        <f t="shared" si="1"/>
        <v>99</v>
      </c>
      <c r="R73" s="247">
        <f t="shared" si="2"/>
        <v>99</v>
      </c>
      <c r="T73" s="1" t="str">
        <f>IFERROR(VLOOKUP(B73,'Pay Table'!$M$3:$P$15,4,FALSE),"")</f>
        <v/>
      </c>
      <c r="U73" s="1" t="str">
        <f>IFERROR(VLOOKUP(C73,'Pay Table'!$M$3:$P$15,4,FALSE),"")</f>
        <v/>
      </c>
      <c r="V73" s="1" t="str">
        <f>IFERROR(VLOOKUP(D73,'Pay Table'!$M$3:$P$15,4,FALSE),"")</f>
        <v/>
      </c>
      <c r="W73" s="1">
        <f>IFERROR(VLOOKUP(E73,'Pay Table'!$M$3:$P$15,4,FALSE),"")</f>
        <v>6</v>
      </c>
      <c r="X73" s="1">
        <f>IFERROR(VLOOKUP(F73,'Pay Table'!$M$3:$P$15,4,FALSE),"")</f>
        <v>294</v>
      </c>
      <c r="Z73" s="1" t="str">
        <f>IFERROR(VLOOKUP(H73,'Pay Table'!$M$3:$P$15,4,FALSE),"")</f>
        <v/>
      </c>
      <c r="AA73" s="1" t="str">
        <f>IFERROR(VLOOKUP(I73,'Pay Table'!$M$3:$P$15,4,FALSE),"")</f>
        <v/>
      </c>
      <c r="AB73" s="1" t="str">
        <f>IFERROR(VLOOKUP(J73,'Pay Table'!$M$3:$P$15,4,FALSE),"")</f>
        <v/>
      </c>
      <c r="AC73" s="1">
        <f>IFERROR(VLOOKUP(K73,'Pay Table'!$M$3:$P$15,4,FALSE),"")</f>
        <v>203</v>
      </c>
      <c r="AD73" s="1">
        <f>IFERROR(VLOOKUP(L73,'Pay Table'!$M$3:$P$15,4,FALSE),"")</f>
        <v>294</v>
      </c>
      <c r="AG73" s="1" t="str">
        <f>IFERROR(VLOOKUP(R73,'Pay Table'!$M$3:$P$15,4,FALSE),"")</f>
        <v/>
      </c>
      <c r="AH73" s="1" t="str">
        <f>IFERROR(VLOOKUP(T73,'Pay Table'!$M$3:$P$15,4,FALSE),"")</f>
        <v/>
      </c>
      <c r="AI73" s="1" t="str">
        <f>IFERROR(VLOOKUP(U73,'Pay Table'!$M$3:$P$15,4,FALSE),"")</f>
        <v/>
      </c>
      <c r="AJ73" s="1" t="str">
        <f>IFERROR(VLOOKUP(V73,'Pay Table'!$M$3:$P$15,4,FALSE),"")</f>
        <v/>
      </c>
      <c r="AK73" s="1" t="str">
        <f>IFERROR(VLOOKUP(#REF!,'Pay Table'!$M$3:$P$15,4,FALSE),"")</f>
        <v/>
      </c>
      <c r="BL73" s="59" t="str">
        <f>IFERROR($BM$2&amp;VLOOKUP(B75,'Pay Table'!$M$3:$N$18,2,FALSE)&amp;$BL$2&amp;#REF!&amp;$BN$2,"")</f>
        <v/>
      </c>
      <c r="BM73" s="49" t="str">
        <f>IFERROR($BM$2&amp;VLOOKUP(C75,'Pay Table'!$M$3:$N$18,2,FALSE)&amp;$BL$2&amp;#REF!&amp;$BN$2,"")</f>
        <v/>
      </c>
      <c r="BN73" s="49" t="str">
        <f>IFERROR($BM$2&amp;VLOOKUP(D75,'Pay Table'!$M$3:$N$18,2,FALSE)&amp;$BL$2&amp;#REF!&amp;$BN$2,"")</f>
        <v/>
      </c>
      <c r="BO73" s="49" t="str">
        <f>IFERROR($BM$2&amp;VLOOKUP(E75,'Pay Table'!$M$3:$N$18,2,FALSE)&amp;$BL$2&amp;#REF!&amp;$BN$2,"")</f>
        <v/>
      </c>
      <c r="BP73" s="60" t="str">
        <f>IFERROR($BM$2&amp;VLOOKUP(F75,'Pay Table'!$M$3:$N$18,2,FALSE)&amp;$BL$2&amp;#REF!&amp;$BN$2,"")</f>
        <v/>
      </c>
    </row>
    <row r="74" spans="1:68" ht="17.100000000000001" customHeight="1" x14ac:dyDescent="0.25">
      <c r="A74" s="14">
        <v>72</v>
      </c>
      <c r="E74" s="39" t="s">
        <v>14</v>
      </c>
      <c r="K74" s="39" t="s">
        <v>126</v>
      </c>
      <c r="N74" s="10">
        <v>0</v>
      </c>
      <c r="O74" s="10">
        <v>0</v>
      </c>
      <c r="P74"/>
      <c r="Q74" s="39">
        <f t="shared" si="1"/>
        <v>99</v>
      </c>
      <c r="R74" s="247">
        <f t="shared" si="2"/>
        <v>99</v>
      </c>
      <c r="T74" s="1" t="str">
        <f>IFERROR(VLOOKUP(B74,'Pay Table'!$M$3:$P$15,4,FALSE),"")</f>
        <v/>
      </c>
      <c r="U74" s="1" t="str">
        <f>IFERROR(VLOOKUP(C74,'Pay Table'!$M$3:$P$15,4,FALSE),"")</f>
        <v/>
      </c>
      <c r="V74" s="1" t="str">
        <f>IFERROR(VLOOKUP(D74,'Pay Table'!$M$3:$P$15,4,FALSE),"")</f>
        <v/>
      </c>
      <c r="W74" s="1">
        <f>IFERROR(VLOOKUP(E74,'Pay Table'!$M$3:$P$15,4,FALSE),"")</f>
        <v>290</v>
      </c>
      <c r="X74" s="1" t="str">
        <f>IFERROR(VLOOKUP(F74,'Pay Table'!$M$3:$P$15,4,FALSE),"")</f>
        <v/>
      </c>
      <c r="Z74" s="1" t="str">
        <f>IFERROR(VLOOKUP(H74,'Pay Table'!$M$3:$P$15,4,FALSE),"")</f>
        <v/>
      </c>
      <c r="AA74" s="1" t="str">
        <f>IFERROR(VLOOKUP(I74,'Pay Table'!$M$3:$P$15,4,FALSE),"")</f>
        <v/>
      </c>
      <c r="AB74" s="1" t="str">
        <f>IFERROR(VLOOKUP(J74,'Pay Table'!$M$3:$P$15,4,FALSE),"")</f>
        <v/>
      </c>
      <c r="AC74" s="1">
        <f>IFERROR(VLOOKUP(K74,'Pay Table'!$M$3:$P$15,4,FALSE),"")</f>
        <v>202</v>
      </c>
      <c r="AD74" s="1" t="str">
        <f>IFERROR(VLOOKUP(L74,'Pay Table'!$M$3:$P$15,4,FALSE),"")</f>
        <v/>
      </c>
      <c r="AG74" s="1" t="str">
        <f>IFERROR(VLOOKUP(R74,'Pay Table'!$M$3:$P$15,4,FALSE),"")</f>
        <v/>
      </c>
      <c r="AH74" s="1" t="str">
        <f>IFERROR(VLOOKUP(T74,'Pay Table'!$M$3:$P$15,4,FALSE),"")</f>
        <v/>
      </c>
      <c r="AI74" s="1" t="str">
        <f>IFERROR(VLOOKUP(U74,'Pay Table'!$M$3:$P$15,4,FALSE),"")</f>
        <v/>
      </c>
      <c r="AJ74" s="1" t="str">
        <f>IFERROR(VLOOKUP(V74,'Pay Table'!$M$3:$P$15,4,FALSE),"")</f>
        <v/>
      </c>
      <c r="AK74" s="1" t="str">
        <f>IFERROR(VLOOKUP(#REF!,'Pay Table'!$M$3:$P$15,4,FALSE),"")</f>
        <v/>
      </c>
      <c r="BL74" s="59" t="str">
        <f>IFERROR($BM$2&amp;VLOOKUP(B76,'Pay Table'!$M$3:$N$18,2,FALSE)&amp;$BL$2&amp;#REF!&amp;$BN$2,"")</f>
        <v/>
      </c>
      <c r="BM74" s="49" t="str">
        <f>IFERROR($BM$2&amp;VLOOKUP(C76,'Pay Table'!$M$3:$N$18,2,FALSE)&amp;$BL$2&amp;#REF!&amp;$BN$2,"")</f>
        <v/>
      </c>
      <c r="BN74" s="49" t="str">
        <f>IFERROR($BM$2&amp;VLOOKUP(D76,'Pay Table'!$M$3:$N$18,2,FALSE)&amp;$BL$2&amp;#REF!&amp;$BN$2,"")</f>
        <v/>
      </c>
      <c r="BO74" s="49" t="str">
        <f>IFERROR($BM$2&amp;VLOOKUP(E76,'Pay Table'!$M$3:$N$18,2,FALSE)&amp;$BL$2&amp;#REF!&amp;$BN$2,"")</f>
        <v/>
      </c>
      <c r="BP74" s="60" t="str">
        <f>IFERROR($BM$2&amp;VLOOKUP(F76,'Pay Table'!$M$3:$N$18,2,FALSE)&amp;$BL$2&amp;#REF!&amp;$BN$2,"")</f>
        <v/>
      </c>
    </row>
    <row r="75" spans="1:68" ht="17.100000000000001" customHeight="1" x14ac:dyDescent="0.25">
      <c r="A75" s="14">
        <v>73</v>
      </c>
      <c r="E75" s="39" t="s">
        <v>148</v>
      </c>
      <c r="K75" s="39" t="s">
        <v>148</v>
      </c>
      <c r="N75" s="10">
        <v>0</v>
      </c>
      <c r="O75" s="10">
        <v>0</v>
      </c>
      <c r="P75"/>
      <c r="Q75" s="39">
        <f t="shared" si="1"/>
        <v>99</v>
      </c>
      <c r="R75" s="247">
        <f t="shared" si="2"/>
        <v>99</v>
      </c>
      <c r="T75" s="1" t="str">
        <f>IFERROR(VLOOKUP(B75,'Pay Table'!$M$3:$P$15,4,FALSE),"")</f>
        <v/>
      </c>
      <c r="U75" s="1" t="str">
        <f>IFERROR(VLOOKUP(C75,'Pay Table'!$M$3:$P$15,4,FALSE),"")</f>
        <v/>
      </c>
      <c r="V75" s="1" t="str">
        <f>IFERROR(VLOOKUP(D75,'Pay Table'!$M$3:$P$15,4,FALSE),"")</f>
        <v/>
      </c>
      <c r="W75" s="1">
        <f>IFERROR(VLOOKUP(E75,'Pay Table'!$M$3:$P$15,4,FALSE),"")</f>
        <v>204</v>
      </c>
      <c r="X75" s="1" t="str">
        <f>IFERROR(VLOOKUP(F75,'Pay Table'!$M$3:$P$15,4,FALSE),"")</f>
        <v/>
      </c>
      <c r="Z75" s="1" t="str">
        <f>IFERROR(VLOOKUP(H75,'Pay Table'!$M$3:$P$15,4,FALSE),"")</f>
        <v/>
      </c>
      <c r="AA75" s="1" t="str">
        <f>IFERROR(VLOOKUP(I75,'Pay Table'!$M$3:$P$15,4,FALSE),"")</f>
        <v/>
      </c>
      <c r="AB75" s="1" t="str">
        <f>IFERROR(VLOOKUP(J75,'Pay Table'!$M$3:$P$15,4,FALSE),"")</f>
        <v/>
      </c>
      <c r="AC75" s="1">
        <f>IFERROR(VLOOKUP(K75,'Pay Table'!$M$3:$P$15,4,FALSE),"")</f>
        <v>204</v>
      </c>
      <c r="AD75" s="1" t="str">
        <f>IFERROR(VLOOKUP(L75,'Pay Table'!$M$3:$P$15,4,FALSE),"")</f>
        <v/>
      </c>
      <c r="AG75" s="1" t="str">
        <f>IFERROR(VLOOKUP(R75,'Pay Table'!$M$3:$P$15,4,FALSE),"")</f>
        <v/>
      </c>
      <c r="AH75" s="1" t="str">
        <f>IFERROR(VLOOKUP(T75,'Pay Table'!$M$3:$P$15,4,FALSE),"")</f>
        <v/>
      </c>
      <c r="AI75" s="1" t="str">
        <f>IFERROR(VLOOKUP(U75,'Pay Table'!$M$3:$P$15,4,FALSE),"")</f>
        <v/>
      </c>
      <c r="AJ75" s="1" t="str">
        <f>IFERROR(VLOOKUP(V75,'Pay Table'!$M$3:$P$15,4,FALSE),"")</f>
        <v/>
      </c>
      <c r="AK75" s="1" t="str">
        <f>IFERROR(VLOOKUP(#REF!,'Pay Table'!$M$3:$P$15,4,FALSE),"")</f>
        <v/>
      </c>
      <c r="BL75" s="59" t="str">
        <f>IFERROR($BM$2&amp;VLOOKUP(B77,'Pay Table'!$M$3:$N$18,2,FALSE)&amp;$BL$2&amp;#REF!&amp;$BN$2,"")</f>
        <v/>
      </c>
      <c r="BM75" s="49" t="str">
        <f>IFERROR($BM$2&amp;VLOOKUP(C77,'Pay Table'!$M$3:$N$18,2,FALSE)&amp;$BL$2&amp;#REF!&amp;$BN$2,"")</f>
        <v/>
      </c>
      <c r="BN75" s="49" t="str">
        <f>IFERROR($BM$2&amp;VLOOKUP(D77,'Pay Table'!$M$3:$N$18,2,FALSE)&amp;$BL$2&amp;#REF!&amp;$BN$2,"")</f>
        <v/>
      </c>
      <c r="BO75" s="49" t="str">
        <f>IFERROR($BM$2&amp;VLOOKUP(E77,'Pay Table'!$M$3:$N$18,2,FALSE)&amp;$BL$2&amp;#REF!&amp;$BN$2,"")</f>
        <v/>
      </c>
      <c r="BP75" s="60" t="str">
        <f>IFERROR($BM$2&amp;VLOOKUP(F77,'Pay Table'!$M$3:$N$18,2,FALSE)&amp;$BL$2&amp;#REF!&amp;$BN$2,"")</f>
        <v/>
      </c>
    </row>
    <row r="76" spans="1:68" ht="17.100000000000001" customHeight="1" x14ac:dyDescent="0.25">
      <c r="A76" s="14">
        <v>74</v>
      </c>
      <c r="E76" s="39" t="s">
        <v>293</v>
      </c>
      <c r="K76" s="39" t="s">
        <v>293</v>
      </c>
      <c r="N76" s="10" t="s">
        <v>255</v>
      </c>
      <c r="O76" s="10">
        <v>2500</v>
      </c>
      <c r="P76"/>
      <c r="Q76" s="39">
        <f t="shared" si="1"/>
        <v>800</v>
      </c>
      <c r="R76" s="247">
        <f t="shared" si="2"/>
        <v>6</v>
      </c>
      <c r="T76" s="1" t="str">
        <f>IFERROR(VLOOKUP(B76,'Pay Table'!$M$3:$P$15,4,FALSE),"")</f>
        <v/>
      </c>
      <c r="U76" s="1" t="str">
        <f>IFERROR(VLOOKUP(C76,'Pay Table'!$M$3:$P$15,4,FALSE),"")</f>
        <v/>
      </c>
      <c r="V76" s="1" t="str">
        <f>IFERROR(VLOOKUP(D76,'Pay Table'!$M$3:$P$15,4,FALSE),"")</f>
        <v/>
      </c>
      <c r="W76" s="1">
        <f>IFERROR(VLOOKUP(E76,'Pay Table'!$M$3:$P$15,4,FALSE),"")</f>
        <v>6</v>
      </c>
      <c r="X76" s="1" t="str">
        <f>IFERROR(VLOOKUP(F76,'Pay Table'!$M$3:$P$15,4,FALSE),"")</f>
        <v/>
      </c>
      <c r="Z76" s="1" t="str">
        <f>IFERROR(VLOOKUP(H76,'Pay Table'!$M$3:$P$15,4,FALSE),"")</f>
        <v/>
      </c>
      <c r="AA76" s="1" t="str">
        <f>IFERROR(VLOOKUP(I76,'Pay Table'!$M$3:$P$15,4,FALSE),"")</f>
        <v/>
      </c>
      <c r="AB76" s="1" t="str">
        <f>IFERROR(VLOOKUP(J76,'Pay Table'!$M$3:$P$15,4,FALSE),"")</f>
        <v/>
      </c>
      <c r="AC76" s="1">
        <f>IFERROR(VLOOKUP(K76,'Pay Table'!$M$3:$P$15,4,FALSE),"")</f>
        <v>6</v>
      </c>
      <c r="AD76" s="1" t="str">
        <f>IFERROR(VLOOKUP(L76,'Pay Table'!$M$3:$P$15,4,FALSE),"")</f>
        <v/>
      </c>
      <c r="AG76" s="1" t="str">
        <f>IFERROR(VLOOKUP(R76,'Pay Table'!$M$3:$P$15,4,FALSE),"")</f>
        <v/>
      </c>
      <c r="AH76" s="1" t="str">
        <f>IFERROR(VLOOKUP(T76,'Pay Table'!$M$3:$P$15,4,FALSE),"")</f>
        <v/>
      </c>
      <c r="AI76" s="1" t="str">
        <f>IFERROR(VLOOKUP(U76,'Pay Table'!$M$3:$P$15,4,FALSE),"")</f>
        <v/>
      </c>
      <c r="AJ76" s="1" t="str">
        <f>IFERROR(VLOOKUP(V76,'Pay Table'!$M$3:$P$15,4,FALSE),"")</f>
        <v/>
      </c>
      <c r="AK76" s="1" t="str">
        <f>IFERROR(VLOOKUP(#REF!,'Pay Table'!$M$3:$P$15,4,FALSE),"")</f>
        <v/>
      </c>
      <c r="BL76" s="59" t="str">
        <f>IFERROR($BM$2&amp;VLOOKUP(B78,'Pay Table'!$M$3:$N$18,2,FALSE)&amp;$BL$2&amp;#REF!&amp;$BN$2,"")</f>
        <v/>
      </c>
      <c r="BM76" s="49" t="str">
        <f>IFERROR($BM$2&amp;VLOOKUP(C78,'Pay Table'!$M$3:$N$18,2,FALSE)&amp;$BL$2&amp;#REF!&amp;$BN$2,"")</f>
        <v/>
      </c>
      <c r="BN76" s="49" t="str">
        <f>IFERROR($BM$2&amp;VLOOKUP(D78,'Pay Table'!$M$3:$N$18,2,FALSE)&amp;$BL$2&amp;#REF!&amp;$BN$2,"")</f>
        <v/>
      </c>
      <c r="BO76" s="49" t="str">
        <f>IFERROR($BM$2&amp;VLOOKUP(E78,'Pay Table'!$M$3:$N$18,2,FALSE)&amp;$BL$2&amp;#REF!&amp;$BN$2,"")</f>
        <v/>
      </c>
      <c r="BP76" s="60" t="str">
        <f>IFERROR($BM$2&amp;VLOOKUP(F78,'Pay Table'!$M$3:$N$18,2,FALSE)&amp;$BL$2&amp;#REF!&amp;$BN$2,"")</f>
        <v/>
      </c>
    </row>
    <row r="77" spans="1:68" ht="17.100000000000001" customHeight="1" x14ac:dyDescent="0.25">
      <c r="A77" s="14">
        <v>75</v>
      </c>
      <c r="E77" s="39" t="s">
        <v>153</v>
      </c>
      <c r="K77" s="39" t="s">
        <v>153</v>
      </c>
      <c r="N77" s="10">
        <v>0</v>
      </c>
      <c r="O77" s="10">
        <v>0</v>
      </c>
      <c r="P77"/>
      <c r="Q77" s="39">
        <f t="shared" si="1"/>
        <v>99</v>
      </c>
      <c r="R77" s="247">
        <f t="shared" si="2"/>
        <v>99</v>
      </c>
      <c r="T77" s="1" t="str">
        <f>IFERROR(VLOOKUP(B77,'Pay Table'!$M$3:$P$15,4,FALSE),"")</f>
        <v/>
      </c>
      <c r="U77" s="1" t="str">
        <f>IFERROR(VLOOKUP(C77,'Pay Table'!$M$3:$P$15,4,FALSE),"")</f>
        <v/>
      </c>
      <c r="V77" s="1" t="str">
        <f>IFERROR(VLOOKUP(D77,'Pay Table'!$M$3:$P$15,4,FALSE),"")</f>
        <v/>
      </c>
      <c r="W77" s="1">
        <f>IFERROR(VLOOKUP(E77,'Pay Table'!$M$3:$P$15,4,FALSE),"")</f>
        <v>200</v>
      </c>
      <c r="X77" s="1" t="str">
        <f>IFERROR(VLOOKUP(F77,'Pay Table'!$M$3:$P$15,4,FALSE),"")</f>
        <v/>
      </c>
      <c r="Z77" s="1" t="str">
        <f>IFERROR(VLOOKUP(H77,'Pay Table'!$M$3:$P$15,4,FALSE),"")</f>
        <v/>
      </c>
      <c r="AA77" s="1" t="str">
        <f>IFERROR(VLOOKUP(I77,'Pay Table'!$M$3:$P$15,4,FALSE),"")</f>
        <v/>
      </c>
      <c r="AB77" s="1" t="str">
        <f>IFERROR(VLOOKUP(J77,'Pay Table'!$M$3:$P$15,4,FALSE),"")</f>
        <v/>
      </c>
      <c r="AC77" s="1">
        <f>IFERROR(VLOOKUP(K77,'Pay Table'!$M$3:$P$15,4,FALSE),"")</f>
        <v>200</v>
      </c>
      <c r="AD77" s="1" t="str">
        <f>IFERROR(VLOOKUP(L77,'Pay Table'!$M$3:$P$15,4,FALSE),"")</f>
        <v/>
      </c>
      <c r="AG77" s="1" t="str">
        <f>IFERROR(VLOOKUP(R77,'Pay Table'!$M$3:$P$15,4,FALSE),"")</f>
        <v/>
      </c>
      <c r="AH77" s="1" t="str">
        <f>IFERROR(VLOOKUP(T77,'Pay Table'!$M$3:$P$15,4,FALSE),"")</f>
        <v/>
      </c>
      <c r="AI77" s="1" t="str">
        <f>IFERROR(VLOOKUP(U77,'Pay Table'!$M$3:$P$15,4,FALSE),"")</f>
        <v/>
      </c>
      <c r="AJ77" s="1" t="str">
        <f>IFERROR(VLOOKUP(V77,'Pay Table'!$M$3:$P$15,4,FALSE),"")</f>
        <v/>
      </c>
      <c r="AK77" s="1" t="str">
        <f>IFERROR(VLOOKUP(#REF!,'Pay Table'!$M$3:$P$15,4,FALSE),"")</f>
        <v/>
      </c>
      <c r="BL77" s="59" t="str">
        <f>IFERROR($BM$2&amp;VLOOKUP(B79,'Pay Table'!$M$3:$N$18,2,FALSE)&amp;$BL$2&amp;#REF!&amp;$BN$2,"")</f>
        <v/>
      </c>
      <c r="BM77" s="49" t="str">
        <f>IFERROR($BM$2&amp;VLOOKUP(C79,'Pay Table'!$M$3:$N$18,2,FALSE)&amp;$BL$2&amp;#REF!&amp;$BN$2,"")</f>
        <v/>
      </c>
      <c r="BN77" s="49" t="str">
        <f>IFERROR($BM$2&amp;VLOOKUP(D79,'Pay Table'!$M$3:$N$18,2,FALSE)&amp;$BL$2&amp;#REF!&amp;$BN$2,"")</f>
        <v/>
      </c>
      <c r="BO77" s="49" t="str">
        <f>IFERROR($BM$2&amp;VLOOKUP(E79,'Pay Table'!$M$3:$N$18,2,FALSE)&amp;$BL$2&amp;#REF!&amp;$BN$2,"")</f>
        <v/>
      </c>
      <c r="BP77" s="60" t="str">
        <f>IFERROR($BM$2&amp;VLOOKUP(F79,'Pay Table'!$M$3:$N$18,2,FALSE)&amp;$BL$2&amp;#REF!&amp;$BN$2,"")</f>
        <v/>
      </c>
    </row>
    <row r="78" spans="1:68" ht="17.100000000000001" customHeight="1" x14ac:dyDescent="0.25">
      <c r="A78" s="14">
        <v>76</v>
      </c>
      <c r="E78" s="39" t="s">
        <v>153</v>
      </c>
      <c r="K78" s="39" t="s">
        <v>153</v>
      </c>
      <c r="N78" s="10">
        <v>250</v>
      </c>
      <c r="O78" s="10">
        <v>200</v>
      </c>
      <c r="P78"/>
      <c r="Q78" s="39">
        <f t="shared" si="1"/>
        <v>9</v>
      </c>
      <c r="R78" s="247">
        <f t="shared" si="2"/>
        <v>10</v>
      </c>
      <c r="T78" s="1" t="str">
        <f>IFERROR(VLOOKUP(B78,'Pay Table'!$M$3:$P$15,4,FALSE),"")</f>
        <v/>
      </c>
      <c r="U78" s="1" t="str">
        <f>IFERROR(VLOOKUP(C78,'Pay Table'!$M$3:$P$15,4,FALSE),"")</f>
        <v/>
      </c>
      <c r="V78" s="1" t="str">
        <f>IFERROR(VLOOKUP(D78,'Pay Table'!$M$3:$P$15,4,FALSE),"")</f>
        <v/>
      </c>
      <c r="W78" s="1">
        <f>IFERROR(VLOOKUP(E78,'Pay Table'!$M$3:$P$15,4,FALSE),"")</f>
        <v>200</v>
      </c>
      <c r="X78" s="1" t="str">
        <f>IFERROR(VLOOKUP(F78,'Pay Table'!$M$3:$P$15,4,FALSE),"")</f>
        <v/>
      </c>
      <c r="Z78" s="1" t="str">
        <f>IFERROR(VLOOKUP(H78,'Pay Table'!$M$3:$P$15,4,FALSE),"")</f>
        <v/>
      </c>
      <c r="AA78" s="1" t="str">
        <f>IFERROR(VLOOKUP(I78,'Pay Table'!$M$3:$P$15,4,FALSE),"")</f>
        <v/>
      </c>
      <c r="AB78" s="1" t="str">
        <f>IFERROR(VLOOKUP(J78,'Pay Table'!$M$3:$P$15,4,FALSE),"")</f>
        <v/>
      </c>
      <c r="AC78" s="1">
        <f>IFERROR(VLOOKUP(K78,'Pay Table'!$M$3:$P$15,4,FALSE),"")</f>
        <v>200</v>
      </c>
      <c r="AD78" s="1" t="str">
        <f>IFERROR(VLOOKUP(L78,'Pay Table'!$M$3:$P$15,4,FALSE),"")</f>
        <v/>
      </c>
      <c r="AG78" s="1" t="str">
        <f>IFERROR(VLOOKUP(R78,'Pay Table'!$M$3:$P$15,4,FALSE),"")</f>
        <v/>
      </c>
      <c r="AH78" s="1" t="str">
        <f>IFERROR(VLOOKUP(T78,'Pay Table'!$M$3:$P$15,4,FALSE),"")</f>
        <v/>
      </c>
      <c r="AI78" s="1" t="str">
        <f>IFERROR(VLOOKUP(U78,'Pay Table'!$M$3:$P$15,4,FALSE),"")</f>
        <v/>
      </c>
      <c r="AJ78" s="1" t="str">
        <f>IFERROR(VLOOKUP(V78,'Pay Table'!$M$3:$P$15,4,FALSE),"")</f>
        <v/>
      </c>
      <c r="AK78" s="1" t="str">
        <f>IFERROR(VLOOKUP(#REF!,'Pay Table'!$M$3:$P$15,4,FALSE),"")</f>
        <v/>
      </c>
      <c r="BL78" s="59" t="str">
        <f>IFERROR($BM$2&amp;VLOOKUP(B80,'Pay Table'!$M$3:$N$18,2,FALSE)&amp;$BL$2&amp;#REF!&amp;$BN$2,"")</f>
        <v/>
      </c>
      <c r="BM78" s="49" t="str">
        <f>IFERROR($BM$2&amp;VLOOKUP(C80,'Pay Table'!$M$3:$N$18,2,FALSE)&amp;$BL$2&amp;#REF!&amp;$BN$2,"")</f>
        <v/>
      </c>
      <c r="BN78" s="49" t="str">
        <f>IFERROR($BM$2&amp;VLOOKUP(D80,'Pay Table'!$M$3:$N$18,2,FALSE)&amp;$BL$2&amp;#REF!&amp;$BN$2,"")</f>
        <v/>
      </c>
      <c r="BO78" s="49" t="str">
        <f>IFERROR($BM$2&amp;VLOOKUP(E80,'Pay Table'!$M$3:$N$18,2,FALSE)&amp;$BL$2&amp;#REF!&amp;$BN$2,"")</f>
        <v/>
      </c>
      <c r="BP78" s="60" t="str">
        <f>IFERROR($BM$2&amp;VLOOKUP(F80,'Pay Table'!$M$3:$N$18,2,FALSE)&amp;$BL$2&amp;#REF!&amp;$BN$2,"")</f>
        <v/>
      </c>
    </row>
    <row r="79" spans="1:68" ht="17.100000000000001" customHeight="1" x14ac:dyDescent="0.25">
      <c r="A79" s="14">
        <v>77</v>
      </c>
      <c r="E79" s="39" t="s">
        <v>124</v>
      </c>
      <c r="K79" s="39" t="s">
        <v>124</v>
      </c>
      <c r="N79" s="10">
        <v>0</v>
      </c>
      <c r="O79" s="10">
        <v>0</v>
      </c>
      <c r="P79"/>
      <c r="Q79" s="39">
        <f t="shared" si="1"/>
        <v>99</v>
      </c>
      <c r="R79" s="247">
        <f t="shared" si="2"/>
        <v>99</v>
      </c>
      <c r="T79" s="1" t="str">
        <f>IFERROR(VLOOKUP(B79,'Pay Table'!$M$3:$P$15,4,FALSE),"")</f>
        <v/>
      </c>
      <c r="U79" s="1" t="str">
        <f>IFERROR(VLOOKUP(C79,'Pay Table'!$M$3:$P$15,4,FALSE),"")</f>
        <v/>
      </c>
      <c r="V79" s="1" t="str">
        <f>IFERROR(VLOOKUP(D79,'Pay Table'!$M$3:$P$15,4,FALSE),"")</f>
        <v/>
      </c>
      <c r="W79" s="1">
        <f>IFERROR(VLOOKUP(E79,'Pay Table'!$M$3:$P$15,4,FALSE),"")</f>
        <v>200</v>
      </c>
      <c r="X79" s="1" t="str">
        <f>IFERROR(VLOOKUP(F79,'Pay Table'!$M$3:$P$15,4,FALSE),"")</f>
        <v/>
      </c>
      <c r="Z79" s="1" t="str">
        <f>IFERROR(VLOOKUP(H79,'Pay Table'!$M$3:$P$15,4,FALSE),"")</f>
        <v/>
      </c>
      <c r="AA79" s="1" t="str">
        <f>IFERROR(VLOOKUP(I79,'Pay Table'!$M$3:$P$15,4,FALSE),"")</f>
        <v/>
      </c>
      <c r="AB79" s="1" t="str">
        <f>IFERROR(VLOOKUP(J79,'Pay Table'!$M$3:$P$15,4,FALSE),"")</f>
        <v/>
      </c>
      <c r="AC79" s="1">
        <f>IFERROR(VLOOKUP(K79,'Pay Table'!$M$3:$P$15,4,FALSE),"")</f>
        <v>200</v>
      </c>
      <c r="AD79" s="1" t="str">
        <f>IFERROR(VLOOKUP(L79,'Pay Table'!$M$3:$P$15,4,FALSE),"")</f>
        <v/>
      </c>
      <c r="AG79" s="1" t="str">
        <f>IFERROR(VLOOKUP(R79,'Pay Table'!$M$3:$P$15,4,FALSE),"")</f>
        <v/>
      </c>
      <c r="AH79" s="1" t="str">
        <f>IFERROR(VLOOKUP(T79,'Pay Table'!$M$3:$P$15,4,FALSE),"")</f>
        <v/>
      </c>
      <c r="AI79" s="1" t="str">
        <f>IFERROR(VLOOKUP(U79,'Pay Table'!$M$3:$P$15,4,FALSE),"")</f>
        <v/>
      </c>
      <c r="AJ79" s="1" t="str">
        <f>IFERROR(VLOOKUP(V79,'Pay Table'!$M$3:$P$15,4,FALSE),"")</f>
        <v/>
      </c>
      <c r="AK79" s="1" t="str">
        <f>IFERROR(VLOOKUP(#REF!,'Pay Table'!$M$3:$P$15,4,FALSE),"")</f>
        <v/>
      </c>
      <c r="BL79" s="59" t="str">
        <f>IFERROR($BM$2&amp;VLOOKUP(B81,'Pay Table'!$M$3:$N$18,2,FALSE)&amp;$BL$2&amp;#REF!&amp;$BN$2,"")</f>
        <v/>
      </c>
      <c r="BM79" s="49" t="str">
        <f>IFERROR($BM$2&amp;VLOOKUP(C81,'Pay Table'!$M$3:$N$18,2,FALSE)&amp;$BL$2&amp;#REF!&amp;$BN$2,"")</f>
        <v/>
      </c>
      <c r="BN79" s="49" t="str">
        <f>IFERROR($BM$2&amp;VLOOKUP(D81,'Pay Table'!$M$3:$N$18,2,FALSE)&amp;$BL$2&amp;#REF!&amp;$BN$2,"")</f>
        <v/>
      </c>
      <c r="BO79" s="49" t="str">
        <f>IFERROR($BM$2&amp;VLOOKUP(E81,'Pay Table'!$M$3:$N$18,2,FALSE)&amp;$BL$2&amp;#REF!&amp;$BN$2,"")</f>
        <v/>
      </c>
      <c r="BP79" s="60" t="str">
        <f>IFERROR($BM$2&amp;VLOOKUP(F81,'Pay Table'!$M$3:$N$18,2,FALSE)&amp;$BL$2&amp;#REF!&amp;$BN$2,"")</f>
        <v/>
      </c>
    </row>
    <row r="80" spans="1:68" ht="17.100000000000001" customHeight="1" x14ac:dyDescent="0.25">
      <c r="A80" s="14">
        <v>78</v>
      </c>
      <c r="E80" s="39" t="s">
        <v>122</v>
      </c>
      <c r="K80" s="39" t="s">
        <v>122</v>
      </c>
      <c r="N80" s="10">
        <v>0</v>
      </c>
      <c r="O80" s="10">
        <v>0</v>
      </c>
      <c r="P80"/>
      <c r="Q80" s="39">
        <f t="shared" si="1"/>
        <v>99</v>
      </c>
      <c r="R80" s="247">
        <f t="shared" si="2"/>
        <v>99</v>
      </c>
      <c r="T80" s="1" t="str">
        <f>IFERROR(VLOOKUP(B80,'Pay Table'!$M$3:$P$15,4,FALSE),"")</f>
        <v/>
      </c>
      <c r="U80" s="1" t="str">
        <f>IFERROR(VLOOKUP(C80,'Pay Table'!$M$3:$P$15,4,FALSE),"")</f>
        <v/>
      </c>
      <c r="V80" s="1" t="str">
        <f>IFERROR(VLOOKUP(D80,'Pay Table'!$M$3:$P$15,4,FALSE),"")</f>
        <v/>
      </c>
      <c r="W80" s="1">
        <f>IFERROR(VLOOKUP(E80,'Pay Table'!$M$3:$P$15,4,FALSE),"")</f>
        <v>292</v>
      </c>
      <c r="X80" s="1" t="str">
        <f>IFERROR(VLOOKUP(F80,'Pay Table'!$M$3:$P$15,4,FALSE),"")</f>
        <v/>
      </c>
      <c r="Z80" s="1" t="str">
        <f>IFERROR(VLOOKUP(H80,'Pay Table'!$M$3:$P$15,4,FALSE),"")</f>
        <v/>
      </c>
      <c r="AA80" s="1" t="str">
        <f>IFERROR(VLOOKUP(I80,'Pay Table'!$M$3:$P$15,4,FALSE),"")</f>
        <v/>
      </c>
      <c r="AB80" s="1" t="str">
        <f>IFERROR(VLOOKUP(J80,'Pay Table'!$M$3:$P$15,4,FALSE),"")</f>
        <v/>
      </c>
      <c r="AC80" s="1">
        <f>IFERROR(VLOOKUP(K80,'Pay Table'!$M$3:$P$15,4,FALSE),"")</f>
        <v>292</v>
      </c>
      <c r="AD80" s="1" t="str">
        <f>IFERROR(VLOOKUP(L80,'Pay Table'!$M$3:$P$15,4,FALSE),"")</f>
        <v/>
      </c>
      <c r="AG80" s="1" t="str">
        <f>IFERROR(VLOOKUP(R80,'Pay Table'!$M$3:$P$15,4,FALSE),"")</f>
        <v/>
      </c>
      <c r="AH80" s="1" t="str">
        <f>IFERROR(VLOOKUP(T80,'Pay Table'!$M$3:$P$15,4,FALSE),"")</f>
        <v/>
      </c>
      <c r="AI80" s="1" t="str">
        <f>IFERROR(VLOOKUP(U80,'Pay Table'!$M$3:$P$15,4,FALSE),"")</f>
        <v/>
      </c>
      <c r="AJ80" s="1" t="str">
        <f>IFERROR(VLOOKUP(V80,'Pay Table'!$M$3:$P$15,4,FALSE),"")</f>
        <v/>
      </c>
      <c r="AK80" s="1" t="str">
        <f>IFERROR(VLOOKUP(#REF!,'Pay Table'!$M$3:$P$15,4,FALSE),"")</f>
        <v/>
      </c>
      <c r="BL80" s="59" t="str">
        <f>IFERROR($BM$2&amp;VLOOKUP(B82,'Pay Table'!$M$3:$N$18,2,FALSE)&amp;$BL$2&amp;#REF!&amp;$BN$2,"")</f>
        <v/>
      </c>
      <c r="BM80" s="49" t="str">
        <f>IFERROR($BM$2&amp;VLOOKUP(C82,'Pay Table'!$M$3:$N$18,2,FALSE)&amp;$BL$2&amp;#REF!&amp;$BN$2,"")</f>
        <v/>
      </c>
      <c r="BN80" s="49" t="str">
        <f>IFERROR($BM$2&amp;VLOOKUP(D82,'Pay Table'!$M$3:$N$18,2,FALSE)&amp;$BL$2&amp;#REF!&amp;$BN$2,"")</f>
        <v/>
      </c>
      <c r="BO80" s="49" t="str">
        <f>IFERROR($BM$2&amp;VLOOKUP(E82,'Pay Table'!$M$3:$N$18,2,FALSE)&amp;$BL$2&amp;#REF!&amp;$BN$2,"")</f>
        <v/>
      </c>
      <c r="BP80" s="60" t="str">
        <f>IFERROR($BM$2&amp;VLOOKUP(F82,'Pay Table'!$M$3:$N$18,2,FALSE)&amp;$BL$2&amp;#REF!&amp;$BN$2,"")</f>
        <v/>
      </c>
    </row>
    <row r="81" spans="1:68" ht="17.100000000000001" customHeight="1" x14ac:dyDescent="0.25">
      <c r="A81" s="14">
        <v>79</v>
      </c>
      <c r="E81" s="39" t="s">
        <v>292</v>
      </c>
      <c r="K81" s="39" t="s">
        <v>292</v>
      </c>
      <c r="N81" s="10">
        <v>50</v>
      </c>
      <c r="O81" s="10" t="s">
        <v>25</v>
      </c>
      <c r="P81"/>
      <c r="Q81" s="39">
        <f t="shared" si="1"/>
        <v>13</v>
      </c>
      <c r="R81" s="247">
        <f t="shared" si="2"/>
        <v>3</v>
      </c>
      <c r="T81" s="1" t="str">
        <f>IFERROR(VLOOKUP(B81,'Pay Table'!$M$3:$P$15,4,FALSE),"")</f>
        <v/>
      </c>
      <c r="U81" s="1" t="str">
        <f>IFERROR(VLOOKUP(C81,'Pay Table'!$M$3:$P$15,4,FALSE),"")</f>
        <v/>
      </c>
      <c r="V81" s="1" t="str">
        <f>IFERROR(VLOOKUP(D81,'Pay Table'!$M$3:$P$15,4,FALSE),"")</f>
        <v/>
      </c>
      <c r="W81" s="1">
        <f>IFERROR(VLOOKUP(E81,'Pay Table'!$M$3:$P$15,4,FALSE),"")</f>
        <v>5</v>
      </c>
      <c r="X81" s="1" t="str">
        <f>IFERROR(VLOOKUP(F81,'Pay Table'!$M$3:$P$15,4,FALSE),"")</f>
        <v/>
      </c>
      <c r="Z81" s="1" t="str">
        <f>IFERROR(VLOOKUP(H81,'Pay Table'!$M$3:$P$15,4,FALSE),"")</f>
        <v/>
      </c>
      <c r="AA81" s="1" t="str">
        <f>IFERROR(VLOOKUP(I81,'Pay Table'!$M$3:$P$15,4,FALSE),"")</f>
        <v/>
      </c>
      <c r="AB81" s="1" t="str">
        <f>IFERROR(VLOOKUP(J81,'Pay Table'!$M$3:$P$15,4,FALSE),"")</f>
        <v/>
      </c>
      <c r="AC81" s="1">
        <f>IFERROR(VLOOKUP(K81,'Pay Table'!$M$3:$P$15,4,FALSE),"")</f>
        <v>5</v>
      </c>
      <c r="AD81" s="1" t="str">
        <f>IFERROR(VLOOKUP(L81,'Pay Table'!$M$3:$P$15,4,FALSE),"")</f>
        <v/>
      </c>
      <c r="AG81" s="1" t="str">
        <f>IFERROR(VLOOKUP(R81,'Pay Table'!$M$3:$P$15,4,FALSE),"")</f>
        <v/>
      </c>
      <c r="AH81" s="1" t="str">
        <f>IFERROR(VLOOKUP(T81,'Pay Table'!$M$3:$P$15,4,FALSE),"")</f>
        <v/>
      </c>
      <c r="AI81" s="1" t="str">
        <f>IFERROR(VLOOKUP(U81,'Pay Table'!$M$3:$P$15,4,FALSE),"")</f>
        <v/>
      </c>
      <c r="AJ81" s="1" t="str">
        <f>IFERROR(VLOOKUP(V81,'Pay Table'!$M$3:$P$15,4,FALSE),"")</f>
        <v/>
      </c>
      <c r="AK81" s="1" t="str">
        <f>IFERROR(VLOOKUP(#REF!,'Pay Table'!$M$3:$P$15,4,FALSE),"")</f>
        <v/>
      </c>
      <c r="BL81" s="59" t="str">
        <f>IFERROR($BM$2&amp;VLOOKUP(B83,'Pay Table'!$M$3:$N$18,2,FALSE)&amp;$BL$2&amp;#REF!&amp;$BN$2,"")</f>
        <v/>
      </c>
      <c r="BM81" s="49" t="str">
        <f>IFERROR($BM$2&amp;VLOOKUP(C83,'Pay Table'!$M$3:$N$18,2,FALSE)&amp;$BL$2&amp;#REF!&amp;$BN$2,"")</f>
        <v/>
      </c>
      <c r="BN81" s="49" t="str">
        <f>IFERROR($BM$2&amp;VLOOKUP(D83,'Pay Table'!$M$3:$N$18,2,FALSE)&amp;$BL$2&amp;#REF!&amp;$BN$2,"")</f>
        <v/>
      </c>
      <c r="BO81" s="49" t="str">
        <f>IFERROR($BM$2&amp;VLOOKUP(E83,'Pay Table'!$M$3:$N$18,2,FALSE)&amp;$BL$2&amp;#REF!&amp;$BN$2,"")</f>
        <v/>
      </c>
      <c r="BP81" s="60" t="str">
        <f>IFERROR($BM$2&amp;VLOOKUP(F83,'Pay Table'!$M$3:$N$18,2,FALSE)&amp;$BL$2&amp;#REF!&amp;$BN$2,"")</f>
        <v/>
      </c>
    </row>
    <row r="82" spans="1:68" ht="17.100000000000001" customHeight="1" x14ac:dyDescent="0.25">
      <c r="A82" s="14">
        <v>80</v>
      </c>
      <c r="E82" s="39" t="s">
        <v>124</v>
      </c>
      <c r="K82" s="39" t="s">
        <v>121</v>
      </c>
      <c r="N82" s="10">
        <v>0</v>
      </c>
      <c r="O82" s="10">
        <v>0</v>
      </c>
      <c r="P82"/>
      <c r="Q82" s="39">
        <f t="shared" si="1"/>
        <v>99</v>
      </c>
      <c r="R82" s="247">
        <f t="shared" si="2"/>
        <v>99</v>
      </c>
      <c r="T82" s="1" t="str">
        <f>IFERROR(VLOOKUP(B82,'Pay Table'!$M$3:$P$15,4,FALSE),"")</f>
        <v/>
      </c>
      <c r="U82" s="1" t="str">
        <f>IFERROR(VLOOKUP(C82,'Pay Table'!$M$3:$P$15,4,FALSE),"")</f>
        <v/>
      </c>
      <c r="V82" s="1" t="str">
        <f>IFERROR(VLOOKUP(D82,'Pay Table'!$M$3:$P$15,4,FALSE),"")</f>
        <v/>
      </c>
      <c r="W82" s="1">
        <f>IFERROR(VLOOKUP(E82,'Pay Table'!$M$3:$P$15,4,FALSE),"")</f>
        <v>200</v>
      </c>
      <c r="X82" s="1" t="str">
        <f>IFERROR(VLOOKUP(F82,'Pay Table'!$M$3:$P$15,4,FALSE),"")</f>
        <v/>
      </c>
      <c r="Z82" s="1" t="str">
        <f>IFERROR(VLOOKUP(H82,'Pay Table'!$M$3:$P$15,4,FALSE),"")</f>
        <v/>
      </c>
      <c r="AA82" s="1" t="str">
        <f>IFERROR(VLOOKUP(I82,'Pay Table'!$M$3:$P$15,4,FALSE),"")</f>
        <v/>
      </c>
      <c r="AB82" s="1" t="str">
        <f>IFERROR(VLOOKUP(J82,'Pay Table'!$M$3:$P$15,4,FALSE),"")</f>
        <v/>
      </c>
      <c r="AC82" s="1">
        <f>IFERROR(VLOOKUP(K82,'Pay Table'!$M$3:$P$15,4,FALSE),"")</f>
        <v>6</v>
      </c>
      <c r="AD82" s="1" t="str">
        <f>IFERROR(VLOOKUP(L82,'Pay Table'!$M$3:$P$15,4,FALSE),"")</f>
        <v/>
      </c>
      <c r="AG82" s="1" t="str">
        <f>IFERROR(VLOOKUP(R82,'Pay Table'!$M$3:$P$15,4,FALSE),"")</f>
        <v/>
      </c>
      <c r="AH82" s="1" t="str">
        <f>IFERROR(VLOOKUP(T82,'Pay Table'!$M$3:$P$15,4,FALSE),"")</f>
        <v/>
      </c>
      <c r="AI82" s="1" t="str">
        <f>IFERROR(VLOOKUP(U82,'Pay Table'!$M$3:$P$15,4,FALSE),"")</f>
        <v/>
      </c>
      <c r="AJ82" s="1" t="str">
        <f>IFERROR(VLOOKUP(V82,'Pay Table'!$M$3:$P$15,4,FALSE),"")</f>
        <v/>
      </c>
      <c r="AK82" s="1" t="str">
        <f>IFERROR(VLOOKUP(#REF!,'Pay Table'!$M$3:$P$15,4,FALSE),"")</f>
        <v/>
      </c>
      <c r="BL82" s="59" t="str">
        <f>IFERROR($BM$2&amp;VLOOKUP(B84,'Pay Table'!$M$3:$N$18,2,FALSE)&amp;$BL$2&amp;#REF!&amp;$BN$2,"")</f>
        <v/>
      </c>
      <c r="BM82" s="49" t="str">
        <f>IFERROR($BM$2&amp;VLOOKUP(C84,'Pay Table'!$M$3:$N$18,2,FALSE)&amp;$BL$2&amp;#REF!&amp;$BN$2,"")</f>
        <v/>
      </c>
      <c r="BN82" s="49" t="str">
        <f>IFERROR($BM$2&amp;VLOOKUP(D84,'Pay Table'!$M$3:$N$18,2,FALSE)&amp;$BL$2&amp;#REF!&amp;$BN$2,"")</f>
        <v/>
      </c>
      <c r="BO82" s="49" t="str">
        <f>IFERROR($BM$2&amp;VLOOKUP(E84,'Pay Table'!$M$3:$N$18,2,FALSE)&amp;$BL$2&amp;#REF!&amp;$BN$2,"")</f>
        <v/>
      </c>
      <c r="BP82" s="60" t="str">
        <f>IFERROR($BM$2&amp;VLOOKUP(F84,'Pay Table'!$M$3:$N$18,2,FALSE)&amp;$BL$2&amp;#REF!&amp;$BN$2,"")</f>
        <v/>
      </c>
    </row>
    <row r="83" spans="1:68" ht="17.100000000000001" customHeight="1" x14ac:dyDescent="0.25">
      <c r="A83" s="14">
        <v>81</v>
      </c>
      <c r="E83" s="39" t="s">
        <v>292</v>
      </c>
      <c r="K83" s="39" t="s">
        <v>292</v>
      </c>
      <c r="N83" s="10">
        <v>0</v>
      </c>
      <c r="O83" s="10">
        <v>0</v>
      </c>
      <c r="P83"/>
      <c r="Q83" s="39">
        <f t="shared" si="1"/>
        <v>99</v>
      </c>
      <c r="R83" s="247">
        <f t="shared" si="2"/>
        <v>99</v>
      </c>
      <c r="T83" s="1" t="str">
        <f>IFERROR(VLOOKUP(B83,'Pay Table'!$M$3:$P$15,4,FALSE),"")</f>
        <v/>
      </c>
      <c r="U83" s="1" t="str">
        <f>IFERROR(VLOOKUP(C83,'Pay Table'!$M$3:$P$15,4,FALSE),"")</f>
        <v/>
      </c>
      <c r="V83" s="1" t="str">
        <f>IFERROR(VLOOKUP(D83,'Pay Table'!$M$3:$P$15,4,FALSE),"")</f>
        <v/>
      </c>
      <c r="W83" s="1">
        <f>IFERROR(VLOOKUP(E83,'Pay Table'!$M$3:$P$15,4,FALSE),"")</f>
        <v>5</v>
      </c>
      <c r="X83" s="1" t="str">
        <f>IFERROR(VLOOKUP(F83,'Pay Table'!$M$3:$P$15,4,FALSE),"")</f>
        <v/>
      </c>
      <c r="Z83" s="1" t="str">
        <f>IFERROR(VLOOKUP(H83,'Pay Table'!$M$3:$P$15,4,FALSE),"")</f>
        <v/>
      </c>
      <c r="AA83" s="1" t="str">
        <f>IFERROR(VLOOKUP(I83,'Pay Table'!$M$3:$P$15,4,FALSE),"")</f>
        <v/>
      </c>
      <c r="AB83" s="1" t="str">
        <f>IFERROR(VLOOKUP(J83,'Pay Table'!$M$3:$P$15,4,FALSE),"")</f>
        <v/>
      </c>
      <c r="AC83" s="1">
        <f>IFERROR(VLOOKUP(K83,'Pay Table'!$M$3:$P$15,4,FALSE),"")</f>
        <v>5</v>
      </c>
      <c r="AD83" s="1" t="str">
        <f>IFERROR(VLOOKUP(L83,'Pay Table'!$M$3:$P$15,4,FALSE),"")</f>
        <v/>
      </c>
      <c r="AG83" s="1" t="str">
        <f>IFERROR(VLOOKUP(R83,'Pay Table'!$M$3:$P$15,4,FALSE),"")</f>
        <v/>
      </c>
      <c r="AH83" s="1" t="str">
        <f>IFERROR(VLOOKUP(T83,'Pay Table'!$M$3:$P$15,4,FALSE),"")</f>
        <v/>
      </c>
      <c r="AI83" s="1" t="str">
        <f>IFERROR(VLOOKUP(U83,'Pay Table'!$M$3:$P$15,4,FALSE),"")</f>
        <v/>
      </c>
      <c r="AJ83" s="1" t="str">
        <f>IFERROR(VLOOKUP(V83,'Pay Table'!$M$3:$P$15,4,FALSE),"")</f>
        <v/>
      </c>
      <c r="AK83" s="1" t="str">
        <f>IFERROR(VLOOKUP(#REF!,'Pay Table'!$M$3:$P$15,4,FALSE),"")</f>
        <v/>
      </c>
      <c r="BL83" s="59" t="str">
        <f>IFERROR($BM$2&amp;VLOOKUP(B85,'Pay Table'!$M$3:$N$18,2,FALSE)&amp;$BL$2&amp;#REF!&amp;$BN$2,"")</f>
        <v/>
      </c>
      <c r="BM83" s="49" t="str">
        <f>IFERROR($BM$2&amp;VLOOKUP(C85,'Pay Table'!$M$3:$N$18,2,FALSE)&amp;$BL$2&amp;#REF!&amp;$BN$2,"")</f>
        <v/>
      </c>
      <c r="BN83" s="49" t="str">
        <f>IFERROR($BM$2&amp;VLOOKUP(D85,'Pay Table'!$M$3:$N$18,2,FALSE)&amp;$BL$2&amp;#REF!&amp;$BN$2,"")</f>
        <v/>
      </c>
      <c r="BO83" s="49" t="str">
        <f>IFERROR($BM$2&amp;VLOOKUP(E85,'Pay Table'!$M$3:$N$18,2,FALSE)&amp;$BL$2&amp;#REF!&amp;$BN$2,"")</f>
        <v/>
      </c>
      <c r="BP83" s="60" t="str">
        <f>IFERROR($BM$2&amp;VLOOKUP(F85,'Pay Table'!$M$3:$N$18,2,FALSE)&amp;$BL$2&amp;#REF!&amp;$BN$2,"")</f>
        <v/>
      </c>
    </row>
    <row r="84" spans="1:68" ht="17.100000000000001" customHeight="1" x14ac:dyDescent="0.25">
      <c r="A84" s="14">
        <v>82</v>
      </c>
      <c r="P84"/>
      <c r="Q84" s="39"/>
      <c r="T84" s="1" t="str">
        <f>IFERROR(VLOOKUP(B84,'Pay Table'!$M$3:$P$15,4,FALSE),"")</f>
        <v/>
      </c>
      <c r="U84" s="1" t="str">
        <f>IFERROR(VLOOKUP(C84,'Pay Table'!$M$3:$P$15,4,FALSE),"")</f>
        <v/>
      </c>
      <c r="V84" s="1" t="str">
        <f>IFERROR(VLOOKUP(D84,'Pay Table'!$M$3:$P$15,4,FALSE),"")</f>
        <v/>
      </c>
      <c r="W84" s="1" t="str">
        <f>IFERROR(VLOOKUP(E84,'Pay Table'!$M$3:$P$15,4,FALSE),"")</f>
        <v/>
      </c>
      <c r="X84" s="1" t="str">
        <f>IFERROR(VLOOKUP(F84,'Pay Table'!$M$3:$P$15,4,FALSE),"")</f>
        <v/>
      </c>
      <c r="Z84" s="1" t="str">
        <f>IFERROR(VLOOKUP(H84,'Pay Table'!$M$3:$P$15,4,FALSE),"")</f>
        <v/>
      </c>
      <c r="AA84" s="1" t="str">
        <f>IFERROR(VLOOKUP(I84,'Pay Table'!$M$3:$P$15,4,FALSE),"")</f>
        <v/>
      </c>
      <c r="AB84" s="1" t="str">
        <f>IFERROR(VLOOKUP(J84,'Pay Table'!$M$3:$P$15,4,FALSE),"")</f>
        <v/>
      </c>
      <c r="AC84" s="1" t="str">
        <f>IFERROR(VLOOKUP(K84,'Pay Table'!$M$3:$P$15,4,FALSE),"")</f>
        <v/>
      </c>
      <c r="AD84" s="1" t="str">
        <f>IFERROR(VLOOKUP(L84,'Pay Table'!$M$3:$P$15,4,FALSE),"")</f>
        <v/>
      </c>
      <c r="AG84" s="1" t="str">
        <f>IFERROR(VLOOKUP(R84,'Pay Table'!$M$3:$P$15,4,FALSE),"")</f>
        <v/>
      </c>
      <c r="AH84" s="1" t="str">
        <f>IFERROR(VLOOKUP(T84,'Pay Table'!$M$3:$P$15,4,FALSE),"")</f>
        <v/>
      </c>
      <c r="AI84" s="1" t="str">
        <f>IFERROR(VLOOKUP(U84,'Pay Table'!$M$3:$P$15,4,FALSE),"")</f>
        <v/>
      </c>
      <c r="AJ84" s="1" t="str">
        <f>IFERROR(VLOOKUP(V84,'Pay Table'!$M$3:$P$15,4,FALSE),"")</f>
        <v/>
      </c>
      <c r="AK84" s="1" t="str">
        <f>IFERROR(VLOOKUP(#REF!,'Pay Table'!$M$3:$P$15,4,FALSE),"")</f>
        <v/>
      </c>
      <c r="BL84" s="59" t="str">
        <f>IFERROR($BM$2&amp;VLOOKUP(B86,'Pay Table'!$M$3:$N$18,2,FALSE)&amp;$BL$2&amp;#REF!&amp;$BN$2,"")</f>
        <v/>
      </c>
      <c r="BM84" s="49" t="str">
        <f>IFERROR($BM$2&amp;VLOOKUP(C86,'Pay Table'!$M$3:$N$18,2,FALSE)&amp;$BL$2&amp;#REF!&amp;$BN$2,"")</f>
        <v/>
      </c>
      <c r="BN84" s="49" t="str">
        <f>IFERROR($BM$2&amp;VLOOKUP(D86,'Pay Table'!$M$3:$N$18,2,FALSE)&amp;$BL$2&amp;#REF!&amp;$BN$2,"")</f>
        <v/>
      </c>
      <c r="BO84" s="49" t="str">
        <f>IFERROR($BM$2&amp;VLOOKUP(E86,'Pay Table'!$M$3:$N$18,2,FALSE)&amp;$BL$2&amp;#REF!&amp;$BN$2,"")</f>
        <v/>
      </c>
      <c r="BP84" s="60" t="str">
        <f>IFERROR($BM$2&amp;VLOOKUP(F86,'Pay Table'!$M$3:$N$18,2,FALSE)&amp;$BL$2&amp;#REF!&amp;$BN$2,"")</f>
        <v/>
      </c>
    </row>
    <row r="85" spans="1:68" ht="17.100000000000001" customHeight="1" x14ac:dyDescent="0.15">
      <c r="A85" s="14">
        <v>83</v>
      </c>
      <c r="Z85" s="1" t="str">
        <f>IFERROR(VLOOKUP(H85,'Pay Table'!$M$3:$P$15,4,FALSE),"")</f>
        <v/>
      </c>
      <c r="AA85" s="1" t="str">
        <f>IFERROR(VLOOKUP(I85,'Pay Table'!$M$3:$P$15,4,FALSE),"")</f>
        <v/>
      </c>
      <c r="AB85" s="1" t="str">
        <f>IFERROR(VLOOKUP(J85,'Pay Table'!$M$3:$P$15,4,FALSE),"")</f>
        <v/>
      </c>
      <c r="AC85" s="1" t="str">
        <f>IFERROR(VLOOKUP(K85,'Pay Table'!$M$3:$P$15,4,FALSE),"")</f>
        <v/>
      </c>
      <c r="AD85" s="1" t="str">
        <f>IFERROR(VLOOKUP(L85,'Pay Table'!$M$3:$P$15,4,FALSE),"")</f>
        <v/>
      </c>
      <c r="BL85" s="59" t="str">
        <f>IFERROR($BM$2&amp;VLOOKUP(B87,'Pay Table'!$M$3:$N$18,2,FALSE)&amp;$BL$2&amp;#REF!&amp;$BN$2,"")</f>
        <v/>
      </c>
      <c r="BM85" s="49" t="str">
        <f>IFERROR($BM$2&amp;VLOOKUP(C87,'Pay Table'!$M$3:$N$18,2,FALSE)&amp;$BL$2&amp;#REF!&amp;$BN$2,"")</f>
        <v/>
      </c>
      <c r="BN85" s="49" t="str">
        <f>IFERROR($BM$2&amp;VLOOKUP(D87,'Pay Table'!$M$3:$N$18,2,FALSE)&amp;$BL$2&amp;#REF!&amp;$BN$2,"")</f>
        <v/>
      </c>
      <c r="BO85" s="49" t="str">
        <f>IFERROR($BM$2&amp;VLOOKUP(E87,'Pay Table'!$M$3:$N$18,2,FALSE)&amp;$BL$2&amp;#REF!&amp;$BN$2,"")</f>
        <v/>
      </c>
      <c r="BP85" s="60" t="str">
        <f>IFERROR($BM$2&amp;VLOOKUP(F87,'Pay Table'!$M$3:$N$18,2,FALSE)&amp;$BL$2&amp;#REF!&amp;$BN$2,"")</f>
        <v/>
      </c>
    </row>
    <row r="86" spans="1:68" ht="17.100000000000001" customHeight="1" x14ac:dyDescent="0.15">
      <c r="A86" s="14">
        <v>84</v>
      </c>
      <c r="BL86" s="59" t="str">
        <f>IFERROR($BM$2&amp;VLOOKUP(B88,'Pay Table'!$M$3:$N$18,2,FALSE)&amp;$BL$2&amp;#REF!&amp;$BN$2,"")</f>
        <v/>
      </c>
      <c r="BM86" s="49" t="str">
        <f>IFERROR($BM$2&amp;VLOOKUP(C88,'Pay Table'!$M$3:$N$18,2,FALSE)&amp;$BL$2&amp;#REF!&amp;$BN$2,"")</f>
        <v/>
      </c>
      <c r="BN86" s="49" t="str">
        <f>IFERROR($BM$2&amp;VLOOKUP(D88,'Pay Table'!$M$3:$N$18,2,FALSE)&amp;$BL$2&amp;#REF!&amp;$BN$2,"")</f>
        <v/>
      </c>
      <c r="BO86" s="49" t="str">
        <f>IFERROR($BM$2&amp;VLOOKUP(E88,'Pay Table'!$M$3:$N$18,2,FALSE)&amp;$BL$2&amp;#REF!&amp;$BN$2,"")</f>
        <v/>
      </c>
      <c r="BP86" s="60" t="str">
        <f>IFERROR($BM$2&amp;VLOOKUP(F88,'Pay Table'!$M$3:$N$18,2,FALSE)&amp;$BL$2&amp;#REF!&amp;$BN$2,"")</f>
        <v/>
      </c>
    </row>
    <row r="87" spans="1:68" ht="17.100000000000001" customHeight="1" x14ac:dyDescent="0.15">
      <c r="A87" s="14">
        <v>85</v>
      </c>
      <c r="BL87" s="59" t="str">
        <f>IFERROR($BM$2&amp;VLOOKUP(B89,'Pay Table'!$M$3:$N$18,2,FALSE)&amp;$BL$2&amp;#REF!&amp;$BN$2,"")</f>
        <v/>
      </c>
      <c r="BM87" s="49" t="str">
        <f>IFERROR($BM$2&amp;VLOOKUP(C89,'Pay Table'!$M$3:$N$18,2,FALSE)&amp;$BL$2&amp;#REF!&amp;$BN$2,"")</f>
        <v/>
      </c>
      <c r="BN87" s="49" t="str">
        <f>IFERROR($BM$2&amp;VLOOKUP(D89,'Pay Table'!$M$3:$N$18,2,FALSE)&amp;$BL$2&amp;#REF!&amp;$BN$2,"")</f>
        <v/>
      </c>
      <c r="BO87" s="49" t="str">
        <f>IFERROR($BM$2&amp;VLOOKUP(E89,'Pay Table'!$M$3:$N$18,2,FALSE)&amp;$BL$2&amp;#REF!&amp;$BN$2,"")</f>
        <v/>
      </c>
      <c r="BP87" s="60" t="str">
        <f>IFERROR($BM$2&amp;VLOOKUP(F89,'Pay Table'!$M$3:$N$18,2,FALSE)&amp;$BL$2&amp;#REF!&amp;$BN$2,"")</f>
        <v/>
      </c>
    </row>
    <row r="88" spans="1:68" ht="17.100000000000001" customHeight="1" x14ac:dyDescent="0.15">
      <c r="A88" s="14">
        <v>86</v>
      </c>
      <c r="BL88" s="59" t="str">
        <f>IFERROR($BM$2&amp;VLOOKUP(B90,'Pay Table'!$M$3:$N$18,2,FALSE)&amp;$BL$2&amp;#REF!&amp;$BN$2,"")</f>
        <v/>
      </c>
      <c r="BM88" s="49" t="str">
        <f>IFERROR($BM$2&amp;VLOOKUP(C90,'Pay Table'!$M$3:$N$18,2,FALSE)&amp;$BL$2&amp;#REF!&amp;$BN$2,"")</f>
        <v/>
      </c>
      <c r="BN88" s="49" t="str">
        <f>IFERROR($BM$2&amp;VLOOKUP(D90,'Pay Table'!$M$3:$N$18,2,FALSE)&amp;$BL$2&amp;#REF!&amp;$BN$2,"")</f>
        <v/>
      </c>
      <c r="BO88" s="49" t="str">
        <f>IFERROR($BM$2&amp;VLOOKUP(E90,'Pay Table'!$M$3:$N$18,2,FALSE)&amp;$BL$2&amp;#REF!&amp;$BN$2,"")</f>
        <v/>
      </c>
      <c r="BP88" s="60" t="str">
        <f>IFERROR($BM$2&amp;VLOOKUP(F90,'Pay Table'!$M$3:$N$18,2,FALSE)&amp;$BL$2&amp;#REF!&amp;$BN$2,"")</f>
        <v/>
      </c>
    </row>
    <row r="89" spans="1:68" ht="17.100000000000001" customHeight="1" x14ac:dyDescent="0.15">
      <c r="A89" s="14">
        <v>87</v>
      </c>
      <c r="BL89" s="59" t="str">
        <f>IFERROR($BM$2&amp;VLOOKUP(B91,'Pay Table'!$M$3:$N$18,2,FALSE)&amp;$BL$2&amp;#REF!&amp;$BN$2,"")</f>
        <v/>
      </c>
      <c r="BM89" s="49" t="str">
        <f>IFERROR($BM$2&amp;VLOOKUP(C91,'Pay Table'!$M$3:$N$18,2,FALSE)&amp;$BL$2&amp;#REF!&amp;$BN$2,"")</f>
        <v/>
      </c>
      <c r="BN89" s="49" t="str">
        <f>IFERROR($BM$2&amp;VLOOKUP(D91,'Pay Table'!$M$3:$N$18,2,FALSE)&amp;$BL$2&amp;#REF!&amp;$BN$2,"")</f>
        <v/>
      </c>
      <c r="BO89" s="49" t="str">
        <f>IFERROR($BM$2&amp;VLOOKUP(E91,'Pay Table'!$M$3:$N$18,2,FALSE)&amp;$BL$2&amp;#REF!&amp;$BN$2,"")</f>
        <v/>
      </c>
      <c r="BP89" s="60" t="str">
        <f>IFERROR($BM$2&amp;VLOOKUP(F91,'Pay Table'!$M$3:$N$18,2,FALSE)&amp;$BL$2&amp;#REF!&amp;$BN$2,"")</f>
        <v/>
      </c>
    </row>
    <row r="90" spans="1:68" ht="17.100000000000001" customHeight="1" x14ac:dyDescent="0.15">
      <c r="A90" s="14">
        <v>88</v>
      </c>
      <c r="BL90" s="59" t="str">
        <f>IFERROR($BM$2&amp;VLOOKUP(B92,'Pay Table'!$M$3:$N$18,2,FALSE)&amp;$BL$2&amp;#REF!&amp;$BN$2,"")</f>
        <v/>
      </c>
      <c r="BM90" s="49" t="str">
        <f>IFERROR($BM$2&amp;VLOOKUP(C92,'Pay Table'!$M$3:$N$18,2,FALSE)&amp;$BL$2&amp;#REF!&amp;$BN$2,"")</f>
        <v/>
      </c>
      <c r="BN90" s="49" t="str">
        <f>IFERROR($BM$2&amp;VLOOKUP(D92,'Pay Table'!$M$3:$N$18,2,FALSE)&amp;$BL$2&amp;#REF!&amp;$BN$2,"")</f>
        <v/>
      </c>
      <c r="BO90" s="49" t="str">
        <f>IFERROR($BM$2&amp;VLOOKUP(E92,'Pay Table'!$M$3:$N$18,2,FALSE)&amp;$BL$2&amp;#REF!&amp;$BN$2,"")</f>
        <v/>
      </c>
      <c r="BP90" s="60" t="str">
        <f>IFERROR($BM$2&amp;VLOOKUP(F92,'Pay Table'!$M$3:$N$18,2,FALSE)&amp;$BL$2&amp;#REF!&amp;$BN$2,"")</f>
        <v/>
      </c>
    </row>
    <row r="91" spans="1:68" ht="17.100000000000001" customHeight="1" x14ac:dyDescent="0.15">
      <c r="A91" s="14">
        <v>89</v>
      </c>
      <c r="BL91" s="59" t="str">
        <f>IFERROR($BM$2&amp;VLOOKUP(B93,'Pay Table'!$M$3:$N$18,2,FALSE)&amp;$BL$2&amp;#REF!&amp;$BN$2,"")</f>
        <v/>
      </c>
      <c r="BM91" s="49" t="str">
        <f>IFERROR($BM$2&amp;VLOOKUP(C93,'Pay Table'!$M$3:$N$18,2,FALSE)&amp;$BL$2&amp;#REF!&amp;$BN$2,"")</f>
        <v/>
      </c>
      <c r="BN91" s="49" t="str">
        <f>IFERROR($BM$2&amp;VLOOKUP(D93,'Pay Table'!$M$3:$N$18,2,FALSE)&amp;$BL$2&amp;#REF!&amp;$BN$2,"")</f>
        <v/>
      </c>
      <c r="BO91" s="49" t="str">
        <f>IFERROR($BM$2&amp;VLOOKUP(E93,'Pay Table'!$M$3:$N$18,2,FALSE)&amp;$BL$2&amp;#REF!&amp;$BN$2,"")</f>
        <v/>
      </c>
      <c r="BP91" s="60" t="str">
        <f>IFERROR($BM$2&amp;VLOOKUP(F93,'Pay Table'!$M$3:$N$18,2,FALSE)&amp;$BL$2&amp;#REF!&amp;$BN$2,"")</f>
        <v/>
      </c>
    </row>
    <row r="92" spans="1:68" ht="17.100000000000001" customHeight="1" x14ac:dyDescent="0.15">
      <c r="A92" s="14">
        <v>90</v>
      </c>
      <c r="BL92" s="59" t="str">
        <f>IFERROR($BM$2&amp;VLOOKUP(B94,'Pay Table'!$M$3:$N$18,2,FALSE)&amp;$BL$2&amp;#REF!&amp;$BN$2,"")</f>
        <v/>
      </c>
      <c r="BM92" s="49" t="str">
        <f>IFERROR($BM$2&amp;VLOOKUP(C94,'Pay Table'!$M$3:$N$18,2,FALSE)&amp;$BL$2&amp;#REF!&amp;$BN$2,"")</f>
        <v/>
      </c>
      <c r="BN92" s="49" t="str">
        <f>IFERROR($BM$2&amp;VLOOKUP(D94,'Pay Table'!$M$3:$N$18,2,FALSE)&amp;$BL$2&amp;#REF!&amp;$BN$2,"")</f>
        <v/>
      </c>
      <c r="BO92" s="49" t="str">
        <f>IFERROR($BM$2&amp;VLOOKUP(E94,'Pay Table'!$M$3:$N$18,2,FALSE)&amp;$BL$2&amp;#REF!&amp;$BN$2,"")</f>
        <v/>
      </c>
      <c r="BP92" s="60" t="str">
        <f>IFERROR($BM$2&amp;VLOOKUP(F94,'Pay Table'!$M$3:$N$18,2,FALSE)&amp;$BL$2&amp;#REF!&amp;$BN$2,"")</f>
        <v/>
      </c>
    </row>
    <row r="93" spans="1:68" ht="17.100000000000001" customHeight="1" x14ac:dyDescent="0.15">
      <c r="A93" s="14">
        <v>91</v>
      </c>
      <c r="BL93" s="59" t="str">
        <f>IFERROR($BM$2&amp;VLOOKUP(B95,'Pay Table'!$M$3:$N$18,2,FALSE)&amp;$BL$2&amp;#REF!&amp;$BN$2,"")</f>
        <v/>
      </c>
      <c r="BM93" s="49" t="str">
        <f>IFERROR($BM$2&amp;VLOOKUP(C95,'Pay Table'!$M$3:$N$18,2,FALSE)&amp;$BL$2&amp;#REF!&amp;$BN$2,"")</f>
        <v/>
      </c>
      <c r="BN93" s="49" t="str">
        <f>IFERROR($BM$2&amp;VLOOKUP(D95,'Pay Table'!$M$3:$N$18,2,FALSE)&amp;$BL$2&amp;#REF!&amp;$BN$2,"")</f>
        <v/>
      </c>
      <c r="BO93" s="49" t="str">
        <f>IFERROR($BM$2&amp;VLOOKUP(E95,'Pay Table'!$M$3:$N$18,2,FALSE)&amp;$BL$2&amp;#REF!&amp;$BN$2,"")</f>
        <v/>
      </c>
      <c r="BP93" s="60" t="str">
        <f>IFERROR($BM$2&amp;VLOOKUP(F95,'Pay Table'!$M$3:$N$18,2,FALSE)&amp;$BL$2&amp;#REF!&amp;$BN$2,"")</f>
        <v/>
      </c>
    </row>
    <row r="94" spans="1:68" ht="17.100000000000001" customHeight="1" x14ac:dyDescent="0.15">
      <c r="A94" s="14">
        <v>92</v>
      </c>
      <c r="BL94" s="59" t="str">
        <f>IFERROR($BM$2&amp;VLOOKUP(B96,'Pay Table'!$M$3:$N$18,2,FALSE)&amp;$BL$2&amp;#REF!&amp;$BN$2,"")</f>
        <v/>
      </c>
      <c r="BM94" s="49" t="str">
        <f>IFERROR($BM$2&amp;VLOOKUP(C96,'Pay Table'!$M$3:$N$18,2,FALSE)&amp;$BL$2&amp;#REF!&amp;$BN$2,"")</f>
        <v/>
      </c>
      <c r="BN94" s="49" t="str">
        <f>IFERROR($BM$2&amp;VLOOKUP(D96,'Pay Table'!$M$3:$N$18,2,FALSE)&amp;$BL$2&amp;#REF!&amp;$BN$2,"")</f>
        <v/>
      </c>
      <c r="BO94" s="49" t="str">
        <f>IFERROR($BM$2&amp;VLOOKUP(E96,'Pay Table'!$M$3:$N$18,2,FALSE)&amp;$BL$2&amp;#REF!&amp;$BN$2,"")</f>
        <v/>
      </c>
      <c r="BP94" s="60" t="str">
        <f>IFERROR($BM$2&amp;VLOOKUP(F96,'Pay Table'!$M$3:$N$18,2,FALSE)&amp;$BL$2&amp;#REF!&amp;$BN$2,"")</f>
        <v/>
      </c>
    </row>
    <row r="95" spans="1:68" ht="17.100000000000001" customHeight="1" x14ac:dyDescent="0.15">
      <c r="A95" s="14">
        <v>93</v>
      </c>
      <c r="BL95" s="59" t="str">
        <f>IFERROR($BM$2&amp;VLOOKUP(B97,'Pay Table'!$M$3:$N$18,2,FALSE)&amp;$BL$2&amp;#REF!&amp;$BN$2,"")</f>
        <v/>
      </c>
      <c r="BM95" s="49" t="str">
        <f>IFERROR($BM$2&amp;VLOOKUP(C97,'Pay Table'!$M$3:$N$18,2,FALSE)&amp;$BL$2&amp;#REF!&amp;$BN$2,"")</f>
        <v/>
      </c>
      <c r="BN95" s="49" t="str">
        <f>IFERROR($BM$2&amp;VLOOKUP(D97,'Pay Table'!$M$3:$N$18,2,FALSE)&amp;$BL$2&amp;#REF!&amp;$BN$2,"")</f>
        <v/>
      </c>
      <c r="BO95" s="49" t="str">
        <f>IFERROR($BM$2&amp;VLOOKUP(E97,'Pay Table'!$M$3:$N$18,2,FALSE)&amp;$BL$2&amp;#REF!&amp;$BN$2,"")</f>
        <v/>
      </c>
      <c r="BP95" s="60" t="str">
        <f>IFERROR($BM$2&amp;VLOOKUP(F97,'Pay Table'!$M$3:$N$18,2,FALSE)&amp;$BL$2&amp;#REF!&amp;$BN$2,"")</f>
        <v/>
      </c>
    </row>
    <row r="96" spans="1:68" ht="17.100000000000001" customHeight="1" x14ac:dyDescent="0.15">
      <c r="A96" s="14">
        <v>94</v>
      </c>
      <c r="BL96" s="59" t="str">
        <f>IFERROR($BM$2&amp;VLOOKUP(B98,'Pay Table'!$M$3:$N$18,2,FALSE)&amp;$BL$2&amp;#REF!&amp;$BN$2,"")</f>
        <v/>
      </c>
      <c r="BM96" s="49" t="str">
        <f>IFERROR($BM$2&amp;VLOOKUP(C98,'Pay Table'!$M$3:$N$18,2,FALSE)&amp;$BL$2&amp;#REF!&amp;$BN$2,"")</f>
        <v/>
      </c>
      <c r="BN96" s="49" t="str">
        <f>IFERROR($BM$2&amp;VLOOKUP(D98,'Pay Table'!$M$3:$N$18,2,FALSE)&amp;$BL$2&amp;#REF!&amp;$BN$2,"")</f>
        <v/>
      </c>
      <c r="BO96" s="49" t="str">
        <f>IFERROR($BM$2&amp;VLOOKUP(E98,'Pay Table'!$M$3:$N$18,2,FALSE)&amp;$BL$2&amp;#REF!&amp;$BN$2,"")</f>
        <v/>
      </c>
      <c r="BP96" s="60" t="str">
        <f>IFERROR($BM$2&amp;VLOOKUP(F98,'Pay Table'!$M$3:$N$18,2,FALSE)&amp;$BL$2&amp;#REF!&amp;$BN$2,"")</f>
        <v/>
      </c>
    </row>
    <row r="97" spans="1:68" ht="17.100000000000001" customHeight="1" x14ac:dyDescent="0.15">
      <c r="A97" s="14">
        <v>95</v>
      </c>
      <c r="BL97" s="59" t="str">
        <f>IFERROR($BM$2&amp;VLOOKUP(B99,'Pay Table'!$M$3:$N$18,2,FALSE)&amp;$BL$2&amp;#REF!&amp;$BN$2,"")</f>
        <v/>
      </c>
      <c r="BM97" s="49" t="str">
        <f>IFERROR($BM$2&amp;VLOOKUP(C99,'Pay Table'!$M$3:$N$18,2,FALSE)&amp;$BL$2&amp;#REF!&amp;$BN$2,"")</f>
        <v/>
      </c>
      <c r="BN97" s="49" t="str">
        <f>IFERROR($BM$2&amp;VLOOKUP(D99,'Pay Table'!$M$3:$N$18,2,FALSE)&amp;$BL$2&amp;#REF!&amp;$BN$2,"")</f>
        <v/>
      </c>
      <c r="BO97" s="49" t="str">
        <f>IFERROR($BM$2&amp;VLOOKUP(E99,'Pay Table'!$M$3:$N$18,2,FALSE)&amp;$BL$2&amp;#REF!&amp;$BN$2,"")</f>
        <v/>
      </c>
      <c r="BP97" s="60" t="str">
        <f>IFERROR($BM$2&amp;VLOOKUP(F99,'Pay Table'!$M$3:$N$18,2,FALSE)&amp;$BL$2&amp;#REF!&amp;$BN$2,"")</f>
        <v/>
      </c>
    </row>
    <row r="98" spans="1:68" ht="17.100000000000001" customHeight="1" x14ac:dyDescent="0.15">
      <c r="A98" s="14">
        <v>96</v>
      </c>
      <c r="BL98" s="59" t="str">
        <f>IFERROR($BM$2&amp;VLOOKUP(B100,'Pay Table'!$M$3:$N$18,2,FALSE)&amp;$BL$2&amp;#REF!&amp;$BN$2,"")</f>
        <v/>
      </c>
      <c r="BM98" s="49" t="str">
        <f>IFERROR($BM$2&amp;VLOOKUP(C100,'Pay Table'!$M$3:$N$18,2,FALSE)&amp;$BL$2&amp;#REF!&amp;$BN$2,"")</f>
        <v/>
      </c>
      <c r="BN98" s="49" t="str">
        <f>IFERROR($BM$2&amp;VLOOKUP(D100,'Pay Table'!$M$3:$N$18,2,FALSE)&amp;$BL$2&amp;#REF!&amp;$BN$2,"")</f>
        <v/>
      </c>
      <c r="BO98" s="49" t="str">
        <f>IFERROR($BM$2&amp;VLOOKUP(E100,'Pay Table'!$M$3:$N$18,2,FALSE)&amp;$BL$2&amp;#REF!&amp;$BN$2,"")</f>
        <v/>
      </c>
      <c r="BP98" s="60" t="str">
        <f>IFERROR($BM$2&amp;VLOOKUP(F100,'Pay Table'!$M$3:$N$18,2,FALSE)&amp;$BL$2&amp;#REF!&amp;$BN$2,"")</f>
        <v/>
      </c>
    </row>
    <row r="99" spans="1:68" ht="17.100000000000001" customHeight="1" x14ac:dyDescent="0.15">
      <c r="A99" s="14">
        <v>97</v>
      </c>
      <c r="BL99" s="59" t="str">
        <f>IFERROR($BM$2&amp;VLOOKUP(B101,'Pay Table'!$M$3:$N$18,2,FALSE)&amp;$BL$2&amp;#REF!&amp;$BN$2,"")</f>
        <v/>
      </c>
      <c r="BM99" s="49" t="str">
        <f>IFERROR($BM$2&amp;VLOOKUP(C101,'Pay Table'!$M$3:$N$18,2,FALSE)&amp;$BL$2&amp;#REF!&amp;$BN$2,"")</f>
        <v/>
      </c>
      <c r="BN99" s="49" t="str">
        <f>IFERROR($BM$2&amp;VLOOKUP(D101,'Pay Table'!$M$3:$N$18,2,FALSE)&amp;$BL$2&amp;#REF!&amp;$BN$2,"")</f>
        <v/>
      </c>
      <c r="BO99" s="49" t="str">
        <f>IFERROR($BM$2&amp;VLOOKUP(E101,'Pay Table'!$M$3:$N$18,2,FALSE)&amp;$BL$2&amp;#REF!&amp;$BN$2,"")</f>
        <v/>
      </c>
      <c r="BP99" s="60" t="str">
        <f>IFERROR($BM$2&amp;VLOOKUP(F101,'Pay Table'!$M$3:$N$18,2,FALSE)&amp;$BL$2&amp;#REF!&amp;$BN$2,"")</f>
        <v/>
      </c>
    </row>
    <row r="100" spans="1:68" ht="17.100000000000001" customHeight="1" x14ac:dyDescent="0.15">
      <c r="A100" s="14">
        <v>98</v>
      </c>
      <c r="BL100" s="59" t="str">
        <f>IFERROR($BM$2&amp;VLOOKUP(B102,'Pay Table'!$M$3:$N$18,2,FALSE)&amp;$BL$2&amp;#REF!&amp;$BN$2,"")</f>
        <v/>
      </c>
      <c r="BM100" s="49" t="str">
        <f>IFERROR($BM$2&amp;VLOOKUP(C102,'Pay Table'!$M$3:$N$18,2,FALSE)&amp;$BL$2&amp;#REF!&amp;$BN$2,"")</f>
        <v/>
      </c>
      <c r="BN100" s="49" t="str">
        <f>IFERROR($BM$2&amp;VLOOKUP(D102,'Pay Table'!$M$3:$N$18,2,FALSE)&amp;$BL$2&amp;#REF!&amp;$BN$2,"")</f>
        <v/>
      </c>
      <c r="BO100" s="49" t="str">
        <f>IFERROR($BM$2&amp;VLOOKUP(E102,'Pay Table'!$M$3:$N$18,2,FALSE)&amp;$BL$2&amp;#REF!&amp;$BN$2,"")</f>
        <v/>
      </c>
      <c r="BP100" s="60" t="str">
        <f>IFERROR($BM$2&amp;VLOOKUP(F102,'Pay Table'!$M$3:$N$18,2,FALSE)&amp;$BL$2&amp;#REF!&amp;$BN$2,"")</f>
        <v/>
      </c>
    </row>
    <row r="101" spans="1:68" ht="17.100000000000001" customHeight="1" x14ac:dyDescent="0.15">
      <c r="A101" s="14">
        <v>99</v>
      </c>
      <c r="BL101" s="59" t="str">
        <f>IFERROR($BM$2&amp;VLOOKUP(B103,'Pay Table'!$M$3:$N$18,2,FALSE)&amp;$BL$2&amp;#REF!&amp;$BN$2,"")</f>
        <v/>
      </c>
      <c r="BM101" s="49" t="str">
        <f>IFERROR($BM$2&amp;VLOOKUP(C103,'Pay Table'!$M$3:$N$18,2,FALSE)&amp;$BL$2&amp;#REF!&amp;$BN$2,"")</f>
        <v/>
      </c>
      <c r="BN101" s="49" t="str">
        <f>IFERROR($BM$2&amp;VLOOKUP(D103,'Pay Table'!$M$3:$N$18,2,FALSE)&amp;$BL$2&amp;#REF!&amp;$BN$2,"")</f>
        <v/>
      </c>
      <c r="BO101" s="49" t="str">
        <f>IFERROR($BM$2&amp;VLOOKUP(E103,'Pay Table'!$M$3:$N$18,2,FALSE)&amp;$BL$2&amp;#REF!&amp;$BN$2,"")</f>
        <v/>
      </c>
      <c r="BP101" s="60" t="str">
        <f>IFERROR($BM$2&amp;VLOOKUP(F103,'Pay Table'!$M$3:$N$18,2,FALSE)&amp;$BL$2&amp;#REF!&amp;$BN$2,"")</f>
        <v/>
      </c>
    </row>
    <row r="102" spans="1:68" ht="17.100000000000001" customHeight="1" x14ac:dyDescent="0.15">
      <c r="A102" s="14">
        <v>100</v>
      </c>
      <c r="BL102" s="59" t="str">
        <f>IFERROR($BM$2&amp;VLOOKUP(B104,'Pay Table'!$M$3:$N$18,2,FALSE)&amp;$BL$2&amp;#REF!&amp;$BN$2,"")</f>
        <v/>
      </c>
      <c r="BM102" s="49" t="str">
        <f>IFERROR($BM$2&amp;VLOOKUP(C104,'Pay Table'!$M$3:$N$18,2,FALSE)&amp;$BL$2&amp;#REF!&amp;$BN$2,"")</f>
        <v/>
      </c>
      <c r="BN102" s="49" t="str">
        <f>IFERROR($BM$2&amp;VLOOKUP(D104,'Pay Table'!$M$3:$N$18,2,FALSE)&amp;$BL$2&amp;#REF!&amp;$BN$2,"")</f>
        <v/>
      </c>
      <c r="BO102" s="49" t="str">
        <f>IFERROR($BM$2&amp;VLOOKUP(E104,'Pay Table'!$M$3:$N$18,2,FALSE)&amp;$BL$2&amp;#REF!&amp;$BN$2,"")</f>
        <v/>
      </c>
      <c r="BP102" s="60" t="str">
        <f>IFERROR($BM$2&amp;VLOOKUP(F104,'Pay Table'!$M$3:$N$18,2,FALSE)&amp;$BL$2&amp;#REF!&amp;$BN$2,"")</f>
        <v/>
      </c>
    </row>
    <row r="103" spans="1:68" ht="17.100000000000001" customHeight="1" x14ac:dyDescent="0.15">
      <c r="A103" s="14">
        <v>101</v>
      </c>
      <c r="BL103" s="59" t="str">
        <f>IFERROR($BM$2&amp;VLOOKUP(B105,'Pay Table'!$M$3:$N$18,2,FALSE)&amp;$BL$2&amp;#REF!&amp;$BN$2,"")</f>
        <v/>
      </c>
      <c r="BM103" s="49" t="str">
        <f>IFERROR($BM$2&amp;VLOOKUP(C105,'Pay Table'!$M$3:$N$18,2,FALSE)&amp;$BL$2&amp;#REF!&amp;$BN$2,"")</f>
        <v/>
      </c>
      <c r="BN103" s="49" t="str">
        <f>IFERROR($BM$2&amp;VLOOKUP(D105,'Pay Table'!$M$3:$N$18,2,FALSE)&amp;$BL$2&amp;#REF!&amp;$BN$2,"")</f>
        <v/>
      </c>
      <c r="BO103" s="49" t="str">
        <f>IFERROR($BM$2&amp;VLOOKUP(E105,'Pay Table'!$M$3:$N$18,2,FALSE)&amp;$BL$2&amp;#REF!&amp;$BN$2,"")</f>
        <v/>
      </c>
      <c r="BP103" s="60" t="str">
        <f>IFERROR($BM$2&amp;VLOOKUP(F105,'Pay Table'!$M$3:$N$18,2,FALSE)&amp;$BL$2&amp;#REF!&amp;$BN$2,"")</f>
        <v/>
      </c>
    </row>
    <row r="104" spans="1:68" ht="17.100000000000001" customHeight="1" x14ac:dyDescent="0.15">
      <c r="A104" s="14">
        <v>102</v>
      </c>
      <c r="BL104" s="59" t="str">
        <f>IFERROR($BM$2&amp;VLOOKUP(B106,'Pay Table'!$M$3:$N$18,2,FALSE)&amp;$BL$2&amp;#REF!&amp;$BN$2,"")</f>
        <v/>
      </c>
      <c r="BM104" s="49" t="str">
        <f>IFERROR($BM$2&amp;VLOOKUP(C106,'Pay Table'!$M$3:$N$18,2,FALSE)&amp;$BL$2&amp;#REF!&amp;$BN$2,"")</f>
        <v/>
      </c>
      <c r="BN104" s="49" t="str">
        <f>IFERROR($BM$2&amp;VLOOKUP(D106,'Pay Table'!$M$3:$N$18,2,FALSE)&amp;$BL$2&amp;#REF!&amp;$BN$2,"")</f>
        <v/>
      </c>
      <c r="BO104" s="49" t="str">
        <f>IFERROR($BM$2&amp;VLOOKUP(E106,'Pay Table'!$M$3:$N$18,2,FALSE)&amp;$BL$2&amp;#REF!&amp;$BN$2,"")</f>
        <v/>
      </c>
      <c r="BP104" s="60" t="str">
        <f>IFERROR($BM$2&amp;VLOOKUP(F106,'Pay Table'!$M$3:$N$18,2,FALSE)&amp;$BL$2&amp;#REF!&amp;$BN$2,"")</f>
        <v/>
      </c>
    </row>
    <row r="105" spans="1:68" ht="17.100000000000001" customHeight="1" x14ac:dyDescent="0.15">
      <c r="A105" s="14">
        <v>103</v>
      </c>
      <c r="BL105" s="59" t="str">
        <f>IFERROR($BM$2&amp;VLOOKUP(B107,'Pay Table'!$M$3:$N$18,2,FALSE)&amp;$BL$2&amp;#REF!&amp;$BN$2,"")</f>
        <v/>
      </c>
      <c r="BM105" s="49" t="str">
        <f>IFERROR($BM$2&amp;VLOOKUP(C107,'Pay Table'!$M$3:$N$18,2,FALSE)&amp;$BL$2&amp;#REF!&amp;$BN$2,"")</f>
        <v/>
      </c>
      <c r="BN105" s="49" t="str">
        <f>IFERROR($BM$2&amp;VLOOKUP(D107,'Pay Table'!$M$3:$N$18,2,FALSE)&amp;$BL$2&amp;#REF!&amp;$BN$2,"")</f>
        <v/>
      </c>
      <c r="BO105" s="49" t="str">
        <f>IFERROR($BM$2&amp;VLOOKUP(E107,'Pay Table'!$M$3:$N$18,2,FALSE)&amp;$BL$2&amp;#REF!&amp;$BN$2,"")</f>
        <v/>
      </c>
      <c r="BP105" s="60" t="str">
        <f>IFERROR($BM$2&amp;VLOOKUP(F107,'Pay Table'!$M$3:$N$18,2,FALSE)&amp;$BL$2&amp;#REF!&amp;$BN$2,"")</f>
        <v/>
      </c>
    </row>
    <row r="106" spans="1:68" ht="17.100000000000001" customHeight="1" x14ac:dyDescent="0.15">
      <c r="A106" s="14">
        <v>104</v>
      </c>
      <c r="BL106" s="59" t="str">
        <f>IFERROR($BM$2&amp;VLOOKUP(B108,'Pay Table'!$M$3:$N$18,2,FALSE)&amp;$BL$2&amp;#REF!&amp;$BN$2,"")</f>
        <v/>
      </c>
      <c r="BM106" s="49" t="str">
        <f>IFERROR($BM$2&amp;VLOOKUP(C108,'Pay Table'!$M$3:$N$18,2,FALSE)&amp;$BL$2&amp;#REF!&amp;$BN$2,"")</f>
        <v/>
      </c>
      <c r="BN106" s="49" t="str">
        <f>IFERROR($BM$2&amp;VLOOKUP(D108,'Pay Table'!$M$3:$N$18,2,FALSE)&amp;$BL$2&amp;#REF!&amp;$BN$2,"")</f>
        <v/>
      </c>
      <c r="BO106" s="49" t="str">
        <f>IFERROR($BM$2&amp;VLOOKUP(E108,'Pay Table'!$M$3:$N$18,2,FALSE)&amp;$BL$2&amp;#REF!&amp;$BN$2,"")</f>
        <v/>
      </c>
      <c r="BP106" s="60" t="str">
        <f>IFERROR($BM$2&amp;VLOOKUP(F108,'Pay Table'!$M$3:$N$18,2,FALSE)&amp;$BL$2&amp;#REF!&amp;$BN$2,"")</f>
        <v/>
      </c>
    </row>
    <row r="107" spans="1:68" ht="17.100000000000001" customHeight="1" x14ac:dyDescent="0.15">
      <c r="A107" s="14">
        <v>105</v>
      </c>
      <c r="BL107" s="59" t="str">
        <f>IFERROR($BM$2&amp;VLOOKUP(B109,'Pay Table'!$M$3:$N$18,2,FALSE)&amp;$BL$2&amp;#REF!&amp;$BN$2,"")</f>
        <v/>
      </c>
      <c r="BM107" s="49" t="str">
        <f>IFERROR($BM$2&amp;VLOOKUP(C109,'Pay Table'!$M$3:$N$18,2,FALSE)&amp;$BL$2&amp;#REF!&amp;$BN$2,"")</f>
        <v/>
      </c>
      <c r="BN107" s="49" t="str">
        <f>IFERROR($BM$2&amp;VLOOKUP(D109,'Pay Table'!$M$3:$N$18,2,FALSE)&amp;$BL$2&amp;#REF!&amp;$BN$2,"")</f>
        <v/>
      </c>
      <c r="BO107" s="49" t="str">
        <f>IFERROR($BM$2&amp;VLOOKUP(E109,'Pay Table'!$M$3:$N$18,2,FALSE)&amp;$BL$2&amp;#REF!&amp;$BN$2,"")</f>
        <v/>
      </c>
      <c r="BP107" s="60" t="str">
        <f>IFERROR($BM$2&amp;VLOOKUP(F109,'Pay Table'!$M$3:$N$18,2,FALSE)&amp;$BL$2&amp;#REF!&amp;$BN$2,"")</f>
        <v/>
      </c>
    </row>
    <row r="108" spans="1:68" ht="17.100000000000001" customHeight="1" x14ac:dyDescent="0.15">
      <c r="A108" s="14">
        <v>106</v>
      </c>
      <c r="BL108" s="59" t="str">
        <f>IFERROR($BM$2&amp;VLOOKUP(B110,'Pay Table'!$M$3:$N$18,2,FALSE)&amp;$BL$2&amp;#REF!&amp;$BN$2,"")</f>
        <v/>
      </c>
      <c r="BM108" s="49" t="str">
        <f>IFERROR($BM$2&amp;VLOOKUP(C110,'Pay Table'!$M$3:$N$18,2,FALSE)&amp;$BL$2&amp;#REF!&amp;$BN$2,"")</f>
        <v/>
      </c>
      <c r="BN108" s="49" t="str">
        <f>IFERROR($BM$2&amp;VLOOKUP(D110,'Pay Table'!$M$3:$N$18,2,FALSE)&amp;$BL$2&amp;#REF!&amp;$BN$2,"")</f>
        <v/>
      </c>
      <c r="BO108" s="49" t="str">
        <f>IFERROR($BM$2&amp;VLOOKUP(E110,'Pay Table'!$M$3:$N$18,2,FALSE)&amp;$BL$2&amp;#REF!&amp;$BN$2,"")</f>
        <v/>
      </c>
      <c r="BP108" s="60" t="str">
        <f>IFERROR($BM$2&amp;VLOOKUP(F110,'Pay Table'!$M$3:$N$18,2,FALSE)&amp;$BL$2&amp;#REF!&amp;$BN$2,"")</f>
        <v/>
      </c>
    </row>
    <row r="109" spans="1:68" ht="17.100000000000001" customHeight="1" x14ac:dyDescent="0.15">
      <c r="A109" s="14">
        <v>107</v>
      </c>
      <c r="BL109" s="59" t="str">
        <f>IFERROR($BM$2&amp;VLOOKUP(B111,'Pay Table'!$M$3:$N$18,2,FALSE)&amp;$BL$2&amp;#REF!&amp;$BN$2,"")</f>
        <v/>
      </c>
      <c r="BM109" s="49" t="str">
        <f>IFERROR($BM$2&amp;VLOOKUP(C111,'Pay Table'!$M$3:$N$18,2,FALSE)&amp;$BL$2&amp;#REF!&amp;$BN$2,"")</f>
        <v/>
      </c>
      <c r="BN109" s="49" t="str">
        <f>IFERROR($BM$2&amp;VLOOKUP(D111,'Pay Table'!$M$3:$N$18,2,FALSE)&amp;$BL$2&amp;#REF!&amp;$BN$2,"")</f>
        <v/>
      </c>
      <c r="BO109" s="49" t="str">
        <f>IFERROR($BM$2&amp;VLOOKUP(E111,'Pay Table'!$M$3:$N$18,2,FALSE)&amp;$BL$2&amp;#REF!&amp;$BN$2,"")</f>
        <v/>
      </c>
      <c r="BP109" s="60" t="str">
        <f>IFERROR($BM$2&amp;VLOOKUP(F111,'Pay Table'!$M$3:$N$18,2,FALSE)&amp;$BL$2&amp;#REF!&amp;$BN$2,"")</f>
        <v/>
      </c>
    </row>
    <row r="110" spans="1:68" ht="17.100000000000001" customHeight="1" x14ac:dyDescent="0.15">
      <c r="A110" s="14">
        <v>108</v>
      </c>
      <c r="BL110" s="59" t="str">
        <f>IFERROR($BM$2&amp;VLOOKUP(B112,'Pay Table'!$M$3:$N$18,2,FALSE)&amp;$BL$2&amp;#REF!&amp;$BN$2,"")</f>
        <v/>
      </c>
      <c r="BM110" s="49" t="str">
        <f>IFERROR($BM$2&amp;VLOOKUP(C112,'Pay Table'!$M$3:$N$18,2,FALSE)&amp;$BL$2&amp;#REF!&amp;$BN$2,"")</f>
        <v/>
      </c>
      <c r="BN110" s="49" t="str">
        <f>IFERROR($BM$2&amp;VLOOKUP(D112,'Pay Table'!$M$3:$N$18,2,FALSE)&amp;$BL$2&amp;#REF!&amp;$BN$2,"")</f>
        <v/>
      </c>
      <c r="BO110" s="49" t="str">
        <f>IFERROR($BM$2&amp;VLOOKUP(E112,'Pay Table'!$M$3:$N$18,2,FALSE)&amp;$BL$2&amp;#REF!&amp;$BN$2,"")</f>
        <v/>
      </c>
      <c r="BP110" s="60" t="str">
        <f>IFERROR($BM$2&amp;VLOOKUP(F112,'Pay Table'!$M$3:$N$18,2,FALSE)&amp;$BL$2&amp;#REF!&amp;$BN$2,"")</f>
        <v/>
      </c>
    </row>
    <row r="111" spans="1:68" ht="17.100000000000001" customHeight="1" x14ac:dyDescent="0.15">
      <c r="A111" s="14">
        <v>109</v>
      </c>
      <c r="BL111" s="59" t="str">
        <f>IFERROR($BM$2&amp;VLOOKUP(B113,'Pay Table'!$M$3:$N$18,2,FALSE)&amp;$BL$2&amp;#REF!&amp;$BN$2,"")</f>
        <v/>
      </c>
      <c r="BM111" s="49" t="str">
        <f>IFERROR($BM$2&amp;VLOOKUP(C113,'Pay Table'!$M$3:$N$18,2,FALSE)&amp;$BL$2&amp;#REF!&amp;$BN$2,"")</f>
        <v/>
      </c>
      <c r="BN111" s="49" t="str">
        <f>IFERROR($BM$2&amp;VLOOKUP(D113,'Pay Table'!$M$3:$N$18,2,FALSE)&amp;$BL$2&amp;#REF!&amp;$BN$2,"")</f>
        <v/>
      </c>
      <c r="BO111" s="49" t="str">
        <f>IFERROR($BM$2&amp;VLOOKUP(E113,'Pay Table'!$M$3:$N$18,2,FALSE)&amp;$BL$2&amp;#REF!&amp;$BN$2,"")</f>
        <v/>
      </c>
      <c r="BP111" s="60" t="str">
        <f>IFERROR($BM$2&amp;VLOOKUP(F113,'Pay Table'!$M$3:$N$18,2,FALSE)&amp;$BL$2&amp;#REF!&amp;$BN$2,"")</f>
        <v/>
      </c>
    </row>
    <row r="112" spans="1:68" ht="17.100000000000001" customHeight="1" x14ac:dyDescent="0.15">
      <c r="A112" s="14">
        <v>110</v>
      </c>
      <c r="BL112" s="59" t="str">
        <f>IFERROR($BM$2&amp;VLOOKUP(B114,'Pay Table'!$M$3:$N$18,2,FALSE)&amp;$BL$2&amp;#REF!&amp;$BN$2,"")</f>
        <v/>
      </c>
      <c r="BM112" s="49" t="str">
        <f>IFERROR($BM$2&amp;VLOOKUP(C114,'Pay Table'!$M$3:$N$18,2,FALSE)&amp;$BL$2&amp;#REF!&amp;$BN$2,"")</f>
        <v/>
      </c>
      <c r="BN112" s="49" t="str">
        <f>IFERROR($BM$2&amp;VLOOKUP(D114,'Pay Table'!$M$3:$N$18,2,FALSE)&amp;$BL$2&amp;#REF!&amp;$BN$2,"")</f>
        <v/>
      </c>
      <c r="BO112" s="49" t="str">
        <f>IFERROR($BM$2&amp;VLOOKUP(E114,'Pay Table'!$M$3:$N$18,2,FALSE)&amp;$BL$2&amp;#REF!&amp;$BN$2,"")</f>
        <v/>
      </c>
      <c r="BP112" s="60" t="str">
        <f>IFERROR($BM$2&amp;VLOOKUP(F114,'Pay Table'!$M$3:$N$18,2,FALSE)&amp;$BL$2&amp;#REF!&amp;$BN$2,"")</f>
        <v/>
      </c>
    </row>
    <row r="113" spans="1:68" ht="17.100000000000001" customHeight="1" x14ac:dyDescent="0.15">
      <c r="A113" s="14">
        <v>111</v>
      </c>
      <c r="BL113" s="59" t="str">
        <f>IFERROR($BM$2&amp;VLOOKUP(B115,'Pay Table'!$M$3:$N$18,2,FALSE)&amp;$BL$2&amp;#REF!&amp;$BN$2,"")</f>
        <v/>
      </c>
      <c r="BM113" s="49" t="str">
        <f>IFERROR($BM$2&amp;VLOOKUP(C115,'Pay Table'!$M$3:$N$18,2,FALSE)&amp;$BL$2&amp;#REF!&amp;$BN$2,"")</f>
        <v/>
      </c>
      <c r="BN113" s="49" t="str">
        <f>IFERROR($BM$2&amp;VLOOKUP(D115,'Pay Table'!$M$3:$N$18,2,FALSE)&amp;$BL$2&amp;#REF!&amp;$BN$2,"")</f>
        <v/>
      </c>
      <c r="BO113" s="49" t="str">
        <f>IFERROR($BM$2&amp;VLOOKUP(E115,'Pay Table'!$M$3:$N$18,2,FALSE)&amp;$BL$2&amp;#REF!&amp;$BN$2,"")</f>
        <v/>
      </c>
      <c r="BP113" s="60" t="str">
        <f>IFERROR($BM$2&amp;VLOOKUP(F115,'Pay Table'!$M$3:$N$18,2,FALSE)&amp;$BL$2&amp;#REF!&amp;$BN$2,"")</f>
        <v/>
      </c>
    </row>
    <row r="114" spans="1:68" ht="17.100000000000001" customHeight="1" x14ac:dyDescent="0.15">
      <c r="A114" s="14">
        <v>112</v>
      </c>
      <c r="BL114" s="59" t="str">
        <f>IFERROR($BM$2&amp;VLOOKUP(B116,'Pay Table'!$M$3:$N$18,2,FALSE)&amp;$BL$2&amp;#REF!&amp;$BN$2,"")</f>
        <v/>
      </c>
      <c r="BM114" s="49" t="str">
        <f>IFERROR($BM$2&amp;VLOOKUP(C116,'Pay Table'!$M$3:$N$18,2,FALSE)&amp;$BL$2&amp;#REF!&amp;$BN$2,"")</f>
        <v/>
      </c>
      <c r="BN114" s="49" t="str">
        <f>IFERROR($BM$2&amp;VLOOKUP(D116,'Pay Table'!$M$3:$N$18,2,FALSE)&amp;$BL$2&amp;#REF!&amp;$BN$2,"")</f>
        <v/>
      </c>
      <c r="BO114" s="49" t="str">
        <f>IFERROR($BM$2&amp;VLOOKUP(E116,'Pay Table'!$M$3:$N$18,2,FALSE)&amp;$BL$2&amp;#REF!&amp;$BN$2,"")</f>
        <v/>
      </c>
      <c r="BP114" s="60" t="str">
        <f>IFERROR($BM$2&amp;VLOOKUP(F116,'Pay Table'!$M$3:$N$18,2,FALSE)&amp;$BL$2&amp;#REF!&amp;$BN$2,"")</f>
        <v/>
      </c>
    </row>
    <row r="115" spans="1:68" ht="17.100000000000001" customHeight="1" x14ac:dyDescent="0.15">
      <c r="A115" s="14">
        <v>113</v>
      </c>
      <c r="BL115" s="59" t="str">
        <f>IFERROR($BM$2&amp;VLOOKUP(B117,'Pay Table'!$M$3:$N$18,2,FALSE)&amp;$BL$2&amp;#REF!&amp;$BN$2,"")</f>
        <v/>
      </c>
      <c r="BM115" s="49" t="str">
        <f>IFERROR($BM$2&amp;VLOOKUP(C117,'Pay Table'!$M$3:$N$18,2,FALSE)&amp;$BL$2&amp;#REF!&amp;$BN$2,"")</f>
        <v/>
      </c>
      <c r="BN115" s="49" t="str">
        <f>IFERROR($BM$2&amp;VLOOKUP(D117,'Pay Table'!$M$3:$N$18,2,FALSE)&amp;$BL$2&amp;#REF!&amp;$BN$2,"")</f>
        <v/>
      </c>
      <c r="BO115" s="49" t="str">
        <f>IFERROR($BM$2&amp;VLOOKUP(E117,'Pay Table'!$M$3:$N$18,2,FALSE)&amp;$BL$2&amp;#REF!&amp;$BN$2,"")</f>
        <v/>
      </c>
      <c r="BP115" s="60" t="str">
        <f>IFERROR($BM$2&amp;VLOOKUP(F117,'Pay Table'!$M$3:$N$18,2,FALSE)&amp;$BL$2&amp;#REF!&amp;$BN$2,"")</f>
        <v/>
      </c>
    </row>
    <row r="116" spans="1:68" ht="17.100000000000001" customHeight="1" x14ac:dyDescent="0.15">
      <c r="A116" s="14">
        <v>114</v>
      </c>
      <c r="BL116" s="59" t="str">
        <f>IFERROR($BM$2&amp;VLOOKUP(B118,'Pay Table'!$M$3:$N$18,2,FALSE)&amp;$BL$2&amp;#REF!&amp;$BN$2,"")</f>
        <v/>
      </c>
      <c r="BM116" s="49" t="str">
        <f>IFERROR($BM$2&amp;VLOOKUP(C118,'Pay Table'!$M$3:$N$18,2,FALSE)&amp;$BL$2&amp;#REF!&amp;$BN$2,"")</f>
        <v/>
      </c>
      <c r="BN116" s="49" t="str">
        <f>IFERROR($BM$2&amp;VLOOKUP(D118,'Pay Table'!$M$3:$N$18,2,FALSE)&amp;$BL$2&amp;#REF!&amp;$BN$2,"")</f>
        <v/>
      </c>
      <c r="BO116" s="49" t="str">
        <f>IFERROR($BM$2&amp;VLOOKUP(E118,'Pay Table'!$M$3:$N$18,2,FALSE)&amp;$BL$2&amp;#REF!&amp;$BN$2,"")</f>
        <v/>
      </c>
      <c r="BP116" s="60" t="str">
        <f>IFERROR($BM$2&amp;VLOOKUP(F118,'Pay Table'!$M$3:$N$18,2,FALSE)&amp;$BL$2&amp;#REF!&amp;$BN$2,"")</f>
        <v/>
      </c>
    </row>
    <row r="117" spans="1:68" ht="17.100000000000001" customHeight="1" x14ac:dyDescent="0.15">
      <c r="A117" s="14">
        <v>115</v>
      </c>
      <c r="BL117" s="59" t="str">
        <f>IFERROR($BM$2&amp;VLOOKUP(B119,'Pay Table'!$M$3:$N$18,2,FALSE)&amp;$BL$2&amp;#REF!&amp;$BN$2,"")</f>
        <v/>
      </c>
      <c r="BM117" s="49" t="str">
        <f>IFERROR($BM$2&amp;VLOOKUP(C119,'Pay Table'!$M$3:$N$18,2,FALSE)&amp;$BL$2&amp;#REF!&amp;$BN$2,"")</f>
        <v/>
      </c>
      <c r="BN117" s="49" t="str">
        <f>IFERROR($BM$2&amp;VLOOKUP(D119,'Pay Table'!$M$3:$N$18,2,FALSE)&amp;$BL$2&amp;#REF!&amp;$BN$2,"")</f>
        <v/>
      </c>
      <c r="BO117" s="49" t="str">
        <f>IFERROR($BM$2&amp;VLOOKUP(E119,'Pay Table'!$M$3:$N$18,2,FALSE)&amp;$BL$2&amp;#REF!&amp;$BN$2,"")</f>
        <v/>
      </c>
      <c r="BP117" s="60" t="str">
        <f>IFERROR($BM$2&amp;VLOOKUP(F119,'Pay Table'!$M$3:$N$18,2,FALSE)&amp;$BL$2&amp;#REF!&amp;$BN$2,"")</f>
        <v/>
      </c>
    </row>
    <row r="118" spans="1:68" ht="17.100000000000001" customHeight="1" x14ac:dyDescent="0.15">
      <c r="A118" s="14">
        <v>116</v>
      </c>
      <c r="BL118" s="59" t="str">
        <f>IFERROR($BM$2&amp;VLOOKUP(B120,'Pay Table'!$M$3:$N$18,2,FALSE)&amp;$BL$2&amp;#REF!&amp;$BN$2,"")</f>
        <v/>
      </c>
      <c r="BM118" s="49" t="str">
        <f>IFERROR($BM$2&amp;VLOOKUP(C120,'Pay Table'!$M$3:$N$18,2,FALSE)&amp;$BL$2&amp;#REF!&amp;$BN$2,"")</f>
        <v/>
      </c>
      <c r="BN118" s="49" t="str">
        <f>IFERROR($BM$2&amp;VLOOKUP(D120,'Pay Table'!$M$3:$N$18,2,FALSE)&amp;$BL$2&amp;#REF!&amp;$BN$2,"")</f>
        <v/>
      </c>
      <c r="BO118" s="49" t="str">
        <f>IFERROR($BM$2&amp;VLOOKUP(E120,'Pay Table'!$M$3:$N$18,2,FALSE)&amp;$BL$2&amp;#REF!&amp;$BN$2,"")</f>
        <v/>
      </c>
      <c r="BP118" s="60" t="str">
        <f>IFERROR($BM$2&amp;VLOOKUP(F120,'Pay Table'!$M$3:$N$18,2,FALSE)&amp;$BL$2&amp;#REF!&amp;$BN$2,"")</f>
        <v/>
      </c>
    </row>
    <row r="119" spans="1:68" ht="17.100000000000001" customHeight="1" x14ac:dyDescent="0.15">
      <c r="A119" s="14">
        <v>117</v>
      </c>
      <c r="BL119" s="59" t="str">
        <f>IFERROR($BM$2&amp;VLOOKUP(B121,'Pay Table'!$M$3:$N$18,2,FALSE)&amp;$BL$2&amp;#REF!&amp;$BN$2,"")</f>
        <v/>
      </c>
      <c r="BM119" s="49" t="str">
        <f>IFERROR($BM$2&amp;VLOOKUP(C121,'Pay Table'!$M$3:$N$18,2,FALSE)&amp;$BL$2&amp;#REF!&amp;$BN$2,"")</f>
        <v/>
      </c>
      <c r="BN119" s="49" t="str">
        <f>IFERROR($BM$2&amp;VLOOKUP(D121,'Pay Table'!$M$3:$N$18,2,FALSE)&amp;$BL$2&amp;#REF!&amp;$BN$2,"")</f>
        <v/>
      </c>
      <c r="BO119" s="49" t="str">
        <f>IFERROR($BM$2&amp;VLOOKUP(E121,'Pay Table'!$M$3:$N$18,2,FALSE)&amp;$BL$2&amp;#REF!&amp;$BN$2,"")</f>
        <v/>
      </c>
      <c r="BP119" s="60" t="str">
        <f>IFERROR($BM$2&amp;VLOOKUP(F121,'Pay Table'!$M$3:$N$18,2,FALSE)&amp;$BL$2&amp;#REF!&amp;$BN$2,"")</f>
        <v/>
      </c>
    </row>
    <row r="120" spans="1:68" ht="17.100000000000001" customHeight="1" x14ac:dyDescent="0.15">
      <c r="A120" s="14">
        <v>118</v>
      </c>
      <c r="BL120" s="59" t="str">
        <f>IFERROR($BM$2&amp;VLOOKUP(B122,'Pay Table'!$M$3:$N$18,2,FALSE)&amp;$BL$2&amp;#REF!&amp;$BN$2,"")</f>
        <v/>
      </c>
      <c r="BM120" s="49" t="str">
        <f>IFERROR($BM$2&amp;VLOOKUP(C122,'Pay Table'!$M$3:$N$18,2,FALSE)&amp;$BL$2&amp;#REF!&amp;$BN$2,"")</f>
        <v/>
      </c>
      <c r="BN120" s="49" t="str">
        <f>IFERROR($BM$2&amp;VLOOKUP(D122,'Pay Table'!$M$3:$N$18,2,FALSE)&amp;$BL$2&amp;#REF!&amp;$BN$2,"")</f>
        <v/>
      </c>
      <c r="BO120" s="49" t="str">
        <f>IFERROR($BM$2&amp;VLOOKUP(E122,'Pay Table'!$M$3:$N$18,2,FALSE)&amp;$BL$2&amp;#REF!&amp;$BN$2,"")</f>
        <v/>
      </c>
      <c r="BP120" s="60" t="str">
        <f>IFERROR($BM$2&amp;VLOOKUP(F122,'Pay Table'!$M$3:$N$18,2,FALSE)&amp;$BL$2&amp;#REF!&amp;$BN$2,"")</f>
        <v/>
      </c>
    </row>
    <row r="121" spans="1:68" ht="17.100000000000001" customHeight="1" x14ac:dyDescent="0.15">
      <c r="A121" s="14">
        <v>119</v>
      </c>
      <c r="BL121" s="59" t="str">
        <f>IFERROR($BM$2&amp;VLOOKUP(B123,'Pay Table'!$M$3:$N$18,2,FALSE)&amp;$BL$2&amp;#REF!&amp;$BN$2,"")</f>
        <v/>
      </c>
      <c r="BM121" s="49" t="str">
        <f>IFERROR($BM$2&amp;VLOOKUP(C123,'Pay Table'!$M$3:$N$18,2,FALSE)&amp;$BL$2&amp;#REF!&amp;$BN$2,"")</f>
        <v/>
      </c>
      <c r="BN121" s="49" t="str">
        <f>IFERROR($BM$2&amp;VLOOKUP(D123,'Pay Table'!$M$3:$N$18,2,FALSE)&amp;$BL$2&amp;#REF!&amp;$BN$2,"")</f>
        <v/>
      </c>
      <c r="BO121" s="49" t="str">
        <f>IFERROR($BM$2&amp;VLOOKUP(E123,'Pay Table'!$M$3:$N$18,2,FALSE)&amp;$BL$2&amp;#REF!&amp;$BN$2,"")</f>
        <v/>
      </c>
      <c r="BP121" s="60" t="str">
        <f>IFERROR($BM$2&amp;VLOOKUP(F123,'Pay Table'!$M$3:$N$18,2,FALSE)&amp;$BL$2&amp;#REF!&amp;$BN$2,"")</f>
        <v/>
      </c>
    </row>
    <row r="122" spans="1:68" ht="17.100000000000001" customHeight="1" x14ac:dyDescent="0.15">
      <c r="A122" s="14">
        <v>120</v>
      </c>
      <c r="BL122" s="59" t="str">
        <f>IFERROR($BM$2&amp;VLOOKUP(B124,'Pay Table'!$M$3:$N$18,2,FALSE)&amp;$BL$2&amp;#REF!&amp;$BN$2,"")</f>
        <v/>
      </c>
      <c r="BM122" s="49" t="str">
        <f>IFERROR($BM$2&amp;VLOOKUP(C124,'Pay Table'!$M$3:$N$18,2,FALSE)&amp;$BL$2&amp;#REF!&amp;$BN$2,"")</f>
        <v/>
      </c>
      <c r="BN122" s="49" t="str">
        <f>IFERROR($BM$2&amp;VLOOKUP(D124,'Pay Table'!$M$3:$N$18,2,FALSE)&amp;$BL$2&amp;#REF!&amp;$BN$2,"")</f>
        <v/>
      </c>
      <c r="BO122" s="49" t="str">
        <f>IFERROR($BM$2&amp;VLOOKUP(E124,'Pay Table'!$M$3:$N$18,2,FALSE)&amp;$BL$2&amp;#REF!&amp;$BN$2,"")</f>
        <v/>
      </c>
      <c r="BP122" s="60" t="str">
        <f>IFERROR($BM$2&amp;VLOOKUP(F124,'Pay Table'!$M$3:$N$18,2,FALSE)&amp;$BL$2&amp;#REF!&amp;$BN$2,"")</f>
        <v/>
      </c>
    </row>
    <row r="123" spans="1:68" ht="17.100000000000001" customHeight="1" x14ac:dyDescent="0.15">
      <c r="A123" s="14">
        <v>121</v>
      </c>
      <c r="BL123" s="59" t="str">
        <f>IFERROR($BM$2&amp;VLOOKUP(B125,'Pay Table'!$M$3:$N$18,2,FALSE)&amp;$BL$2&amp;#REF!&amp;$BN$2,"")</f>
        <v/>
      </c>
      <c r="BM123" s="49" t="str">
        <f>IFERROR($BM$2&amp;VLOOKUP(C125,'Pay Table'!$M$3:$N$18,2,FALSE)&amp;$BL$2&amp;#REF!&amp;$BN$2,"")</f>
        <v/>
      </c>
      <c r="BN123" s="49" t="str">
        <f>IFERROR($BM$2&amp;VLOOKUP(D125,'Pay Table'!$M$3:$N$18,2,FALSE)&amp;$BL$2&amp;#REF!&amp;$BN$2,"")</f>
        <v/>
      </c>
      <c r="BO123" s="49" t="str">
        <f>IFERROR($BM$2&amp;VLOOKUP(E125,'Pay Table'!$M$3:$N$18,2,FALSE)&amp;$BL$2&amp;#REF!&amp;$BN$2,"")</f>
        <v/>
      </c>
      <c r="BP123" s="60" t="str">
        <f>IFERROR($BM$2&amp;VLOOKUP(F125,'Pay Table'!$M$3:$N$18,2,FALSE)&amp;$BL$2&amp;#REF!&amp;$BN$2,"")</f>
        <v/>
      </c>
    </row>
    <row r="124" spans="1:68" ht="17.100000000000001" customHeight="1" x14ac:dyDescent="0.15">
      <c r="A124" s="14">
        <v>122</v>
      </c>
      <c r="BL124" s="59" t="str">
        <f>IFERROR($BM$2&amp;VLOOKUP(B126,'Pay Table'!$M$3:$N$18,2,FALSE)&amp;$BL$2&amp;#REF!&amp;$BN$2,"")</f>
        <v/>
      </c>
      <c r="BM124" s="49" t="str">
        <f>IFERROR($BM$2&amp;VLOOKUP(C126,'Pay Table'!$M$3:$N$18,2,FALSE)&amp;$BL$2&amp;#REF!&amp;$BN$2,"")</f>
        <v/>
      </c>
      <c r="BN124" s="49" t="str">
        <f>IFERROR($BM$2&amp;VLOOKUP(D126,'Pay Table'!$M$3:$N$18,2,FALSE)&amp;$BL$2&amp;#REF!&amp;$BN$2,"")</f>
        <v/>
      </c>
      <c r="BO124" s="49" t="str">
        <f>IFERROR($BM$2&amp;VLOOKUP(E126,'Pay Table'!$M$3:$N$18,2,FALSE)&amp;$BL$2&amp;#REF!&amp;$BN$2,"")</f>
        <v/>
      </c>
      <c r="BP124" s="60" t="str">
        <f>IFERROR($BM$2&amp;VLOOKUP(F126,'Pay Table'!$M$3:$N$18,2,FALSE)&amp;$BL$2&amp;#REF!&amp;$BN$2,"")</f>
        <v/>
      </c>
    </row>
    <row r="125" spans="1:68" ht="17.100000000000001" customHeight="1" x14ac:dyDescent="0.15">
      <c r="A125" s="14">
        <v>123</v>
      </c>
      <c r="BL125" s="59" t="str">
        <f>IFERROR($BM$2&amp;VLOOKUP(B127,'Pay Table'!$M$3:$N$18,2,FALSE)&amp;$BL$2&amp;#REF!&amp;$BN$2,"")</f>
        <v/>
      </c>
      <c r="BM125" s="49" t="str">
        <f>IFERROR($BM$2&amp;VLOOKUP(C127,'Pay Table'!$M$3:$N$18,2,FALSE)&amp;$BL$2&amp;#REF!&amp;$BN$2,"")</f>
        <v/>
      </c>
      <c r="BN125" s="49" t="str">
        <f>IFERROR($BM$2&amp;VLOOKUP(D127,'Pay Table'!$M$3:$N$18,2,FALSE)&amp;$BL$2&amp;#REF!&amp;$BN$2,"")</f>
        <v/>
      </c>
      <c r="BO125" s="49" t="str">
        <f>IFERROR($BM$2&amp;VLOOKUP(E127,'Pay Table'!$M$3:$N$18,2,FALSE)&amp;$BL$2&amp;#REF!&amp;$BN$2,"")</f>
        <v/>
      </c>
      <c r="BP125" s="60" t="str">
        <f>IFERROR($BM$2&amp;VLOOKUP(F127,'Pay Table'!$M$3:$N$18,2,FALSE)&amp;$BL$2&amp;#REF!&amp;$BN$2,"")</f>
        <v/>
      </c>
    </row>
    <row r="126" spans="1:68" ht="17.100000000000001" customHeight="1" x14ac:dyDescent="0.15">
      <c r="A126" s="14">
        <v>124</v>
      </c>
      <c r="BL126" s="59" t="str">
        <f>IFERROR($BM$2&amp;VLOOKUP(B128,'Pay Table'!$M$3:$N$18,2,FALSE)&amp;$BL$2&amp;#REF!&amp;$BN$2,"")</f>
        <v/>
      </c>
      <c r="BM126" s="49" t="str">
        <f>IFERROR($BM$2&amp;VLOOKUP(C128,'Pay Table'!$M$3:$N$18,2,FALSE)&amp;$BL$2&amp;#REF!&amp;$BN$2,"")</f>
        <v/>
      </c>
      <c r="BN126" s="49" t="str">
        <f>IFERROR($BM$2&amp;VLOOKUP(D128,'Pay Table'!$M$3:$N$18,2,FALSE)&amp;$BL$2&amp;#REF!&amp;$BN$2,"")</f>
        <v/>
      </c>
      <c r="BO126" s="49" t="str">
        <f>IFERROR($BM$2&amp;VLOOKUP(E128,'Pay Table'!$M$3:$N$18,2,FALSE)&amp;$BL$2&amp;#REF!&amp;$BN$2,"")</f>
        <v/>
      </c>
      <c r="BP126" s="60" t="str">
        <f>IFERROR($BM$2&amp;VLOOKUP(F128,'Pay Table'!$M$3:$N$18,2,FALSE)&amp;$BL$2&amp;#REF!&amp;$BN$2,"")</f>
        <v/>
      </c>
    </row>
    <row r="127" spans="1:68" ht="17.100000000000001" customHeight="1" x14ac:dyDescent="0.15">
      <c r="A127" s="14">
        <v>125</v>
      </c>
      <c r="BL127" s="59" t="str">
        <f>IFERROR($BM$2&amp;VLOOKUP(B129,'Pay Table'!$M$3:$N$18,2,FALSE)&amp;$BL$2&amp;#REF!&amp;$BN$2,"")</f>
        <v/>
      </c>
      <c r="BM127" s="49" t="str">
        <f>IFERROR($BM$2&amp;VLOOKUP(C129,'Pay Table'!$M$3:$N$18,2,FALSE)&amp;$BL$2&amp;#REF!&amp;$BN$2,"")</f>
        <v/>
      </c>
      <c r="BN127" s="49" t="str">
        <f>IFERROR($BM$2&amp;VLOOKUP(D129,'Pay Table'!$M$3:$N$18,2,FALSE)&amp;$BL$2&amp;#REF!&amp;$BN$2,"")</f>
        <v/>
      </c>
      <c r="BO127" s="49" t="str">
        <f>IFERROR($BM$2&amp;VLOOKUP(E129,'Pay Table'!$M$3:$N$18,2,FALSE)&amp;$BL$2&amp;#REF!&amp;$BN$2,"")</f>
        <v/>
      </c>
      <c r="BP127" s="60" t="str">
        <f>IFERROR($BM$2&amp;VLOOKUP(F129,'Pay Table'!$M$3:$N$18,2,FALSE)&amp;$BL$2&amp;#REF!&amp;$BN$2,"")</f>
        <v/>
      </c>
    </row>
    <row r="128" spans="1:68" ht="17.100000000000001" customHeight="1" x14ac:dyDescent="0.15">
      <c r="A128" s="14">
        <v>126</v>
      </c>
      <c r="BL128" s="59" t="str">
        <f>IFERROR($BM$2&amp;VLOOKUP(B130,'Pay Table'!$M$3:$N$18,2,FALSE)&amp;$BL$2&amp;#REF!&amp;$BN$2,"")</f>
        <v/>
      </c>
      <c r="BM128" s="49" t="str">
        <f>IFERROR($BM$2&amp;VLOOKUP(C130,'Pay Table'!$M$3:$N$18,2,FALSE)&amp;$BL$2&amp;#REF!&amp;$BN$2,"")</f>
        <v/>
      </c>
      <c r="BN128" s="49" t="str">
        <f>IFERROR($BM$2&amp;VLOOKUP(D130,'Pay Table'!$M$3:$N$18,2,FALSE)&amp;$BL$2&amp;#REF!&amp;$BN$2,"")</f>
        <v/>
      </c>
      <c r="BO128" s="49" t="str">
        <f>IFERROR($BM$2&amp;VLOOKUP(E130,'Pay Table'!$M$3:$N$18,2,FALSE)&amp;$BL$2&amp;#REF!&amp;$BN$2,"")</f>
        <v/>
      </c>
      <c r="BP128" s="60" t="str">
        <f>IFERROR($BM$2&amp;VLOOKUP(F130,'Pay Table'!$M$3:$N$18,2,FALSE)&amp;$BL$2&amp;#REF!&amp;$BN$2,"")</f>
        <v/>
      </c>
    </row>
    <row r="129" spans="1:68" ht="17.100000000000001" customHeight="1" x14ac:dyDescent="0.15">
      <c r="A129" s="14">
        <v>127</v>
      </c>
      <c r="BL129" s="59" t="str">
        <f>IFERROR($BM$2&amp;VLOOKUP(B131,'Pay Table'!$M$3:$N$18,2,FALSE)&amp;$BL$2&amp;#REF!&amp;$BN$2,"")</f>
        <v/>
      </c>
      <c r="BM129" s="49" t="str">
        <f>IFERROR($BM$2&amp;VLOOKUP(C131,'Pay Table'!$M$3:$N$18,2,FALSE)&amp;$BL$2&amp;#REF!&amp;$BN$2,"")</f>
        <v/>
      </c>
      <c r="BN129" s="49" t="str">
        <f>IFERROR($BM$2&amp;VLOOKUP(D131,'Pay Table'!$M$3:$N$18,2,FALSE)&amp;$BL$2&amp;#REF!&amp;$BN$2,"")</f>
        <v/>
      </c>
      <c r="BO129" s="49" t="str">
        <f>IFERROR($BM$2&amp;VLOOKUP(E131,'Pay Table'!$M$3:$N$18,2,FALSE)&amp;$BL$2&amp;#REF!&amp;$BN$2,"")</f>
        <v/>
      </c>
      <c r="BP129" s="60" t="str">
        <f>IFERROR($BM$2&amp;VLOOKUP(F131,'Pay Table'!$M$3:$N$18,2,FALSE)&amp;$BL$2&amp;#REF!&amp;$BN$2,"")</f>
        <v/>
      </c>
    </row>
    <row r="130" spans="1:68" ht="17.100000000000001" customHeight="1" x14ac:dyDescent="0.15">
      <c r="A130" s="14">
        <v>128</v>
      </c>
      <c r="BL130" s="59" t="str">
        <f>IFERROR($BM$2&amp;VLOOKUP(B132,'Pay Table'!$M$3:$N$18,2,FALSE)&amp;$BL$2&amp;#REF!&amp;$BN$2,"")</f>
        <v/>
      </c>
      <c r="BM130" s="49" t="str">
        <f>IFERROR($BM$2&amp;VLOOKUP(C132,'Pay Table'!$M$3:$N$18,2,FALSE)&amp;$BL$2&amp;#REF!&amp;$BN$2,"")</f>
        <v/>
      </c>
      <c r="BN130" s="49" t="str">
        <f>IFERROR($BM$2&amp;VLOOKUP(D132,'Pay Table'!$M$3:$N$18,2,FALSE)&amp;$BL$2&amp;#REF!&amp;$BN$2,"")</f>
        <v/>
      </c>
      <c r="BO130" s="49" t="str">
        <f>IFERROR($BM$2&amp;VLOOKUP(E132,'Pay Table'!$M$3:$N$18,2,FALSE)&amp;$BL$2&amp;#REF!&amp;$BN$2,"")</f>
        <v/>
      </c>
      <c r="BP130" s="60" t="str">
        <f>IFERROR($BM$2&amp;VLOOKUP(F132,'Pay Table'!$M$3:$N$18,2,FALSE)&amp;$BL$2&amp;#REF!&amp;$BN$2,"")</f>
        <v/>
      </c>
    </row>
    <row r="131" spans="1:68" ht="17.100000000000001" customHeight="1" x14ac:dyDescent="0.15">
      <c r="A131" s="14">
        <v>129</v>
      </c>
      <c r="BL131" s="59" t="str">
        <f>IFERROR($BM$2&amp;VLOOKUP(B133,'Pay Table'!$M$3:$N$18,2,FALSE)&amp;$BL$2&amp;#REF!&amp;$BN$2,"")</f>
        <v/>
      </c>
      <c r="BM131" s="49" t="str">
        <f>IFERROR($BM$2&amp;VLOOKUP(C133,'Pay Table'!$M$3:$N$18,2,FALSE)&amp;$BL$2&amp;#REF!&amp;$BN$2,"")</f>
        <v/>
      </c>
      <c r="BN131" s="49" t="str">
        <f>IFERROR($BM$2&amp;VLOOKUP(D133,'Pay Table'!$M$3:$N$18,2,FALSE)&amp;$BL$2&amp;#REF!&amp;$BN$2,"")</f>
        <v/>
      </c>
      <c r="BO131" s="49" t="str">
        <f>IFERROR($BM$2&amp;VLOOKUP(E133,'Pay Table'!$M$3:$N$18,2,FALSE)&amp;$BL$2&amp;#REF!&amp;$BN$2,"")</f>
        <v/>
      </c>
      <c r="BP131" s="60" t="str">
        <f>IFERROR($BM$2&amp;VLOOKUP(F133,'Pay Table'!$M$3:$N$18,2,FALSE)&amp;$BL$2&amp;#REF!&amp;$BN$2,"")</f>
        <v/>
      </c>
    </row>
    <row r="132" spans="1:68" ht="17.100000000000001" customHeight="1" x14ac:dyDescent="0.15">
      <c r="A132" s="14">
        <v>130</v>
      </c>
      <c r="BL132" s="59" t="str">
        <f>IFERROR($BM$2&amp;VLOOKUP(B134,'Pay Table'!$M$3:$N$18,2,FALSE)&amp;$BL$2&amp;#REF!&amp;$BN$2,"")</f>
        <v/>
      </c>
      <c r="BM132" s="49" t="str">
        <f>IFERROR($BM$2&amp;VLOOKUP(C134,'Pay Table'!$M$3:$N$18,2,FALSE)&amp;$BL$2&amp;#REF!&amp;$BN$2,"")</f>
        <v/>
      </c>
      <c r="BN132" s="49" t="str">
        <f>IFERROR($BM$2&amp;VLOOKUP(D134,'Pay Table'!$M$3:$N$18,2,FALSE)&amp;$BL$2&amp;#REF!&amp;$BN$2,"")</f>
        <v/>
      </c>
      <c r="BO132" s="49" t="str">
        <f>IFERROR($BM$2&amp;VLOOKUP(E134,'Pay Table'!$M$3:$N$18,2,FALSE)&amp;$BL$2&amp;#REF!&amp;$BN$2,"")</f>
        <v/>
      </c>
      <c r="BP132" s="60" t="str">
        <f>IFERROR($BM$2&amp;VLOOKUP(F134,'Pay Table'!$M$3:$N$18,2,FALSE)&amp;$BL$2&amp;#REF!&amp;$BN$2,"")</f>
        <v/>
      </c>
    </row>
    <row r="133" spans="1:68" ht="17.100000000000001" customHeight="1" x14ac:dyDescent="0.15">
      <c r="A133" s="14">
        <v>131</v>
      </c>
      <c r="BL133" s="59" t="str">
        <f>IFERROR($BM$2&amp;VLOOKUP(B135,'Pay Table'!$M$3:$N$18,2,FALSE)&amp;$BL$2&amp;#REF!&amp;$BN$2,"")</f>
        <v/>
      </c>
      <c r="BM133" s="49" t="str">
        <f>IFERROR($BM$2&amp;VLOOKUP(C135,'Pay Table'!$M$3:$N$18,2,FALSE)&amp;$BL$2&amp;#REF!&amp;$BN$2,"")</f>
        <v/>
      </c>
      <c r="BN133" s="49" t="str">
        <f>IFERROR($BM$2&amp;VLOOKUP(D135,'Pay Table'!$M$3:$N$18,2,FALSE)&amp;$BL$2&amp;#REF!&amp;$BN$2,"")</f>
        <v/>
      </c>
      <c r="BO133" s="49" t="str">
        <f>IFERROR($BM$2&amp;VLOOKUP(E135,'Pay Table'!$M$3:$N$18,2,FALSE)&amp;$BL$2&amp;#REF!&amp;$BN$2,"")</f>
        <v/>
      </c>
      <c r="BP133" s="60" t="str">
        <f>IFERROR($BM$2&amp;VLOOKUP(F135,'Pay Table'!$M$3:$N$18,2,FALSE)&amp;$BL$2&amp;#REF!&amp;$BN$2,"")</f>
        <v/>
      </c>
    </row>
    <row r="134" spans="1:68" ht="17.100000000000001" customHeight="1" x14ac:dyDescent="0.15">
      <c r="A134" s="14">
        <v>132</v>
      </c>
      <c r="BL134" s="59" t="str">
        <f>IFERROR($BM$2&amp;VLOOKUP(B136,'Pay Table'!$M$3:$N$18,2,FALSE)&amp;$BL$2&amp;#REF!&amp;$BN$2,"")</f>
        <v/>
      </c>
      <c r="BM134" s="49" t="str">
        <f>IFERROR($BM$2&amp;VLOOKUP(C136,'Pay Table'!$M$3:$N$18,2,FALSE)&amp;$BL$2&amp;#REF!&amp;$BN$2,"")</f>
        <v/>
      </c>
      <c r="BN134" s="49" t="str">
        <f>IFERROR($BM$2&amp;VLOOKUP(D136,'Pay Table'!$M$3:$N$18,2,FALSE)&amp;$BL$2&amp;#REF!&amp;$BN$2,"")</f>
        <v/>
      </c>
      <c r="BO134" s="49" t="str">
        <f>IFERROR($BM$2&amp;VLOOKUP(E136,'Pay Table'!$M$3:$N$18,2,FALSE)&amp;$BL$2&amp;#REF!&amp;$BN$2,"")</f>
        <v/>
      </c>
      <c r="BP134" s="60" t="str">
        <f>IFERROR($BM$2&amp;VLOOKUP(F136,'Pay Table'!$M$3:$N$18,2,FALSE)&amp;$BL$2&amp;#REF!&amp;$BN$2,"")</f>
        <v/>
      </c>
    </row>
    <row r="135" spans="1:68" ht="17.100000000000001" customHeight="1" x14ac:dyDescent="0.15">
      <c r="A135" s="14">
        <v>133</v>
      </c>
      <c r="BL135" s="59" t="str">
        <f>IFERROR($BM$2&amp;VLOOKUP(B137,'Pay Table'!$M$3:$N$18,2,FALSE)&amp;$BL$2&amp;#REF!&amp;$BN$2,"")</f>
        <v/>
      </c>
      <c r="BM135" s="49" t="str">
        <f>IFERROR($BM$2&amp;VLOOKUP(C137,'Pay Table'!$M$3:$N$18,2,FALSE)&amp;$BL$2&amp;#REF!&amp;$BN$2,"")</f>
        <v/>
      </c>
      <c r="BN135" s="49" t="str">
        <f>IFERROR($BM$2&amp;VLOOKUP(D137,'Pay Table'!$M$3:$N$18,2,FALSE)&amp;$BL$2&amp;#REF!&amp;$BN$2,"")</f>
        <v/>
      </c>
      <c r="BO135" s="49" t="str">
        <f>IFERROR($BM$2&amp;VLOOKUP(E137,'Pay Table'!$M$3:$N$18,2,FALSE)&amp;$BL$2&amp;#REF!&amp;$BN$2,"")</f>
        <v/>
      </c>
      <c r="BP135" s="60" t="str">
        <f>IFERROR($BM$2&amp;VLOOKUP(F137,'Pay Table'!$M$3:$N$18,2,FALSE)&amp;$BL$2&amp;#REF!&amp;$BN$2,"")</f>
        <v/>
      </c>
    </row>
    <row r="136" spans="1:68" ht="17.100000000000001" customHeight="1" x14ac:dyDescent="0.15">
      <c r="A136" s="14">
        <v>134</v>
      </c>
      <c r="BL136" s="59" t="str">
        <f>IFERROR($BM$2&amp;VLOOKUP(B138,'Pay Table'!$M$3:$N$18,2,FALSE)&amp;$BL$2&amp;#REF!&amp;$BN$2,"")</f>
        <v/>
      </c>
      <c r="BM136" s="49" t="str">
        <f>IFERROR($BM$2&amp;VLOOKUP(C138,'Pay Table'!$M$3:$N$18,2,FALSE)&amp;$BL$2&amp;#REF!&amp;$BN$2,"")</f>
        <v/>
      </c>
      <c r="BN136" s="49" t="str">
        <f>IFERROR($BM$2&amp;VLOOKUP(D138,'Pay Table'!$M$3:$N$18,2,FALSE)&amp;$BL$2&amp;#REF!&amp;$BN$2,"")</f>
        <v/>
      </c>
      <c r="BO136" s="49" t="str">
        <f>IFERROR($BM$2&amp;VLOOKUP(E138,'Pay Table'!$M$3:$N$18,2,FALSE)&amp;$BL$2&amp;#REF!&amp;$BN$2,"")</f>
        <v/>
      </c>
      <c r="BP136" s="60" t="str">
        <f>IFERROR($BM$2&amp;VLOOKUP(F138,'Pay Table'!$M$3:$N$18,2,FALSE)&amp;$BL$2&amp;#REF!&amp;$BN$2,"")</f>
        <v/>
      </c>
    </row>
    <row r="137" spans="1:68" ht="17.100000000000001" customHeight="1" x14ac:dyDescent="0.15">
      <c r="A137" s="14">
        <v>135</v>
      </c>
      <c r="BL137" s="59" t="str">
        <f>IFERROR($BM$2&amp;VLOOKUP(B139,'Pay Table'!$M$3:$N$18,2,FALSE)&amp;$BL$2&amp;#REF!&amp;$BN$2,"")</f>
        <v/>
      </c>
      <c r="BM137" s="49" t="str">
        <f>IFERROR($BM$2&amp;VLOOKUP(C139,'Pay Table'!$M$3:$N$18,2,FALSE)&amp;$BL$2&amp;#REF!&amp;$BN$2,"")</f>
        <v/>
      </c>
      <c r="BN137" s="49" t="str">
        <f>IFERROR($BM$2&amp;VLOOKUP(D139,'Pay Table'!$M$3:$N$18,2,FALSE)&amp;$BL$2&amp;#REF!&amp;$BN$2,"")</f>
        <v/>
      </c>
      <c r="BO137" s="49" t="str">
        <f>IFERROR($BM$2&amp;VLOOKUP(E139,'Pay Table'!$M$3:$N$18,2,FALSE)&amp;$BL$2&amp;#REF!&amp;$BN$2,"")</f>
        <v/>
      </c>
      <c r="BP137" s="60" t="str">
        <f>IFERROR($BM$2&amp;VLOOKUP(F139,'Pay Table'!$M$3:$N$18,2,FALSE)&amp;$BL$2&amp;#REF!&amp;$BN$2,"")</f>
        <v/>
      </c>
    </row>
    <row r="138" spans="1:68" ht="17.100000000000001" customHeight="1" x14ac:dyDescent="0.15">
      <c r="A138" s="14">
        <v>136</v>
      </c>
      <c r="BL138" s="59" t="str">
        <f>IFERROR($BM$2&amp;VLOOKUP(B140,'Pay Table'!$M$3:$N$18,2,FALSE)&amp;$BL$2&amp;#REF!&amp;$BN$2,"")</f>
        <v/>
      </c>
      <c r="BM138" s="49" t="str">
        <f>IFERROR($BM$2&amp;VLOOKUP(C140,'Pay Table'!$M$3:$N$18,2,FALSE)&amp;$BL$2&amp;#REF!&amp;$BN$2,"")</f>
        <v/>
      </c>
      <c r="BN138" s="49" t="str">
        <f>IFERROR($BM$2&amp;VLOOKUP(D140,'Pay Table'!$M$3:$N$18,2,FALSE)&amp;$BL$2&amp;#REF!&amp;$BN$2,"")</f>
        <v/>
      </c>
      <c r="BO138" s="49" t="str">
        <f>IFERROR($BM$2&amp;VLOOKUP(E140,'Pay Table'!$M$3:$N$18,2,FALSE)&amp;$BL$2&amp;#REF!&amp;$BN$2,"")</f>
        <v/>
      </c>
      <c r="BP138" s="60" t="str">
        <f>IFERROR($BM$2&amp;VLOOKUP(F140,'Pay Table'!$M$3:$N$18,2,FALSE)&amp;$BL$2&amp;#REF!&amp;$BN$2,"")</f>
        <v/>
      </c>
    </row>
    <row r="139" spans="1:68" ht="17.100000000000001" customHeight="1" x14ac:dyDescent="0.15">
      <c r="A139" s="14">
        <v>137</v>
      </c>
      <c r="BL139" s="59" t="str">
        <f>IFERROR($BM$2&amp;VLOOKUP(B141,'Pay Table'!$M$3:$N$18,2,FALSE)&amp;$BL$2&amp;#REF!&amp;$BN$2,"")</f>
        <v/>
      </c>
      <c r="BM139" s="49" t="str">
        <f>IFERROR($BM$2&amp;VLOOKUP(C141,'Pay Table'!$M$3:$N$18,2,FALSE)&amp;$BL$2&amp;#REF!&amp;$BN$2,"")</f>
        <v/>
      </c>
      <c r="BN139" s="49" t="str">
        <f>IFERROR($BM$2&amp;VLOOKUP(D141,'Pay Table'!$M$3:$N$18,2,FALSE)&amp;$BL$2&amp;#REF!&amp;$BN$2,"")</f>
        <v/>
      </c>
      <c r="BO139" s="49" t="str">
        <f>IFERROR($BM$2&amp;VLOOKUP(E141,'Pay Table'!$M$3:$N$18,2,FALSE)&amp;$BL$2&amp;#REF!&amp;$BN$2,"")</f>
        <v/>
      </c>
      <c r="BP139" s="60" t="str">
        <f>IFERROR($BM$2&amp;VLOOKUP(F141,'Pay Table'!$M$3:$N$18,2,FALSE)&amp;$BL$2&amp;#REF!&amp;$BN$2,"")</f>
        <v/>
      </c>
    </row>
    <row r="140" spans="1:68" ht="17.100000000000001" customHeight="1" x14ac:dyDescent="0.15">
      <c r="A140" s="14">
        <v>138</v>
      </c>
      <c r="BL140" s="59" t="str">
        <f>IFERROR($BM$2&amp;VLOOKUP(B142,'Pay Table'!$M$3:$N$18,2,FALSE)&amp;$BL$2&amp;#REF!&amp;$BN$2,"")</f>
        <v/>
      </c>
      <c r="BM140" s="49" t="str">
        <f>IFERROR($BM$2&amp;VLOOKUP(C142,'Pay Table'!$M$3:$N$18,2,FALSE)&amp;$BL$2&amp;#REF!&amp;$BN$2,"")</f>
        <v/>
      </c>
      <c r="BN140" s="49" t="str">
        <f>IFERROR($BM$2&amp;VLOOKUP(D142,'Pay Table'!$M$3:$N$18,2,FALSE)&amp;$BL$2&amp;#REF!&amp;$BN$2,"")</f>
        <v/>
      </c>
      <c r="BO140" s="49" t="str">
        <f>IFERROR($BM$2&amp;VLOOKUP(E142,'Pay Table'!$M$3:$N$18,2,FALSE)&amp;$BL$2&amp;#REF!&amp;$BN$2,"")</f>
        <v/>
      </c>
      <c r="BP140" s="60" t="str">
        <f>IFERROR($BM$2&amp;VLOOKUP(F142,'Pay Table'!$M$3:$N$18,2,FALSE)&amp;$BL$2&amp;#REF!&amp;$BN$2,"")</f>
        <v/>
      </c>
    </row>
    <row r="141" spans="1:68" ht="17.100000000000001" customHeight="1" x14ac:dyDescent="0.15">
      <c r="A141" s="14">
        <v>139</v>
      </c>
      <c r="BL141" s="59" t="str">
        <f>IFERROR($BM$2&amp;VLOOKUP(B143,'Pay Table'!$M$3:$N$18,2,FALSE)&amp;$BL$2&amp;#REF!&amp;$BN$2,"")</f>
        <v/>
      </c>
      <c r="BM141" s="49" t="str">
        <f>IFERROR($BM$2&amp;VLOOKUP(C143,'Pay Table'!$M$3:$N$18,2,FALSE)&amp;$BL$2&amp;#REF!&amp;$BN$2,"")</f>
        <v/>
      </c>
      <c r="BN141" s="49" t="str">
        <f>IFERROR($BM$2&amp;VLOOKUP(D143,'Pay Table'!$M$3:$N$18,2,FALSE)&amp;$BL$2&amp;#REF!&amp;$BN$2,"")</f>
        <v/>
      </c>
      <c r="BO141" s="49" t="str">
        <f>IFERROR($BM$2&amp;VLOOKUP(E143,'Pay Table'!$M$3:$N$18,2,FALSE)&amp;$BL$2&amp;#REF!&amp;$BN$2,"")</f>
        <v/>
      </c>
      <c r="BP141" s="60" t="str">
        <f>IFERROR($BM$2&amp;VLOOKUP(F143,'Pay Table'!$M$3:$N$18,2,FALSE)&amp;$BL$2&amp;#REF!&amp;$BN$2,"")</f>
        <v/>
      </c>
    </row>
    <row r="142" spans="1:68" ht="17.100000000000001" customHeight="1" x14ac:dyDescent="0.15">
      <c r="A142" s="14">
        <v>140</v>
      </c>
      <c r="BL142" s="59" t="str">
        <f>IFERROR($BM$2&amp;VLOOKUP(B144,'Pay Table'!$M$3:$N$18,2,FALSE)&amp;$BL$2&amp;#REF!&amp;$BN$2,"")</f>
        <v/>
      </c>
      <c r="BM142" s="49" t="str">
        <f>IFERROR($BM$2&amp;VLOOKUP(C144,'Pay Table'!$M$3:$N$18,2,FALSE)&amp;$BL$2&amp;#REF!&amp;$BN$2,"")</f>
        <v/>
      </c>
      <c r="BN142" s="49" t="str">
        <f>IFERROR($BM$2&amp;VLOOKUP(D144,'Pay Table'!$M$3:$N$18,2,FALSE)&amp;$BL$2&amp;#REF!&amp;$BN$2,"")</f>
        <v/>
      </c>
      <c r="BO142" s="49" t="str">
        <f>IFERROR($BM$2&amp;VLOOKUP(E144,'Pay Table'!$M$3:$N$18,2,FALSE)&amp;$BL$2&amp;#REF!&amp;$BN$2,"")</f>
        <v/>
      </c>
      <c r="BP142" s="60" t="str">
        <f>IFERROR($BM$2&amp;VLOOKUP(F144,'Pay Table'!$M$3:$N$18,2,FALSE)&amp;$BL$2&amp;#REF!&amp;$BN$2,"")</f>
        <v/>
      </c>
    </row>
    <row r="143" spans="1:68" ht="17.100000000000001" customHeight="1" x14ac:dyDescent="0.15">
      <c r="A143" s="14">
        <v>141</v>
      </c>
      <c r="BL143" s="59" t="str">
        <f>IFERROR($BM$2&amp;VLOOKUP(B145,'Pay Table'!$M$3:$N$18,2,FALSE)&amp;$BL$2&amp;#REF!&amp;$BN$2,"")</f>
        <v/>
      </c>
      <c r="BM143" s="49" t="str">
        <f>IFERROR($BM$2&amp;VLOOKUP(C145,'Pay Table'!$M$3:$N$18,2,FALSE)&amp;$BL$2&amp;#REF!&amp;$BN$2,"")</f>
        <v/>
      </c>
      <c r="BN143" s="49" t="str">
        <f>IFERROR($BM$2&amp;VLOOKUP(D145,'Pay Table'!$M$3:$N$18,2,FALSE)&amp;$BL$2&amp;#REF!&amp;$BN$2,"")</f>
        <v/>
      </c>
      <c r="BO143" s="49" t="str">
        <f>IFERROR($BM$2&amp;VLOOKUP(E145,'Pay Table'!$M$3:$N$18,2,FALSE)&amp;$BL$2&amp;#REF!&amp;$BN$2,"")</f>
        <v/>
      </c>
      <c r="BP143" s="60" t="str">
        <f>IFERROR($BM$2&amp;VLOOKUP(F145,'Pay Table'!$M$3:$N$18,2,FALSE)&amp;$BL$2&amp;#REF!&amp;$BN$2,"")</f>
        <v/>
      </c>
    </row>
    <row r="144" spans="1:68" ht="17.100000000000001" customHeight="1" x14ac:dyDescent="0.15">
      <c r="A144" s="14">
        <v>142</v>
      </c>
      <c r="BL144" s="59" t="str">
        <f>IFERROR($BM$2&amp;VLOOKUP(B146,'Pay Table'!$M$3:$N$18,2,FALSE)&amp;$BL$2&amp;#REF!&amp;$BN$2,"")</f>
        <v/>
      </c>
      <c r="BM144" s="49" t="str">
        <f>IFERROR($BM$2&amp;VLOOKUP(C146,'Pay Table'!$M$3:$N$18,2,FALSE)&amp;$BL$2&amp;#REF!&amp;$BN$2,"")</f>
        <v/>
      </c>
      <c r="BN144" s="49" t="str">
        <f>IFERROR($BM$2&amp;VLOOKUP(D146,'Pay Table'!$M$3:$N$18,2,FALSE)&amp;$BL$2&amp;#REF!&amp;$BN$2,"")</f>
        <v/>
      </c>
      <c r="BO144" s="49" t="str">
        <f>IFERROR($BM$2&amp;VLOOKUP(E146,'Pay Table'!$M$3:$N$18,2,FALSE)&amp;$BL$2&amp;#REF!&amp;$BN$2,"")</f>
        <v/>
      </c>
      <c r="BP144" s="60" t="str">
        <f>IFERROR($BM$2&amp;VLOOKUP(F146,'Pay Table'!$M$3:$N$18,2,FALSE)&amp;$BL$2&amp;#REF!&amp;$BN$2,"")</f>
        <v/>
      </c>
    </row>
    <row r="145" spans="1:68" ht="17.100000000000001" customHeight="1" x14ac:dyDescent="0.15">
      <c r="A145" s="14">
        <v>143</v>
      </c>
      <c r="BL145" s="59" t="str">
        <f>IFERROR($BM$2&amp;VLOOKUP(B147,'Pay Table'!$M$3:$N$18,2,FALSE)&amp;$BL$2&amp;#REF!&amp;$BN$2,"")</f>
        <v/>
      </c>
      <c r="BM145" s="49" t="str">
        <f>IFERROR($BM$2&amp;VLOOKUP(C147,'Pay Table'!$M$3:$N$18,2,FALSE)&amp;$BL$2&amp;#REF!&amp;$BN$2,"")</f>
        <v/>
      </c>
      <c r="BN145" s="49" t="str">
        <f>IFERROR($BM$2&amp;VLOOKUP(D147,'Pay Table'!$M$3:$N$18,2,FALSE)&amp;$BL$2&amp;#REF!&amp;$BN$2,"")</f>
        <v/>
      </c>
      <c r="BO145" s="49" t="str">
        <f>IFERROR($BM$2&amp;VLOOKUP(E147,'Pay Table'!$M$3:$N$18,2,FALSE)&amp;$BL$2&amp;#REF!&amp;$BN$2,"")</f>
        <v/>
      </c>
      <c r="BP145" s="60" t="str">
        <f>IFERROR($BM$2&amp;VLOOKUP(F147,'Pay Table'!$M$3:$N$18,2,FALSE)&amp;$BL$2&amp;#REF!&amp;$BN$2,"")</f>
        <v/>
      </c>
    </row>
    <row r="146" spans="1:68" ht="17.100000000000001" customHeight="1" x14ac:dyDescent="0.15">
      <c r="A146" s="14">
        <v>144</v>
      </c>
      <c r="BL146" s="59" t="str">
        <f>IFERROR($BM$2&amp;VLOOKUP(B148,'Pay Table'!$M$3:$N$18,2,FALSE)&amp;$BL$2&amp;#REF!&amp;$BN$2,"")</f>
        <v/>
      </c>
      <c r="BM146" s="49" t="str">
        <f>IFERROR($BM$2&amp;VLOOKUP(C148,'Pay Table'!$M$3:$N$18,2,FALSE)&amp;$BL$2&amp;#REF!&amp;$BN$2,"")</f>
        <v/>
      </c>
      <c r="BN146" s="49" t="str">
        <f>IFERROR($BM$2&amp;VLOOKUP(D148,'Pay Table'!$M$3:$N$18,2,FALSE)&amp;$BL$2&amp;#REF!&amp;$BN$2,"")</f>
        <v/>
      </c>
      <c r="BO146" s="49" t="str">
        <f>IFERROR($BM$2&amp;VLOOKUP(E148,'Pay Table'!$M$3:$N$18,2,FALSE)&amp;$BL$2&amp;#REF!&amp;$BN$2,"")</f>
        <v/>
      </c>
      <c r="BP146" s="60" t="str">
        <f>IFERROR($BM$2&amp;VLOOKUP(F148,'Pay Table'!$M$3:$N$18,2,FALSE)&amp;$BL$2&amp;#REF!&amp;$BN$2,"")</f>
        <v/>
      </c>
    </row>
    <row r="147" spans="1:68" ht="17.100000000000001" customHeight="1" x14ac:dyDescent="0.15">
      <c r="A147" s="14">
        <v>145</v>
      </c>
      <c r="BL147" s="59" t="str">
        <f>IFERROR($BM$2&amp;VLOOKUP(B149,'Pay Table'!$M$3:$N$18,2,FALSE)&amp;$BL$2&amp;#REF!&amp;$BN$2,"")</f>
        <v/>
      </c>
      <c r="BM147" s="49" t="str">
        <f>IFERROR($BM$2&amp;VLOOKUP(C149,'Pay Table'!$M$3:$N$18,2,FALSE)&amp;$BL$2&amp;#REF!&amp;$BN$2,"")</f>
        <v/>
      </c>
      <c r="BN147" s="49" t="str">
        <f>IFERROR($BM$2&amp;VLOOKUP(D149,'Pay Table'!$M$3:$N$18,2,FALSE)&amp;$BL$2&amp;#REF!&amp;$BN$2,"")</f>
        <v/>
      </c>
      <c r="BO147" s="49" t="str">
        <f>IFERROR($BM$2&amp;VLOOKUP(E149,'Pay Table'!$M$3:$N$18,2,FALSE)&amp;$BL$2&amp;#REF!&amp;$BN$2,"")</f>
        <v/>
      </c>
      <c r="BP147" s="60" t="str">
        <f>IFERROR($BM$2&amp;VLOOKUP(F149,'Pay Table'!$M$3:$N$18,2,FALSE)&amp;$BL$2&amp;#REF!&amp;$BN$2,"")</f>
        <v/>
      </c>
    </row>
    <row r="148" spans="1:68" ht="17.100000000000001" customHeight="1" x14ac:dyDescent="0.15">
      <c r="A148" s="14">
        <v>146</v>
      </c>
      <c r="BL148" s="59" t="str">
        <f>IFERROR($BM$2&amp;VLOOKUP(B150,'Pay Table'!$M$3:$N$18,2,FALSE)&amp;$BL$2&amp;#REF!&amp;$BN$2,"")</f>
        <v/>
      </c>
      <c r="BM148" s="49" t="str">
        <f>IFERROR($BM$2&amp;VLOOKUP(C150,'Pay Table'!$M$3:$N$18,2,FALSE)&amp;$BL$2&amp;#REF!&amp;$BN$2,"")</f>
        <v/>
      </c>
      <c r="BN148" s="49" t="str">
        <f>IFERROR($BM$2&amp;VLOOKUP(D150,'Pay Table'!$M$3:$N$18,2,FALSE)&amp;$BL$2&amp;#REF!&amp;$BN$2,"")</f>
        <v/>
      </c>
      <c r="BO148" s="49" t="str">
        <f>IFERROR($BM$2&amp;VLOOKUP(E150,'Pay Table'!$M$3:$N$18,2,FALSE)&amp;$BL$2&amp;#REF!&amp;$BN$2,"")</f>
        <v/>
      </c>
      <c r="BP148" s="60" t="str">
        <f>IFERROR($BM$2&amp;VLOOKUP(F150,'Pay Table'!$M$3:$N$18,2,FALSE)&amp;$BL$2&amp;#REF!&amp;$BN$2,"")</f>
        <v/>
      </c>
    </row>
    <row r="149" spans="1:68" ht="17.100000000000001" customHeight="1" x14ac:dyDescent="0.15">
      <c r="A149" s="14">
        <v>147</v>
      </c>
      <c r="BL149" s="59" t="str">
        <f>IFERROR($BM$2&amp;VLOOKUP(B151,'Pay Table'!$M$3:$N$18,2,FALSE)&amp;$BL$2&amp;#REF!&amp;$BN$2,"")</f>
        <v/>
      </c>
      <c r="BM149" s="49" t="str">
        <f>IFERROR($BM$2&amp;VLOOKUP(C151,'Pay Table'!$M$3:$N$18,2,FALSE)&amp;$BL$2&amp;#REF!&amp;$BN$2,"")</f>
        <v/>
      </c>
      <c r="BN149" s="49" t="str">
        <f>IFERROR($BM$2&amp;VLOOKUP(D151,'Pay Table'!$M$3:$N$18,2,FALSE)&amp;$BL$2&amp;#REF!&amp;$BN$2,"")</f>
        <v/>
      </c>
      <c r="BO149" s="49" t="str">
        <f>IFERROR($BM$2&amp;VLOOKUP(E151,'Pay Table'!$M$3:$N$18,2,FALSE)&amp;$BL$2&amp;#REF!&amp;$BN$2,"")</f>
        <v/>
      </c>
      <c r="BP149" s="60" t="str">
        <f>IFERROR($BM$2&amp;VLOOKUP(F151,'Pay Table'!$M$3:$N$18,2,FALSE)&amp;$BL$2&amp;#REF!&amp;$BN$2,"")</f>
        <v/>
      </c>
    </row>
    <row r="150" spans="1:68" ht="17.100000000000001" customHeight="1" x14ac:dyDescent="0.15">
      <c r="A150" s="14">
        <v>148</v>
      </c>
      <c r="BL150" s="59" t="str">
        <f>IFERROR($BM$2&amp;VLOOKUP(B152,'Pay Table'!$M$3:$N$18,2,FALSE)&amp;$BL$2&amp;#REF!&amp;$BN$2,"")</f>
        <v/>
      </c>
      <c r="BM150" s="49" t="str">
        <f>IFERROR($BM$2&amp;VLOOKUP(C152,'Pay Table'!$M$3:$N$18,2,FALSE)&amp;$BL$2&amp;#REF!&amp;$BN$2,"")</f>
        <v/>
      </c>
      <c r="BN150" s="49" t="str">
        <f>IFERROR($BM$2&amp;VLOOKUP(D152,'Pay Table'!$M$3:$N$18,2,FALSE)&amp;$BL$2&amp;#REF!&amp;$BN$2,"")</f>
        <v/>
      </c>
      <c r="BO150" s="49" t="str">
        <f>IFERROR($BM$2&amp;VLOOKUP(E152,'Pay Table'!$M$3:$N$18,2,FALSE)&amp;$BL$2&amp;#REF!&amp;$BN$2,"")</f>
        <v/>
      </c>
      <c r="BP150" s="60" t="str">
        <f>IFERROR($BM$2&amp;VLOOKUP(F152,'Pay Table'!$M$3:$N$18,2,FALSE)&amp;$BL$2&amp;#REF!&amp;$BN$2,"")</f>
        <v/>
      </c>
    </row>
    <row r="151" spans="1:68" ht="17.100000000000001" customHeight="1" x14ac:dyDescent="0.15">
      <c r="A151" s="14">
        <v>149</v>
      </c>
      <c r="BL151" s="59" t="str">
        <f>IFERROR($BM$2&amp;VLOOKUP(B153,'Pay Table'!$M$3:$N$18,2,FALSE)&amp;$BL$2&amp;#REF!&amp;$BN$2,"")</f>
        <v/>
      </c>
      <c r="BM151" s="49" t="str">
        <f>IFERROR($BM$2&amp;VLOOKUP(C153,'Pay Table'!$M$3:$N$18,2,FALSE)&amp;$BL$2&amp;#REF!&amp;$BN$2,"")</f>
        <v/>
      </c>
      <c r="BN151" s="49" t="str">
        <f>IFERROR($BM$2&amp;VLOOKUP(D153,'Pay Table'!$M$3:$N$18,2,FALSE)&amp;$BL$2&amp;#REF!&amp;$BN$2,"")</f>
        <v/>
      </c>
      <c r="BO151" s="49" t="str">
        <f>IFERROR($BM$2&amp;VLOOKUP(E153,'Pay Table'!$M$3:$N$18,2,FALSE)&amp;$BL$2&amp;#REF!&amp;$BN$2,"")</f>
        <v/>
      </c>
      <c r="BP151" s="60" t="str">
        <f>IFERROR($BM$2&amp;VLOOKUP(F153,'Pay Table'!$M$3:$N$18,2,FALSE)&amp;$BL$2&amp;#REF!&amp;$BN$2,"")</f>
        <v/>
      </c>
    </row>
    <row r="152" spans="1:68" ht="17.100000000000001" customHeight="1" x14ac:dyDescent="0.15">
      <c r="A152" s="14">
        <v>150</v>
      </c>
      <c r="BL152" s="59" t="str">
        <f>IFERROR($BM$2&amp;VLOOKUP(B154,'Pay Table'!$M$3:$N$18,2,FALSE)&amp;$BL$2&amp;#REF!&amp;$BN$2,"")</f>
        <v/>
      </c>
      <c r="BM152" s="49" t="str">
        <f>IFERROR($BM$2&amp;VLOOKUP(C154,'Pay Table'!$M$3:$N$18,2,FALSE)&amp;$BL$2&amp;#REF!&amp;$BN$2,"")</f>
        <v/>
      </c>
      <c r="BN152" s="49" t="str">
        <f>IFERROR($BM$2&amp;VLOOKUP(D154,'Pay Table'!$M$3:$N$18,2,FALSE)&amp;$BL$2&amp;#REF!&amp;$BN$2,"")</f>
        <v/>
      </c>
      <c r="BO152" s="49" t="str">
        <f>IFERROR($BM$2&amp;VLOOKUP(E154,'Pay Table'!$M$3:$N$18,2,FALSE)&amp;$BL$2&amp;#REF!&amp;$BN$2,"")</f>
        <v/>
      </c>
      <c r="BP152" s="60" t="str">
        <f>IFERROR($BM$2&amp;VLOOKUP(F154,'Pay Table'!$M$3:$N$18,2,FALSE)&amp;$BL$2&amp;#REF!&amp;$BN$2,"")</f>
        <v/>
      </c>
    </row>
    <row r="153" spans="1:68" ht="17.100000000000001" customHeight="1" x14ac:dyDescent="0.15">
      <c r="A153" s="14">
        <v>151</v>
      </c>
      <c r="BL153" s="59" t="str">
        <f>IFERROR($BM$2&amp;VLOOKUP(B155,'Pay Table'!$M$3:$N$18,2,FALSE)&amp;$BL$2&amp;#REF!&amp;$BN$2,"")</f>
        <v/>
      </c>
      <c r="BM153" s="49" t="str">
        <f>IFERROR($BM$2&amp;VLOOKUP(C155,'Pay Table'!$M$3:$N$18,2,FALSE)&amp;$BL$2&amp;#REF!&amp;$BN$2,"")</f>
        <v/>
      </c>
      <c r="BN153" s="49" t="str">
        <f>IFERROR($BM$2&amp;VLOOKUP(D155,'Pay Table'!$M$3:$N$18,2,FALSE)&amp;$BL$2&amp;#REF!&amp;$BN$2,"")</f>
        <v/>
      </c>
      <c r="BO153" s="49" t="str">
        <f>IFERROR($BM$2&amp;VLOOKUP(E155,'Pay Table'!$M$3:$N$18,2,FALSE)&amp;$BL$2&amp;#REF!&amp;$BN$2,"")</f>
        <v/>
      </c>
      <c r="BP153" s="60" t="str">
        <f>IFERROR($BM$2&amp;VLOOKUP(F155,'Pay Table'!$M$3:$N$18,2,FALSE)&amp;$BL$2&amp;#REF!&amp;$BN$2,"")</f>
        <v/>
      </c>
    </row>
    <row r="154" spans="1:68" ht="17.100000000000001" customHeight="1" x14ac:dyDescent="0.15">
      <c r="A154" s="14">
        <v>152</v>
      </c>
      <c r="BL154" s="59" t="str">
        <f>IFERROR($BM$2&amp;VLOOKUP(B156,'Pay Table'!$M$3:$N$18,2,FALSE)&amp;$BL$2&amp;#REF!&amp;$BN$2,"")</f>
        <v/>
      </c>
      <c r="BM154" s="49" t="str">
        <f>IFERROR($BM$2&amp;VLOOKUP(C156,'Pay Table'!$M$3:$N$18,2,FALSE)&amp;$BL$2&amp;#REF!&amp;$BN$2,"")</f>
        <v/>
      </c>
      <c r="BN154" s="49" t="str">
        <f>IFERROR($BM$2&amp;VLOOKUP(D156,'Pay Table'!$M$3:$N$18,2,FALSE)&amp;$BL$2&amp;#REF!&amp;$BN$2,"")</f>
        <v/>
      </c>
      <c r="BO154" s="49" t="str">
        <f>IFERROR($BM$2&amp;VLOOKUP(E156,'Pay Table'!$M$3:$N$18,2,FALSE)&amp;$BL$2&amp;#REF!&amp;$BN$2,"")</f>
        <v/>
      </c>
      <c r="BP154" s="60" t="str">
        <f>IFERROR($BM$2&amp;VLOOKUP(F156,'Pay Table'!$M$3:$N$18,2,FALSE)&amp;$BL$2&amp;#REF!&amp;$BN$2,"")</f>
        <v/>
      </c>
    </row>
    <row r="155" spans="1:68" ht="17.100000000000001" customHeight="1" x14ac:dyDescent="0.15">
      <c r="A155" s="14">
        <v>153</v>
      </c>
      <c r="BL155" s="59" t="str">
        <f>IFERROR($BM$2&amp;VLOOKUP(B157,'Pay Table'!$M$3:$N$18,2,FALSE)&amp;$BL$2&amp;#REF!&amp;$BN$2,"")</f>
        <v/>
      </c>
      <c r="BM155" s="49" t="str">
        <f>IFERROR($BM$2&amp;VLOOKUP(C157,'Pay Table'!$M$3:$N$18,2,FALSE)&amp;$BL$2&amp;#REF!&amp;$BN$2,"")</f>
        <v/>
      </c>
      <c r="BN155" s="49" t="str">
        <f>IFERROR($BM$2&amp;VLOOKUP(D157,'Pay Table'!$M$3:$N$18,2,FALSE)&amp;$BL$2&amp;#REF!&amp;$BN$2,"")</f>
        <v/>
      </c>
      <c r="BO155" s="49" t="str">
        <f>IFERROR($BM$2&amp;VLOOKUP(E157,'Pay Table'!$M$3:$N$18,2,FALSE)&amp;$BL$2&amp;#REF!&amp;$BN$2,"")</f>
        <v/>
      </c>
      <c r="BP155" s="60" t="str">
        <f>IFERROR($BM$2&amp;VLOOKUP(F157,'Pay Table'!$M$3:$N$18,2,FALSE)&amp;$BL$2&amp;#REF!&amp;$BN$2,"")</f>
        <v/>
      </c>
    </row>
    <row r="156" spans="1:68" ht="17.100000000000001" customHeight="1" x14ac:dyDescent="0.15">
      <c r="A156" s="14">
        <v>154</v>
      </c>
      <c r="BL156" s="59" t="str">
        <f>IFERROR($BM$2&amp;VLOOKUP(B158,'Pay Table'!$M$3:$N$18,2,FALSE)&amp;$BL$2&amp;#REF!&amp;$BN$2,"")</f>
        <v/>
      </c>
      <c r="BM156" s="49" t="str">
        <f>IFERROR($BM$2&amp;VLOOKUP(C158,'Pay Table'!$M$3:$N$18,2,FALSE)&amp;$BL$2&amp;#REF!&amp;$BN$2,"")</f>
        <v/>
      </c>
      <c r="BN156" s="49" t="str">
        <f>IFERROR($BM$2&amp;VLOOKUP(D158,'Pay Table'!$M$3:$N$18,2,FALSE)&amp;$BL$2&amp;#REF!&amp;$BN$2,"")</f>
        <v/>
      </c>
      <c r="BO156" s="49" t="str">
        <f>IFERROR($BM$2&amp;VLOOKUP(E158,'Pay Table'!$M$3:$N$18,2,FALSE)&amp;$BL$2&amp;#REF!&amp;$BN$2,"")</f>
        <v/>
      </c>
      <c r="BP156" s="60" t="str">
        <f>IFERROR($BM$2&amp;VLOOKUP(F158,'Pay Table'!$M$3:$N$18,2,FALSE)&amp;$BL$2&amp;#REF!&amp;$BN$2,"")</f>
        <v/>
      </c>
    </row>
    <row r="157" spans="1:68" ht="17.100000000000001" customHeight="1" x14ac:dyDescent="0.15">
      <c r="A157" s="14">
        <v>155</v>
      </c>
      <c r="BL157" s="59" t="str">
        <f>IFERROR($BM$2&amp;VLOOKUP(B159,'Pay Table'!$M$3:$N$18,2,FALSE)&amp;$BL$2&amp;#REF!&amp;$BN$2,"")</f>
        <v/>
      </c>
      <c r="BM157" s="49" t="str">
        <f>IFERROR($BM$2&amp;VLOOKUP(C159,'Pay Table'!$M$3:$N$18,2,FALSE)&amp;$BL$2&amp;#REF!&amp;$BN$2,"")</f>
        <v/>
      </c>
      <c r="BN157" s="49" t="str">
        <f>IFERROR($BM$2&amp;VLOOKUP(D159,'Pay Table'!$M$3:$N$18,2,FALSE)&amp;$BL$2&amp;#REF!&amp;$BN$2,"")</f>
        <v/>
      </c>
      <c r="BO157" s="49" t="str">
        <f>IFERROR($BM$2&amp;VLOOKUP(E159,'Pay Table'!$M$3:$N$18,2,FALSE)&amp;$BL$2&amp;#REF!&amp;$BN$2,"")</f>
        <v/>
      </c>
      <c r="BP157" s="60" t="str">
        <f>IFERROR($BM$2&amp;VLOOKUP(F159,'Pay Table'!$M$3:$N$18,2,FALSE)&amp;$BL$2&amp;#REF!&amp;$BN$2,"")</f>
        <v/>
      </c>
    </row>
    <row r="158" spans="1:68" ht="17.100000000000001" customHeight="1" x14ac:dyDescent="0.15">
      <c r="A158" s="14">
        <v>156</v>
      </c>
      <c r="BL158" s="59" t="str">
        <f>IFERROR($BM$2&amp;VLOOKUP(B160,'Pay Table'!$M$3:$N$18,2,FALSE)&amp;$BL$2&amp;#REF!&amp;$BN$2,"")</f>
        <v/>
      </c>
      <c r="BM158" s="49" t="str">
        <f>IFERROR($BM$2&amp;VLOOKUP(C160,'Pay Table'!$M$3:$N$18,2,FALSE)&amp;$BL$2&amp;#REF!&amp;$BN$2,"")</f>
        <v/>
      </c>
      <c r="BN158" s="49" t="str">
        <f>IFERROR($BM$2&amp;VLOOKUP(D160,'Pay Table'!$M$3:$N$18,2,FALSE)&amp;$BL$2&amp;#REF!&amp;$BN$2,"")</f>
        <v/>
      </c>
      <c r="BO158" s="49" t="str">
        <f>IFERROR($BM$2&amp;VLOOKUP(E160,'Pay Table'!$M$3:$N$18,2,FALSE)&amp;$BL$2&amp;#REF!&amp;$BN$2,"")</f>
        <v/>
      </c>
      <c r="BP158" s="60" t="str">
        <f>IFERROR($BM$2&amp;VLOOKUP(F160,'Pay Table'!$M$3:$N$18,2,FALSE)&amp;$BL$2&amp;#REF!&amp;$BN$2,"")</f>
        <v/>
      </c>
    </row>
    <row r="159" spans="1:68" ht="17.100000000000001" customHeight="1" x14ac:dyDescent="0.15">
      <c r="A159" s="14">
        <v>157</v>
      </c>
      <c r="BL159" s="59" t="str">
        <f>IFERROR($BM$2&amp;VLOOKUP(B161,'Pay Table'!$M$3:$N$18,2,FALSE)&amp;$BL$2&amp;#REF!&amp;$BN$2,"")</f>
        <v/>
      </c>
      <c r="BM159" s="49" t="str">
        <f>IFERROR($BM$2&amp;VLOOKUP(C161,'Pay Table'!$M$3:$N$18,2,FALSE)&amp;$BL$2&amp;#REF!&amp;$BN$2,"")</f>
        <v/>
      </c>
      <c r="BN159" s="49" t="str">
        <f>IFERROR($BM$2&amp;VLOOKUP(D161,'Pay Table'!$M$3:$N$18,2,FALSE)&amp;$BL$2&amp;#REF!&amp;$BN$2,"")</f>
        <v/>
      </c>
      <c r="BO159" s="49" t="str">
        <f>IFERROR($BM$2&amp;VLOOKUP(E161,'Pay Table'!$M$3:$N$18,2,FALSE)&amp;$BL$2&amp;#REF!&amp;$BN$2,"")</f>
        <v/>
      </c>
      <c r="BP159" s="60" t="str">
        <f>IFERROR($BM$2&amp;VLOOKUP(F161,'Pay Table'!$M$3:$N$18,2,FALSE)&amp;$BL$2&amp;#REF!&amp;$BN$2,"")</f>
        <v/>
      </c>
    </row>
    <row r="160" spans="1:68" ht="17.100000000000001" customHeight="1" x14ac:dyDescent="0.15">
      <c r="A160" s="14">
        <v>158</v>
      </c>
      <c r="BL160" s="59" t="str">
        <f>IFERROR($BM$2&amp;VLOOKUP(B162,'Pay Table'!$M$3:$N$18,2,FALSE)&amp;$BL$2&amp;#REF!&amp;$BN$2,"")</f>
        <v/>
      </c>
      <c r="BM160" s="49" t="str">
        <f>IFERROR($BM$2&amp;VLOOKUP(C162,'Pay Table'!$M$3:$N$18,2,FALSE)&amp;$BL$2&amp;#REF!&amp;$BN$2,"")</f>
        <v/>
      </c>
      <c r="BN160" s="49" t="str">
        <f>IFERROR($BM$2&amp;VLOOKUP(D162,'Pay Table'!$M$3:$N$18,2,FALSE)&amp;$BL$2&amp;#REF!&amp;$BN$2,"")</f>
        <v/>
      </c>
      <c r="BO160" s="49" t="str">
        <f>IFERROR($BM$2&amp;VLOOKUP(E162,'Pay Table'!$M$3:$N$18,2,FALSE)&amp;$BL$2&amp;#REF!&amp;$BN$2,"")</f>
        <v/>
      </c>
      <c r="BP160" s="60" t="str">
        <f>IFERROR($BM$2&amp;VLOOKUP(F162,'Pay Table'!$M$3:$N$18,2,FALSE)&amp;$BL$2&amp;#REF!&amp;$BN$2,"")</f>
        <v/>
      </c>
    </row>
    <row r="161" spans="1:68" ht="17.100000000000001" customHeight="1" x14ac:dyDescent="0.15">
      <c r="A161" s="14">
        <v>159</v>
      </c>
      <c r="BL161" s="59" t="str">
        <f>IFERROR($BM$2&amp;VLOOKUP(B163,'Pay Table'!$M$3:$N$18,2,FALSE)&amp;$BL$2&amp;#REF!&amp;$BN$2,"")</f>
        <v/>
      </c>
      <c r="BM161" s="49" t="str">
        <f>IFERROR($BM$2&amp;VLOOKUP(C163,'Pay Table'!$M$3:$N$18,2,FALSE)&amp;$BL$2&amp;#REF!&amp;$BN$2,"")</f>
        <v/>
      </c>
      <c r="BN161" s="49" t="str">
        <f>IFERROR($BM$2&amp;VLOOKUP(D163,'Pay Table'!$M$3:$N$18,2,FALSE)&amp;$BL$2&amp;#REF!&amp;$BN$2,"")</f>
        <v/>
      </c>
      <c r="BO161" s="49" t="str">
        <f>IFERROR($BM$2&amp;VLOOKUP(E163,'Pay Table'!$M$3:$N$18,2,FALSE)&amp;$BL$2&amp;#REF!&amp;$BN$2,"")</f>
        <v/>
      </c>
      <c r="BP161" s="60" t="str">
        <f>IFERROR($BM$2&amp;VLOOKUP(F163,'Pay Table'!$M$3:$N$18,2,FALSE)&amp;$BL$2&amp;#REF!&amp;$BN$2,"")</f>
        <v/>
      </c>
    </row>
    <row r="162" spans="1:68" ht="17.100000000000001" customHeight="1" x14ac:dyDescent="0.15">
      <c r="A162" s="14">
        <v>160</v>
      </c>
      <c r="BL162" s="59" t="str">
        <f>IFERROR($BM$2&amp;VLOOKUP(B164,'Pay Table'!$M$3:$N$18,2,FALSE)&amp;$BL$2&amp;#REF!&amp;$BN$2,"")</f>
        <v/>
      </c>
      <c r="BM162" s="49" t="str">
        <f>IFERROR($BM$2&amp;VLOOKUP(C164,'Pay Table'!$M$3:$N$18,2,FALSE)&amp;$BL$2&amp;#REF!&amp;$BN$2,"")</f>
        <v/>
      </c>
      <c r="BN162" s="49" t="str">
        <f>IFERROR($BM$2&amp;VLOOKUP(D164,'Pay Table'!$M$3:$N$18,2,FALSE)&amp;$BL$2&amp;#REF!&amp;$BN$2,"")</f>
        <v/>
      </c>
      <c r="BO162" s="49" t="str">
        <f>IFERROR($BM$2&amp;VLOOKUP(E164,'Pay Table'!$M$3:$N$18,2,FALSE)&amp;$BL$2&amp;#REF!&amp;$BN$2,"")</f>
        <v/>
      </c>
      <c r="BP162" s="60" t="str">
        <f>IFERROR($BM$2&amp;VLOOKUP(F164,'Pay Table'!$M$3:$N$18,2,FALSE)&amp;$BL$2&amp;#REF!&amp;$BN$2,"")</f>
        <v/>
      </c>
    </row>
    <row r="163" spans="1:68" ht="17.100000000000001" customHeight="1" x14ac:dyDescent="0.15">
      <c r="A163" s="14">
        <v>161</v>
      </c>
      <c r="BL163" s="59" t="str">
        <f>IFERROR($BM$2&amp;VLOOKUP(B165,'Pay Table'!$M$3:$N$18,2,FALSE)&amp;$BL$2&amp;#REF!&amp;$BN$2,"")</f>
        <v/>
      </c>
      <c r="BM163" s="49" t="str">
        <f>IFERROR($BM$2&amp;VLOOKUP(C165,'Pay Table'!$M$3:$N$18,2,FALSE)&amp;$BL$2&amp;#REF!&amp;$BN$2,"")</f>
        <v/>
      </c>
      <c r="BN163" s="49" t="str">
        <f>IFERROR($BM$2&amp;VLOOKUP(D165,'Pay Table'!$M$3:$N$18,2,FALSE)&amp;$BL$2&amp;#REF!&amp;$BN$2,"")</f>
        <v/>
      </c>
      <c r="BO163" s="49" t="str">
        <f>IFERROR($BM$2&amp;VLOOKUP(E165,'Pay Table'!$M$3:$N$18,2,FALSE)&amp;$BL$2&amp;#REF!&amp;$BN$2,"")</f>
        <v/>
      </c>
      <c r="BP163" s="60" t="str">
        <f>IFERROR($BM$2&amp;VLOOKUP(F165,'Pay Table'!$M$3:$N$18,2,FALSE)&amp;$BL$2&amp;#REF!&amp;$BN$2,"")</f>
        <v/>
      </c>
    </row>
    <row r="164" spans="1:68" ht="17.100000000000001" customHeight="1" x14ac:dyDescent="0.15">
      <c r="A164" s="14">
        <v>162</v>
      </c>
      <c r="BL164" s="59" t="str">
        <f>IFERROR($BM$2&amp;VLOOKUP(B166,'Pay Table'!$M$3:$N$18,2,FALSE)&amp;$BL$2&amp;#REF!&amp;$BN$2,"")</f>
        <v/>
      </c>
      <c r="BM164" s="49" t="str">
        <f>IFERROR($BM$2&amp;VLOOKUP(C166,'Pay Table'!$M$3:$N$18,2,FALSE)&amp;$BL$2&amp;#REF!&amp;$BN$2,"")</f>
        <v/>
      </c>
      <c r="BN164" s="49" t="str">
        <f>IFERROR($BM$2&amp;VLOOKUP(D166,'Pay Table'!$M$3:$N$18,2,FALSE)&amp;$BL$2&amp;#REF!&amp;$BN$2,"")</f>
        <v/>
      </c>
      <c r="BO164" s="49" t="str">
        <f>IFERROR($BM$2&amp;VLOOKUP(E166,'Pay Table'!$M$3:$N$18,2,FALSE)&amp;$BL$2&amp;#REF!&amp;$BN$2,"")</f>
        <v/>
      </c>
      <c r="BP164" s="60" t="str">
        <f>IFERROR($BM$2&amp;VLOOKUP(F166,'Pay Table'!$M$3:$N$18,2,FALSE)&amp;$BL$2&amp;#REF!&amp;$BN$2,"")</f>
        <v/>
      </c>
    </row>
    <row r="165" spans="1:68" ht="17.100000000000001" customHeight="1" x14ac:dyDescent="0.15">
      <c r="A165" s="14">
        <v>163</v>
      </c>
      <c r="BL165" s="59" t="str">
        <f>IFERROR($BM$2&amp;VLOOKUP(B167,'Pay Table'!$M$3:$N$18,2,FALSE)&amp;$BL$2&amp;#REF!&amp;$BN$2,"")</f>
        <v/>
      </c>
      <c r="BM165" s="49" t="str">
        <f>IFERROR($BM$2&amp;VLOOKUP(C167,'Pay Table'!$M$3:$N$18,2,FALSE)&amp;$BL$2&amp;#REF!&amp;$BN$2,"")</f>
        <v/>
      </c>
      <c r="BN165" s="49" t="str">
        <f>IFERROR($BM$2&amp;VLOOKUP(D167,'Pay Table'!$M$3:$N$18,2,FALSE)&amp;$BL$2&amp;#REF!&amp;$BN$2,"")</f>
        <v/>
      </c>
      <c r="BO165" s="49" t="str">
        <f>IFERROR($BM$2&amp;VLOOKUP(E167,'Pay Table'!$M$3:$N$18,2,FALSE)&amp;$BL$2&amp;#REF!&amp;$BN$2,"")</f>
        <v/>
      </c>
      <c r="BP165" s="60" t="str">
        <f>IFERROR($BM$2&amp;VLOOKUP(F167,'Pay Table'!$M$3:$N$18,2,FALSE)&amp;$BL$2&amp;#REF!&amp;$BN$2,"")</f>
        <v/>
      </c>
    </row>
    <row r="166" spans="1:68" ht="17.100000000000001" customHeight="1" x14ac:dyDescent="0.15">
      <c r="A166" s="14">
        <v>164</v>
      </c>
      <c r="BL166" s="59" t="str">
        <f>IFERROR($BM$2&amp;VLOOKUP(B168,'Pay Table'!$M$3:$N$18,2,FALSE)&amp;$BL$2&amp;#REF!&amp;$BN$2,"")</f>
        <v/>
      </c>
      <c r="BM166" s="49" t="str">
        <f>IFERROR($BM$2&amp;VLOOKUP(C168,'Pay Table'!$M$3:$N$18,2,FALSE)&amp;$BL$2&amp;#REF!&amp;$BN$2,"")</f>
        <v/>
      </c>
      <c r="BN166" s="49" t="str">
        <f>IFERROR($BM$2&amp;VLOOKUP(D168,'Pay Table'!$M$3:$N$18,2,FALSE)&amp;$BL$2&amp;#REF!&amp;$BN$2,"")</f>
        <v/>
      </c>
      <c r="BO166" s="49" t="str">
        <f>IFERROR($BM$2&amp;VLOOKUP(E168,'Pay Table'!$M$3:$N$18,2,FALSE)&amp;$BL$2&amp;#REF!&amp;$BN$2,"")</f>
        <v/>
      </c>
      <c r="BP166" s="60" t="str">
        <f>IFERROR($BM$2&amp;VLOOKUP(F168,'Pay Table'!$M$3:$N$18,2,FALSE)&amp;$BL$2&amp;#REF!&amp;$BN$2,"")</f>
        <v/>
      </c>
    </row>
    <row r="167" spans="1:68" ht="17.100000000000001" customHeight="1" x14ac:dyDescent="0.15">
      <c r="A167" s="14">
        <v>165</v>
      </c>
      <c r="BL167" s="59" t="str">
        <f>IFERROR($BM$2&amp;VLOOKUP(B169,'Pay Table'!$M$3:$N$18,2,FALSE)&amp;$BL$2&amp;#REF!&amp;$BN$2,"")</f>
        <v/>
      </c>
      <c r="BM167" s="49" t="str">
        <f>IFERROR($BM$2&amp;VLOOKUP(C169,'Pay Table'!$M$3:$N$18,2,FALSE)&amp;$BL$2&amp;#REF!&amp;$BN$2,"")</f>
        <v/>
      </c>
      <c r="BN167" s="49" t="str">
        <f>IFERROR($BM$2&amp;VLOOKUP(D169,'Pay Table'!$M$3:$N$18,2,FALSE)&amp;$BL$2&amp;#REF!&amp;$BN$2,"")</f>
        <v/>
      </c>
      <c r="BO167" s="49" t="str">
        <f>IFERROR($BM$2&amp;VLOOKUP(E169,'Pay Table'!$M$3:$N$18,2,FALSE)&amp;$BL$2&amp;#REF!&amp;$BN$2,"")</f>
        <v/>
      </c>
      <c r="BP167" s="60" t="str">
        <f>IFERROR($BM$2&amp;VLOOKUP(F169,'Pay Table'!$M$3:$N$18,2,FALSE)&amp;$BL$2&amp;#REF!&amp;$BN$2,"")</f>
        <v/>
      </c>
    </row>
    <row r="168" spans="1:68" ht="17.100000000000001" customHeight="1" x14ac:dyDescent="0.15">
      <c r="A168" s="14">
        <v>166</v>
      </c>
      <c r="BL168" s="59" t="str">
        <f>IFERROR($BM$2&amp;VLOOKUP(B170,'Pay Table'!$M$3:$N$18,2,FALSE)&amp;$BL$2&amp;#REF!&amp;$BN$2,"")</f>
        <v/>
      </c>
      <c r="BM168" s="49" t="str">
        <f>IFERROR($BM$2&amp;VLOOKUP(C170,'Pay Table'!$M$3:$N$18,2,FALSE)&amp;$BL$2&amp;#REF!&amp;$BN$2,"")</f>
        <v/>
      </c>
      <c r="BN168" s="49" t="str">
        <f>IFERROR($BM$2&amp;VLOOKUP(D170,'Pay Table'!$M$3:$N$18,2,FALSE)&amp;$BL$2&amp;#REF!&amp;$BN$2,"")</f>
        <v/>
      </c>
      <c r="BO168" s="49" t="str">
        <f>IFERROR($BM$2&amp;VLOOKUP(E170,'Pay Table'!$M$3:$N$18,2,FALSE)&amp;$BL$2&amp;#REF!&amp;$BN$2,"")</f>
        <v/>
      </c>
      <c r="BP168" s="60" t="str">
        <f>IFERROR($BM$2&amp;VLOOKUP(F170,'Pay Table'!$M$3:$N$18,2,FALSE)&amp;$BL$2&amp;#REF!&amp;$BN$2,"")</f>
        <v/>
      </c>
    </row>
    <row r="169" spans="1:68" ht="17.100000000000001" customHeight="1" x14ac:dyDescent="0.15">
      <c r="A169" s="14">
        <v>167</v>
      </c>
      <c r="BL169" s="59" t="str">
        <f>IFERROR($BM$2&amp;VLOOKUP(B171,'Pay Table'!$M$3:$N$18,2,FALSE)&amp;$BL$2&amp;#REF!&amp;$BN$2,"")</f>
        <v/>
      </c>
      <c r="BM169" s="49" t="str">
        <f>IFERROR($BM$2&amp;VLOOKUP(C171,'Pay Table'!$M$3:$N$18,2,FALSE)&amp;$BL$2&amp;#REF!&amp;$BN$2,"")</f>
        <v/>
      </c>
      <c r="BN169" s="49" t="str">
        <f>IFERROR($BM$2&amp;VLOOKUP(D171,'Pay Table'!$M$3:$N$18,2,FALSE)&amp;$BL$2&amp;#REF!&amp;$BN$2,"")</f>
        <v/>
      </c>
      <c r="BO169" s="49" t="str">
        <f>IFERROR($BM$2&amp;VLOOKUP(E171,'Pay Table'!$M$3:$N$18,2,FALSE)&amp;$BL$2&amp;#REF!&amp;$BN$2,"")</f>
        <v/>
      </c>
      <c r="BP169" s="60" t="str">
        <f>IFERROR($BM$2&amp;VLOOKUP(F171,'Pay Table'!$M$3:$N$18,2,FALSE)&amp;$BL$2&amp;#REF!&amp;$BN$2,"")</f>
        <v/>
      </c>
    </row>
    <row r="170" spans="1:68" ht="17.100000000000001" customHeight="1" x14ac:dyDescent="0.15">
      <c r="A170" s="14">
        <v>168</v>
      </c>
      <c r="BL170" s="59" t="str">
        <f>IFERROR($BM$2&amp;VLOOKUP(B172,'Pay Table'!$M$3:$N$18,2,FALSE)&amp;$BL$2&amp;#REF!&amp;$BN$2,"")</f>
        <v/>
      </c>
      <c r="BM170" s="49" t="str">
        <f>IFERROR($BM$2&amp;VLOOKUP(C172,'Pay Table'!$M$3:$N$18,2,FALSE)&amp;$BL$2&amp;#REF!&amp;$BN$2,"")</f>
        <v/>
      </c>
      <c r="BN170" s="49" t="str">
        <f>IFERROR($BM$2&amp;VLOOKUP(D172,'Pay Table'!$M$3:$N$18,2,FALSE)&amp;$BL$2&amp;#REF!&amp;$BN$2,"")</f>
        <v/>
      </c>
      <c r="BO170" s="49" t="str">
        <f>IFERROR($BM$2&amp;VLOOKUP(E172,'Pay Table'!$M$3:$N$18,2,FALSE)&amp;$BL$2&amp;#REF!&amp;$BN$2,"")</f>
        <v/>
      </c>
      <c r="BP170" s="60" t="str">
        <f>IFERROR($BM$2&amp;VLOOKUP(F172,'Pay Table'!$M$3:$N$18,2,FALSE)&amp;$BL$2&amp;#REF!&amp;$BN$2,"")</f>
        <v/>
      </c>
    </row>
    <row r="171" spans="1:68" ht="17.100000000000001" customHeight="1" x14ac:dyDescent="0.15">
      <c r="A171" s="14">
        <v>169</v>
      </c>
      <c r="BL171" s="59" t="str">
        <f>IFERROR($BM$2&amp;VLOOKUP(B173,'Pay Table'!$M$3:$N$18,2,FALSE)&amp;$BL$2&amp;#REF!&amp;$BN$2,"")</f>
        <v/>
      </c>
      <c r="BM171" s="49" t="str">
        <f>IFERROR($BM$2&amp;VLOOKUP(C173,'Pay Table'!$M$3:$N$18,2,FALSE)&amp;$BL$2&amp;#REF!&amp;$BN$2,"")</f>
        <v/>
      </c>
      <c r="BN171" s="49" t="str">
        <f>IFERROR($BM$2&amp;VLOOKUP(D173,'Pay Table'!$M$3:$N$18,2,FALSE)&amp;$BL$2&amp;#REF!&amp;$BN$2,"")</f>
        <v/>
      </c>
      <c r="BO171" s="49" t="str">
        <f>IFERROR($BM$2&amp;VLOOKUP(E173,'Pay Table'!$M$3:$N$18,2,FALSE)&amp;$BL$2&amp;#REF!&amp;$BN$2,"")</f>
        <v/>
      </c>
      <c r="BP171" s="60" t="str">
        <f>IFERROR($BM$2&amp;VLOOKUP(F173,'Pay Table'!$M$3:$N$18,2,FALSE)&amp;$BL$2&amp;#REF!&amp;$BN$2,"")</f>
        <v/>
      </c>
    </row>
    <row r="172" spans="1:68" ht="17.100000000000001" customHeight="1" x14ac:dyDescent="0.15">
      <c r="A172" s="14">
        <v>170</v>
      </c>
      <c r="BL172" s="59" t="str">
        <f>IFERROR($BM$2&amp;VLOOKUP(B174,'Pay Table'!$M$3:$N$18,2,FALSE)&amp;$BL$2&amp;#REF!&amp;$BN$2,"")</f>
        <v/>
      </c>
      <c r="BM172" s="49" t="str">
        <f>IFERROR($BM$2&amp;VLOOKUP(C174,'Pay Table'!$M$3:$N$18,2,FALSE)&amp;$BL$2&amp;#REF!&amp;$BN$2,"")</f>
        <v/>
      </c>
      <c r="BN172" s="49" t="str">
        <f>IFERROR($BM$2&amp;VLOOKUP(D174,'Pay Table'!$M$3:$N$18,2,FALSE)&amp;$BL$2&amp;#REF!&amp;$BN$2,"")</f>
        <v/>
      </c>
      <c r="BO172" s="49" t="str">
        <f>IFERROR($BM$2&amp;VLOOKUP(E174,'Pay Table'!$M$3:$N$18,2,FALSE)&amp;$BL$2&amp;#REF!&amp;$BN$2,"")</f>
        <v/>
      </c>
      <c r="BP172" s="60" t="str">
        <f>IFERROR($BM$2&amp;VLOOKUP(F174,'Pay Table'!$M$3:$N$18,2,FALSE)&amp;$BL$2&amp;#REF!&amp;$BN$2,"")</f>
        <v/>
      </c>
    </row>
    <row r="173" spans="1:68" ht="17.100000000000001" customHeight="1" x14ac:dyDescent="0.15">
      <c r="A173" s="14">
        <v>171</v>
      </c>
      <c r="BL173" s="59" t="str">
        <f>IFERROR($BM$2&amp;VLOOKUP(B175,'Pay Table'!$M$3:$N$18,2,FALSE)&amp;$BL$2&amp;#REF!&amp;$BN$2,"")</f>
        <v/>
      </c>
      <c r="BM173" s="49" t="str">
        <f>IFERROR($BM$2&amp;VLOOKUP(C175,'Pay Table'!$M$3:$N$18,2,FALSE)&amp;$BL$2&amp;#REF!&amp;$BN$2,"")</f>
        <v/>
      </c>
      <c r="BN173" s="49" t="str">
        <f>IFERROR($BM$2&amp;VLOOKUP(D175,'Pay Table'!$M$3:$N$18,2,FALSE)&amp;$BL$2&amp;#REF!&amp;$BN$2,"")</f>
        <v/>
      </c>
      <c r="BO173" s="49" t="str">
        <f>IFERROR($BM$2&amp;VLOOKUP(E175,'Pay Table'!$M$3:$N$18,2,FALSE)&amp;$BL$2&amp;#REF!&amp;$BN$2,"")</f>
        <v/>
      </c>
      <c r="BP173" s="60" t="str">
        <f>IFERROR($BM$2&amp;VLOOKUP(F175,'Pay Table'!$M$3:$N$18,2,FALSE)&amp;$BL$2&amp;#REF!&amp;$BN$2,"")</f>
        <v/>
      </c>
    </row>
    <row r="174" spans="1:68" ht="17.100000000000001" customHeight="1" x14ac:dyDescent="0.15">
      <c r="A174" s="14">
        <v>172</v>
      </c>
      <c r="BL174" s="59" t="str">
        <f>IFERROR($BM$2&amp;VLOOKUP(B176,'Pay Table'!$M$3:$N$18,2,FALSE)&amp;$BL$2&amp;#REF!&amp;$BN$2,"")</f>
        <v/>
      </c>
      <c r="BM174" s="49" t="str">
        <f>IFERROR($BM$2&amp;VLOOKUP(C176,'Pay Table'!$M$3:$N$18,2,FALSE)&amp;$BL$2&amp;#REF!&amp;$BN$2,"")</f>
        <v/>
      </c>
      <c r="BN174" s="49" t="str">
        <f>IFERROR($BM$2&amp;VLOOKUP(D176,'Pay Table'!$M$3:$N$18,2,FALSE)&amp;$BL$2&amp;#REF!&amp;$BN$2,"")</f>
        <v/>
      </c>
      <c r="BO174" s="49" t="str">
        <f>IFERROR($BM$2&amp;VLOOKUP(E176,'Pay Table'!$M$3:$N$18,2,FALSE)&amp;$BL$2&amp;#REF!&amp;$BN$2,"")</f>
        <v/>
      </c>
      <c r="BP174" s="60" t="str">
        <f>IFERROR($BM$2&amp;VLOOKUP(F176,'Pay Table'!$M$3:$N$18,2,FALSE)&amp;$BL$2&amp;#REF!&amp;$BN$2,"")</f>
        <v/>
      </c>
    </row>
    <row r="175" spans="1:68" ht="17.100000000000001" customHeight="1" x14ac:dyDescent="0.15">
      <c r="A175" s="14">
        <v>173</v>
      </c>
      <c r="BL175" s="59" t="str">
        <f>IFERROR($BM$2&amp;VLOOKUP(B177,'Pay Table'!$M$3:$N$18,2,FALSE)&amp;$BL$2&amp;#REF!&amp;$BN$2,"")</f>
        <v/>
      </c>
      <c r="BM175" s="49" t="str">
        <f>IFERROR($BM$2&amp;VLOOKUP(C177,'Pay Table'!$M$3:$N$18,2,FALSE)&amp;$BL$2&amp;#REF!&amp;$BN$2,"")</f>
        <v/>
      </c>
      <c r="BN175" s="49" t="str">
        <f>IFERROR($BM$2&amp;VLOOKUP(D177,'Pay Table'!$M$3:$N$18,2,FALSE)&amp;$BL$2&amp;#REF!&amp;$BN$2,"")</f>
        <v/>
      </c>
      <c r="BO175" s="49" t="str">
        <f>IFERROR($BM$2&amp;VLOOKUP(E177,'Pay Table'!$M$3:$N$18,2,FALSE)&amp;$BL$2&amp;#REF!&amp;$BN$2,"")</f>
        <v/>
      </c>
      <c r="BP175" s="60" t="str">
        <f>IFERROR($BM$2&amp;VLOOKUP(F177,'Pay Table'!$M$3:$N$18,2,FALSE)&amp;$BL$2&amp;#REF!&amp;$BN$2,"")</f>
        <v/>
      </c>
    </row>
    <row r="176" spans="1:68" ht="17.100000000000001" customHeight="1" x14ac:dyDescent="0.15">
      <c r="A176" s="14">
        <v>174</v>
      </c>
      <c r="BL176" s="59" t="str">
        <f>IFERROR($BM$2&amp;VLOOKUP(B178,'Pay Table'!$M$3:$N$18,2,FALSE)&amp;$BL$2&amp;#REF!&amp;$BN$2,"")</f>
        <v/>
      </c>
      <c r="BM176" s="49" t="str">
        <f>IFERROR($BM$2&amp;VLOOKUP(C178,'Pay Table'!$M$3:$N$18,2,FALSE)&amp;$BL$2&amp;#REF!&amp;$BN$2,"")</f>
        <v/>
      </c>
      <c r="BN176" s="49" t="str">
        <f>IFERROR($BM$2&amp;VLOOKUP(D178,'Pay Table'!$M$3:$N$18,2,FALSE)&amp;$BL$2&amp;#REF!&amp;$BN$2,"")</f>
        <v/>
      </c>
      <c r="BO176" s="49" t="str">
        <f>IFERROR($BM$2&amp;VLOOKUP(E178,'Pay Table'!$M$3:$N$18,2,FALSE)&amp;$BL$2&amp;#REF!&amp;$BN$2,"")</f>
        <v/>
      </c>
      <c r="BP176" s="60" t="str">
        <f>IFERROR($BM$2&amp;VLOOKUP(F178,'Pay Table'!$M$3:$N$18,2,FALSE)&amp;$BL$2&amp;#REF!&amp;$BN$2,"")</f>
        <v/>
      </c>
    </row>
    <row r="177" spans="1:68" ht="17.100000000000001" customHeight="1" x14ac:dyDescent="0.15">
      <c r="A177" s="14">
        <v>175</v>
      </c>
      <c r="BL177" s="59" t="str">
        <f>IFERROR($BM$2&amp;VLOOKUP(B179,'Pay Table'!$M$3:$N$18,2,FALSE)&amp;$BL$2&amp;#REF!&amp;$BN$2,"")</f>
        <v/>
      </c>
      <c r="BM177" s="49" t="str">
        <f>IFERROR($BM$2&amp;VLOOKUP(C179,'Pay Table'!$M$3:$N$18,2,FALSE)&amp;$BL$2&amp;#REF!&amp;$BN$2,"")</f>
        <v/>
      </c>
      <c r="BN177" s="49" t="str">
        <f>IFERROR($BM$2&amp;VLOOKUP(D179,'Pay Table'!$M$3:$N$18,2,FALSE)&amp;$BL$2&amp;#REF!&amp;$BN$2,"")</f>
        <v/>
      </c>
      <c r="BO177" s="49" t="str">
        <f>IFERROR($BM$2&amp;VLOOKUP(E179,'Pay Table'!$M$3:$N$18,2,FALSE)&amp;$BL$2&amp;#REF!&amp;$BN$2,"")</f>
        <v/>
      </c>
      <c r="BP177" s="60" t="str">
        <f>IFERROR($BM$2&amp;VLOOKUP(F179,'Pay Table'!$M$3:$N$18,2,FALSE)&amp;$BL$2&amp;#REF!&amp;$BN$2,"")</f>
        <v/>
      </c>
    </row>
    <row r="178" spans="1:68" ht="17.100000000000001" customHeight="1" x14ac:dyDescent="0.15">
      <c r="A178" s="14">
        <v>176</v>
      </c>
      <c r="BL178" s="59" t="str">
        <f>IFERROR($BM$2&amp;VLOOKUP(B180,'Pay Table'!$M$3:$N$18,2,FALSE)&amp;$BL$2&amp;#REF!&amp;$BN$2,"")</f>
        <v/>
      </c>
      <c r="BM178" s="49" t="str">
        <f>IFERROR($BM$2&amp;VLOOKUP(C180,'Pay Table'!$M$3:$N$18,2,FALSE)&amp;$BL$2&amp;#REF!&amp;$BN$2,"")</f>
        <v/>
      </c>
      <c r="BN178" s="49" t="str">
        <f>IFERROR($BM$2&amp;VLOOKUP(D180,'Pay Table'!$M$3:$N$18,2,FALSE)&amp;$BL$2&amp;#REF!&amp;$BN$2,"")</f>
        <v/>
      </c>
      <c r="BO178" s="49" t="str">
        <f>IFERROR($BM$2&amp;VLOOKUP(E180,'Pay Table'!$M$3:$N$18,2,FALSE)&amp;$BL$2&amp;#REF!&amp;$BN$2,"")</f>
        <v/>
      </c>
      <c r="BP178" s="60" t="str">
        <f>IFERROR($BM$2&amp;VLOOKUP(F180,'Pay Table'!$M$3:$N$18,2,FALSE)&amp;$BL$2&amp;#REF!&amp;$BN$2,"")</f>
        <v/>
      </c>
    </row>
    <row r="179" spans="1:68" ht="17.100000000000001" customHeight="1" x14ac:dyDescent="0.15">
      <c r="A179" s="14">
        <v>177</v>
      </c>
      <c r="BL179" s="59" t="str">
        <f>IFERROR($BM$2&amp;VLOOKUP(B181,'Pay Table'!$M$3:$N$18,2,FALSE)&amp;$BL$2&amp;#REF!&amp;$BN$2,"")</f>
        <v/>
      </c>
      <c r="BM179" s="49" t="str">
        <f>IFERROR($BM$2&amp;VLOOKUP(C181,'Pay Table'!$M$3:$N$18,2,FALSE)&amp;$BL$2&amp;#REF!&amp;$BN$2,"")</f>
        <v/>
      </c>
      <c r="BN179" s="49" t="str">
        <f>IFERROR($BM$2&amp;VLOOKUP(D181,'Pay Table'!$M$3:$N$18,2,FALSE)&amp;$BL$2&amp;#REF!&amp;$BN$2,"")</f>
        <v/>
      </c>
      <c r="BO179" s="49" t="str">
        <f>IFERROR($BM$2&amp;VLOOKUP(E181,'Pay Table'!$M$3:$N$18,2,FALSE)&amp;$BL$2&amp;#REF!&amp;$BN$2,"")</f>
        <v/>
      </c>
      <c r="BP179" s="60" t="str">
        <f>IFERROR($BM$2&amp;VLOOKUP(F181,'Pay Table'!$M$3:$N$18,2,FALSE)&amp;$BL$2&amp;#REF!&amp;$BN$2,"")</f>
        <v/>
      </c>
    </row>
    <row r="180" spans="1:68" ht="17.100000000000001" customHeight="1" x14ac:dyDescent="0.15">
      <c r="A180" s="14">
        <v>178</v>
      </c>
      <c r="BL180" s="59" t="str">
        <f>IFERROR($BM$2&amp;VLOOKUP(B182,'Pay Table'!$M$3:$N$18,2,FALSE)&amp;$BL$2&amp;#REF!&amp;$BN$2,"")</f>
        <v/>
      </c>
      <c r="BM180" s="49" t="str">
        <f>IFERROR($BM$2&amp;VLOOKUP(C182,'Pay Table'!$M$3:$N$18,2,FALSE)&amp;$BL$2&amp;#REF!&amp;$BN$2,"")</f>
        <v/>
      </c>
      <c r="BN180" s="49" t="str">
        <f>IFERROR($BM$2&amp;VLOOKUP(D182,'Pay Table'!$M$3:$N$18,2,FALSE)&amp;$BL$2&amp;#REF!&amp;$BN$2,"")</f>
        <v/>
      </c>
      <c r="BO180" s="49" t="str">
        <f>IFERROR($BM$2&amp;VLOOKUP(E182,'Pay Table'!$M$3:$N$18,2,FALSE)&amp;$BL$2&amp;#REF!&amp;$BN$2,"")</f>
        <v/>
      </c>
      <c r="BP180" s="60" t="str">
        <f>IFERROR($BM$2&amp;VLOOKUP(F182,'Pay Table'!$M$3:$N$18,2,FALSE)&amp;$BL$2&amp;#REF!&amp;$BN$2,"")</f>
        <v/>
      </c>
    </row>
    <row r="181" spans="1:68" ht="17.100000000000001" customHeight="1" x14ac:dyDescent="0.15">
      <c r="A181" s="14">
        <v>179</v>
      </c>
      <c r="BL181" s="59" t="str">
        <f>IFERROR($BM$2&amp;VLOOKUP(B183,'Pay Table'!$M$3:$N$18,2,FALSE)&amp;$BL$2&amp;#REF!&amp;$BN$2,"")</f>
        <v/>
      </c>
      <c r="BM181" s="49" t="str">
        <f>IFERROR($BM$2&amp;VLOOKUP(C183,'Pay Table'!$M$3:$N$18,2,FALSE)&amp;$BL$2&amp;#REF!&amp;$BN$2,"")</f>
        <v/>
      </c>
      <c r="BN181" s="49" t="str">
        <f>IFERROR($BM$2&amp;VLOOKUP(D183,'Pay Table'!$M$3:$N$18,2,FALSE)&amp;$BL$2&amp;#REF!&amp;$BN$2,"")</f>
        <v/>
      </c>
      <c r="BO181" s="49" t="str">
        <f>IFERROR($BM$2&amp;VLOOKUP(E183,'Pay Table'!$M$3:$N$18,2,FALSE)&amp;$BL$2&amp;#REF!&amp;$BN$2,"")</f>
        <v/>
      </c>
      <c r="BP181" s="60" t="str">
        <f>IFERROR($BM$2&amp;VLOOKUP(F183,'Pay Table'!$M$3:$N$18,2,FALSE)&amp;$BL$2&amp;#REF!&amp;$BN$2,"")</f>
        <v/>
      </c>
    </row>
    <row r="182" spans="1:68" ht="17.100000000000001" customHeight="1" x14ac:dyDescent="0.15">
      <c r="A182" s="14">
        <v>180</v>
      </c>
      <c r="BL182" s="59" t="str">
        <f>IFERROR($BM$2&amp;VLOOKUP(B184,'Pay Table'!$M$3:$N$18,2,FALSE)&amp;$BL$2&amp;#REF!&amp;$BN$2,"")</f>
        <v/>
      </c>
      <c r="BM182" s="49" t="str">
        <f>IFERROR($BM$2&amp;VLOOKUP(C184,'Pay Table'!$M$3:$N$18,2,FALSE)&amp;$BL$2&amp;#REF!&amp;$BN$2,"")</f>
        <v/>
      </c>
      <c r="BN182" s="49" t="str">
        <f>IFERROR($BM$2&amp;VLOOKUP(D184,'Pay Table'!$M$3:$N$18,2,FALSE)&amp;$BL$2&amp;#REF!&amp;$BN$2,"")</f>
        <v/>
      </c>
      <c r="BO182" s="49" t="str">
        <f>IFERROR($BM$2&amp;VLOOKUP(E184,'Pay Table'!$M$3:$N$18,2,FALSE)&amp;$BL$2&amp;#REF!&amp;$BN$2,"")</f>
        <v/>
      </c>
      <c r="BP182" s="60" t="str">
        <f>IFERROR($BM$2&amp;VLOOKUP(F184,'Pay Table'!$M$3:$N$18,2,FALSE)&amp;$BL$2&amp;#REF!&amp;$BN$2,"")</f>
        <v/>
      </c>
    </row>
    <row r="183" spans="1:68" ht="17.100000000000001" customHeight="1" x14ac:dyDescent="0.15">
      <c r="A183" s="14">
        <v>181</v>
      </c>
      <c r="BL183" s="59" t="str">
        <f>IFERROR($BM$2&amp;VLOOKUP(B185,'Pay Table'!$M$3:$N$18,2,FALSE)&amp;$BL$2&amp;#REF!&amp;$BN$2,"")</f>
        <v/>
      </c>
      <c r="BM183" s="49" t="str">
        <f>IFERROR($BM$2&amp;VLOOKUP(C185,'Pay Table'!$M$3:$N$18,2,FALSE)&amp;$BL$2&amp;#REF!&amp;$BN$2,"")</f>
        <v/>
      </c>
      <c r="BN183" s="49" t="str">
        <f>IFERROR($BM$2&amp;VLOOKUP(D185,'Pay Table'!$M$3:$N$18,2,FALSE)&amp;$BL$2&amp;#REF!&amp;$BN$2,"")</f>
        <v/>
      </c>
      <c r="BO183" s="49" t="str">
        <f>IFERROR($BM$2&amp;VLOOKUP(E185,'Pay Table'!$M$3:$N$18,2,FALSE)&amp;$BL$2&amp;#REF!&amp;$BN$2,"")</f>
        <v/>
      </c>
      <c r="BP183" s="60" t="str">
        <f>IFERROR($BM$2&amp;VLOOKUP(F185,'Pay Table'!$M$3:$N$18,2,FALSE)&amp;$BL$2&amp;#REF!&amp;$BN$2,"")</f>
        <v/>
      </c>
    </row>
    <row r="184" spans="1:68" ht="17.100000000000001" customHeight="1" x14ac:dyDescent="0.15">
      <c r="A184" s="14">
        <v>182</v>
      </c>
      <c r="BL184" s="59" t="str">
        <f>IFERROR($BM$2&amp;VLOOKUP(B186,'Pay Table'!$M$3:$N$18,2,FALSE)&amp;$BL$2&amp;#REF!&amp;$BN$2,"")</f>
        <v/>
      </c>
      <c r="BM184" s="49" t="str">
        <f>IFERROR($BM$2&amp;VLOOKUP(C186,'Pay Table'!$M$3:$N$18,2,FALSE)&amp;$BL$2&amp;#REF!&amp;$BN$2,"")</f>
        <v/>
      </c>
      <c r="BN184" s="49" t="str">
        <f>IFERROR($BM$2&amp;VLOOKUP(D186,'Pay Table'!$M$3:$N$18,2,FALSE)&amp;$BL$2&amp;#REF!&amp;$BN$2,"")</f>
        <v/>
      </c>
      <c r="BO184" s="49" t="str">
        <f>IFERROR($BM$2&amp;VLOOKUP(E186,'Pay Table'!$M$3:$N$18,2,FALSE)&amp;$BL$2&amp;#REF!&amp;$BN$2,"")</f>
        <v/>
      </c>
      <c r="BP184" s="60" t="str">
        <f>IFERROR($BM$2&amp;VLOOKUP(F186,'Pay Table'!$M$3:$N$18,2,FALSE)&amp;$BL$2&amp;#REF!&amp;$BN$2,"")</f>
        <v/>
      </c>
    </row>
    <row r="185" spans="1:68" ht="17.100000000000001" customHeight="1" x14ac:dyDescent="0.15">
      <c r="A185" s="14">
        <v>183</v>
      </c>
      <c r="BL185" s="59" t="str">
        <f>IFERROR($BM$2&amp;VLOOKUP(B187,'Pay Table'!$M$3:$N$18,2,FALSE)&amp;$BL$2&amp;#REF!&amp;$BN$2,"")</f>
        <v/>
      </c>
      <c r="BM185" s="49" t="str">
        <f>IFERROR($BM$2&amp;VLOOKUP(C187,'Pay Table'!$M$3:$N$18,2,FALSE)&amp;$BL$2&amp;#REF!&amp;$BN$2,"")</f>
        <v/>
      </c>
      <c r="BN185" s="49" t="str">
        <f>IFERROR($BM$2&amp;VLOOKUP(D187,'Pay Table'!$M$3:$N$18,2,FALSE)&amp;$BL$2&amp;#REF!&amp;$BN$2,"")</f>
        <v/>
      </c>
      <c r="BO185" s="49" t="str">
        <f>IFERROR($BM$2&amp;VLOOKUP(E187,'Pay Table'!$M$3:$N$18,2,FALSE)&amp;$BL$2&amp;#REF!&amp;$BN$2,"")</f>
        <v/>
      </c>
      <c r="BP185" s="60" t="str">
        <f>IFERROR($BM$2&amp;VLOOKUP(F187,'Pay Table'!$M$3:$N$18,2,FALSE)&amp;$BL$2&amp;#REF!&amp;$BN$2,"")</f>
        <v/>
      </c>
    </row>
    <row r="186" spans="1:68" ht="17.100000000000001" customHeight="1" x14ac:dyDescent="0.15">
      <c r="A186" s="14">
        <v>184</v>
      </c>
      <c r="BL186" s="59" t="str">
        <f>IFERROR($BM$2&amp;VLOOKUP(B188,'Pay Table'!$M$3:$N$18,2,FALSE)&amp;$BL$2&amp;#REF!&amp;$BN$2,"")</f>
        <v/>
      </c>
      <c r="BM186" s="49" t="str">
        <f>IFERROR($BM$2&amp;VLOOKUP(C188,'Pay Table'!$M$3:$N$18,2,FALSE)&amp;$BL$2&amp;#REF!&amp;$BN$2,"")</f>
        <v/>
      </c>
      <c r="BN186" s="49" t="str">
        <f>IFERROR($BM$2&amp;VLOOKUP(D188,'Pay Table'!$M$3:$N$18,2,FALSE)&amp;$BL$2&amp;#REF!&amp;$BN$2,"")</f>
        <v/>
      </c>
      <c r="BO186" s="49" t="str">
        <f>IFERROR($BM$2&amp;VLOOKUP(E188,'Pay Table'!$M$3:$N$18,2,FALSE)&amp;$BL$2&amp;#REF!&amp;$BN$2,"")</f>
        <v/>
      </c>
      <c r="BP186" s="60" t="str">
        <f>IFERROR($BM$2&amp;VLOOKUP(F188,'Pay Table'!$M$3:$N$18,2,FALSE)&amp;$BL$2&amp;#REF!&amp;$BN$2,"")</f>
        <v/>
      </c>
    </row>
    <row r="187" spans="1:68" ht="17.100000000000001" customHeight="1" x14ac:dyDescent="0.15">
      <c r="A187" s="14">
        <v>185</v>
      </c>
      <c r="BL187" s="59" t="str">
        <f>IFERROR($BM$2&amp;VLOOKUP(B189,'Pay Table'!$M$3:$N$18,2,FALSE)&amp;$BL$2&amp;#REF!&amp;$BN$2,"")</f>
        <v/>
      </c>
      <c r="BM187" s="49" t="str">
        <f>IFERROR($BM$2&amp;VLOOKUP(C189,'Pay Table'!$M$3:$N$18,2,FALSE)&amp;$BL$2&amp;#REF!&amp;$BN$2,"")</f>
        <v/>
      </c>
      <c r="BN187" s="49" t="str">
        <f>IFERROR($BM$2&amp;VLOOKUP(D189,'Pay Table'!$M$3:$N$18,2,FALSE)&amp;$BL$2&amp;#REF!&amp;$BN$2,"")</f>
        <v/>
      </c>
      <c r="BO187" s="49" t="str">
        <f>IFERROR($BM$2&amp;VLOOKUP(E189,'Pay Table'!$M$3:$N$18,2,FALSE)&amp;$BL$2&amp;#REF!&amp;$BN$2,"")</f>
        <v/>
      </c>
      <c r="BP187" s="60" t="str">
        <f>IFERROR($BM$2&amp;VLOOKUP(F189,'Pay Table'!$M$3:$N$18,2,FALSE)&amp;$BL$2&amp;#REF!&amp;$BN$2,"")</f>
        <v/>
      </c>
    </row>
    <row r="188" spans="1:68" ht="17.100000000000001" customHeight="1" x14ac:dyDescent="0.15">
      <c r="A188" s="14">
        <v>186</v>
      </c>
      <c r="BL188" s="59" t="str">
        <f>IFERROR($BM$2&amp;VLOOKUP(B190,'Pay Table'!$M$3:$N$18,2,FALSE)&amp;$BL$2&amp;#REF!&amp;$BN$2,"")</f>
        <v/>
      </c>
      <c r="BM188" s="49" t="str">
        <f>IFERROR($BM$2&amp;VLOOKUP(C190,'Pay Table'!$M$3:$N$18,2,FALSE)&amp;$BL$2&amp;#REF!&amp;$BN$2,"")</f>
        <v/>
      </c>
      <c r="BN188" s="49" t="str">
        <f>IFERROR($BM$2&amp;VLOOKUP(D190,'Pay Table'!$M$3:$N$18,2,FALSE)&amp;$BL$2&amp;#REF!&amp;$BN$2,"")</f>
        <v/>
      </c>
      <c r="BO188" s="49" t="str">
        <f>IFERROR($BM$2&amp;VLOOKUP(E190,'Pay Table'!$M$3:$N$18,2,FALSE)&amp;$BL$2&amp;#REF!&amp;$BN$2,"")</f>
        <v/>
      </c>
      <c r="BP188" s="60" t="str">
        <f>IFERROR($BM$2&amp;VLOOKUP(F190,'Pay Table'!$M$3:$N$18,2,FALSE)&amp;$BL$2&amp;#REF!&amp;$BN$2,"")</f>
        <v/>
      </c>
    </row>
    <row r="189" spans="1:68" ht="17.100000000000001" customHeight="1" x14ac:dyDescent="0.15">
      <c r="A189" s="14">
        <v>187</v>
      </c>
      <c r="BL189" s="59" t="str">
        <f>IFERROR($BM$2&amp;VLOOKUP(B191,'Pay Table'!$M$3:$N$18,2,FALSE)&amp;$BL$2&amp;#REF!&amp;$BN$2,"")</f>
        <v/>
      </c>
      <c r="BM189" s="49" t="str">
        <f>IFERROR($BM$2&amp;VLOOKUP(C191,'Pay Table'!$M$3:$N$18,2,FALSE)&amp;$BL$2&amp;#REF!&amp;$BN$2,"")</f>
        <v/>
      </c>
      <c r="BN189" s="49" t="str">
        <f>IFERROR($BM$2&amp;VLOOKUP(D191,'Pay Table'!$M$3:$N$18,2,FALSE)&amp;$BL$2&amp;#REF!&amp;$BN$2,"")</f>
        <v/>
      </c>
      <c r="BO189" s="49" t="str">
        <f>IFERROR($BM$2&amp;VLOOKUP(E191,'Pay Table'!$M$3:$N$18,2,FALSE)&amp;$BL$2&amp;#REF!&amp;$BN$2,"")</f>
        <v/>
      </c>
      <c r="BP189" s="60" t="str">
        <f>IFERROR($BM$2&amp;VLOOKUP(F191,'Pay Table'!$M$3:$N$18,2,FALSE)&amp;$BL$2&amp;#REF!&amp;$BN$2,"")</f>
        <v/>
      </c>
    </row>
    <row r="190" spans="1:68" ht="17.100000000000001" customHeight="1" x14ac:dyDescent="0.15">
      <c r="A190" s="14">
        <v>188</v>
      </c>
      <c r="BL190" s="59" t="str">
        <f>IFERROR($BM$2&amp;VLOOKUP(B192,'Pay Table'!$M$3:$N$18,2,FALSE)&amp;$BL$2&amp;#REF!&amp;$BN$2,"")</f>
        <v/>
      </c>
      <c r="BM190" s="49" t="str">
        <f>IFERROR($BM$2&amp;VLOOKUP(C192,'Pay Table'!$M$3:$N$18,2,FALSE)&amp;$BL$2&amp;#REF!&amp;$BN$2,"")</f>
        <v/>
      </c>
      <c r="BN190" s="49" t="str">
        <f>IFERROR($BM$2&amp;VLOOKUP(D192,'Pay Table'!$M$3:$N$18,2,FALSE)&amp;$BL$2&amp;#REF!&amp;$BN$2,"")</f>
        <v/>
      </c>
      <c r="BO190" s="49" t="str">
        <f>IFERROR($BM$2&amp;VLOOKUP(E192,'Pay Table'!$M$3:$N$18,2,FALSE)&amp;$BL$2&amp;#REF!&amp;$BN$2,"")</f>
        <v/>
      </c>
      <c r="BP190" s="60" t="str">
        <f>IFERROR($BM$2&amp;VLOOKUP(F192,'Pay Table'!$M$3:$N$18,2,FALSE)&amp;$BL$2&amp;#REF!&amp;$BN$2,"")</f>
        <v/>
      </c>
    </row>
    <row r="191" spans="1:68" ht="17.100000000000001" customHeight="1" x14ac:dyDescent="0.15">
      <c r="A191" s="14">
        <v>189</v>
      </c>
      <c r="BL191" s="59" t="str">
        <f>IFERROR($BM$2&amp;VLOOKUP(B193,'Pay Table'!$M$3:$N$18,2,FALSE)&amp;$BL$2&amp;#REF!&amp;$BN$2,"")</f>
        <v/>
      </c>
      <c r="BM191" s="49" t="str">
        <f>IFERROR($BM$2&amp;VLOOKUP(C193,'Pay Table'!$M$3:$N$18,2,FALSE)&amp;$BL$2&amp;#REF!&amp;$BN$2,"")</f>
        <v/>
      </c>
      <c r="BN191" s="49" t="str">
        <f>IFERROR($BM$2&amp;VLOOKUP(D193,'Pay Table'!$M$3:$N$18,2,FALSE)&amp;$BL$2&amp;#REF!&amp;$BN$2,"")</f>
        <v/>
      </c>
      <c r="BO191" s="49" t="str">
        <f>IFERROR($BM$2&amp;VLOOKUP(E193,'Pay Table'!$M$3:$N$18,2,FALSE)&amp;$BL$2&amp;#REF!&amp;$BN$2,"")</f>
        <v/>
      </c>
      <c r="BP191" s="60" t="str">
        <f>IFERROR($BM$2&amp;VLOOKUP(F193,'Pay Table'!$M$3:$N$18,2,FALSE)&amp;$BL$2&amp;#REF!&amp;$BN$2,"")</f>
        <v/>
      </c>
    </row>
    <row r="192" spans="1:68" ht="17.100000000000001" customHeight="1" x14ac:dyDescent="0.15">
      <c r="A192" s="14">
        <v>190</v>
      </c>
      <c r="BL192" s="59" t="str">
        <f>IFERROR($BM$2&amp;VLOOKUP(B194,'Pay Table'!$M$3:$N$18,2,FALSE)&amp;$BL$2&amp;#REF!&amp;$BN$2,"")</f>
        <v/>
      </c>
      <c r="BM192" s="49" t="str">
        <f>IFERROR($BM$2&amp;VLOOKUP(C194,'Pay Table'!$M$3:$N$18,2,FALSE)&amp;$BL$2&amp;#REF!&amp;$BN$2,"")</f>
        <v/>
      </c>
      <c r="BN192" s="49" t="str">
        <f>IFERROR($BM$2&amp;VLOOKUP(D194,'Pay Table'!$M$3:$N$18,2,FALSE)&amp;$BL$2&amp;#REF!&amp;$BN$2,"")</f>
        <v/>
      </c>
      <c r="BO192" s="49" t="str">
        <f>IFERROR($BM$2&amp;VLOOKUP(E194,'Pay Table'!$M$3:$N$18,2,FALSE)&amp;$BL$2&amp;#REF!&amp;$BN$2,"")</f>
        <v/>
      </c>
      <c r="BP192" s="60" t="str">
        <f>IFERROR($BM$2&amp;VLOOKUP(F194,'Pay Table'!$M$3:$N$18,2,FALSE)&amp;$BL$2&amp;#REF!&amp;$BN$2,"")</f>
        <v/>
      </c>
    </row>
    <row r="193" spans="1:68" ht="17.100000000000001" customHeight="1" x14ac:dyDescent="0.15">
      <c r="A193" s="14">
        <v>191</v>
      </c>
      <c r="BL193" s="59" t="str">
        <f>IFERROR($BM$2&amp;VLOOKUP(B195,'Pay Table'!$M$3:$N$18,2,FALSE)&amp;$BL$2&amp;#REF!&amp;$BN$2,"")</f>
        <v/>
      </c>
      <c r="BM193" s="49" t="str">
        <f>IFERROR($BM$2&amp;VLOOKUP(C195,'Pay Table'!$M$3:$N$18,2,FALSE)&amp;$BL$2&amp;#REF!&amp;$BN$2,"")</f>
        <v/>
      </c>
      <c r="BN193" s="49" t="str">
        <f>IFERROR($BM$2&amp;VLOOKUP(D195,'Pay Table'!$M$3:$N$18,2,FALSE)&amp;$BL$2&amp;#REF!&amp;$BN$2,"")</f>
        <v/>
      </c>
      <c r="BO193" s="49" t="str">
        <f>IFERROR($BM$2&amp;VLOOKUP(E195,'Pay Table'!$M$3:$N$18,2,FALSE)&amp;$BL$2&amp;#REF!&amp;$BN$2,"")</f>
        <v/>
      </c>
      <c r="BP193" s="60" t="str">
        <f>IFERROR($BM$2&amp;VLOOKUP(F195,'Pay Table'!$M$3:$N$18,2,FALSE)&amp;$BL$2&amp;#REF!&amp;$BN$2,"")</f>
        <v/>
      </c>
    </row>
    <row r="194" spans="1:68" ht="17.100000000000001" customHeight="1" x14ac:dyDescent="0.15">
      <c r="A194" s="14">
        <v>192</v>
      </c>
      <c r="BL194" s="59" t="str">
        <f>IFERROR($BM$2&amp;VLOOKUP(B196,'Pay Table'!$M$3:$N$18,2,FALSE)&amp;$BL$2&amp;#REF!&amp;$BN$2,"")</f>
        <v/>
      </c>
      <c r="BM194" s="49" t="str">
        <f>IFERROR($BM$2&amp;VLOOKUP(C196,'Pay Table'!$M$3:$N$18,2,FALSE)&amp;$BL$2&amp;#REF!&amp;$BN$2,"")</f>
        <v/>
      </c>
      <c r="BN194" s="49" t="str">
        <f>IFERROR($BM$2&amp;VLOOKUP(D196,'Pay Table'!$M$3:$N$18,2,FALSE)&amp;$BL$2&amp;#REF!&amp;$BN$2,"")</f>
        <v/>
      </c>
      <c r="BO194" s="49" t="str">
        <f>IFERROR($BM$2&amp;VLOOKUP(E196,'Pay Table'!$M$3:$N$18,2,FALSE)&amp;$BL$2&amp;#REF!&amp;$BN$2,"")</f>
        <v/>
      </c>
      <c r="BP194" s="60" t="str">
        <f>IFERROR($BM$2&amp;VLOOKUP(F196,'Pay Table'!$M$3:$N$18,2,FALSE)&amp;$BL$2&amp;#REF!&amp;$BN$2,"")</f>
        <v/>
      </c>
    </row>
    <row r="195" spans="1:68" ht="17.100000000000001" customHeight="1" x14ac:dyDescent="0.15">
      <c r="A195" s="14">
        <v>193</v>
      </c>
      <c r="BL195" s="59" t="str">
        <f>IFERROR($BM$2&amp;VLOOKUP(B197,'Pay Table'!$M$3:$N$18,2,FALSE)&amp;$BL$2&amp;#REF!&amp;$BN$2,"")</f>
        <v/>
      </c>
      <c r="BM195" s="49" t="str">
        <f>IFERROR($BM$2&amp;VLOOKUP(C197,'Pay Table'!$M$3:$N$18,2,FALSE)&amp;$BL$2&amp;#REF!&amp;$BN$2,"")</f>
        <v/>
      </c>
      <c r="BN195" s="49" t="str">
        <f>IFERROR($BM$2&amp;VLOOKUP(D197,'Pay Table'!$M$3:$N$18,2,FALSE)&amp;$BL$2&amp;#REF!&amp;$BN$2,"")</f>
        <v/>
      </c>
      <c r="BO195" s="49" t="str">
        <f>IFERROR($BM$2&amp;VLOOKUP(E197,'Pay Table'!$M$3:$N$18,2,FALSE)&amp;$BL$2&amp;#REF!&amp;$BN$2,"")</f>
        <v/>
      </c>
      <c r="BP195" s="60" t="str">
        <f>IFERROR($BM$2&amp;VLOOKUP(F197,'Pay Table'!$M$3:$N$18,2,FALSE)&amp;$BL$2&amp;#REF!&amp;$BN$2,"")</f>
        <v/>
      </c>
    </row>
    <row r="196" spans="1:68" ht="17.100000000000001" customHeight="1" x14ac:dyDescent="0.15">
      <c r="A196" s="14">
        <v>194</v>
      </c>
      <c r="BL196" s="59" t="str">
        <f>IFERROR($BM$2&amp;VLOOKUP(B198,'Pay Table'!$M$3:$N$18,2,FALSE)&amp;$BL$2&amp;#REF!&amp;$BN$2,"")</f>
        <v/>
      </c>
      <c r="BM196" s="49" t="str">
        <f>IFERROR($BM$2&amp;VLOOKUP(C198,'Pay Table'!$M$3:$N$18,2,FALSE)&amp;$BL$2&amp;#REF!&amp;$BN$2,"")</f>
        <v/>
      </c>
      <c r="BN196" s="49" t="str">
        <f>IFERROR($BM$2&amp;VLOOKUP(D198,'Pay Table'!$M$3:$N$18,2,FALSE)&amp;$BL$2&amp;#REF!&amp;$BN$2,"")</f>
        <v/>
      </c>
      <c r="BO196" s="49" t="str">
        <f>IFERROR($BM$2&amp;VLOOKUP(E198,'Pay Table'!$M$3:$N$18,2,FALSE)&amp;$BL$2&amp;#REF!&amp;$BN$2,"")</f>
        <v/>
      </c>
      <c r="BP196" s="60" t="str">
        <f>IFERROR($BM$2&amp;VLOOKUP(F198,'Pay Table'!$M$3:$N$18,2,FALSE)&amp;$BL$2&amp;#REF!&amp;$BN$2,"")</f>
        <v/>
      </c>
    </row>
    <row r="197" spans="1:68" ht="17.100000000000001" customHeight="1" x14ac:dyDescent="0.15">
      <c r="A197" s="14">
        <v>195</v>
      </c>
      <c r="BL197" s="59" t="str">
        <f>IFERROR($BM$2&amp;VLOOKUP(B199,'Pay Table'!$M$3:$N$18,2,FALSE)&amp;$BL$2&amp;#REF!&amp;$BN$2,"")</f>
        <v/>
      </c>
      <c r="BM197" s="49" t="str">
        <f>IFERROR($BM$2&amp;VLOOKUP(C199,'Pay Table'!$M$3:$N$18,2,FALSE)&amp;$BL$2&amp;#REF!&amp;$BN$2,"")</f>
        <v/>
      </c>
      <c r="BN197" s="49" t="str">
        <f>IFERROR($BM$2&amp;VLOOKUP(D199,'Pay Table'!$M$3:$N$18,2,FALSE)&amp;$BL$2&amp;#REF!&amp;$BN$2,"")</f>
        <v/>
      </c>
      <c r="BO197" s="49" t="str">
        <f>IFERROR($BM$2&amp;VLOOKUP(E199,'Pay Table'!$M$3:$N$18,2,FALSE)&amp;$BL$2&amp;#REF!&amp;$BN$2,"")</f>
        <v/>
      </c>
      <c r="BP197" s="60" t="str">
        <f>IFERROR($BM$2&amp;VLOOKUP(F199,'Pay Table'!$M$3:$N$18,2,FALSE)&amp;$BL$2&amp;#REF!&amp;$BN$2,"")</f>
        <v/>
      </c>
    </row>
    <row r="198" spans="1:68" ht="17.100000000000001" customHeight="1" x14ac:dyDescent="0.15">
      <c r="A198" s="14">
        <v>196</v>
      </c>
      <c r="BL198" s="26" t="str">
        <f>IFERROR($BM$2&amp;VLOOKUP(B200,'Pay Table'!$M$3:$N$18,2,FALSE)&amp;$BL$2&amp;#REF!&amp;$BN$2,"")</f>
        <v/>
      </c>
      <c r="BM198" s="1" t="str">
        <f>IFERROR($BM$2&amp;VLOOKUP(C200,'Pay Table'!$M$3:$N$18,2,FALSE)&amp;$BL$2&amp;#REF!&amp;$BN$2,"")</f>
        <v/>
      </c>
      <c r="BN198" s="1" t="str">
        <f>IFERROR($BM$2&amp;VLOOKUP(D200,'Pay Table'!$M$3:$N$18,2,FALSE)&amp;$BL$2&amp;#REF!&amp;$BN$2,"")</f>
        <v/>
      </c>
      <c r="BO198" s="1" t="str">
        <f>IFERROR($BM$2&amp;VLOOKUP(E200,'Pay Table'!$M$3:$N$18,2,FALSE)&amp;$BL$2&amp;#REF!&amp;$BN$2,"")</f>
        <v/>
      </c>
      <c r="BP198" s="27" t="str">
        <f>IFERROR($BM$2&amp;VLOOKUP(F200,'Pay Table'!$M$3:$N$18,2,FALSE)&amp;$BL$2&amp;#REF!&amp;$BN$2,"")</f>
        <v/>
      </c>
    </row>
    <row r="199" spans="1:68" ht="17.100000000000001" customHeight="1" x14ac:dyDescent="0.15">
      <c r="A199" s="14">
        <v>197</v>
      </c>
      <c r="BL199" s="26" t="str">
        <f>IFERROR($BM$2&amp;VLOOKUP(B201,'Pay Table'!$M$3:$N$18,2,FALSE)&amp;$BL$2&amp;#REF!&amp;$BN$2,"")</f>
        <v/>
      </c>
      <c r="BM199" s="1" t="str">
        <f>IFERROR($BM$2&amp;VLOOKUP(C201,'Pay Table'!$M$3:$N$18,2,FALSE)&amp;$BL$2&amp;#REF!&amp;$BN$2,"")</f>
        <v/>
      </c>
      <c r="BN199" s="1" t="str">
        <f>IFERROR($BM$2&amp;VLOOKUP(D201,'Pay Table'!$M$3:$N$18,2,FALSE)&amp;$BL$2&amp;#REF!&amp;$BN$2,"")</f>
        <v/>
      </c>
      <c r="BO199" s="1" t="str">
        <f>IFERROR($BM$2&amp;VLOOKUP(E201,'Pay Table'!$M$3:$N$18,2,FALSE)&amp;$BL$2&amp;#REF!&amp;$BN$2,"")</f>
        <v/>
      </c>
      <c r="BP199" s="27" t="str">
        <f>IFERROR($BM$2&amp;VLOOKUP(F201,'Pay Table'!$M$3:$N$18,2,FALSE)&amp;$BL$2&amp;#REF!&amp;$BN$2,"")</f>
        <v/>
      </c>
    </row>
    <row r="200" spans="1:68" ht="17.100000000000001" customHeight="1" x14ac:dyDescent="0.15">
      <c r="A200" s="14">
        <v>198</v>
      </c>
      <c r="BL200" s="26" t="str">
        <f>IFERROR($BM$2&amp;VLOOKUP(B202,'Pay Table'!$M$3:$N$18,2,FALSE)&amp;$BL$2&amp;#REF!&amp;$BN$2,"")</f>
        <v/>
      </c>
      <c r="BM200" s="1" t="str">
        <f>IFERROR($BM$2&amp;VLOOKUP(C202,'Pay Table'!$M$3:$N$18,2,FALSE)&amp;$BL$2&amp;#REF!&amp;$BN$2,"")</f>
        <v/>
      </c>
      <c r="BN200" s="1" t="str">
        <f>IFERROR($BM$2&amp;VLOOKUP(D202,'Pay Table'!$M$3:$N$18,2,FALSE)&amp;$BL$2&amp;#REF!&amp;$BN$2,"")</f>
        <v/>
      </c>
      <c r="BO200" s="1" t="str">
        <f>IFERROR($BM$2&amp;VLOOKUP(E202,'Pay Table'!$M$3:$N$18,2,FALSE)&amp;$BL$2&amp;#REF!&amp;$BN$2,"")</f>
        <v/>
      </c>
      <c r="BP200" s="27" t="str">
        <f>IFERROR($BM$2&amp;VLOOKUP(F202,'Pay Table'!$M$3:$N$18,2,FALSE)&amp;$BL$2&amp;#REF!&amp;$BN$2,"")</f>
        <v/>
      </c>
    </row>
    <row r="201" spans="1:68" ht="17.100000000000001" customHeight="1" x14ac:dyDescent="0.15">
      <c r="A201" s="14">
        <v>199</v>
      </c>
      <c r="BL201" s="26" t="str">
        <f>IFERROR($BM$2&amp;VLOOKUP(B203,'Pay Table'!$M$3:$N$18,2,FALSE)&amp;$BL$2&amp;#REF!&amp;$BN$2,"")</f>
        <v/>
      </c>
      <c r="BM201" s="1" t="str">
        <f>IFERROR($BM$2&amp;VLOOKUP(C203,'Pay Table'!$M$3:$N$18,2,FALSE)&amp;$BL$2&amp;#REF!&amp;$BN$2,"")</f>
        <v/>
      </c>
      <c r="BN201" s="1" t="str">
        <f>IFERROR($BM$2&amp;VLOOKUP(D203,'Pay Table'!$M$3:$N$18,2,FALSE)&amp;$BL$2&amp;#REF!&amp;$BN$2,"")</f>
        <v/>
      </c>
      <c r="BO201" s="1" t="str">
        <f>IFERROR($BM$2&amp;VLOOKUP(E203,'Pay Table'!$M$3:$N$18,2,FALSE)&amp;$BL$2&amp;#REF!&amp;$BN$2,"")</f>
        <v/>
      </c>
      <c r="BP201" s="27" t="str">
        <f>IFERROR($BM$2&amp;VLOOKUP(F203,'Pay Table'!$M$3:$N$18,2,FALSE)&amp;$BL$2&amp;#REF!&amp;$BN$2,"")</f>
        <v/>
      </c>
    </row>
    <row r="202" spans="1:68" ht="17.100000000000001" customHeight="1" x14ac:dyDescent="0.15">
      <c r="A202" s="14">
        <v>200</v>
      </c>
      <c r="BL202" s="26" t="str">
        <f>IFERROR($BM$2&amp;VLOOKUP(B204,'Pay Table'!$M$3:$N$18,2,FALSE)&amp;$BL$2&amp;#REF!&amp;$BN$2,"")</f>
        <v/>
      </c>
      <c r="BM202" s="1" t="str">
        <f>IFERROR($BM$2&amp;VLOOKUP(C204,'Pay Table'!$M$3:$N$18,2,FALSE)&amp;$BL$2&amp;#REF!&amp;$BN$2,"")</f>
        <v/>
      </c>
      <c r="BN202" s="1" t="str">
        <f>IFERROR($BM$2&amp;VLOOKUP(D204,'Pay Table'!$M$3:$N$18,2,FALSE)&amp;$BL$2&amp;#REF!&amp;$BN$2,"")</f>
        <v/>
      </c>
      <c r="BO202" s="1" t="str">
        <f>IFERROR($BM$2&amp;VLOOKUP(E204,'Pay Table'!$M$3:$N$18,2,FALSE)&amp;$BL$2&amp;#REF!&amp;$BN$2,"")</f>
        <v/>
      </c>
      <c r="BP202" s="27" t="str">
        <f>IFERROR($BM$2&amp;VLOOKUP(F204,'Pay Table'!$M$3:$N$18,2,FALSE)&amp;$BL$2&amp;#REF!&amp;$BN$2,"")</f>
        <v/>
      </c>
    </row>
    <row r="203" spans="1:68" ht="17.100000000000001" customHeight="1" x14ac:dyDescent="0.15">
      <c r="A203" s="14">
        <v>201</v>
      </c>
      <c r="BL203" s="26" t="str">
        <f>IFERROR($BM$2&amp;VLOOKUP(B205,'Pay Table'!$M$3:$N$18,2,FALSE)&amp;$BL$2&amp;#REF!&amp;$BN$2,"")</f>
        <v/>
      </c>
      <c r="BM203" s="1" t="str">
        <f>IFERROR($BM$2&amp;VLOOKUP(C205,'Pay Table'!$M$3:$N$18,2,FALSE)&amp;$BL$2&amp;#REF!&amp;$BN$2,"")</f>
        <v/>
      </c>
      <c r="BN203" s="1" t="str">
        <f>IFERROR($BM$2&amp;VLOOKUP(D205,'Pay Table'!$M$3:$N$18,2,FALSE)&amp;$BL$2&amp;#REF!&amp;$BN$2,"")</f>
        <v/>
      </c>
      <c r="BO203" s="1" t="str">
        <f>IFERROR($BM$2&amp;VLOOKUP(E205,'Pay Table'!$M$3:$N$18,2,FALSE)&amp;$BL$2&amp;#REF!&amp;$BN$2,"")</f>
        <v/>
      </c>
      <c r="BP203" s="27" t="str">
        <f>IFERROR($BM$2&amp;VLOOKUP(F205,'Pay Table'!$M$3:$N$18,2,FALSE)&amp;$BL$2&amp;#REF!&amp;$BN$2,"")</f>
        <v/>
      </c>
    </row>
    <row r="204" spans="1:68" ht="17.100000000000001" customHeight="1" x14ac:dyDescent="0.15">
      <c r="A204" s="14">
        <v>202</v>
      </c>
      <c r="BL204" s="26" t="str">
        <f>IFERROR($BM$2&amp;VLOOKUP(B206,'Pay Table'!$M$3:$N$18,2,FALSE)&amp;$BL$2&amp;#REF!&amp;$BN$2,"")</f>
        <v/>
      </c>
      <c r="BM204" s="1" t="str">
        <f>IFERROR($BM$2&amp;VLOOKUP(C206,'Pay Table'!$M$3:$N$18,2,FALSE)&amp;$BL$2&amp;#REF!&amp;$BN$2,"")</f>
        <v/>
      </c>
      <c r="BN204" s="1" t="str">
        <f>IFERROR($BM$2&amp;VLOOKUP(D206,'Pay Table'!$M$3:$N$18,2,FALSE)&amp;$BL$2&amp;#REF!&amp;$BN$2,"")</f>
        <v/>
      </c>
      <c r="BO204" s="1" t="str">
        <f>IFERROR($BM$2&amp;VLOOKUP(E206,'Pay Table'!$M$3:$N$18,2,FALSE)&amp;$BL$2&amp;#REF!&amp;$BN$2,"")</f>
        <v/>
      </c>
      <c r="BP204" s="27" t="str">
        <f>IFERROR($BM$2&amp;VLOOKUP(F206,'Pay Table'!$M$3:$N$18,2,FALSE)&amp;$BL$2&amp;#REF!&amp;$BN$2,"")</f>
        <v/>
      </c>
    </row>
    <row r="205" spans="1:68" ht="17.100000000000001" customHeight="1" x14ac:dyDescent="0.15">
      <c r="A205" s="14">
        <v>203</v>
      </c>
      <c r="BL205" s="26" t="str">
        <f>IFERROR($BM$2&amp;VLOOKUP(B207,'Pay Table'!$M$3:$N$18,2,FALSE)&amp;$BL$2&amp;#REF!&amp;$BN$2,"")</f>
        <v/>
      </c>
      <c r="BM205" s="1" t="str">
        <f>IFERROR($BM$2&amp;VLOOKUP(C207,'Pay Table'!$M$3:$N$18,2,FALSE)&amp;$BL$2&amp;#REF!&amp;$BN$2,"")</f>
        <v/>
      </c>
      <c r="BN205" s="1" t="str">
        <f>IFERROR($BM$2&amp;VLOOKUP(D207,'Pay Table'!$M$3:$N$18,2,FALSE)&amp;$BL$2&amp;#REF!&amp;$BN$2,"")</f>
        <v/>
      </c>
      <c r="BO205" s="1" t="str">
        <f>IFERROR($BM$2&amp;VLOOKUP(E207,'Pay Table'!$M$3:$N$18,2,FALSE)&amp;$BL$2&amp;#REF!&amp;$BN$2,"")</f>
        <v/>
      </c>
      <c r="BP205" s="27" t="str">
        <f>IFERROR($BM$2&amp;VLOOKUP(F207,'Pay Table'!$M$3:$N$18,2,FALSE)&amp;$BL$2&amp;#REF!&amp;$BN$2,"")</f>
        <v/>
      </c>
    </row>
    <row r="206" spans="1:68" ht="17.100000000000001" customHeight="1" x14ac:dyDescent="0.15">
      <c r="A206" s="14">
        <v>204</v>
      </c>
      <c r="BL206" s="26" t="str">
        <f>IFERROR($BM$2&amp;VLOOKUP(B208,'Pay Table'!$M$3:$N$18,2,FALSE)&amp;$BL$2&amp;#REF!&amp;$BN$2,"")</f>
        <v/>
      </c>
      <c r="BM206" s="1" t="str">
        <f>IFERROR($BM$2&amp;VLOOKUP(C208,'Pay Table'!$M$3:$N$18,2,FALSE)&amp;$BL$2&amp;#REF!&amp;$BN$2,"")</f>
        <v/>
      </c>
      <c r="BN206" s="1" t="str">
        <f>IFERROR($BM$2&amp;VLOOKUP(D208,'Pay Table'!$M$3:$N$18,2,FALSE)&amp;$BL$2&amp;#REF!&amp;$BN$2,"")</f>
        <v/>
      </c>
      <c r="BO206" s="1" t="str">
        <f>IFERROR($BM$2&amp;VLOOKUP(E208,'Pay Table'!$M$3:$N$18,2,FALSE)&amp;$BL$2&amp;#REF!&amp;$BN$2,"")</f>
        <v/>
      </c>
      <c r="BP206" s="27" t="str">
        <f>IFERROR($BM$2&amp;VLOOKUP(F208,'Pay Table'!$M$3:$N$18,2,FALSE)&amp;$BL$2&amp;#REF!&amp;$BN$2,"")</f>
        <v/>
      </c>
    </row>
    <row r="207" spans="1:68" ht="17.100000000000001" customHeight="1" x14ac:dyDescent="0.15">
      <c r="A207" s="14">
        <v>205</v>
      </c>
      <c r="BL207" s="26" t="str">
        <f>IFERROR($BM$2&amp;VLOOKUP(B209,'Pay Table'!$M$3:$N$18,2,FALSE)&amp;$BL$2&amp;#REF!&amp;$BN$2,"")</f>
        <v/>
      </c>
      <c r="BM207" s="1" t="str">
        <f>IFERROR($BM$2&amp;VLOOKUP(C209,'Pay Table'!$M$3:$N$18,2,FALSE)&amp;$BL$2&amp;#REF!&amp;$BN$2,"")</f>
        <v/>
      </c>
      <c r="BN207" s="1" t="str">
        <f>IFERROR($BM$2&amp;VLOOKUP(D209,'Pay Table'!$M$3:$N$18,2,FALSE)&amp;$BL$2&amp;#REF!&amp;$BN$2,"")</f>
        <v/>
      </c>
      <c r="BO207" s="1" t="str">
        <f>IFERROR($BM$2&amp;VLOOKUP(E209,'Pay Table'!$M$3:$N$18,2,FALSE)&amp;$BL$2&amp;#REF!&amp;$BN$2,"")</f>
        <v/>
      </c>
      <c r="BP207" s="27" t="str">
        <f>IFERROR($BM$2&amp;VLOOKUP(F209,'Pay Table'!$M$3:$N$18,2,FALSE)&amp;$BL$2&amp;#REF!&amp;$BN$2,"")</f>
        <v/>
      </c>
    </row>
    <row r="208" spans="1:68" ht="17.100000000000001" customHeight="1" x14ac:dyDescent="0.15">
      <c r="A208" s="14">
        <v>206</v>
      </c>
      <c r="BL208" s="26" t="str">
        <f>IFERROR($BM$2&amp;VLOOKUP(B210,'Pay Table'!$M$3:$N$18,2,FALSE)&amp;$BL$2&amp;#REF!&amp;$BN$2,"")</f>
        <v/>
      </c>
      <c r="BM208" s="1" t="str">
        <f>IFERROR($BM$2&amp;VLOOKUP(C210,'Pay Table'!$M$3:$N$18,2,FALSE)&amp;$BL$2&amp;#REF!&amp;$BN$2,"")</f>
        <v/>
      </c>
      <c r="BN208" s="1" t="str">
        <f>IFERROR($BM$2&amp;VLOOKUP(D210,'Pay Table'!$M$3:$N$18,2,FALSE)&amp;$BL$2&amp;#REF!&amp;$BN$2,"")</f>
        <v/>
      </c>
      <c r="BO208" s="1" t="str">
        <f>IFERROR($BM$2&amp;VLOOKUP(E210,'Pay Table'!$M$3:$N$18,2,FALSE)&amp;$BL$2&amp;#REF!&amp;$BN$2,"")</f>
        <v/>
      </c>
      <c r="BP208" s="27" t="str">
        <f>IFERROR($BM$2&amp;VLOOKUP(F210,'Pay Table'!$M$3:$N$18,2,FALSE)&amp;$BL$2&amp;#REF!&amp;$BN$2,"")</f>
        <v/>
      </c>
    </row>
    <row r="209" spans="1:68" ht="17.100000000000001" customHeight="1" x14ac:dyDescent="0.15">
      <c r="A209" s="14">
        <v>207</v>
      </c>
      <c r="BL209" s="26" t="str">
        <f>IFERROR($BM$2&amp;VLOOKUP(B211,'Pay Table'!$M$3:$N$18,2,FALSE)&amp;$BL$2&amp;#REF!&amp;$BN$2,"")</f>
        <v/>
      </c>
      <c r="BM209" s="1" t="str">
        <f>IFERROR($BM$2&amp;VLOOKUP(C211,'Pay Table'!$M$3:$N$18,2,FALSE)&amp;$BL$2&amp;#REF!&amp;$BN$2,"")</f>
        <v/>
      </c>
      <c r="BN209" s="1" t="str">
        <f>IFERROR($BM$2&amp;VLOOKUP(D211,'Pay Table'!$M$3:$N$18,2,FALSE)&amp;$BL$2&amp;#REF!&amp;$BN$2,"")</f>
        <v/>
      </c>
      <c r="BO209" s="1" t="str">
        <f>IFERROR($BM$2&amp;VLOOKUP(E211,'Pay Table'!$M$3:$N$18,2,FALSE)&amp;$BL$2&amp;#REF!&amp;$BN$2,"")</f>
        <v/>
      </c>
      <c r="BP209" s="27" t="str">
        <f>IFERROR($BM$2&amp;VLOOKUP(F211,'Pay Table'!$M$3:$N$18,2,FALSE)&amp;$BL$2&amp;#REF!&amp;$BN$2,"")</f>
        <v/>
      </c>
    </row>
    <row r="210" spans="1:68" ht="17.100000000000001" customHeight="1" x14ac:dyDescent="0.15">
      <c r="A210" s="14">
        <v>208</v>
      </c>
      <c r="BL210" s="26" t="str">
        <f>IFERROR($BM$2&amp;VLOOKUP(B212,'Pay Table'!$M$3:$N$18,2,FALSE)&amp;$BL$2&amp;#REF!&amp;$BN$2,"")</f>
        <v/>
      </c>
      <c r="BM210" s="1" t="str">
        <f>IFERROR($BM$2&amp;VLOOKUP(C212,'Pay Table'!$M$3:$N$18,2,FALSE)&amp;$BL$2&amp;#REF!&amp;$BN$2,"")</f>
        <v/>
      </c>
      <c r="BN210" s="1" t="str">
        <f>IFERROR($BM$2&amp;VLOOKUP(D212,'Pay Table'!$M$3:$N$18,2,FALSE)&amp;$BL$2&amp;#REF!&amp;$BN$2,"")</f>
        <v/>
      </c>
      <c r="BO210" s="1" t="str">
        <f>IFERROR($BM$2&amp;VLOOKUP(E212,'Pay Table'!$M$3:$N$18,2,FALSE)&amp;$BL$2&amp;#REF!&amp;$BN$2,"")</f>
        <v/>
      </c>
      <c r="BP210" s="27" t="str">
        <f>IFERROR($BM$2&amp;VLOOKUP(F212,'Pay Table'!$M$3:$N$18,2,FALSE)&amp;$BL$2&amp;#REF!&amp;$BN$2,"")</f>
        <v/>
      </c>
    </row>
    <row r="211" spans="1:68" ht="17.100000000000001" customHeight="1" x14ac:dyDescent="0.15">
      <c r="A211" s="14">
        <v>209</v>
      </c>
      <c r="BL211" s="26" t="str">
        <f>IFERROR($BM$2&amp;VLOOKUP(B213,'Pay Table'!$M$3:$N$18,2,FALSE)&amp;$BL$2&amp;#REF!&amp;$BN$2,"")</f>
        <v/>
      </c>
      <c r="BM211" s="1" t="str">
        <f>IFERROR($BM$2&amp;VLOOKUP(C213,'Pay Table'!$M$3:$N$18,2,FALSE)&amp;$BL$2&amp;#REF!&amp;$BN$2,"")</f>
        <v/>
      </c>
      <c r="BN211" s="1" t="str">
        <f>IFERROR($BM$2&amp;VLOOKUP(D213,'Pay Table'!$M$3:$N$18,2,FALSE)&amp;$BL$2&amp;#REF!&amp;$BN$2,"")</f>
        <v/>
      </c>
      <c r="BO211" s="1" t="str">
        <f>IFERROR($BM$2&amp;VLOOKUP(E213,'Pay Table'!$M$3:$N$18,2,FALSE)&amp;$BL$2&amp;#REF!&amp;$BN$2,"")</f>
        <v/>
      </c>
      <c r="BP211" s="27" t="str">
        <f>IFERROR($BM$2&amp;VLOOKUP(F213,'Pay Table'!$M$3:$N$18,2,FALSE)&amp;$BL$2&amp;#REF!&amp;$BN$2,"")</f>
        <v/>
      </c>
    </row>
    <row r="212" spans="1:68" ht="17.100000000000001" customHeight="1" x14ac:dyDescent="0.15">
      <c r="A212" s="14">
        <v>210</v>
      </c>
      <c r="BL212" s="26" t="str">
        <f>IFERROR($BM$2&amp;VLOOKUP(B214,'Pay Table'!$M$3:$N$18,2,FALSE)&amp;$BL$2&amp;#REF!&amp;$BN$2,"")</f>
        <v/>
      </c>
      <c r="BM212" s="1" t="str">
        <f>IFERROR($BM$2&amp;VLOOKUP(C214,'Pay Table'!$M$3:$N$18,2,FALSE)&amp;$BL$2&amp;#REF!&amp;$BN$2,"")</f>
        <v/>
      </c>
      <c r="BN212" s="1" t="str">
        <f>IFERROR($BM$2&amp;VLOOKUP(D214,'Pay Table'!$M$3:$N$18,2,FALSE)&amp;$BL$2&amp;#REF!&amp;$BN$2,"")</f>
        <v/>
      </c>
      <c r="BO212" s="1" t="str">
        <f>IFERROR($BM$2&amp;VLOOKUP(E214,'Pay Table'!$M$3:$N$18,2,FALSE)&amp;$BL$2&amp;#REF!&amp;$BN$2,"")</f>
        <v/>
      </c>
      <c r="BP212" s="27" t="str">
        <f>IFERROR($BM$2&amp;VLOOKUP(F214,'Pay Table'!$M$3:$N$18,2,FALSE)&amp;$BL$2&amp;#REF!&amp;$BN$2,"")</f>
        <v/>
      </c>
    </row>
    <row r="213" spans="1:68" ht="17.100000000000001" customHeight="1" x14ac:dyDescent="0.15">
      <c r="A213" s="14">
        <v>211</v>
      </c>
      <c r="BL213" s="26" t="str">
        <f>IFERROR($BM$2&amp;VLOOKUP(B215,'Pay Table'!$M$3:$N$18,2,FALSE)&amp;$BL$2&amp;#REF!&amp;$BN$2,"")</f>
        <v/>
      </c>
      <c r="BM213" s="1" t="str">
        <f>IFERROR($BM$2&amp;VLOOKUP(C215,'Pay Table'!$M$3:$N$18,2,FALSE)&amp;$BL$2&amp;#REF!&amp;$BN$2,"")</f>
        <v/>
      </c>
      <c r="BN213" s="1" t="str">
        <f>IFERROR($BM$2&amp;VLOOKUP(D215,'Pay Table'!$M$3:$N$18,2,FALSE)&amp;$BL$2&amp;#REF!&amp;$BN$2,"")</f>
        <v/>
      </c>
      <c r="BO213" s="1" t="str">
        <f>IFERROR($BM$2&amp;VLOOKUP(E215,'Pay Table'!$M$3:$N$18,2,FALSE)&amp;$BL$2&amp;#REF!&amp;$BN$2,"")</f>
        <v/>
      </c>
      <c r="BP213" s="27" t="str">
        <f>IFERROR($BM$2&amp;VLOOKUP(F215,'Pay Table'!$M$3:$N$18,2,FALSE)&amp;$BL$2&amp;#REF!&amp;$BN$2,"")</f>
        <v/>
      </c>
    </row>
    <row r="214" spans="1:68" ht="17.100000000000001" customHeight="1" x14ac:dyDescent="0.15">
      <c r="A214" s="14">
        <v>212</v>
      </c>
      <c r="BL214" s="26" t="str">
        <f>IFERROR($BM$2&amp;VLOOKUP(B216,'Pay Table'!$M$3:$N$18,2,FALSE)&amp;$BL$2&amp;#REF!&amp;$BN$2,"")</f>
        <v/>
      </c>
      <c r="BM214" s="1" t="str">
        <f>IFERROR($BM$2&amp;VLOOKUP(C216,'Pay Table'!$M$3:$N$18,2,FALSE)&amp;$BL$2&amp;#REF!&amp;$BN$2,"")</f>
        <v/>
      </c>
      <c r="BN214" s="1" t="str">
        <f>IFERROR($BM$2&amp;VLOOKUP(D216,'Pay Table'!$M$3:$N$18,2,FALSE)&amp;$BL$2&amp;#REF!&amp;$BN$2,"")</f>
        <v/>
      </c>
      <c r="BO214" s="1" t="str">
        <f>IFERROR($BM$2&amp;VLOOKUP(E216,'Pay Table'!$M$3:$N$18,2,FALSE)&amp;$BL$2&amp;#REF!&amp;$BN$2,"")</f>
        <v/>
      </c>
      <c r="BP214" s="27" t="str">
        <f>IFERROR($BM$2&amp;VLOOKUP(F216,'Pay Table'!$M$3:$N$18,2,FALSE)&amp;$BL$2&amp;#REF!&amp;$BN$2,"")</f>
        <v/>
      </c>
    </row>
    <row r="215" spans="1:68" ht="17.100000000000001" customHeight="1" x14ac:dyDescent="0.15">
      <c r="A215" s="14">
        <v>213</v>
      </c>
      <c r="BL215" s="26" t="str">
        <f>IFERROR($BM$2&amp;VLOOKUP(B217,'Pay Table'!$M$3:$N$18,2,FALSE)&amp;$BL$2&amp;#REF!&amp;$BN$2,"")</f>
        <v/>
      </c>
      <c r="BM215" s="1" t="str">
        <f>IFERROR($BM$2&amp;VLOOKUP(C217,'Pay Table'!$M$3:$N$18,2,FALSE)&amp;$BL$2&amp;#REF!&amp;$BN$2,"")</f>
        <v/>
      </c>
      <c r="BN215" s="1" t="str">
        <f>IFERROR($BM$2&amp;VLOOKUP(D217,'Pay Table'!$M$3:$N$18,2,FALSE)&amp;$BL$2&amp;#REF!&amp;$BN$2,"")</f>
        <v/>
      </c>
      <c r="BO215" s="1" t="str">
        <f>IFERROR($BM$2&amp;VLOOKUP(E217,'Pay Table'!$M$3:$N$18,2,FALSE)&amp;$BL$2&amp;#REF!&amp;$BN$2,"")</f>
        <v/>
      </c>
      <c r="BP215" s="27" t="str">
        <f>IFERROR($BM$2&amp;VLOOKUP(F217,'Pay Table'!$M$3:$N$18,2,FALSE)&amp;$BL$2&amp;#REF!&amp;$BN$2,"")</f>
        <v/>
      </c>
    </row>
    <row r="216" spans="1:68" ht="17.100000000000001" customHeight="1" x14ac:dyDescent="0.15">
      <c r="A216" s="14">
        <v>214</v>
      </c>
      <c r="BL216" s="26" t="str">
        <f>IFERROR($BM$2&amp;VLOOKUP(B218,'Pay Table'!$M$3:$N$18,2,FALSE)&amp;$BL$2&amp;#REF!&amp;$BN$2,"")</f>
        <v/>
      </c>
      <c r="BM216" s="1" t="str">
        <f>IFERROR($BM$2&amp;VLOOKUP(C218,'Pay Table'!$M$3:$N$18,2,FALSE)&amp;$BL$2&amp;#REF!&amp;$BN$2,"")</f>
        <v/>
      </c>
      <c r="BN216" s="1" t="str">
        <f>IFERROR($BM$2&amp;VLOOKUP(D218,'Pay Table'!$M$3:$N$18,2,FALSE)&amp;$BL$2&amp;#REF!&amp;$BN$2,"")</f>
        <v/>
      </c>
      <c r="BO216" s="1" t="str">
        <f>IFERROR($BM$2&amp;VLOOKUP(E218,'Pay Table'!$M$3:$N$18,2,FALSE)&amp;$BL$2&amp;#REF!&amp;$BN$2,"")</f>
        <v/>
      </c>
      <c r="BP216" s="27" t="str">
        <f>IFERROR($BM$2&amp;VLOOKUP(F218,'Pay Table'!$M$3:$N$18,2,FALSE)&amp;$BL$2&amp;#REF!&amp;$BN$2,"")</f>
        <v/>
      </c>
    </row>
    <row r="217" spans="1:68" ht="17.100000000000001" customHeight="1" x14ac:dyDescent="0.15">
      <c r="A217" s="14">
        <v>215</v>
      </c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BL217" s="26" t="str">
        <f>IFERROR($BM$2&amp;VLOOKUP(B219,'Pay Table'!$M$3:$N$18,2,FALSE)&amp;$BL$2&amp;#REF!&amp;$BN$2,"")</f>
        <v/>
      </c>
      <c r="BM217" s="1" t="str">
        <f>IFERROR($BM$2&amp;VLOOKUP(C219,'Pay Table'!$M$3:$N$18,2,FALSE)&amp;$BL$2&amp;#REF!&amp;$BN$2,"")</f>
        <v/>
      </c>
      <c r="BN217" s="1" t="str">
        <f>IFERROR($BM$2&amp;VLOOKUP(D219,'Pay Table'!$M$3:$N$18,2,FALSE)&amp;$BL$2&amp;#REF!&amp;$BN$2,"")</f>
        <v/>
      </c>
      <c r="BO217" s="1" t="str">
        <f>IFERROR($BM$2&amp;VLOOKUP(E219,'Pay Table'!$M$3:$N$18,2,FALSE)&amp;$BL$2&amp;#REF!&amp;$BN$2,"")</f>
        <v/>
      </c>
      <c r="BP217" s="27" t="str">
        <f>IFERROR($BM$2&amp;VLOOKUP(F219,'Pay Table'!$M$3:$N$18,2,FALSE)&amp;$BL$2&amp;#REF!&amp;$BN$2,"")</f>
        <v/>
      </c>
    </row>
    <row r="218" spans="1:68" ht="17.100000000000001" customHeight="1" x14ac:dyDescent="0.15">
      <c r="A218" s="14">
        <v>216</v>
      </c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BL218" s="26" t="str">
        <f>IFERROR($BM$2&amp;VLOOKUP(B220,'Pay Table'!$M$3:$N$18,2,FALSE)&amp;$BL$2&amp;#REF!&amp;$BN$2,"")</f>
        <v/>
      </c>
      <c r="BM218" s="1" t="str">
        <f>IFERROR($BM$2&amp;VLOOKUP(C220,'Pay Table'!$M$3:$N$18,2,FALSE)&amp;$BL$2&amp;#REF!&amp;$BN$2,"")</f>
        <v/>
      </c>
      <c r="BN218" s="1" t="str">
        <f>IFERROR($BM$2&amp;VLOOKUP(D220,'Pay Table'!$M$3:$N$18,2,FALSE)&amp;$BL$2&amp;#REF!&amp;$BN$2,"")</f>
        <v/>
      </c>
      <c r="BO218" s="1" t="str">
        <f>IFERROR($BM$2&amp;VLOOKUP(E220,'Pay Table'!$M$3:$N$18,2,FALSE)&amp;$BL$2&amp;#REF!&amp;$BN$2,"")</f>
        <v/>
      </c>
      <c r="BP218" s="27" t="str">
        <f>IFERROR($BM$2&amp;VLOOKUP(F220,'Pay Table'!$M$3:$N$18,2,FALSE)&amp;$BL$2&amp;#REF!&amp;$BN$2,"")</f>
        <v/>
      </c>
    </row>
    <row r="219" spans="1:68" ht="17.100000000000001" customHeight="1" x14ac:dyDescent="0.15">
      <c r="A219" s="14">
        <v>217</v>
      </c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BL219" s="26" t="str">
        <f>IFERROR($BM$2&amp;VLOOKUP(B221,'Pay Table'!$M$3:$N$18,2,FALSE)&amp;$BL$2&amp;#REF!&amp;$BN$2,"")</f>
        <v/>
      </c>
      <c r="BM219" s="1" t="str">
        <f>IFERROR($BM$2&amp;VLOOKUP(C221,'Pay Table'!$M$3:$N$18,2,FALSE)&amp;$BL$2&amp;#REF!&amp;$BN$2,"")</f>
        <v/>
      </c>
      <c r="BN219" s="1" t="str">
        <f>IFERROR($BM$2&amp;VLOOKUP(D221,'Pay Table'!$M$3:$N$18,2,FALSE)&amp;$BL$2&amp;#REF!&amp;$BN$2,"")</f>
        <v/>
      </c>
      <c r="BO219" s="1" t="str">
        <f>IFERROR($BM$2&amp;VLOOKUP(E221,'Pay Table'!$M$3:$N$18,2,FALSE)&amp;$BL$2&amp;#REF!&amp;$BN$2,"")</f>
        <v/>
      </c>
      <c r="BP219" s="27" t="str">
        <f>IFERROR($BM$2&amp;VLOOKUP(F221,'Pay Table'!$M$3:$N$18,2,FALSE)&amp;$BL$2&amp;#REF!&amp;$BN$2,"")</f>
        <v/>
      </c>
    </row>
    <row r="220" spans="1:68" ht="17.100000000000001" customHeight="1" x14ac:dyDescent="0.15">
      <c r="A220" s="14">
        <v>218</v>
      </c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BL220" s="26" t="str">
        <f>IFERROR($BM$2&amp;VLOOKUP(B222,'Pay Table'!$M$3:$N$18,2,FALSE)&amp;$BL$2&amp;#REF!&amp;$BN$2,"")</f>
        <v/>
      </c>
      <c r="BM220" s="1" t="str">
        <f>IFERROR($BM$2&amp;VLOOKUP(C222,'Pay Table'!$M$3:$N$18,2,FALSE)&amp;$BL$2&amp;#REF!&amp;$BN$2,"")</f>
        <v/>
      </c>
      <c r="BN220" s="1" t="str">
        <f>IFERROR($BM$2&amp;VLOOKUP(D222,'Pay Table'!$M$3:$N$18,2,FALSE)&amp;$BL$2&amp;#REF!&amp;$BN$2,"")</f>
        <v/>
      </c>
      <c r="BO220" s="1" t="str">
        <f>IFERROR($BM$2&amp;VLOOKUP(E222,'Pay Table'!$M$3:$N$18,2,FALSE)&amp;$BL$2&amp;#REF!&amp;$BN$2,"")</f>
        <v/>
      </c>
      <c r="BP220" s="27" t="str">
        <f>IFERROR($BM$2&amp;VLOOKUP(F222,'Pay Table'!$M$3:$N$18,2,FALSE)&amp;$BL$2&amp;#REF!&amp;$BN$2,"")</f>
        <v/>
      </c>
    </row>
    <row r="221" spans="1:68" ht="17.100000000000001" customHeight="1" x14ac:dyDescent="0.15">
      <c r="BL221" s="26" t="str">
        <f>IFERROR($BM$2&amp;VLOOKUP(B223,'Pay Table'!$M$3:$N$18,2,FALSE)&amp;$BL$2&amp;#REF!&amp;$BN$2,"")</f>
        <v/>
      </c>
      <c r="BM221" s="1" t="str">
        <f>IFERROR($BM$2&amp;VLOOKUP(C223,'Pay Table'!$M$3:$N$18,2,FALSE)&amp;$BL$2&amp;#REF!&amp;$BN$2,"")</f>
        <v/>
      </c>
      <c r="BN221" s="1" t="str">
        <f>IFERROR($BM$2&amp;VLOOKUP(D223,'Pay Table'!$M$3:$N$18,2,FALSE)&amp;$BL$2&amp;#REF!&amp;$BN$2,"")</f>
        <v/>
      </c>
      <c r="BO221" s="1" t="str">
        <f>IFERROR($BM$2&amp;VLOOKUP(E223,'Pay Table'!$M$3:$N$18,2,FALSE)&amp;$BL$2&amp;#REF!&amp;$BN$2,"")</f>
        <v/>
      </c>
      <c r="BP221" s="27" t="str">
        <f>IFERROR($BM$2&amp;VLOOKUP(F223,'Pay Table'!$M$3:$N$18,2,FALSE)&amp;$BL$2&amp;#REF!&amp;$BN$2,"")</f>
        <v/>
      </c>
    </row>
    <row r="222" spans="1:68" ht="17.100000000000001" customHeight="1" x14ac:dyDescent="0.15">
      <c r="BL222" s="26" t="str">
        <f>IFERROR($BM$2&amp;VLOOKUP(B224,'Pay Table'!$M$3:$N$18,2,FALSE)&amp;$BL$2&amp;#REF!&amp;$BN$2,"")</f>
        <v/>
      </c>
      <c r="BM222" s="1" t="str">
        <f>IFERROR($BM$2&amp;VLOOKUP(C224,'Pay Table'!$M$3:$N$18,2,FALSE)&amp;$BL$2&amp;#REF!&amp;$BN$2,"")</f>
        <v/>
      </c>
      <c r="BN222" s="1" t="str">
        <f>IFERROR($BM$2&amp;VLOOKUP(D224,'Pay Table'!$M$3:$N$18,2,FALSE)&amp;$BL$2&amp;#REF!&amp;$BN$2,"")</f>
        <v/>
      </c>
      <c r="BO222" s="1" t="str">
        <f>IFERROR($BM$2&amp;VLOOKUP(E224,'Pay Table'!$M$3:$N$18,2,FALSE)&amp;$BL$2&amp;#REF!&amp;$BN$2,"")</f>
        <v/>
      </c>
      <c r="BP222" s="27" t="str">
        <f>IFERROR($BM$2&amp;VLOOKUP(F224,'Pay Table'!$M$3:$N$18,2,FALSE)&amp;$BL$2&amp;#REF!&amp;$BN$2,"")</f>
        <v/>
      </c>
    </row>
    <row r="223" spans="1:68" ht="17.100000000000001" customHeight="1" x14ac:dyDescent="0.15">
      <c r="BL223" s="26" t="str">
        <f>IFERROR($BM$2&amp;VLOOKUP(B225,'Pay Table'!$M$3:$N$18,2,FALSE)&amp;$BL$2&amp;#REF!&amp;$BN$2,"")</f>
        <v/>
      </c>
      <c r="BM223" s="1" t="str">
        <f>IFERROR($BM$2&amp;VLOOKUP(C225,'Pay Table'!$M$3:$N$18,2,FALSE)&amp;$BL$2&amp;#REF!&amp;$BN$2,"")</f>
        <v/>
      </c>
      <c r="BN223" s="1" t="str">
        <f>IFERROR($BM$2&amp;VLOOKUP(D225,'Pay Table'!$M$3:$N$18,2,FALSE)&amp;$BL$2&amp;#REF!&amp;$BN$2,"")</f>
        <v/>
      </c>
      <c r="BO223" s="1" t="str">
        <f>IFERROR($BM$2&amp;VLOOKUP(E225,'Pay Table'!$M$3:$N$18,2,FALSE)&amp;$BL$2&amp;#REF!&amp;$BN$2,"")</f>
        <v/>
      </c>
      <c r="BP223" s="27" t="str">
        <f>IFERROR($BM$2&amp;VLOOKUP(F225,'Pay Table'!$M$3:$N$18,2,FALSE)&amp;$BL$2&amp;#REF!&amp;$BN$2,"")</f>
        <v/>
      </c>
    </row>
    <row r="224" spans="1:68" ht="17.100000000000001" customHeight="1" x14ac:dyDescent="0.15">
      <c r="BL224" s="26" t="str">
        <f>IFERROR($BM$2&amp;VLOOKUP(B226,'Pay Table'!$M$3:$N$18,2,FALSE)&amp;$BL$2&amp;#REF!&amp;$BN$2,"")</f>
        <v/>
      </c>
      <c r="BM224" s="1" t="str">
        <f>IFERROR($BM$2&amp;VLOOKUP(C226,'Pay Table'!$M$3:$N$18,2,FALSE)&amp;$BL$2&amp;#REF!&amp;$BN$2,"")</f>
        <v/>
      </c>
      <c r="BN224" s="1" t="str">
        <f>IFERROR($BM$2&amp;VLOOKUP(D226,'Pay Table'!$M$3:$N$18,2,FALSE)&amp;$BL$2&amp;#REF!&amp;$BN$2,"")</f>
        <v/>
      </c>
      <c r="BO224" s="1" t="str">
        <f>IFERROR($BM$2&amp;VLOOKUP(E226,'Pay Table'!$M$3:$N$18,2,FALSE)&amp;$BL$2&amp;#REF!&amp;$BN$2,"")</f>
        <v/>
      </c>
      <c r="BP224" s="27" t="str">
        <f>IFERROR($BM$2&amp;VLOOKUP(F226,'Pay Table'!$M$3:$N$18,2,FALSE)&amp;$BL$2&amp;#REF!&amp;$BN$2,"")</f>
        <v/>
      </c>
    </row>
    <row r="225" spans="64:68" ht="17.100000000000001" customHeight="1" x14ac:dyDescent="0.15">
      <c r="BL225" s="26" t="str">
        <f>IFERROR($BM$2&amp;VLOOKUP(B227,'Pay Table'!$M$3:$N$18,2,FALSE)&amp;$BL$2&amp;#REF!&amp;$BN$2,"")</f>
        <v/>
      </c>
      <c r="BM225" s="1" t="str">
        <f>IFERROR($BM$2&amp;VLOOKUP(C227,'Pay Table'!$M$3:$N$18,2,FALSE)&amp;$BL$2&amp;#REF!&amp;$BN$2,"")</f>
        <v/>
      </c>
      <c r="BN225" s="1" t="str">
        <f>IFERROR($BM$2&amp;VLOOKUP(D227,'Pay Table'!$M$3:$N$18,2,FALSE)&amp;$BL$2&amp;#REF!&amp;$BN$2,"")</f>
        <v/>
      </c>
      <c r="BO225" s="1" t="str">
        <f>IFERROR($BM$2&amp;VLOOKUP(E227,'Pay Table'!$M$3:$N$18,2,FALSE)&amp;$BL$2&amp;#REF!&amp;$BN$2,"")</f>
        <v/>
      </c>
      <c r="BP225" s="27" t="str">
        <f>IFERROR($BM$2&amp;VLOOKUP(F227,'Pay Table'!$M$3:$N$18,2,FALSE)&amp;$BL$2&amp;#REF!&amp;$BN$2,"")</f>
        <v/>
      </c>
    </row>
    <row r="226" spans="64:68" ht="17.100000000000001" customHeight="1" x14ac:dyDescent="0.15">
      <c r="BL226" s="26" t="str">
        <f>IFERROR($BM$2&amp;VLOOKUP(B228,'Pay Table'!$M$3:$N$18,2,FALSE)&amp;$BL$2&amp;#REF!&amp;$BN$2,"")</f>
        <v/>
      </c>
      <c r="BM226" s="1" t="str">
        <f>IFERROR($BM$2&amp;VLOOKUP(C228,'Pay Table'!$M$3:$N$18,2,FALSE)&amp;$BL$2&amp;#REF!&amp;$BN$2,"")</f>
        <v/>
      </c>
      <c r="BN226" s="1" t="str">
        <f>IFERROR($BM$2&amp;VLOOKUP(D228,'Pay Table'!$M$3:$N$18,2,FALSE)&amp;$BL$2&amp;#REF!&amp;$BN$2,"")</f>
        <v/>
      </c>
      <c r="BO226" s="1" t="str">
        <f>IFERROR($BM$2&amp;VLOOKUP(E228,'Pay Table'!$M$3:$N$18,2,FALSE)&amp;$BL$2&amp;#REF!&amp;$BN$2,"")</f>
        <v/>
      </c>
      <c r="BP226" s="27" t="str">
        <f>IFERROR($BM$2&amp;VLOOKUP(F228,'Pay Table'!$M$3:$N$18,2,FALSE)&amp;$BL$2&amp;#REF!&amp;$BN$2,"")</f>
        <v/>
      </c>
    </row>
    <row r="227" spans="64:68" ht="17.100000000000001" customHeight="1" x14ac:dyDescent="0.15">
      <c r="BL227" s="26" t="str">
        <f>IFERROR($BM$2&amp;VLOOKUP(B229,'Pay Table'!$M$3:$N$18,2,FALSE)&amp;$BL$2&amp;#REF!&amp;$BN$2,"")</f>
        <v/>
      </c>
      <c r="BM227" s="1" t="str">
        <f>IFERROR($BM$2&amp;VLOOKUP(C229,'Pay Table'!$M$3:$N$18,2,FALSE)&amp;$BL$2&amp;#REF!&amp;$BN$2,"")</f>
        <v/>
      </c>
      <c r="BN227" s="1" t="str">
        <f>IFERROR($BM$2&amp;VLOOKUP(D229,'Pay Table'!$M$3:$N$18,2,FALSE)&amp;$BL$2&amp;#REF!&amp;$BN$2,"")</f>
        <v/>
      </c>
      <c r="BO227" s="1" t="str">
        <f>IFERROR($BM$2&amp;VLOOKUP(E229,'Pay Table'!$M$3:$N$18,2,FALSE)&amp;$BL$2&amp;#REF!&amp;$BN$2,"")</f>
        <v/>
      </c>
      <c r="BP227" s="27" t="str">
        <f>IFERROR($BM$2&amp;VLOOKUP(F229,'Pay Table'!$M$3:$N$18,2,FALSE)&amp;$BL$2&amp;#REF!&amp;$BN$2,"")</f>
        <v/>
      </c>
    </row>
    <row r="228" spans="64:68" ht="17.100000000000001" customHeight="1" x14ac:dyDescent="0.15">
      <c r="BL228" s="26" t="str">
        <f>IFERROR($BM$2&amp;VLOOKUP(B230,'Pay Table'!$M$3:$N$18,2,FALSE)&amp;$BL$2&amp;#REF!&amp;$BN$2,"")</f>
        <v/>
      </c>
      <c r="BM228" s="1" t="str">
        <f>IFERROR($BM$2&amp;VLOOKUP(C230,'Pay Table'!$M$3:$N$18,2,FALSE)&amp;$BL$2&amp;#REF!&amp;$BN$2,"")</f>
        <v/>
      </c>
      <c r="BN228" s="1" t="str">
        <f>IFERROR($BM$2&amp;VLOOKUP(D230,'Pay Table'!$M$3:$N$18,2,FALSE)&amp;$BL$2&amp;#REF!&amp;$BN$2,"")</f>
        <v/>
      </c>
      <c r="BO228" s="1" t="str">
        <f>IFERROR($BM$2&amp;VLOOKUP(E230,'Pay Table'!$M$3:$N$18,2,FALSE)&amp;$BL$2&amp;#REF!&amp;$BN$2,"")</f>
        <v/>
      </c>
      <c r="BP228" s="27" t="str">
        <f>IFERROR($BM$2&amp;VLOOKUP(F230,'Pay Table'!$M$3:$N$18,2,FALSE)&amp;$BL$2&amp;#REF!&amp;$BN$2,"")</f>
        <v/>
      </c>
    </row>
    <row r="229" spans="64:68" ht="17.100000000000001" customHeight="1" x14ac:dyDescent="0.15">
      <c r="BL229" s="26" t="str">
        <f>IFERROR($BM$2&amp;VLOOKUP(B231,'Pay Table'!$M$3:$N$18,2,FALSE)&amp;$BL$2&amp;#REF!&amp;$BN$2,"")</f>
        <v/>
      </c>
      <c r="BM229" s="1" t="str">
        <f>IFERROR($BM$2&amp;VLOOKUP(C231,'Pay Table'!$M$3:$N$18,2,FALSE)&amp;$BL$2&amp;#REF!&amp;$BN$2,"")</f>
        <v/>
      </c>
      <c r="BN229" s="1" t="str">
        <f>IFERROR($BM$2&amp;VLOOKUP(D231,'Pay Table'!$M$3:$N$18,2,FALSE)&amp;$BL$2&amp;#REF!&amp;$BN$2,"")</f>
        <v/>
      </c>
      <c r="BO229" s="1" t="str">
        <f>IFERROR($BM$2&amp;VLOOKUP(E231,'Pay Table'!$M$3:$N$18,2,FALSE)&amp;$BL$2&amp;#REF!&amp;$BN$2,"")</f>
        <v/>
      </c>
      <c r="BP229" s="27" t="str">
        <f>IFERROR($BM$2&amp;VLOOKUP(F231,'Pay Table'!$M$3:$N$18,2,FALSE)&amp;$BL$2&amp;#REF!&amp;$BN$2,"")</f>
        <v/>
      </c>
    </row>
    <row r="230" spans="64:68" ht="17.100000000000001" customHeight="1" x14ac:dyDescent="0.15">
      <c r="BL230" s="26" t="str">
        <f>IFERROR($BM$2&amp;VLOOKUP(B232,'Pay Table'!$M$3:$N$18,2,FALSE)&amp;$BL$2&amp;#REF!&amp;$BN$2,"")</f>
        <v/>
      </c>
      <c r="BM230" s="1" t="str">
        <f>IFERROR($BM$2&amp;VLOOKUP(C232,'Pay Table'!$M$3:$N$18,2,FALSE)&amp;$BL$2&amp;#REF!&amp;$BN$2,"")</f>
        <v/>
      </c>
      <c r="BN230" s="1" t="str">
        <f>IFERROR($BM$2&amp;VLOOKUP(D232,'Pay Table'!$M$3:$N$18,2,FALSE)&amp;$BL$2&amp;#REF!&amp;$BN$2,"")</f>
        <v/>
      </c>
      <c r="BO230" s="1" t="str">
        <f>IFERROR($BM$2&amp;VLOOKUP(E232,'Pay Table'!$M$3:$N$18,2,FALSE)&amp;$BL$2&amp;#REF!&amp;$BN$2,"")</f>
        <v/>
      </c>
      <c r="BP230" s="27" t="str">
        <f>IFERROR($BM$2&amp;VLOOKUP(F232,'Pay Table'!$M$3:$N$18,2,FALSE)&amp;$BL$2&amp;#REF!&amp;$BN$2,"")</f>
        <v/>
      </c>
    </row>
    <row r="231" spans="64:68" ht="17.100000000000001" customHeight="1" x14ac:dyDescent="0.15">
      <c r="BL231" s="26" t="str">
        <f>IFERROR($BM$2&amp;VLOOKUP(B233,'Pay Table'!$M$3:$N$18,2,FALSE)&amp;$BL$2&amp;#REF!&amp;$BN$2,"")</f>
        <v/>
      </c>
      <c r="BM231" s="1" t="str">
        <f>IFERROR($BM$2&amp;VLOOKUP(C233,'Pay Table'!$M$3:$N$18,2,FALSE)&amp;$BL$2&amp;#REF!&amp;$BN$2,"")</f>
        <v/>
      </c>
      <c r="BN231" s="1" t="str">
        <f>IFERROR($BM$2&amp;VLOOKUP(D233,'Pay Table'!$M$3:$N$18,2,FALSE)&amp;$BL$2&amp;#REF!&amp;$BN$2,"")</f>
        <v/>
      </c>
      <c r="BO231" s="1" t="str">
        <f>IFERROR($BM$2&amp;VLOOKUP(E233,'Pay Table'!$M$3:$N$18,2,FALSE)&amp;$BL$2&amp;#REF!&amp;$BN$2,"")</f>
        <v/>
      </c>
      <c r="BP231" s="27" t="str">
        <f>IFERROR($BM$2&amp;VLOOKUP(F233,'Pay Table'!$M$3:$N$18,2,FALSE)&amp;$BL$2&amp;#REF!&amp;$BN$2,"")</f>
        <v/>
      </c>
    </row>
    <row r="232" spans="64:68" ht="17.100000000000001" customHeight="1" x14ac:dyDescent="0.15">
      <c r="BL232" s="26" t="str">
        <f>IFERROR($BM$2&amp;VLOOKUP(B234,'Pay Table'!$M$3:$N$18,2,FALSE)&amp;$BL$2&amp;#REF!&amp;$BN$2,"")</f>
        <v/>
      </c>
      <c r="BM232" s="1" t="str">
        <f>IFERROR($BM$2&amp;VLOOKUP(C234,'Pay Table'!$M$3:$N$18,2,FALSE)&amp;$BL$2&amp;#REF!&amp;$BN$2,"")</f>
        <v/>
      </c>
      <c r="BN232" s="1" t="str">
        <f>IFERROR($BM$2&amp;VLOOKUP(D234,'Pay Table'!$M$3:$N$18,2,FALSE)&amp;$BL$2&amp;#REF!&amp;$BN$2,"")</f>
        <v/>
      </c>
      <c r="BO232" s="1" t="str">
        <f>IFERROR($BM$2&amp;VLOOKUP(E234,'Pay Table'!$M$3:$N$18,2,FALSE)&amp;$BL$2&amp;#REF!&amp;$BN$2,"")</f>
        <v/>
      </c>
      <c r="BP232" s="27" t="str">
        <f>IFERROR($BM$2&amp;VLOOKUP(F234,'Pay Table'!$M$3:$N$18,2,FALSE)&amp;$BL$2&amp;#REF!&amp;$BN$2,"")</f>
        <v/>
      </c>
    </row>
    <row r="233" spans="64:68" ht="17.100000000000001" customHeight="1" x14ac:dyDescent="0.15">
      <c r="BL233" s="26" t="str">
        <f>IFERROR($BM$2&amp;VLOOKUP(B235,'Pay Table'!$M$3:$N$18,2,FALSE)&amp;$BL$2&amp;#REF!&amp;$BN$2,"")</f>
        <v/>
      </c>
      <c r="BM233" s="1" t="str">
        <f>IFERROR($BM$2&amp;VLOOKUP(C235,'Pay Table'!$M$3:$N$18,2,FALSE)&amp;$BL$2&amp;#REF!&amp;$BN$2,"")</f>
        <v/>
      </c>
      <c r="BN233" s="1" t="str">
        <f>IFERROR($BM$2&amp;VLOOKUP(D235,'Pay Table'!$M$3:$N$18,2,FALSE)&amp;$BL$2&amp;#REF!&amp;$BN$2,"")</f>
        <v/>
      </c>
      <c r="BO233" s="1" t="str">
        <f>IFERROR($BM$2&amp;VLOOKUP(E235,'Pay Table'!$M$3:$N$18,2,FALSE)&amp;$BL$2&amp;#REF!&amp;$BN$2,"")</f>
        <v/>
      </c>
      <c r="BP233" s="27" t="str">
        <f>IFERROR($BM$2&amp;VLOOKUP(F235,'Pay Table'!$M$3:$N$18,2,FALSE)&amp;$BL$2&amp;#REF!&amp;$BN$2,"")</f>
        <v/>
      </c>
    </row>
    <row r="234" spans="64:68" ht="17.100000000000001" customHeight="1" x14ac:dyDescent="0.15">
      <c r="BL234" s="26" t="str">
        <f>IFERROR($BM$2&amp;VLOOKUP(B236,'Pay Table'!$M$3:$N$18,2,FALSE)&amp;$BL$2&amp;#REF!&amp;$BN$2,"")</f>
        <v/>
      </c>
      <c r="BM234" s="1" t="str">
        <f>IFERROR($BM$2&amp;VLOOKUP(C236,'Pay Table'!$M$3:$N$18,2,FALSE)&amp;$BL$2&amp;#REF!&amp;$BN$2,"")</f>
        <v/>
      </c>
      <c r="BN234" s="1" t="str">
        <f>IFERROR($BM$2&amp;VLOOKUP(D236,'Pay Table'!$M$3:$N$18,2,FALSE)&amp;$BL$2&amp;#REF!&amp;$BN$2,"")</f>
        <v/>
      </c>
      <c r="BO234" s="1" t="str">
        <f>IFERROR($BM$2&amp;VLOOKUP(E236,'Pay Table'!$M$3:$N$18,2,FALSE)&amp;$BL$2&amp;#REF!&amp;$BN$2,"")</f>
        <v/>
      </c>
      <c r="BP234" s="27" t="str">
        <f>IFERROR($BM$2&amp;VLOOKUP(F236,'Pay Table'!$M$3:$N$18,2,FALSE)&amp;$BL$2&amp;#REF!&amp;$BN$2,"")</f>
        <v/>
      </c>
    </row>
    <row r="235" spans="64:68" ht="17.100000000000001" customHeight="1" x14ac:dyDescent="0.15">
      <c r="BL235" s="26" t="str">
        <f>IFERROR($BM$2&amp;VLOOKUP(B237,'Pay Table'!$M$3:$N$18,2,FALSE)&amp;$BL$2&amp;#REF!&amp;$BN$2,"")</f>
        <v/>
      </c>
      <c r="BM235" s="1" t="str">
        <f>IFERROR($BM$2&amp;VLOOKUP(C237,'Pay Table'!$M$3:$N$18,2,FALSE)&amp;$BL$2&amp;#REF!&amp;$BN$2,"")</f>
        <v/>
      </c>
      <c r="BN235" s="1" t="str">
        <f>IFERROR($BM$2&amp;VLOOKUP(D237,'Pay Table'!$M$3:$N$18,2,FALSE)&amp;$BL$2&amp;#REF!&amp;$BN$2,"")</f>
        <v/>
      </c>
      <c r="BO235" s="1" t="str">
        <f>IFERROR($BM$2&amp;VLOOKUP(E237,'Pay Table'!$M$3:$N$18,2,FALSE)&amp;$BL$2&amp;#REF!&amp;$BN$2,"")</f>
        <v/>
      </c>
      <c r="BP235" s="27" t="str">
        <f>IFERROR($BM$2&amp;VLOOKUP(F237,'Pay Table'!$M$3:$N$18,2,FALSE)&amp;$BL$2&amp;#REF!&amp;$BN$2,"")</f>
        <v/>
      </c>
    </row>
    <row r="236" spans="64:68" ht="17.100000000000001" customHeight="1" x14ac:dyDescent="0.15">
      <c r="BL236" s="26" t="str">
        <f>IFERROR($BM$2&amp;VLOOKUP(B238,'Pay Table'!$M$3:$N$18,2,FALSE)&amp;$BL$2&amp;#REF!&amp;$BN$2,"")</f>
        <v/>
      </c>
      <c r="BM236" s="1" t="str">
        <f>IFERROR($BM$2&amp;VLOOKUP(C238,'Pay Table'!$M$3:$N$18,2,FALSE)&amp;$BL$2&amp;#REF!&amp;$BN$2,"")</f>
        <v/>
      </c>
      <c r="BN236" s="1" t="str">
        <f>IFERROR($BM$2&amp;VLOOKUP(D238,'Pay Table'!$M$3:$N$18,2,FALSE)&amp;$BL$2&amp;#REF!&amp;$BN$2,"")</f>
        <v/>
      </c>
      <c r="BO236" s="1" t="str">
        <f>IFERROR($BM$2&amp;VLOOKUP(E238,'Pay Table'!$M$3:$N$18,2,FALSE)&amp;$BL$2&amp;#REF!&amp;$BN$2,"")</f>
        <v/>
      </c>
      <c r="BP236" s="27" t="str">
        <f>IFERROR($BM$2&amp;VLOOKUP(F238,'Pay Table'!$M$3:$N$18,2,FALSE)&amp;$BL$2&amp;#REF!&amp;$BN$2,"")</f>
        <v/>
      </c>
    </row>
    <row r="237" spans="64:68" ht="17.100000000000001" customHeight="1" x14ac:dyDescent="0.15">
      <c r="BL237" s="26" t="str">
        <f>IFERROR($BM$2&amp;VLOOKUP(B239,'Pay Table'!$M$3:$N$18,2,FALSE)&amp;$BL$2&amp;#REF!&amp;$BN$2,"")</f>
        <v/>
      </c>
      <c r="BM237" s="1" t="str">
        <f>IFERROR($BM$2&amp;VLOOKUP(C239,'Pay Table'!$M$3:$N$18,2,FALSE)&amp;$BL$2&amp;#REF!&amp;$BN$2,"")</f>
        <v/>
      </c>
      <c r="BN237" s="1" t="str">
        <f>IFERROR($BM$2&amp;VLOOKUP(D239,'Pay Table'!$M$3:$N$18,2,FALSE)&amp;$BL$2&amp;#REF!&amp;$BN$2,"")</f>
        <v/>
      </c>
      <c r="BO237" s="1" t="str">
        <f>IFERROR($BM$2&amp;VLOOKUP(E239,'Pay Table'!$M$3:$N$18,2,FALSE)&amp;$BL$2&amp;#REF!&amp;$BN$2,"")</f>
        <v/>
      </c>
      <c r="BP237" s="27" t="str">
        <f>IFERROR($BM$2&amp;VLOOKUP(F239,'Pay Table'!$M$3:$N$18,2,FALSE)&amp;$BL$2&amp;#REF!&amp;$BN$2,"")</f>
        <v/>
      </c>
    </row>
    <row r="238" spans="64:68" ht="17.100000000000001" customHeight="1" x14ac:dyDescent="0.15">
      <c r="BL238" s="26" t="str">
        <f>IFERROR($BM$2&amp;VLOOKUP(B240,'Pay Table'!$M$3:$N$18,2,FALSE)&amp;$BL$2&amp;#REF!&amp;$BN$2,"")</f>
        <v/>
      </c>
      <c r="BM238" s="1" t="str">
        <f>IFERROR($BM$2&amp;VLOOKUP(C240,'Pay Table'!$M$3:$N$18,2,FALSE)&amp;$BL$2&amp;#REF!&amp;$BN$2,"")</f>
        <v/>
      </c>
      <c r="BN238" s="1" t="str">
        <f>IFERROR($BM$2&amp;VLOOKUP(D240,'Pay Table'!$M$3:$N$18,2,FALSE)&amp;$BL$2&amp;#REF!&amp;$BN$2,"")</f>
        <v/>
      </c>
      <c r="BO238" s="1" t="str">
        <f>IFERROR($BM$2&amp;VLOOKUP(E240,'Pay Table'!$M$3:$N$18,2,FALSE)&amp;$BL$2&amp;#REF!&amp;$BN$2,"")</f>
        <v/>
      </c>
      <c r="BP238" s="27" t="str">
        <f>IFERROR($BM$2&amp;VLOOKUP(F240,'Pay Table'!$M$3:$N$18,2,FALSE)&amp;$BL$2&amp;#REF!&amp;$BN$2,"")</f>
        <v/>
      </c>
    </row>
    <row r="239" spans="64:68" ht="17.100000000000001" customHeight="1" x14ac:dyDescent="0.15">
      <c r="BL239" s="26" t="str">
        <f>IFERROR($BM$2&amp;VLOOKUP(B241,'Pay Table'!$M$3:$N$18,2,FALSE)&amp;$BL$2&amp;#REF!&amp;$BN$2,"")</f>
        <v/>
      </c>
      <c r="BM239" s="1" t="str">
        <f>IFERROR($BM$2&amp;VLOOKUP(C241,'Pay Table'!$M$3:$N$18,2,FALSE)&amp;$BL$2&amp;#REF!&amp;$BN$2,"")</f>
        <v/>
      </c>
      <c r="BN239" s="1" t="str">
        <f>IFERROR($BM$2&amp;VLOOKUP(D241,'Pay Table'!$M$3:$N$18,2,FALSE)&amp;$BL$2&amp;#REF!&amp;$BN$2,"")</f>
        <v/>
      </c>
      <c r="BO239" s="1" t="str">
        <f>IFERROR($BM$2&amp;VLOOKUP(E241,'Pay Table'!$M$3:$N$18,2,FALSE)&amp;$BL$2&amp;#REF!&amp;$BN$2,"")</f>
        <v/>
      </c>
      <c r="BP239" s="27" t="str">
        <f>IFERROR($BM$2&amp;VLOOKUP(F241,'Pay Table'!$M$3:$N$18,2,FALSE)&amp;$BL$2&amp;#REF!&amp;$BN$2,"")</f>
        <v/>
      </c>
    </row>
    <row r="240" spans="64:68" ht="17.100000000000001" customHeight="1" x14ac:dyDescent="0.15">
      <c r="BL240" s="26" t="str">
        <f>IFERROR($BM$2&amp;VLOOKUP(B242,'Pay Table'!$M$3:$N$18,2,FALSE)&amp;$BL$2&amp;#REF!&amp;$BN$2,"")</f>
        <v/>
      </c>
      <c r="BM240" s="1" t="str">
        <f>IFERROR($BM$2&amp;VLOOKUP(C242,'Pay Table'!$M$3:$N$18,2,FALSE)&amp;$BL$2&amp;#REF!&amp;$BN$2,"")</f>
        <v/>
      </c>
      <c r="BN240" s="1" t="str">
        <f>IFERROR($BM$2&amp;VLOOKUP(D242,'Pay Table'!$M$3:$N$18,2,FALSE)&amp;$BL$2&amp;#REF!&amp;$BN$2,"")</f>
        <v/>
      </c>
      <c r="BO240" s="1" t="str">
        <f>IFERROR($BM$2&amp;VLOOKUP(E242,'Pay Table'!$M$3:$N$18,2,FALSE)&amp;$BL$2&amp;#REF!&amp;$BN$2,"")</f>
        <v/>
      </c>
      <c r="BP240" s="27" t="str">
        <f>IFERROR($BM$2&amp;VLOOKUP(F242,'Pay Table'!$M$3:$N$18,2,FALSE)&amp;$BL$2&amp;#REF!&amp;$BN$2,"")</f>
        <v/>
      </c>
    </row>
    <row r="241" spans="64:68" ht="17.100000000000001" customHeight="1" x14ac:dyDescent="0.15">
      <c r="BL241" s="26" t="str">
        <f>IFERROR($BM$2&amp;VLOOKUP(B243,'Pay Table'!$M$3:$N$18,2,FALSE)&amp;$BL$2&amp;#REF!&amp;$BN$2,"")</f>
        <v/>
      </c>
      <c r="BM241" s="1" t="str">
        <f>IFERROR($BM$2&amp;VLOOKUP(C243,'Pay Table'!$M$3:$N$18,2,FALSE)&amp;$BL$2&amp;#REF!&amp;$BN$2,"")</f>
        <v/>
      </c>
      <c r="BN241" s="1" t="str">
        <f>IFERROR($BM$2&amp;VLOOKUP(D243,'Pay Table'!$M$3:$N$18,2,FALSE)&amp;$BL$2&amp;#REF!&amp;$BN$2,"")</f>
        <v/>
      </c>
      <c r="BO241" s="1" t="str">
        <f>IFERROR($BM$2&amp;VLOOKUP(E243,'Pay Table'!$M$3:$N$18,2,FALSE)&amp;$BL$2&amp;#REF!&amp;$BN$2,"")</f>
        <v/>
      </c>
      <c r="BP241" s="27" t="str">
        <f>IFERROR($BM$2&amp;VLOOKUP(F243,'Pay Table'!$M$3:$N$18,2,FALSE)&amp;$BL$2&amp;#REF!&amp;$BN$2,"")</f>
        <v/>
      </c>
    </row>
    <row r="242" spans="64:68" ht="17.100000000000001" customHeight="1" x14ac:dyDescent="0.15">
      <c r="BL242" s="26" t="str">
        <f>IFERROR($BM$2&amp;VLOOKUP(B244,'Pay Table'!$M$3:$N$18,2,FALSE)&amp;$BL$2&amp;#REF!&amp;$BN$2,"")</f>
        <v/>
      </c>
      <c r="BM242" s="1" t="str">
        <f>IFERROR($BM$2&amp;VLOOKUP(C244,'Pay Table'!$M$3:$N$18,2,FALSE)&amp;$BL$2&amp;#REF!&amp;$BN$2,"")</f>
        <v/>
      </c>
      <c r="BN242" s="1" t="str">
        <f>IFERROR($BM$2&amp;VLOOKUP(D244,'Pay Table'!$M$3:$N$18,2,FALSE)&amp;$BL$2&amp;#REF!&amp;$BN$2,"")</f>
        <v/>
      </c>
      <c r="BO242" s="1" t="str">
        <f>IFERROR($BM$2&amp;VLOOKUP(E244,'Pay Table'!$M$3:$N$18,2,FALSE)&amp;$BL$2&amp;#REF!&amp;$BN$2,"")</f>
        <v/>
      </c>
      <c r="BP242" s="27" t="str">
        <f>IFERROR($BM$2&amp;VLOOKUP(F244,'Pay Table'!$M$3:$N$18,2,FALSE)&amp;$BL$2&amp;#REF!&amp;$BN$2,"")</f>
        <v/>
      </c>
    </row>
    <row r="243" spans="64:68" ht="17.100000000000001" customHeight="1" x14ac:dyDescent="0.15">
      <c r="BL243" s="26" t="str">
        <f>IFERROR($BM$2&amp;VLOOKUP(B245,'Pay Table'!$M$3:$N$18,2,FALSE)&amp;$BL$2&amp;#REF!&amp;$BN$2,"")</f>
        <v/>
      </c>
      <c r="BM243" s="1" t="str">
        <f>IFERROR($BM$2&amp;VLOOKUP(C245,'Pay Table'!$M$3:$N$18,2,FALSE)&amp;$BL$2&amp;#REF!&amp;$BN$2,"")</f>
        <v/>
      </c>
      <c r="BN243" s="1" t="str">
        <f>IFERROR($BM$2&amp;VLOOKUP(D245,'Pay Table'!$M$3:$N$18,2,FALSE)&amp;$BL$2&amp;#REF!&amp;$BN$2,"")</f>
        <v/>
      </c>
      <c r="BO243" s="1" t="str">
        <f>IFERROR($BM$2&amp;VLOOKUP(E245,'Pay Table'!$M$3:$N$18,2,FALSE)&amp;$BL$2&amp;#REF!&amp;$BN$2,"")</f>
        <v/>
      </c>
      <c r="BP243" s="27" t="str">
        <f>IFERROR($BM$2&amp;VLOOKUP(F245,'Pay Table'!$M$3:$N$18,2,FALSE)&amp;$BL$2&amp;#REF!&amp;$BN$2,"")</f>
        <v/>
      </c>
    </row>
    <row r="244" spans="64:68" ht="17.100000000000001" customHeight="1" x14ac:dyDescent="0.15">
      <c r="BL244" s="26" t="str">
        <f>IFERROR($BM$2&amp;VLOOKUP(B246,'Pay Table'!$M$3:$N$18,2,FALSE)&amp;$BL$2&amp;#REF!&amp;$BN$2,"")</f>
        <v/>
      </c>
      <c r="BM244" s="1" t="str">
        <f>IFERROR($BM$2&amp;VLOOKUP(C246,'Pay Table'!$M$3:$N$18,2,FALSE)&amp;$BL$2&amp;#REF!&amp;$BN$2,"")</f>
        <v/>
      </c>
      <c r="BN244" s="1" t="str">
        <f>IFERROR($BM$2&amp;VLOOKUP(D246,'Pay Table'!$M$3:$N$18,2,FALSE)&amp;$BL$2&amp;#REF!&amp;$BN$2,"")</f>
        <v/>
      </c>
      <c r="BO244" s="1" t="str">
        <f>IFERROR($BM$2&amp;VLOOKUP(E246,'Pay Table'!$M$3:$N$18,2,FALSE)&amp;$BL$2&amp;#REF!&amp;$BN$2,"")</f>
        <v/>
      </c>
      <c r="BP244" s="27" t="str">
        <f>IFERROR($BM$2&amp;VLOOKUP(F246,'Pay Table'!$M$3:$N$18,2,FALSE)&amp;$BL$2&amp;#REF!&amp;$BN$2,"")</f>
        <v/>
      </c>
    </row>
    <row r="245" spans="64:68" ht="17.100000000000001" customHeight="1" x14ac:dyDescent="0.15">
      <c r="BL245" s="26" t="str">
        <f>IFERROR($BM$2&amp;VLOOKUP(B247,'Pay Table'!$M$3:$N$18,2,FALSE)&amp;$BL$2&amp;#REF!&amp;$BN$2,"")</f>
        <v/>
      </c>
      <c r="BM245" s="1" t="str">
        <f>IFERROR($BM$2&amp;VLOOKUP(C247,'Pay Table'!$M$3:$N$18,2,FALSE)&amp;$BL$2&amp;#REF!&amp;$BN$2,"")</f>
        <v/>
      </c>
      <c r="BN245" s="1" t="str">
        <f>IFERROR($BM$2&amp;VLOOKUP(D247,'Pay Table'!$M$3:$N$18,2,FALSE)&amp;$BL$2&amp;#REF!&amp;$BN$2,"")</f>
        <v/>
      </c>
      <c r="BO245" s="1" t="str">
        <f>IFERROR($BM$2&amp;VLOOKUP(E247,'Pay Table'!$M$3:$N$18,2,FALSE)&amp;$BL$2&amp;#REF!&amp;$BN$2,"")</f>
        <v/>
      </c>
      <c r="BP245" s="27" t="str">
        <f>IFERROR($BM$2&amp;VLOOKUP(F247,'Pay Table'!$M$3:$N$18,2,FALSE)&amp;$BL$2&amp;#REF!&amp;$BN$2,"")</f>
        <v/>
      </c>
    </row>
    <row r="246" spans="64:68" ht="17.100000000000001" customHeight="1" x14ac:dyDescent="0.15">
      <c r="BL246" s="26" t="str">
        <f>IFERROR($BM$2&amp;VLOOKUP(B248,'Pay Table'!$M$3:$N$18,2,FALSE)&amp;$BL$2&amp;#REF!&amp;$BN$2,"")</f>
        <v/>
      </c>
      <c r="BM246" s="1" t="str">
        <f>IFERROR($BM$2&amp;VLOOKUP(C248,'Pay Table'!$M$3:$N$18,2,FALSE)&amp;$BL$2&amp;#REF!&amp;$BN$2,"")</f>
        <v/>
      </c>
      <c r="BN246" s="1" t="str">
        <f>IFERROR($BM$2&amp;VLOOKUP(D248,'Pay Table'!$M$3:$N$18,2,FALSE)&amp;$BL$2&amp;#REF!&amp;$BN$2,"")</f>
        <v/>
      </c>
      <c r="BO246" s="1" t="str">
        <f>IFERROR($BM$2&amp;VLOOKUP(E248,'Pay Table'!$M$3:$N$18,2,FALSE)&amp;$BL$2&amp;#REF!&amp;$BN$2,"")</f>
        <v/>
      </c>
      <c r="BP246" s="27" t="str">
        <f>IFERROR($BM$2&amp;VLOOKUP(F248,'Pay Table'!$M$3:$N$18,2,FALSE)&amp;$BL$2&amp;#REF!&amp;$BN$2,"")</f>
        <v/>
      </c>
    </row>
    <row r="247" spans="64:68" ht="17.100000000000001" customHeight="1" x14ac:dyDescent="0.15">
      <c r="BL247" s="26" t="str">
        <f>IFERROR($BM$2&amp;VLOOKUP(B249,'Pay Table'!$M$3:$N$18,2,FALSE)&amp;$BL$2&amp;#REF!&amp;$BN$2,"")</f>
        <v/>
      </c>
      <c r="BM247" s="1" t="str">
        <f>IFERROR($BM$2&amp;VLOOKUP(C249,'Pay Table'!$M$3:$N$18,2,FALSE)&amp;$BL$2&amp;#REF!&amp;$BN$2,"")</f>
        <v/>
      </c>
      <c r="BN247" s="1" t="str">
        <f>IFERROR($BM$2&amp;VLOOKUP(D249,'Pay Table'!$M$3:$N$18,2,FALSE)&amp;$BL$2&amp;#REF!&amp;$BN$2,"")</f>
        <v/>
      </c>
      <c r="BO247" s="1" t="str">
        <f>IFERROR($BM$2&amp;VLOOKUP(E249,'Pay Table'!$M$3:$N$18,2,FALSE)&amp;$BL$2&amp;#REF!&amp;$BN$2,"")</f>
        <v/>
      </c>
      <c r="BP247" s="27" t="str">
        <f>IFERROR($BM$2&amp;VLOOKUP(F249,'Pay Table'!$M$3:$N$18,2,FALSE)&amp;$BL$2&amp;#REF!&amp;$BN$2,"")</f>
        <v/>
      </c>
    </row>
    <row r="248" spans="64:68" ht="17.100000000000001" customHeight="1" x14ac:dyDescent="0.15">
      <c r="BL248" s="26" t="str">
        <f>IFERROR($BM$2&amp;VLOOKUP(B250,'Pay Table'!$M$3:$N$18,2,FALSE)&amp;$BL$2&amp;#REF!&amp;$BN$2,"")</f>
        <v/>
      </c>
      <c r="BM248" s="1" t="str">
        <f>IFERROR($BM$2&amp;VLOOKUP(C250,'Pay Table'!$M$3:$N$18,2,FALSE)&amp;$BL$2&amp;#REF!&amp;$BN$2,"")</f>
        <v/>
      </c>
      <c r="BN248" s="1" t="str">
        <f>IFERROR($BM$2&amp;VLOOKUP(D250,'Pay Table'!$M$3:$N$18,2,FALSE)&amp;$BL$2&amp;#REF!&amp;$BN$2,"")</f>
        <v/>
      </c>
      <c r="BO248" s="1" t="str">
        <f>IFERROR($BM$2&amp;VLOOKUP(E250,'Pay Table'!$M$3:$N$18,2,FALSE)&amp;$BL$2&amp;#REF!&amp;$BN$2,"")</f>
        <v/>
      </c>
      <c r="BP248" s="27" t="str">
        <f>IFERROR($BM$2&amp;VLOOKUP(F250,'Pay Table'!$M$3:$N$18,2,FALSE)&amp;$BL$2&amp;#REF!&amp;$BN$2,"")</f>
        <v/>
      </c>
    </row>
    <row r="249" spans="64:68" ht="17.100000000000001" customHeight="1" x14ac:dyDescent="0.15">
      <c r="BL249" s="26" t="str">
        <f>IFERROR($BM$2&amp;VLOOKUP(B251,'Pay Table'!$M$3:$N$18,2,FALSE)&amp;$BL$2&amp;#REF!&amp;$BN$2,"")</f>
        <v/>
      </c>
      <c r="BM249" s="1" t="str">
        <f>IFERROR($BM$2&amp;VLOOKUP(C251,'Pay Table'!$M$3:$N$18,2,FALSE)&amp;$BL$2&amp;#REF!&amp;$BN$2,"")</f>
        <v/>
      </c>
      <c r="BN249" s="1" t="str">
        <f>IFERROR($BM$2&amp;VLOOKUP(D251,'Pay Table'!$M$3:$N$18,2,FALSE)&amp;$BL$2&amp;#REF!&amp;$BN$2,"")</f>
        <v/>
      </c>
      <c r="BO249" s="1" t="str">
        <f>IFERROR($BM$2&amp;VLOOKUP(E251,'Pay Table'!$M$3:$N$18,2,FALSE)&amp;$BL$2&amp;#REF!&amp;$BN$2,"")</f>
        <v/>
      </c>
      <c r="BP249" s="27" t="str">
        <f>IFERROR($BM$2&amp;VLOOKUP(F251,'Pay Table'!$M$3:$N$18,2,FALSE)&amp;$BL$2&amp;#REF!&amp;$BN$2,"")</f>
        <v/>
      </c>
    </row>
    <row r="250" spans="64:68" ht="17.100000000000001" customHeight="1" x14ac:dyDescent="0.15">
      <c r="BL250" s="26" t="str">
        <f>IFERROR($BM$2&amp;VLOOKUP(B252,'Pay Table'!$M$3:$N$18,2,FALSE)&amp;$BL$2&amp;#REF!&amp;$BN$2,"")</f>
        <v/>
      </c>
      <c r="BM250" s="1" t="str">
        <f>IFERROR($BM$2&amp;VLOOKUP(C252,'Pay Table'!$M$3:$N$18,2,FALSE)&amp;$BL$2&amp;#REF!&amp;$BN$2,"")</f>
        <v/>
      </c>
      <c r="BN250" s="1" t="str">
        <f>IFERROR($BM$2&amp;VLOOKUP(D252,'Pay Table'!$M$3:$N$18,2,FALSE)&amp;$BL$2&amp;#REF!&amp;$BN$2,"")</f>
        <v/>
      </c>
      <c r="BO250" s="1" t="str">
        <f>IFERROR($BM$2&amp;VLOOKUP(E252,'Pay Table'!$M$3:$N$18,2,FALSE)&amp;$BL$2&amp;#REF!&amp;$BN$2,"")</f>
        <v/>
      </c>
      <c r="BP250" s="27" t="str">
        <f>IFERROR($BM$2&amp;VLOOKUP(F252,'Pay Table'!$M$3:$N$18,2,FALSE)&amp;$BL$2&amp;#REF!&amp;$BN$2,"")</f>
        <v/>
      </c>
    </row>
    <row r="251" spans="64:68" ht="17.100000000000001" customHeight="1" x14ac:dyDescent="0.15">
      <c r="BL251" s="26" t="str">
        <f>IFERROR($BM$2&amp;VLOOKUP(B253,'Pay Table'!$M$3:$N$18,2,FALSE)&amp;$BL$2&amp;#REF!&amp;$BN$2,"")</f>
        <v/>
      </c>
      <c r="BM251" s="1" t="str">
        <f>IFERROR($BM$2&amp;VLOOKUP(C253,'Pay Table'!$M$3:$N$18,2,FALSE)&amp;$BL$2&amp;#REF!&amp;$BN$2,"")</f>
        <v/>
      </c>
      <c r="BN251" s="1" t="str">
        <f>IFERROR($BM$2&amp;VLOOKUP(D253,'Pay Table'!$M$3:$N$18,2,FALSE)&amp;$BL$2&amp;#REF!&amp;$BN$2,"")</f>
        <v/>
      </c>
      <c r="BO251" s="1" t="str">
        <f>IFERROR($BM$2&amp;VLOOKUP(E253,'Pay Table'!$M$3:$N$18,2,FALSE)&amp;$BL$2&amp;#REF!&amp;$BN$2,"")</f>
        <v/>
      </c>
      <c r="BP251" s="27" t="str">
        <f>IFERROR($BM$2&amp;VLOOKUP(F253,'Pay Table'!$M$3:$N$18,2,FALSE)&amp;$BL$2&amp;#REF!&amp;$BN$2,"")</f>
        <v/>
      </c>
    </row>
    <row r="252" spans="64:68" ht="17.100000000000001" customHeight="1" x14ac:dyDescent="0.15">
      <c r="BL252" s="26" t="str">
        <f>IFERROR($BM$2&amp;VLOOKUP(B254,'Pay Table'!$M$3:$N$18,2,FALSE)&amp;$BL$2&amp;#REF!&amp;$BN$2,"")</f>
        <v/>
      </c>
      <c r="BM252" s="1" t="str">
        <f>IFERROR($BM$2&amp;VLOOKUP(C254,'Pay Table'!$M$3:$N$18,2,FALSE)&amp;$BL$2&amp;#REF!&amp;$BN$2,"")</f>
        <v/>
      </c>
      <c r="BN252" s="1" t="str">
        <f>IFERROR($BM$2&amp;VLOOKUP(D254,'Pay Table'!$M$3:$N$18,2,FALSE)&amp;$BL$2&amp;#REF!&amp;$BN$2,"")</f>
        <v/>
      </c>
      <c r="BO252" s="1" t="str">
        <f>IFERROR($BM$2&amp;VLOOKUP(E254,'Pay Table'!$M$3:$N$18,2,FALSE)&amp;$BL$2&amp;#REF!&amp;$BN$2,"")</f>
        <v/>
      </c>
      <c r="BP252" s="27" t="str">
        <f>IFERROR($BM$2&amp;VLOOKUP(F254,'Pay Table'!$M$3:$N$18,2,FALSE)&amp;$BL$2&amp;#REF!&amp;$BN$2,"")</f>
        <v/>
      </c>
    </row>
    <row r="253" spans="64:68" ht="17.100000000000001" customHeight="1" x14ac:dyDescent="0.15">
      <c r="BL253" s="26" t="str">
        <f>IFERROR($BM$2&amp;VLOOKUP(B255,'Pay Table'!$M$3:$N$18,2,FALSE)&amp;$BL$2&amp;#REF!&amp;$BN$2,"")</f>
        <v/>
      </c>
      <c r="BM253" s="1" t="str">
        <f>IFERROR($BM$2&amp;VLOOKUP(C255,'Pay Table'!$M$3:$N$18,2,FALSE)&amp;$BL$2&amp;#REF!&amp;$BN$2,"")</f>
        <v/>
      </c>
      <c r="BN253" s="1" t="str">
        <f>IFERROR($BM$2&amp;VLOOKUP(D255,'Pay Table'!$M$3:$N$18,2,FALSE)&amp;$BL$2&amp;#REF!&amp;$BN$2,"")</f>
        <v/>
      </c>
      <c r="BO253" s="1" t="str">
        <f>IFERROR($BM$2&amp;VLOOKUP(E255,'Pay Table'!$M$3:$N$18,2,FALSE)&amp;$BL$2&amp;#REF!&amp;$BN$2,"")</f>
        <v/>
      </c>
      <c r="BP253" s="27" t="str">
        <f>IFERROR($BM$2&amp;VLOOKUP(F255,'Pay Table'!$M$3:$N$18,2,FALSE)&amp;$BL$2&amp;#REF!&amp;$BN$2,"")</f>
        <v/>
      </c>
    </row>
    <row r="254" spans="64:68" ht="17.100000000000001" customHeight="1" x14ac:dyDescent="0.15">
      <c r="BL254" s="26" t="str">
        <f>IFERROR($BM$2&amp;VLOOKUP(B256,'Pay Table'!$M$3:$N$18,2,FALSE)&amp;$BL$2&amp;#REF!&amp;$BN$2,"")</f>
        <v/>
      </c>
      <c r="BM254" s="1" t="str">
        <f>IFERROR($BM$2&amp;VLOOKUP(C256,'Pay Table'!$M$3:$N$18,2,FALSE)&amp;$BL$2&amp;#REF!&amp;$BN$2,"")</f>
        <v/>
      </c>
      <c r="BN254" s="1" t="str">
        <f>IFERROR($BM$2&amp;VLOOKUP(D256,'Pay Table'!$M$3:$N$18,2,FALSE)&amp;$BL$2&amp;#REF!&amp;$BN$2,"")</f>
        <v/>
      </c>
      <c r="BO254" s="1" t="str">
        <f>IFERROR($BM$2&amp;VLOOKUP(E256,'Pay Table'!$M$3:$N$18,2,FALSE)&amp;$BL$2&amp;#REF!&amp;$BN$2,"")</f>
        <v/>
      </c>
      <c r="BP254" s="27" t="str">
        <f>IFERROR($BM$2&amp;VLOOKUP(F256,'Pay Table'!$M$3:$N$18,2,FALSE)&amp;$BL$2&amp;#REF!&amp;$BN$2,"")</f>
        <v/>
      </c>
    </row>
    <row r="255" spans="64:68" ht="17.100000000000001" customHeight="1" x14ac:dyDescent="0.15">
      <c r="BL255" s="26" t="str">
        <f>IFERROR($BM$2&amp;VLOOKUP(B257,'Pay Table'!$M$3:$N$18,2,FALSE)&amp;$BL$2&amp;#REF!&amp;$BN$2,"")</f>
        <v/>
      </c>
      <c r="BM255" s="1" t="str">
        <f>IFERROR($BM$2&amp;VLOOKUP(C257,'Pay Table'!$M$3:$N$18,2,FALSE)&amp;$BL$2&amp;#REF!&amp;$BN$2,"")</f>
        <v/>
      </c>
      <c r="BN255" s="1" t="str">
        <f>IFERROR($BM$2&amp;VLOOKUP(D257,'Pay Table'!$M$3:$N$18,2,FALSE)&amp;$BL$2&amp;#REF!&amp;$BN$2,"")</f>
        <v/>
      </c>
      <c r="BO255" s="1" t="str">
        <f>IFERROR($BM$2&amp;VLOOKUP(E257,'Pay Table'!$M$3:$N$18,2,FALSE)&amp;$BL$2&amp;#REF!&amp;$BN$2,"")</f>
        <v/>
      </c>
      <c r="BP255" s="27" t="str">
        <f>IFERROR($BM$2&amp;VLOOKUP(F257,'Pay Table'!$M$3:$N$18,2,FALSE)&amp;$BL$2&amp;#REF!&amp;$BN$2,"")</f>
        <v/>
      </c>
    </row>
    <row r="256" spans="64:68" ht="17.100000000000001" customHeight="1" x14ac:dyDescent="0.15">
      <c r="BL256" s="26" t="str">
        <f>IFERROR($BM$2&amp;VLOOKUP(B258,'Pay Table'!$M$3:$N$18,2,FALSE)&amp;$BL$2&amp;#REF!&amp;$BN$2,"")</f>
        <v/>
      </c>
      <c r="BM256" s="1" t="str">
        <f>IFERROR($BM$2&amp;VLOOKUP(C258,'Pay Table'!$M$3:$N$18,2,FALSE)&amp;$BL$2&amp;#REF!&amp;$BN$2,"")</f>
        <v/>
      </c>
      <c r="BN256" s="1" t="str">
        <f>IFERROR($BM$2&amp;VLOOKUP(D258,'Pay Table'!$M$3:$N$18,2,FALSE)&amp;$BL$2&amp;#REF!&amp;$BN$2,"")</f>
        <v/>
      </c>
      <c r="BO256" s="1" t="str">
        <f>IFERROR($BM$2&amp;VLOOKUP(E258,'Pay Table'!$M$3:$N$18,2,FALSE)&amp;$BL$2&amp;#REF!&amp;$BN$2,"")</f>
        <v/>
      </c>
      <c r="BP256" s="27" t="str">
        <f>IFERROR($BM$2&amp;VLOOKUP(F258,'Pay Table'!$M$3:$N$18,2,FALSE)&amp;$BL$2&amp;#REF!&amp;$BN$2,"")</f>
        <v/>
      </c>
    </row>
    <row r="257" spans="64:68" ht="17.100000000000001" customHeight="1" x14ac:dyDescent="0.15">
      <c r="BL257" s="26" t="str">
        <f>IFERROR($BM$2&amp;VLOOKUP(B259,'Pay Table'!$M$3:$N$18,2,FALSE)&amp;$BL$2&amp;#REF!&amp;$BN$2,"")</f>
        <v/>
      </c>
      <c r="BM257" s="1" t="str">
        <f>IFERROR($BM$2&amp;VLOOKUP(C259,'Pay Table'!$M$3:$N$18,2,FALSE)&amp;$BL$2&amp;#REF!&amp;$BN$2,"")</f>
        <v/>
      </c>
      <c r="BN257" s="1" t="str">
        <f>IFERROR($BM$2&amp;VLOOKUP(D259,'Pay Table'!$M$3:$N$18,2,FALSE)&amp;$BL$2&amp;#REF!&amp;$BN$2,"")</f>
        <v/>
      </c>
      <c r="BO257" s="1" t="str">
        <f>IFERROR($BM$2&amp;VLOOKUP(E259,'Pay Table'!$M$3:$N$18,2,FALSE)&amp;$BL$2&amp;#REF!&amp;$BN$2,"")</f>
        <v/>
      </c>
      <c r="BP257" s="27" t="str">
        <f>IFERROR($BM$2&amp;VLOOKUP(F259,'Pay Table'!$M$3:$N$18,2,FALSE)&amp;$BL$2&amp;#REF!&amp;$BN$2,"")</f>
        <v/>
      </c>
    </row>
    <row r="258" spans="64:68" ht="17.100000000000001" customHeight="1" x14ac:dyDescent="0.15">
      <c r="BL258" s="26" t="str">
        <f>IFERROR($BM$2&amp;VLOOKUP(B260,'Pay Table'!$M$3:$N$18,2,FALSE)&amp;$BL$2&amp;#REF!&amp;$BN$2,"")</f>
        <v/>
      </c>
      <c r="BM258" s="1" t="str">
        <f>IFERROR($BM$2&amp;VLOOKUP(C260,'Pay Table'!$M$3:$N$18,2,FALSE)&amp;$BL$2&amp;#REF!&amp;$BN$2,"")</f>
        <v/>
      </c>
      <c r="BN258" s="1" t="str">
        <f>IFERROR($BM$2&amp;VLOOKUP(D260,'Pay Table'!$M$3:$N$18,2,FALSE)&amp;$BL$2&amp;#REF!&amp;$BN$2,"")</f>
        <v/>
      </c>
      <c r="BO258" s="1" t="str">
        <f>IFERROR($BM$2&amp;VLOOKUP(E260,'Pay Table'!$M$3:$N$18,2,FALSE)&amp;$BL$2&amp;#REF!&amp;$BN$2,"")</f>
        <v/>
      </c>
      <c r="BP258" s="27" t="str">
        <f>IFERROR($BM$2&amp;VLOOKUP(F260,'Pay Table'!$M$3:$N$18,2,FALSE)&amp;$BL$2&amp;#REF!&amp;$BN$2,"")</f>
        <v/>
      </c>
    </row>
    <row r="259" spans="64:68" ht="17.100000000000001" customHeight="1" x14ac:dyDescent="0.15">
      <c r="BL259" s="26" t="str">
        <f>IFERROR($BM$2&amp;VLOOKUP(B261,'Pay Table'!$M$3:$N$18,2,FALSE)&amp;$BL$2&amp;#REF!&amp;$BN$2,"")</f>
        <v/>
      </c>
      <c r="BM259" s="1" t="str">
        <f>IFERROR($BM$2&amp;VLOOKUP(C261,'Pay Table'!$M$3:$N$18,2,FALSE)&amp;$BL$2&amp;#REF!&amp;$BN$2,"")</f>
        <v/>
      </c>
      <c r="BN259" s="1" t="str">
        <f>IFERROR($BM$2&amp;VLOOKUP(D261,'Pay Table'!$M$3:$N$18,2,FALSE)&amp;$BL$2&amp;#REF!&amp;$BN$2,"")</f>
        <v/>
      </c>
      <c r="BO259" s="1" t="str">
        <f>IFERROR($BM$2&amp;VLOOKUP(E261,'Pay Table'!$M$3:$N$18,2,FALSE)&amp;$BL$2&amp;#REF!&amp;$BN$2,"")</f>
        <v/>
      </c>
      <c r="BP259" s="27" t="str">
        <f>IFERROR($BM$2&amp;VLOOKUP(F261,'Pay Table'!$M$3:$N$18,2,FALSE)&amp;$BL$2&amp;#REF!&amp;$BN$2,"")</f>
        <v/>
      </c>
    </row>
    <row r="260" spans="64:68" ht="17.100000000000001" customHeight="1" x14ac:dyDescent="0.15">
      <c r="BL260" s="26" t="str">
        <f>IFERROR($BM$2&amp;VLOOKUP(B262,'Pay Table'!$M$3:$N$18,2,FALSE)&amp;$BL$2&amp;#REF!&amp;$BN$2,"")</f>
        <v/>
      </c>
      <c r="BM260" s="1" t="str">
        <f>IFERROR($BM$2&amp;VLOOKUP(C262,'Pay Table'!$M$3:$N$18,2,FALSE)&amp;$BL$2&amp;#REF!&amp;$BN$2,"")</f>
        <v/>
      </c>
      <c r="BN260" s="1" t="str">
        <f>IFERROR($BM$2&amp;VLOOKUP(D262,'Pay Table'!$M$3:$N$18,2,FALSE)&amp;$BL$2&amp;#REF!&amp;$BN$2,"")</f>
        <v/>
      </c>
      <c r="BO260" s="1" t="str">
        <f>IFERROR($BM$2&amp;VLOOKUP(E262,'Pay Table'!$M$3:$N$18,2,FALSE)&amp;$BL$2&amp;#REF!&amp;$BN$2,"")</f>
        <v/>
      </c>
      <c r="BP260" s="27" t="str">
        <f>IFERROR($BM$2&amp;VLOOKUP(F262,'Pay Table'!$M$3:$N$18,2,FALSE)&amp;$BL$2&amp;#REF!&amp;$BN$2,"")</f>
        <v/>
      </c>
    </row>
    <row r="261" spans="64:68" ht="17.100000000000001" customHeight="1" x14ac:dyDescent="0.15">
      <c r="BL261" s="26" t="str">
        <f>IFERROR($BM$2&amp;VLOOKUP(B263,'Pay Table'!$M$3:$N$18,2,FALSE)&amp;$BL$2&amp;#REF!&amp;$BN$2,"")</f>
        <v/>
      </c>
      <c r="BM261" s="1" t="str">
        <f>IFERROR($BM$2&amp;VLOOKUP(C263,'Pay Table'!$M$3:$N$18,2,FALSE)&amp;$BL$2&amp;#REF!&amp;$BN$2,"")</f>
        <v/>
      </c>
      <c r="BN261" s="1" t="str">
        <f>IFERROR($BM$2&amp;VLOOKUP(D263,'Pay Table'!$M$3:$N$18,2,FALSE)&amp;$BL$2&amp;#REF!&amp;$BN$2,"")</f>
        <v/>
      </c>
      <c r="BO261" s="1" t="str">
        <f>IFERROR($BM$2&amp;VLOOKUP(E263,'Pay Table'!$M$3:$N$18,2,FALSE)&amp;$BL$2&amp;#REF!&amp;$BN$2,"")</f>
        <v/>
      </c>
      <c r="BP261" s="27" t="str">
        <f>IFERROR($BM$2&amp;VLOOKUP(F263,'Pay Table'!$M$3:$N$18,2,FALSE)&amp;$BL$2&amp;#REF!&amp;$BN$2,"")</f>
        <v/>
      </c>
    </row>
    <row r="262" spans="64:68" ht="17.100000000000001" customHeight="1" x14ac:dyDescent="0.15">
      <c r="BL262" s="26" t="str">
        <f>IFERROR($BM$2&amp;VLOOKUP(B264,'Pay Table'!$M$3:$N$18,2,FALSE)&amp;$BL$2&amp;#REF!&amp;$BN$2,"")</f>
        <v/>
      </c>
      <c r="BM262" s="1" t="str">
        <f>IFERROR($BM$2&amp;VLOOKUP(C264,'Pay Table'!$M$3:$N$18,2,FALSE)&amp;$BL$2&amp;#REF!&amp;$BN$2,"")</f>
        <v/>
      </c>
      <c r="BN262" s="1" t="str">
        <f>IFERROR($BM$2&amp;VLOOKUP(D264,'Pay Table'!$M$3:$N$18,2,FALSE)&amp;$BL$2&amp;#REF!&amp;$BN$2,"")</f>
        <v/>
      </c>
      <c r="BO262" s="1" t="str">
        <f>IFERROR($BM$2&amp;VLOOKUP(E264,'Pay Table'!$M$3:$N$18,2,FALSE)&amp;$BL$2&amp;#REF!&amp;$BN$2,"")</f>
        <v/>
      </c>
      <c r="BP262" s="27" t="str">
        <f>IFERROR($BM$2&amp;VLOOKUP(F264,'Pay Table'!$M$3:$N$18,2,FALSE)&amp;$BL$2&amp;#REF!&amp;$BN$2,"")</f>
        <v/>
      </c>
    </row>
    <row r="263" spans="64:68" ht="17.100000000000001" customHeight="1" x14ac:dyDescent="0.15">
      <c r="BL263" s="26" t="str">
        <f>IFERROR($BM$2&amp;VLOOKUP(B265,'Pay Table'!$M$3:$N$18,2,FALSE)&amp;$BL$2&amp;#REF!&amp;$BN$2,"")</f>
        <v/>
      </c>
      <c r="BM263" s="1" t="str">
        <f>IFERROR($BM$2&amp;VLOOKUP(C265,'Pay Table'!$M$3:$N$18,2,FALSE)&amp;$BL$2&amp;#REF!&amp;$BN$2,"")</f>
        <v/>
      </c>
      <c r="BN263" s="1" t="str">
        <f>IFERROR($BM$2&amp;VLOOKUP(D265,'Pay Table'!$M$3:$N$18,2,FALSE)&amp;$BL$2&amp;#REF!&amp;$BN$2,"")</f>
        <v/>
      </c>
      <c r="BO263" s="1" t="str">
        <f>IFERROR($BM$2&amp;VLOOKUP(E265,'Pay Table'!$M$3:$N$18,2,FALSE)&amp;$BL$2&amp;#REF!&amp;$BN$2,"")</f>
        <v/>
      </c>
      <c r="BP263" s="27" t="str">
        <f>IFERROR($BM$2&amp;VLOOKUP(F265,'Pay Table'!$M$3:$N$18,2,FALSE)&amp;$BL$2&amp;#REF!&amp;$BN$2,"")</f>
        <v/>
      </c>
    </row>
    <row r="264" spans="64:68" ht="17.100000000000001" customHeight="1" x14ac:dyDescent="0.15">
      <c r="BL264" s="26" t="str">
        <f>IFERROR($BM$2&amp;VLOOKUP(B266,'Pay Table'!$M$3:$N$18,2,FALSE)&amp;$BL$2&amp;#REF!&amp;$BN$2,"")</f>
        <v/>
      </c>
      <c r="BM264" s="1" t="str">
        <f>IFERROR($BM$2&amp;VLOOKUP(C266,'Pay Table'!$M$3:$N$18,2,FALSE)&amp;$BL$2&amp;#REF!&amp;$BN$2,"")</f>
        <v/>
      </c>
      <c r="BN264" s="1" t="str">
        <f>IFERROR($BM$2&amp;VLOOKUP(D266,'Pay Table'!$M$3:$N$18,2,FALSE)&amp;$BL$2&amp;#REF!&amp;$BN$2,"")</f>
        <v/>
      </c>
      <c r="BO264" s="1" t="str">
        <f>IFERROR($BM$2&amp;VLOOKUP(E266,'Pay Table'!$M$3:$N$18,2,FALSE)&amp;$BL$2&amp;#REF!&amp;$BN$2,"")</f>
        <v/>
      </c>
      <c r="BP264" s="27" t="str">
        <f>IFERROR($BM$2&amp;VLOOKUP(F266,'Pay Table'!$M$3:$N$18,2,FALSE)&amp;$BL$2&amp;#REF!&amp;$BN$2,"")</f>
        <v/>
      </c>
    </row>
    <row r="265" spans="64:68" ht="17.100000000000001" customHeight="1" x14ac:dyDescent="0.15">
      <c r="BL265" s="26" t="str">
        <f>IFERROR($BM$2&amp;VLOOKUP(B267,'Pay Table'!$M$3:$N$18,2,FALSE)&amp;$BL$2&amp;#REF!&amp;$BN$2,"")</f>
        <v/>
      </c>
      <c r="BM265" s="1" t="str">
        <f>IFERROR($BM$2&amp;VLOOKUP(C267,'Pay Table'!$M$3:$N$18,2,FALSE)&amp;$BL$2&amp;#REF!&amp;$BN$2,"")</f>
        <v/>
      </c>
      <c r="BN265" s="1" t="str">
        <f>IFERROR($BM$2&amp;VLOOKUP(D267,'Pay Table'!$M$3:$N$18,2,FALSE)&amp;$BL$2&amp;#REF!&amp;$BN$2,"")</f>
        <v/>
      </c>
      <c r="BO265" s="1" t="str">
        <f>IFERROR($BM$2&amp;VLOOKUP(E267,'Pay Table'!$M$3:$N$18,2,FALSE)&amp;$BL$2&amp;#REF!&amp;$BN$2,"")</f>
        <v/>
      </c>
      <c r="BP265" s="27" t="str">
        <f>IFERROR($BM$2&amp;VLOOKUP(F267,'Pay Table'!$M$3:$N$18,2,FALSE)&amp;$BL$2&amp;#REF!&amp;$BN$2,"")</f>
        <v/>
      </c>
    </row>
    <row r="266" spans="64:68" ht="17.100000000000001" customHeight="1" x14ac:dyDescent="0.15">
      <c r="BL266" s="26" t="str">
        <f>IFERROR($BM$2&amp;VLOOKUP(B268,'Pay Table'!$M$3:$N$18,2,FALSE)&amp;$BL$2&amp;#REF!&amp;$BN$2,"")</f>
        <v/>
      </c>
      <c r="BM266" s="1" t="str">
        <f>IFERROR($BM$2&amp;VLOOKUP(C268,'Pay Table'!$M$3:$N$18,2,FALSE)&amp;$BL$2&amp;#REF!&amp;$BN$2,"")</f>
        <v/>
      </c>
      <c r="BN266" s="1" t="str">
        <f>IFERROR($BM$2&amp;VLOOKUP(D268,'Pay Table'!$M$3:$N$18,2,FALSE)&amp;$BL$2&amp;#REF!&amp;$BN$2,"")</f>
        <v/>
      </c>
      <c r="BO266" s="1" t="str">
        <f>IFERROR($BM$2&amp;VLOOKUP(E268,'Pay Table'!$M$3:$N$18,2,FALSE)&amp;$BL$2&amp;#REF!&amp;$BN$2,"")</f>
        <v/>
      </c>
      <c r="BP266" s="27" t="str">
        <f>IFERROR($BM$2&amp;VLOOKUP(F268,'Pay Table'!$M$3:$N$18,2,FALSE)&amp;$BL$2&amp;#REF!&amp;$BN$2,"")</f>
        <v/>
      </c>
    </row>
    <row r="267" spans="64:68" ht="17.100000000000001" customHeight="1" x14ac:dyDescent="0.15">
      <c r="BL267" s="26" t="str">
        <f>IFERROR($BM$2&amp;VLOOKUP(B269,'Pay Table'!$M$3:$N$18,2,FALSE)&amp;$BL$2&amp;#REF!&amp;$BN$2,"")</f>
        <v/>
      </c>
      <c r="BM267" s="1" t="str">
        <f>IFERROR($BM$2&amp;VLOOKUP(C269,'Pay Table'!$M$3:$N$18,2,FALSE)&amp;$BL$2&amp;#REF!&amp;$BN$2,"")</f>
        <v/>
      </c>
      <c r="BN267" s="1" t="str">
        <f>IFERROR($BM$2&amp;VLOOKUP(D269,'Pay Table'!$M$3:$N$18,2,FALSE)&amp;$BL$2&amp;#REF!&amp;$BN$2,"")</f>
        <v/>
      </c>
      <c r="BO267" s="1" t="str">
        <f>IFERROR($BM$2&amp;VLOOKUP(E269,'Pay Table'!$M$3:$N$18,2,FALSE)&amp;$BL$2&amp;#REF!&amp;$BN$2,"")</f>
        <v/>
      </c>
      <c r="BP267" s="27" t="str">
        <f>IFERROR($BM$2&amp;VLOOKUP(F269,'Pay Table'!$M$3:$N$18,2,FALSE)&amp;$BL$2&amp;#REF!&amp;$BN$2,"")</f>
        <v/>
      </c>
    </row>
    <row r="268" spans="64:68" ht="17.100000000000001" customHeight="1" x14ac:dyDescent="0.15">
      <c r="BL268" s="26" t="str">
        <f>IFERROR($BM$2&amp;VLOOKUP(B270,'Pay Table'!$M$3:$N$18,2,FALSE)&amp;$BL$2&amp;#REF!&amp;$BN$2,"")</f>
        <v/>
      </c>
      <c r="BM268" s="1" t="str">
        <f>IFERROR($BM$2&amp;VLOOKUP(C270,'Pay Table'!$M$3:$N$18,2,FALSE)&amp;$BL$2&amp;#REF!&amp;$BN$2,"")</f>
        <v/>
      </c>
      <c r="BN268" s="1" t="str">
        <f>IFERROR($BM$2&amp;VLOOKUP(D270,'Pay Table'!$M$3:$N$18,2,FALSE)&amp;$BL$2&amp;#REF!&amp;$BN$2,"")</f>
        <v/>
      </c>
      <c r="BO268" s="1" t="str">
        <f>IFERROR($BM$2&amp;VLOOKUP(E270,'Pay Table'!$M$3:$N$18,2,FALSE)&amp;$BL$2&amp;#REF!&amp;$BN$2,"")</f>
        <v/>
      </c>
      <c r="BP268" s="27" t="str">
        <f>IFERROR($BM$2&amp;VLOOKUP(F270,'Pay Table'!$M$3:$N$18,2,FALSE)&amp;$BL$2&amp;#REF!&amp;$BN$2,"")</f>
        <v/>
      </c>
    </row>
    <row r="269" spans="64:68" ht="17.100000000000001" customHeight="1" x14ac:dyDescent="0.15">
      <c r="BL269" s="26" t="str">
        <f>IFERROR($BM$2&amp;VLOOKUP(B271,'Pay Table'!$M$3:$N$18,2,FALSE)&amp;$BL$2&amp;#REF!&amp;$BN$2,"")</f>
        <v/>
      </c>
      <c r="BM269" s="1" t="str">
        <f>IFERROR($BM$2&amp;VLOOKUP(C271,'Pay Table'!$M$3:$N$18,2,FALSE)&amp;$BL$2&amp;#REF!&amp;$BN$2,"")</f>
        <v/>
      </c>
      <c r="BN269" s="1" t="str">
        <f>IFERROR($BM$2&amp;VLOOKUP(D271,'Pay Table'!$M$3:$N$18,2,FALSE)&amp;$BL$2&amp;#REF!&amp;$BN$2,"")</f>
        <v/>
      </c>
      <c r="BO269" s="1" t="str">
        <f>IFERROR($BM$2&amp;VLOOKUP(E271,'Pay Table'!$M$3:$N$18,2,FALSE)&amp;$BL$2&amp;#REF!&amp;$BN$2,"")</f>
        <v/>
      </c>
      <c r="BP269" s="27" t="str">
        <f>IFERROR($BM$2&amp;VLOOKUP(F271,'Pay Table'!$M$3:$N$18,2,FALSE)&amp;$BL$2&amp;#REF!&amp;$BN$2,"")</f>
        <v/>
      </c>
    </row>
    <row r="270" spans="64:68" ht="17.100000000000001" customHeight="1" x14ac:dyDescent="0.15">
      <c r="BL270" s="26" t="str">
        <f>IFERROR($BM$2&amp;VLOOKUP(B272,'Pay Table'!$M$3:$N$18,2,FALSE)&amp;$BL$2&amp;#REF!&amp;$BN$2,"")</f>
        <v/>
      </c>
      <c r="BM270" s="1" t="str">
        <f>IFERROR($BM$2&amp;VLOOKUP(C272,'Pay Table'!$M$3:$N$18,2,FALSE)&amp;$BL$2&amp;#REF!&amp;$BN$2,"")</f>
        <v/>
      </c>
      <c r="BN270" s="1" t="str">
        <f>IFERROR($BM$2&amp;VLOOKUP(D272,'Pay Table'!$M$3:$N$18,2,FALSE)&amp;$BL$2&amp;#REF!&amp;$BN$2,"")</f>
        <v/>
      </c>
      <c r="BO270" s="1" t="str">
        <f>IFERROR($BM$2&amp;VLOOKUP(E272,'Pay Table'!$M$3:$N$18,2,FALSE)&amp;$BL$2&amp;#REF!&amp;$BN$2,"")</f>
        <v/>
      </c>
      <c r="BP270" s="27" t="str">
        <f>IFERROR($BM$2&amp;VLOOKUP(F272,'Pay Table'!$M$3:$N$18,2,FALSE)&amp;$BL$2&amp;#REF!&amp;$BN$2,"")</f>
        <v/>
      </c>
    </row>
    <row r="271" spans="64:68" ht="17.100000000000001" customHeight="1" x14ac:dyDescent="0.15">
      <c r="BL271" s="26" t="str">
        <f>IFERROR($BM$2&amp;VLOOKUP(B273,'Pay Table'!$M$3:$N$18,2,FALSE)&amp;$BL$2&amp;#REF!&amp;$BN$2,"")</f>
        <v/>
      </c>
      <c r="BM271" s="1" t="str">
        <f>IFERROR($BM$2&amp;VLOOKUP(C273,'Pay Table'!$M$3:$N$18,2,FALSE)&amp;$BL$2&amp;#REF!&amp;$BN$2,"")</f>
        <v/>
      </c>
      <c r="BN271" s="1" t="str">
        <f>IFERROR($BM$2&amp;VLOOKUP(D273,'Pay Table'!$M$3:$N$18,2,FALSE)&amp;$BL$2&amp;#REF!&amp;$BN$2,"")</f>
        <v/>
      </c>
      <c r="BO271" s="1" t="str">
        <f>IFERROR($BM$2&amp;VLOOKUP(E273,'Pay Table'!$M$3:$N$18,2,FALSE)&amp;$BL$2&amp;#REF!&amp;$BN$2,"")</f>
        <v/>
      </c>
      <c r="BP271" s="27" t="str">
        <f>IFERROR($BM$2&amp;VLOOKUP(F273,'Pay Table'!$M$3:$N$18,2,FALSE)&amp;$BL$2&amp;#REF!&amp;$BN$2,"")</f>
        <v/>
      </c>
    </row>
    <row r="272" spans="64:68" ht="17.100000000000001" customHeight="1" x14ac:dyDescent="0.15">
      <c r="BL272" s="26" t="str">
        <f>IFERROR($BM$2&amp;VLOOKUP(B274,'Pay Table'!$M$3:$N$18,2,FALSE)&amp;$BL$2&amp;#REF!&amp;$BN$2,"")</f>
        <v/>
      </c>
      <c r="BM272" s="1" t="str">
        <f>IFERROR($BM$2&amp;VLOOKUP(C274,'Pay Table'!$M$3:$N$18,2,FALSE)&amp;$BL$2&amp;#REF!&amp;$BN$2,"")</f>
        <v/>
      </c>
      <c r="BN272" s="1" t="str">
        <f>IFERROR($BM$2&amp;VLOOKUP(D274,'Pay Table'!$M$3:$N$18,2,FALSE)&amp;$BL$2&amp;#REF!&amp;$BN$2,"")</f>
        <v/>
      </c>
      <c r="BO272" s="1" t="str">
        <f>IFERROR($BM$2&amp;VLOOKUP(E274,'Pay Table'!$M$3:$N$18,2,FALSE)&amp;$BL$2&amp;#REF!&amp;$BN$2,"")</f>
        <v/>
      </c>
      <c r="BP272" s="27" t="str">
        <f>IFERROR($BM$2&amp;VLOOKUP(F274,'Pay Table'!$M$3:$N$18,2,FALSE)&amp;$BL$2&amp;#REF!&amp;$BN$2,"")</f>
        <v/>
      </c>
    </row>
    <row r="273" spans="64:68" ht="17.100000000000001" customHeight="1" x14ac:dyDescent="0.15">
      <c r="BL273" s="26" t="str">
        <f>IFERROR($BM$2&amp;VLOOKUP(B275,'Pay Table'!$M$3:$N$18,2,FALSE)&amp;$BL$2&amp;#REF!&amp;$BN$2,"")</f>
        <v/>
      </c>
      <c r="BM273" s="1" t="str">
        <f>IFERROR($BM$2&amp;VLOOKUP(C275,'Pay Table'!$M$3:$N$18,2,FALSE)&amp;$BL$2&amp;#REF!&amp;$BN$2,"")</f>
        <v/>
      </c>
      <c r="BN273" s="1" t="str">
        <f>IFERROR($BM$2&amp;VLOOKUP(D275,'Pay Table'!$M$3:$N$18,2,FALSE)&amp;$BL$2&amp;#REF!&amp;$BN$2,"")</f>
        <v/>
      </c>
      <c r="BO273" s="1" t="str">
        <f>IFERROR($BM$2&amp;VLOOKUP(E275,'Pay Table'!$M$3:$N$18,2,FALSE)&amp;$BL$2&amp;#REF!&amp;$BN$2,"")</f>
        <v/>
      </c>
      <c r="BP273" s="27" t="str">
        <f>IFERROR($BM$2&amp;VLOOKUP(F275,'Pay Table'!$M$3:$N$18,2,FALSE)&amp;$BL$2&amp;#REF!&amp;$BN$2,"")</f>
        <v/>
      </c>
    </row>
    <row r="274" spans="64:68" ht="17.100000000000001" customHeight="1" x14ac:dyDescent="0.15">
      <c r="BL274" s="26" t="str">
        <f>IFERROR($BM$2&amp;VLOOKUP(B276,'Pay Table'!$M$3:$N$18,2,FALSE)&amp;$BL$2&amp;#REF!&amp;$BN$2,"")</f>
        <v/>
      </c>
      <c r="BM274" s="1" t="str">
        <f>IFERROR($BM$2&amp;VLOOKUP(C276,'Pay Table'!$M$3:$N$18,2,FALSE)&amp;$BL$2&amp;#REF!&amp;$BN$2,"")</f>
        <v/>
      </c>
      <c r="BN274" s="1" t="str">
        <f>IFERROR($BM$2&amp;VLOOKUP(D276,'Pay Table'!$M$3:$N$18,2,FALSE)&amp;$BL$2&amp;#REF!&amp;$BN$2,"")</f>
        <v/>
      </c>
      <c r="BO274" s="1" t="str">
        <f>IFERROR($BM$2&amp;VLOOKUP(E276,'Pay Table'!$M$3:$N$18,2,FALSE)&amp;$BL$2&amp;#REF!&amp;$BN$2,"")</f>
        <v/>
      </c>
      <c r="BP274" s="27" t="str">
        <f>IFERROR($BM$2&amp;VLOOKUP(F276,'Pay Table'!$M$3:$N$18,2,FALSE)&amp;$BL$2&amp;#REF!&amp;$BN$2,"")</f>
        <v/>
      </c>
    </row>
    <row r="275" spans="64:68" ht="17.100000000000001" customHeight="1" x14ac:dyDescent="0.15">
      <c r="BL275" s="26" t="str">
        <f>IFERROR($BM$2&amp;VLOOKUP(B277,'Pay Table'!$M$3:$N$18,2,FALSE)&amp;$BL$2&amp;#REF!&amp;$BN$2,"")</f>
        <v/>
      </c>
      <c r="BM275" s="1" t="str">
        <f>IFERROR($BM$2&amp;VLOOKUP(C277,'Pay Table'!$M$3:$N$18,2,FALSE)&amp;$BL$2&amp;#REF!&amp;$BN$2,"")</f>
        <v/>
      </c>
      <c r="BN275" s="1" t="str">
        <f>IFERROR($BM$2&amp;VLOOKUP(D277,'Pay Table'!$M$3:$N$18,2,FALSE)&amp;$BL$2&amp;#REF!&amp;$BN$2,"")</f>
        <v/>
      </c>
      <c r="BO275" s="1" t="str">
        <f>IFERROR($BM$2&amp;VLOOKUP(E277,'Pay Table'!$M$3:$N$18,2,FALSE)&amp;$BL$2&amp;#REF!&amp;$BN$2,"")</f>
        <v/>
      </c>
      <c r="BP275" s="27" t="str">
        <f>IFERROR($BM$2&amp;VLOOKUP(F277,'Pay Table'!$M$3:$N$18,2,FALSE)&amp;$BL$2&amp;#REF!&amp;$BN$2,"")</f>
        <v/>
      </c>
    </row>
    <row r="276" spans="64:68" ht="17.100000000000001" customHeight="1" x14ac:dyDescent="0.15">
      <c r="BL276" s="26" t="str">
        <f>IFERROR($BM$2&amp;VLOOKUP(B278,'Pay Table'!$M$3:$N$18,2,FALSE)&amp;$BL$2&amp;#REF!&amp;$BN$2,"")</f>
        <v/>
      </c>
      <c r="BM276" s="1" t="str">
        <f>IFERROR($BM$2&amp;VLOOKUP(C278,'Pay Table'!$M$3:$N$18,2,FALSE)&amp;$BL$2&amp;#REF!&amp;$BN$2,"")</f>
        <v/>
      </c>
      <c r="BN276" s="1" t="str">
        <f>IFERROR($BM$2&amp;VLOOKUP(D278,'Pay Table'!$M$3:$N$18,2,FALSE)&amp;$BL$2&amp;#REF!&amp;$BN$2,"")</f>
        <v/>
      </c>
      <c r="BO276" s="1" t="str">
        <f>IFERROR($BM$2&amp;VLOOKUP(E278,'Pay Table'!$M$3:$N$18,2,FALSE)&amp;$BL$2&amp;#REF!&amp;$BN$2,"")</f>
        <v/>
      </c>
      <c r="BP276" s="27" t="str">
        <f>IFERROR($BM$2&amp;VLOOKUP(F278,'Pay Table'!$M$3:$N$18,2,FALSE)&amp;$BL$2&amp;#REF!&amp;$BN$2,"")</f>
        <v/>
      </c>
    </row>
    <row r="277" spans="64:68" ht="17.100000000000001" customHeight="1" x14ac:dyDescent="0.15">
      <c r="BL277" s="26" t="str">
        <f>IFERROR($BM$2&amp;VLOOKUP(B279,'Pay Table'!$M$3:$N$18,2,FALSE)&amp;$BL$2&amp;#REF!&amp;$BN$2,"")</f>
        <v/>
      </c>
      <c r="BM277" s="1" t="str">
        <f>IFERROR($BM$2&amp;VLOOKUP(C279,'Pay Table'!$M$3:$N$18,2,FALSE)&amp;$BL$2&amp;#REF!&amp;$BN$2,"")</f>
        <v/>
      </c>
      <c r="BN277" s="1" t="str">
        <f>IFERROR($BM$2&amp;VLOOKUP(D279,'Pay Table'!$M$3:$N$18,2,FALSE)&amp;$BL$2&amp;#REF!&amp;$BN$2,"")</f>
        <v/>
      </c>
      <c r="BO277" s="1" t="str">
        <f>IFERROR($BM$2&amp;VLOOKUP(E279,'Pay Table'!$M$3:$N$18,2,FALSE)&amp;$BL$2&amp;#REF!&amp;$BN$2,"")</f>
        <v/>
      </c>
      <c r="BP277" s="27" t="str">
        <f>IFERROR($BM$2&amp;VLOOKUP(F279,'Pay Table'!$M$3:$N$18,2,FALSE)&amp;$BL$2&amp;#REF!&amp;$BN$2,"")</f>
        <v/>
      </c>
    </row>
    <row r="278" spans="64:68" ht="17.100000000000001" customHeight="1" x14ac:dyDescent="0.15">
      <c r="BL278" s="26" t="str">
        <f>IFERROR($BM$2&amp;VLOOKUP(B280,'Pay Table'!$M$3:$N$18,2,FALSE)&amp;$BL$2&amp;#REF!&amp;$BN$2,"")</f>
        <v/>
      </c>
      <c r="BM278" s="1" t="str">
        <f>IFERROR($BM$2&amp;VLOOKUP(C280,'Pay Table'!$M$3:$N$18,2,FALSE)&amp;$BL$2&amp;#REF!&amp;$BN$2,"")</f>
        <v/>
      </c>
      <c r="BN278" s="1" t="str">
        <f>IFERROR($BM$2&amp;VLOOKUP(D280,'Pay Table'!$M$3:$N$18,2,FALSE)&amp;$BL$2&amp;#REF!&amp;$BN$2,"")</f>
        <v/>
      </c>
      <c r="BO278" s="1" t="str">
        <f>IFERROR($BM$2&amp;VLOOKUP(E280,'Pay Table'!$M$3:$N$18,2,FALSE)&amp;$BL$2&amp;#REF!&amp;$BN$2,"")</f>
        <v/>
      </c>
      <c r="BP278" s="27" t="str">
        <f>IFERROR($BM$2&amp;VLOOKUP(F280,'Pay Table'!$M$3:$N$18,2,FALSE)&amp;$BL$2&amp;#REF!&amp;$BN$2,"")</f>
        <v/>
      </c>
    </row>
    <row r="279" spans="64:68" ht="17.100000000000001" customHeight="1" x14ac:dyDescent="0.15">
      <c r="BL279" s="26" t="str">
        <f>IFERROR($BM$2&amp;VLOOKUP(B281,'Pay Table'!$M$3:$N$18,2,FALSE)&amp;$BL$2&amp;#REF!&amp;$BN$2,"")</f>
        <v/>
      </c>
      <c r="BM279" s="1" t="str">
        <f>IFERROR($BM$2&amp;VLOOKUP(C281,'Pay Table'!$M$3:$N$18,2,FALSE)&amp;$BL$2&amp;#REF!&amp;$BN$2,"")</f>
        <v/>
      </c>
      <c r="BN279" s="1" t="str">
        <f>IFERROR($BM$2&amp;VLOOKUP(D281,'Pay Table'!$M$3:$N$18,2,FALSE)&amp;$BL$2&amp;#REF!&amp;$BN$2,"")</f>
        <v/>
      </c>
      <c r="BO279" s="1" t="str">
        <f>IFERROR($BM$2&amp;VLOOKUP(E281,'Pay Table'!$M$3:$N$18,2,FALSE)&amp;$BL$2&amp;#REF!&amp;$BN$2,"")</f>
        <v/>
      </c>
      <c r="BP279" s="27" t="str">
        <f>IFERROR($BM$2&amp;VLOOKUP(F281,'Pay Table'!$M$3:$N$18,2,FALSE)&amp;$BL$2&amp;#REF!&amp;$BN$2,"")</f>
        <v/>
      </c>
    </row>
    <row r="280" spans="64:68" ht="17.100000000000001" customHeight="1" x14ac:dyDescent="0.15">
      <c r="BL280" s="26" t="str">
        <f>IFERROR($BM$2&amp;VLOOKUP(B282,'Pay Table'!$M$3:$N$18,2,FALSE)&amp;$BL$2&amp;#REF!&amp;$BN$2,"")</f>
        <v/>
      </c>
      <c r="BM280" s="1" t="str">
        <f>IFERROR($BM$2&amp;VLOOKUP(C282,'Pay Table'!$M$3:$N$18,2,FALSE)&amp;$BL$2&amp;#REF!&amp;$BN$2,"")</f>
        <v/>
      </c>
      <c r="BN280" s="1" t="str">
        <f>IFERROR($BM$2&amp;VLOOKUP(D282,'Pay Table'!$M$3:$N$18,2,FALSE)&amp;$BL$2&amp;#REF!&amp;$BN$2,"")</f>
        <v/>
      </c>
      <c r="BO280" s="1" t="str">
        <f>IFERROR($BM$2&amp;VLOOKUP(E282,'Pay Table'!$M$3:$N$18,2,FALSE)&amp;$BL$2&amp;#REF!&amp;$BN$2,"")</f>
        <v/>
      </c>
      <c r="BP280" s="27" t="str">
        <f>IFERROR($BM$2&amp;VLOOKUP(F282,'Pay Table'!$M$3:$N$18,2,FALSE)&amp;$BL$2&amp;#REF!&amp;$BN$2,"")</f>
        <v/>
      </c>
    </row>
    <row r="281" spans="64:68" ht="17.100000000000001" customHeight="1" x14ac:dyDescent="0.15">
      <c r="BL281" s="26" t="str">
        <f>IFERROR($BM$2&amp;VLOOKUP(B283,'Pay Table'!$M$3:$N$18,2,FALSE)&amp;$BL$2&amp;#REF!&amp;$BN$2,"")</f>
        <v/>
      </c>
      <c r="BM281" s="1" t="str">
        <f>IFERROR($BM$2&amp;VLOOKUP(C283,'Pay Table'!$M$3:$N$18,2,FALSE)&amp;$BL$2&amp;#REF!&amp;$BN$2,"")</f>
        <v/>
      </c>
      <c r="BN281" s="1" t="str">
        <f>IFERROR($BM$2&amp;VLOOKUP(D283,'Pay Table'!$M$3:$N$18,2,FALSE)&amp;$BL$2&amp;#REF!&amp;$BN$2,"")</f>
        <v/>
      </c>
      <c r="BO281" s="1" t="str">
        <f>IFERROR($BM$2&amp;VLOOKUP(E283,'Pay Table'!$M$3:$N$18,2,FALSE)&amp;$BL$2&amp;#REF!&amp;$BN$2,"")</f>
        <v/>
      </c>
      <c r="BP281" s="27" t="str">
        <f>IFERROR($BM$2&amp;VLOOKUP(F283,'Pay Table'!$M$3:$N$18,2,FALSE)&amp;$BL$2&amp;#REF!&amp;$BN$2,"")</f>
        <v/>
      </c>
    </row>
    <row r="282" spans="64:68" ht="17.100000000000001" customHeight="1" x14ac:dyDescent="0.15">
      <c r="BL282" s="26" t="str">
        <f>IFERROR($BM$2&amp;VLOOKUP(B284,'Pay Table'!$M$3:$N$18,2,FALSE)&amp;$BL$2&amp;#REF!&amp;$BN$2,"")</f>
        <v/>
      </c>
      <c r="BM282" s="1" t="str">
        <f>IFERROR($BM$2&amp;VLOOKUP(C284,'Pay Table'!$M$3:$N$18,2,FALSE)&amp;$BL$2&amp;#REF!&amp;$BN$2,"")</f>
        <v/>
      </c>
      <c r="BN282" s="1" t="str">
        <f>IFERROR($BM$2&amp;VLOOKUP(D284,'Pay Table'!$M$3:$N$18,2,FALSE)&amp;$BL$2&amp;#REF!&amp;$BN$2,"")</f>
        <v/>
      </c>
      <c r="BO282" s="1" t="str">
        <f>IFERROR($BM$2&amp;VLOOKUP(E284,'Pay Table'!$M$3:$N$18,2,FALSE)&amp;$BL$2&amp;#REF!&amp;$BN$2,"")</f>
        <v/>
      </c>
      <c r="BP282" s="27" t="str">
        <f>IFERROR($BM$2&amp;VLOOKUP(F284,'Pay Table'!$M$3:$N$18,2,FALSE)&amp;$BL$2&amp;#REF!&amp;$BN$2,"")</f>
        <v/>
      </c>
    </row>
    <row r="283" spans="64:68" ht="17.100000000000001" customHeight="1" x14ac:dyDescent="0.15">
      <c r="BL283" s="26" t="str">
        <f>IFERROR($BM$2&amp;VLOOKUP(B285,'Pay Table'!$M$3:$N$18,2,FALSE)&amp;$BL$2&amp;#REF!&amp;$BN$2,"")</f>
        <v/>
      </c>
      <c r="BM283" s="1" t="str">
        <f>IFERROR($BM$2&amp;VLOOKUP(C285,'Pay Table'!$M$3:$N$18,2,FALSE)&amp;$BL$2&amp;#REF!&amp;$BN$2,"")</f>
        <v/>
      </c>
      <c r="BN283" s="1" t="str">
        <f>IFERROR($BM$2&amp;VLOOKUP(D285,'Pay Table'!$M$3:$N$18,2,FALSE)&amp;$BL$2&amp;#REF!&amp;$BN$2,"")</f>
        <v/>
      </c>
      <c r="BO283" s="1" t="str">
        <f>IFERROR($BM$2&amp;VLOOKUP(E285,'Pay Table'!$M$3:$N$18,2,FALSE)&amp;$BL$2&amp;#REF!&amp;$BN$2,"")</f>
        <v/>
      </c>
      <c r="BP283" s="27" t="str">
        <f>IFERROR($BM$2&amp;VLOOKUP(F285,'Pay Table'!$M$3:$N$18,2,FALSE)&amp;$BL$2&amp;#REF!&amp;$BN$2,"")</f>
        <v/>
      </c>
    </row>
    <row r="284" spans="64:68" ht="17.100000000000001" customHeight="1" x14ac:dyDescent="0.15">
      <c r="BL284" s="26" t="str">
        <f>IFERROR($BM$2&amp;VLOOKUP(B286,'Pay Table'!$M$3:$N$18,2,FALSE)&amp;$BL$2&amp;#REF!&amp;$BN$2,"")</f>
        <v/>
      </c>
      <c r="BM284" s="1" t="str">
        <f>IFERROR($BM$2&amp;VLOOKUP(C286,'Pay Table'!$M$3:$N$18,2,FALSE)&amp;$BL$2&amp;#REF!&amp;$BN$2,"")</f>
        <v/>
      </c>
      <c r="BN284" s="1" t="str">
        <f>IFERROR($BM$2&amp;VLOOKUP(D286,'Pay Table'!$M$3:$N$18,2,FALSE)&amp;$BL$2&amp;#REF!&amp;$BN$2,"")</f>
        <v/>
      </c>
      <c r="BO284" s="1" t="str">
        <f>IFERROR($BM$2&amp;VLOOKUP(E286,'Pay Table'!$M$3:$N$18,2,FALSE)&amp;$BL$2&amp;#REF!&amp;$BN$2,"")</f>
        <v/>
      </c>
      <c r="BP284" s="27" t="str">
        <f>IFERROR($BM$2&amp;VLOOKUP(F286,'Pay Table'!$M$3:$N$18,2,FALSE)&amp;$BL$2&amp;#REF!&amp;$BN$2,"")</f>
        <v/>
      </c>
    </row>
    <row r="285" spans="64:68" ht="17.100000000000001" customHeight="1" x14ac:dyDescent="0.15">
      <c r="BL285" s="26" t="str">
        <f>IFERROR($BM$2&amp;VLOOKUP(B287,'Pay Table'!$M$3:$N$18,2,FALSE)&amp;$BL$2&amp;#REF!&amp;$BN$2,"")</f>
        <v/>
      </c>
      <c r="BM285" s="1" t="str">
        <f>IFERROR($BM$2&amp;VLOOKUP(C287,'Pay Table'!$M$3:$N$18,2,FALSE)&amp;$BL$2&amp;#REF!&amp;$BN$2,"")</f>
        <v/>
      </c>
      <c r="BN285" s="1" t="str">
        <f>IFERROR($BM$2&amp;VLOOKUP(D287,'Pay Table'!$M$3:$N$18,2,FALSE)&amp;$BL$2&amp;#REF!&amp;$BN$2,"")</f>
        <v/>
      </c>
      <c r="BO285" s="1" t="str">
        <f>IFERROR($BM$2&amp;VLOOKUP(E287,'Pay Table'!$M$3:$N$18,2,FALSE)&amp;$BL$2&amp;#REF!&amp;$BN$2,"")</f>
        <v/>
      </c>
      <c r="BP285" s="27" t="str">
        <f>IFERROR($BM$2&amp;VLOOKUP(F287,'Pay Table'!$M$3:$N$18,2,FALSE)&amp;$BL$2&amp;#REF!&amp;$BN$2,"")</f>
        <v/>
      </c>
    </row>
    <row r="286" spans="64:68" ht="17.100000000000001" customHeight="1" x14ac:dyDescent="0.15">
      <c r="BL286" s="26" t="str">
        <f>IFERROR($BM$2&amp;VLOOKUP(B288,'Pay Table'!$M$3:$N$18,2,FALSE)&amp;$BL$2&amp;#REF!&amp;$BN$2,"")</f>
        <v/>
      </c>
      <c r="BM286" s="1" t="str">
        <f>IFERROR($BM$2&amp;VLOOKUP(C288,'Pay Table'!$M$3:$N$18,2,FALSE)&amp;$BL$2&amp;#REF!&amp;$BN$2,"")</f>
        <v/>
      </c>
      <c r="BN286" s="1" t="str">
        <f>IFERROR($BM$2&amp;VLOOKUP(D288,'Pay Table'!$M$3:$N$18,2,FALSE)&amp;$BL$2&amp;#REF!&amp;$BN$2,"")</f>
        <v/>
      </c>
      <c r="BO286" s="1" t="str">
        <f>IFERROR($BM$2&amp;VLOOKUP(E288,'Pay Table'!$M$3:$N$18,2,FALSE)&amp;$BL$2&amp;#REF!&amp;$BN$2,"")</f>
        <v/>
      </c>
      <c r="BP286" s="27" t="str">
        <f>IFERROR($BM$2&amp;VLOOKUP(F288,'Pay Table'!$M$3:$N$18,2,FALSE)&amp;$BL$2&amp;#REF!&amp;$BN$2,"")</f>
        <v/>
      </c>
    </row>
    <row r="287" spans="64:68" x14ac:dyDescent="0.15">
      <c r="BL287" s="26" t="str">
        <f>IFERROR($BM$2&amp;VLOOKUP(B289,'Pay Table'!$M$3:$N$18,2,FALSE)&amp;$BL$2&amp;#REF!&amp;$BN$2,"")</f>
        <v/>
      </c>
      <c r="BM287" s="1" t="str">
        <f>IFERROR($BM$2&amp;VLOOKUP(C289,'Pay Table'!$M$3:$N$18,2,FALSE)&amp;$BL$2&amp;#REF!&amp;$BN$2,"")</f>
        <v/>
      </c>
      <c r="BN287" s="1" t="str">
        <f>IFERROR($BM$2&amp;VLOOKUP(D289,'Pay Table'!$M$3:$N$18,2,FALSE)&amp;$BL$2&amp;#REF!&amp;$BN$2,"")</f>
        <v/>
      </c>
      <c r="BO287" s="1" t="str">
        <f>IFERROR($BM$2&amp;VLOOKUP(E289,'Pay Table'!$M$3:$N$18,2,FALSE)&amp;$BL$2&amp;#REF!&amp;$BN$2,"")</f>
        <v/>
      </c>
      <c r="BP287" s="27" t="str">
        <f>IFERROR($BM$2&amp;VLOOKUP(F289,'Pay Table'!$M$3:$N$18,2,FALSE)&amp;$BL$2&amp;#REF!&amp;$BN$2,"")</f>
        <v/>
      </c>
    </row>
    <row r="288" spans="64:68" x14ac:dyDescent="0.15">
      <c r="BL288" s="26" t="str">
        <f>IFERROR($BM$2&amp;VLOOKUP(B290,'Pay Table'!$M$3:$N$18,2,FALSE)&amp;$BL$2&amp;#REF!&amp;$BN$2,"")</f>
        <v/>
      </c>
      <c r="BM288" s="1" t="str">
        <f>IFERROR($BM$2&amp;VLOOKUP(C290,'Pay Table'!$M$3:$N$18,2,FALSE)&amp;$BL$2&amp;#REF!&amp;$BN$2,"")</f>
        <v/>
      </c>
      <c r="BN288" s="1" t="str">
        <f>IFERROR($BM$2&amp;VLOOKUP(D290,'Pay Table'!$M$3:$N$18,2,FALSE)&amp;$BL$2&amp;#REF!&amp;$BN$2,"")</f>
        <v/>
      </c>
      <c r="BO288" s="1" t="str">
        <f>IFERROR($BM$2&amp;VLOOKUP(E290,'Pay Table'!$M$3:$N$18,2,FALSE)&amp;$BL$2&amp;#REF!&amp;$BN$2,"")</f>
        <v/>
      </c>
      <c r="BP288" s="27" t="str">
        <f>IFERROR($BM$2&amp;VLOOKUP(F290,'Pay Table'!$M$3:$N$18,2,FALSE)&amp;$BL$2&amp;#REF!&amp;$BN$2,"")</f>
        <v/>
      </c>
    </row>
    <row r="289" spans="64:68" x14ac:dyDescent="0.15">
      <c r="BL289" s="26" t="str">
        <f>IFERROR($BM$2&amp;VLOOKUP(B291,'Pay Table'!$M$3:$N$18,2,FALSE)&amp;$BL$2&amp;#REF!&amp;$BN$2,"")</f>
        <v/>
      </c>
      <c r="BM289" s="1" t="str">
        <f>IFERROR($BM$2&amp;VLOOKUP(C291,'Pay Table'!$M$3:$N$18,2,FALSE)&amp;$BL$2&amp;#REF!&amp;$BN$2,"")</f>
        <v/>
      </c>
      <c r="BN289" s="1" t="str">
        <f>IFERROR($BM$2&amp;VLOOKUP(D291,'Pay Table'!$M$3:$N$18,2,FALSE)&amp;$BL$2&amp;#REF!&amp;$BN$2,"")</f>
        <v/>
      </c>
      <c r="BO289" s="1" t="str">
        <f>IFERROR($BM$2&amp;VLOOKUP(E291,'Pay Table'!$M$3:$N$18,2,FALSE)&amp;$BL$2&amp;#REF!&amp;$BN$2,"")</f>
        <v/>
      </c>
      <c r="BP289" s="27" t="str">
        <f>IFERROR($BM$2&amp;VLOOKUP(F291,'Pay Table'!$M$3:$N$18,2,FALSE)&amp;$BL$2&amp;#REF!&amp;$BN$2,"")</f>
        <v/>
      </c>
    </row>
    <row r="290" spans="64:68" x14ac:dyDescent="0.15">
      <c r="BL290" s="26" t="str">
        <f>IFERROR($BM$2&amp;VLOOKUP(B292,'Pay Table'!$M$3:$N$18,2,FALSE)&amp;$BL$2&amp;#REF!&amp;$BN$2,"")</f>
        <v/>
      </c>
      <c r="BM290" s="1" t="str">
        <f>IFERROR($BM$2&amp;VLOOKUP(C292,'Pay Table'!$M$3:$N$18,2,FALSE)&amp;$BL$2&amp;#REF!&amp;$BN$2,"")</f>
        <v/>
      </c>
      <c r="BN290" s="1" t="str">
        <f>IFERROR($BM$2&amp;VLOOKUP(D292,'Pay Table'!$M$3:$N$18,2,FALSE)&amp;$BL$2&amp;#REF!&amp;$BN$2,"")</f>
        <v/>
      </c>
      <c r="BO290" s="1" t="str">
        <f>IFERROR($BM$2&amp;VLOOKUP(E292,'Pay Table'!$M$3:$N$18,2,FALSE)&amp;$BL$2&amp;#REF!&amp;$BN$2,"")</f>
        <v/>
      </c>
      <c r="BP290" s="27" t="str">
        <f>IFERROR($BM$2&amp;VLOOKUP(F292,'Pay Table'!$M$3:$N$18,2,FALSE)&amp;$BL$2&amp;#REF!&amp;$BN$2,"")</f>
        <v/>
      </c>
    </row>
    <row r="291" spans="64:68" x14ac:dyDescent="0.15">
      <c r="BL291" s="26" t="str">
        <f>IFERROR($BM$2&amp;VLOOKUP(B293,'Pay Table'!$M$3:$N$18,2,FALSE)&amp;$BL$2&amp;#REF!&amp;$BN$2,"")</f>
        <v/>
      </c>
      <c r="BM291" s="1" t="str">
        <f>IFERROR($BM$2&amp;VLOOKUP(C293,'Pay Table'!$M$3:$N$18,2,FALSE)&amp;$BL$2&amp;#REF!&amp;$BN$2,"")</f>
        <v/>
      </c>
      <c r="BN291" s="1" t="str">
        <f>IFERROR($BM$2&amp;VLOOKUP(D293,'Pay Table'!$M$3:$N$18,2,FALSE)&amp;$BL$2&amp;#REF!&amp;$BN$2,"")</f>
        <v/>
      </c>
      <c r="BO291" s="1" t="str">
        <f>IFERROR($BM$2&amp;VLOOKUP(E293,'Pay Table'!$M$3:$N$18,2,FALSE)&amp;$BL$2&amp;#REF!&amp;$BN$2,"")</f>
        <v/>
      </c>
      <c r="BP291" s="27" t="str">
        <f>IFERROR($BM$2&amp;VLOOKUP(F293,'Pay Table'!$M$3:$N$18,2,FALSE)&amp;$BL$2&amp;#REF!&amp;$BN$2,"")</f>
        <v/>
      </c>
    </row>
    <row r="292" spans="64:68" x14ac:dyDescent="0.15">
      <c r="BL292" s="26" t="str">
        <f>IFERROR($BM$2&amp;VLOOKUP(B294,'Pay Table'!$M$3:$N$18,2,FALSE)&amp;$BL$2&amp;#REF!&amp;$BN$2,"")</f>
        <v/>
      </c>
      <c r="BM292" s="1" t="str">
        <f>IFERROR($BM$2&amp;VLOOKUP(C294,'Pay Table'!$M$3:$N$18,2,FALSE)&amp;$BL$2&amp;#REF!&amp;$BN$2,"")</f>
        <v/>
      </c>
      <c r="BN292" s="1" t="str">
        <f>IFERROR($BM$2&amp;VLOOKUP(D294,'Pay Table'!$M$3:$N$18,2,FALSE)&amp;$BL$2&amp;#REF!&amp;$BN$2,"")</f>
        <v/>
      </c>
      <c r="BO292" s="1" t="str">
        <f>IFERROR($BM$2&amp;VLOOKUP(E294,'Pay Table'!$M$3:$N$18,2,FALSE)&amp;$BL$2&amp;#REF!&amp;$BN$2,"")</f>
        <v/>
      </c>
      <c r="BP292" s="27" t="str">
        <f>IFERROR($BM$2&amp;VLOOKUP(F294,'Pay Table'!$M$3:$N$18,2,FALSE)&amp;$BL$2&amp;#REF!&amp;$BN$2,"")</f>
        <v/>
      </c>
    </row>
    <row r="293" spans="64:68" x14ac:dyDescent="0.15">
      <c r="BL293" s="26" t="str">
        <f>IFERROR($BM$2&amp;VLOOKUP(B295,'Pay Table'!$M$3:$N$18,2,FALSE)&amp;$BL$2&amp;#REF!&amp;$BN$2,"")</f>
        <v/>
      </c>
      <c r="BM293" s="1" t="str">
        <f>IFERROR($BM$2&amp;VLOOKUP(C295,'Pay Table'!$M$3:$N$18,2,FALSE)&amp;$BL$2&amp;#REF!&amp;$BN$2,"")</f>
        <v/>
      </c>
      <c r="BN293" s="1" t="str">
        <f>IFERROR($BM$2&amp;VLOOKUP(D295,'Pay Table'!$M$3:$N$18,2,FALSE)&amp;$BL$2&amp;#REF!&amp;$BN$2,"")</f>
        <v/>
      </c>
      <c r="BO293" s="1" t="str">
        <f>IFERROR($BM$2&amp;VLOOKUP(E295,'Pay Table'!$M$3:$N$18,2,FALSE)&amp;$BL$2&amp;#REF!&amp;$BN$2,"")</f>
        <v/>
      </c>
      <c r="BP293" s="27" t="str">
        <f>IFERROR($BM$2&amp;VLOOKUP(F295,'Pay Table'!$M$3:$N$18,2,FALSE)&amp;$BL$2&amp;#REF!&amp;$BN$2,"")</f>
        <v/>
      </c>
    </row>
    <row r="294" spans="64:68" x14ac:dyDescent="0.15">
      <c r="BL294" s="26" t="str">
        <f>IFERROR($BM$2&amp;VLOOKUP(B296,'Pay Table'!$M$3:$N$18,2,FALSE)&amp;$BL$2&amp;#REF!&amp;$BN$2,"")</f>
        <v/>
      </c>
      <c r="BM294" s="1" t="str">
        <f>IFERROR($BM$2&amp;VLOOKUP(C296,'Pay Table'!$M$3:$N$18,2,FALSE)&amp;$BL$2&amp;#REF!&amp;$BN$2,"")</f>
        <v/>
      </c>
      <c r="BN294" s="1" t="str">
        <f>IFERROR($BM$2&amp;VLOOKUP(D296,'Pay Table'!$M$3:$N$18,2,FALSE)&amp;$BL$2&amp;#REF!&amp;$BN$2,"")</f>
        <v/>
      </c>
      <c r="BO294" s="1" t="str">
        <f>IFERROR($BM$2&amp;VLOOKUP(E296,'Pay Table'!$M$3:$N$18,2,FALSE)&amp;$BL$2&amp;#REF!&amp;$BN$2,"")</f>
        <v/>
      </c>
      <c r="BP294" s="27" t="str">
        <f>IFERROR($BM$2&amp;VLOOKUP(F296,'Pay Table'!$M$3:$N$18,2,FALSE)&amp;$BL$2&amp;#REF!&amp;$BN$2,"")</f>
        <v/>
      </c>
    </row>
    <row r="295" spans="64:68" x14ac:dyDescent="0.15">
      <c r="BL295" s="26" t="str">
        <f>IFERROR($BM$2&amp;VLOOKUP(B297,'Pay Table'!$M$3:$N$18,2,FALSE)&amp;$BL$2&amp;#REF!&amp;$BN$2,"")</f>
        <v/>
      </c>
      <c r="BM295" s="1" t="str">
        <f>IFERROR($BM$2&amp;VLOOKUP(C297,'Pay Table'!$M$3:$N$18,2,FALSE)&amp;$BL$2&amp;#REF!&amp;$BN$2,"")</f>
        <v/>
      </c>
      <c r="BN295" s="1" t="str">
        <f>IFERROR($BM$2&amp;VLOOKUP(D297,'Pay Table'!$M$3:$N$18,2,FALSE)&amp;$BL$2&amp;#REF!&amp;$BN$2,"")</f>
        <v/>
      </c>
      <c r="BO295" s="1" t="str">
        <f>IFERROR($BM$2&amp;VLOOKUP(E297,'Pay Table'!$M$3:$N$18,2,FALSE)&amp;$BL$2&amp;#REF!&amp;$BN$2,"")</f>
        <v/>
      </c>
      <c r="BP295" s="27" t="str">
        <f>IFERROR($BM$2&amp;VLOOKUP(F297,'Pay Table'!$M$3:$N$18,2,FALSE)&amp;$BL$2&amp;#REF!&amp;$BN$2,"")</f>
        <v/>
      </c>
    </row>
    <row r="296" spans="64:68" x14ac:dyDescent="0.15">
      <c r="BL296" s="26" t="str">
        <f>IFERROR($BM$2&amp;VLOOKUP(B298,'Pay Table'!$M$3:$N$18,2,FALSE)&amp;$BL$2&amp;#REF!&amp;$BN$2,"")</f>
        <v/>
      </c>
      <c r="BM296" s="1" t="str">
        <f>IFERROR($BM$2&amp;VLOOKUP(C298,'Pay Table'!$M$3:$N$18,2,FALSE)&amp;$BL$2&amp;#REF!&amp;$BN$2,"")</f>
        <v/>
      </c>
      <c r="BN296" s="1" t="str">
        <f>IFERROR($BM$2&amp;VLOOKUP(D298,'Pay Table'!$M$3:$N$18,2,FALSE)&amp;$BL$2&amp;#REF!&amp;$BN$2,"")</f>
        <v/>
      </c>
      <c r="BO296" s="1" t="str">
        <f>IFERROR($BM$2&amp;VLOOKUP(E298,'Pay Table'!$M$3:$N$18,2,FALSE)&amp;$BL$2&amp;#REF!&amp;$BN$2,"")</f>
        <v/>
      </c>
      <c r="BP296" s="27" t="str">
        <f>IFERROR($BM$2&amp;VLOOKUP(F298,'Pay Table'!$M$3:$N$18,2,FALSE)&amp;$BL$2&amp;#REF!&amp;$BN$2,"")</f>
        <v/>
      </c>
    </row>
    <row r="297" spans="64:68" x14ac:dyDescent="0.15">
      <c r="BL297" s="26" t="str">
        <f>IFERROR($BM$2&amp;VLOOKUP(B299,'Pay Table'!$M$3:$N$18,2,FALSE)&amp;$BL$2&amp;#REF!&amp;$BN$2,"")</f>
        <v/>
      </c>
      <c r="BM297" s="1" t="str">
        <f>IFERROR($BM$2&amp;VLOOKUP(C299,'Pay Table'!$M$3:$N$18,2,FALSE)&amp;$BL$2&amp;#REF!&amp;$BN$2,"")</f>
        <v/>
      </c>
      <c r="BN297" s="1" t="str">
        <f>IFERROR($BM$2&amp;VLOOKUP(D299,'Pay Table'!$M$3:$N$18,2,FALSE)&amp;$BL$2&amp;#REF!&amp;$BN$2,"")</f>
        <v/>
      </c>
      <c r="BO297" s="1" t="str">
        <f>IFERROR($BM$2&amp;VLOOKUP(E299,'Pay Table'!$M$3:$N$18,2,FALSE)&amp;$BL$2&amp;#REF!&amp;$BN$2,"")</f>
        <v/>
      </c>
      <c r="BP297" s="27" t="str">
        <f>IFERROR($BM$2&amp;VLOOKUP(F299,'Pay Table'!$M$3:$N$18,2,FALSE)&amp;$BL$2&amp;#REF!&amp;$BN$2,"")</f>
        <v/>
      </c>
    </row>
    <row r="298" spans="64:68" x14ac:dyDescent="0.15">
      <c r="BL298" s="26" t="str">
        <f>IFERROR($BM$2&amp;VLOOKUP(B300,'Pay Table'!$M$3:$N$18,2,FALSE)&amp;$BL$2&amp;#REF!&amp;$BN$2,"")</f>
        <v/>
      </c>
      <c r="BM298" s="1" t="str">
        <f>IFERROR($BM$2&amp;VLOOKUP(C300,'Pay Table'!$M$3:$N$18,2,FALSE)&amp;$BL$2&amp;#REF!&amp;$BN$2,"")</f>
        <v/>
      </c>
      <c r="BN298" s="1" t="str">
        <f>IFERROR($BM$2&amp;VLOOKUP(D300,'Pay Table'!$M$3:$N$18,2,FALSE)&amp;$BL$2&amp;#REF!&amp;$BN$2,"")</f>
        <v/>
      </c>
      <c r="BO298" s="1" t="str">
        <f>IFERROR($BM$2&amp;VLOOKUP(E300,'Pay Table'!$M$3:$N$18,2,FALSE)&amp;$BL$2&amp;#REF!&amp;$BN$2,"")</f>
        <v/>
      </c>
      <c r="BP298" s="27" t="str">
        <f>IFERROR($BM$2&amp;VLOOKUP(F300,'Pay Table'!$M$3:$N$18,2,FALSE)&amp;$BL$2&amp;#REF!&amp;$BN$2,"")</f>
        <v/>
      </c>
    </row>
    <row r="299" spans="64:68" x14ac:dyDescent="0.15">
      <c r="BL299" s="26" t="str">
        <f>IFERROR($BM$2&amp;VLOOKUP(B301,'Pay Table'!$M$3:$N$18,2,FALSE)&amp;$BL$2&amp;#REF!&amp;$BN$2,"")</f>
        <v/>
      </c>
      <c r="BM299" s="1" t="str">
        <f>IFERROR($BM$2&amp;VLOOKUP(C301,'Pay Table'!$M$3:$N$18,2,FALSE)&amp;$BL$2&amp;#REF!&amp;$BN$2,"")</f>
        <v/>
      </c>
      <c r="BN299" s="1" t="str">
        <f>IFERROR($BM$2&amp;VLOOKUP(D301,'Pay Table'!$M$3:$N$18,2,FALSE)&amp;$BL$2&amp;#REF!&amp;$BN$2,"")</f>
        <v/>
      </c>
      <c r="BO299" s="1" t="str">
        <f>IFERROR($BM$2&amp;VLOOKUP(E301,'Pay Table'!$M$3:$N$18,2,FALSE)&amp;$BL$2&amp;#REF!&amp;$BN$2,"")</f>
        <v/>
      </c>
      <c r="BP299" s="27" t="str">
        <f>IFERROR($BM$2&amp;VLOOKUP(F301,'Pay Table'!$M$3:$N$18,2,FALSE)&amp;$BL$2&amp;#REF!&amp;$BN$2,"")</f>
        <v/>
      </c>
    </row>
    <row r="300" spans="64:68" x14ac:dyDescent="0.15">
      <c r="BL300" s="26" t="str">
        <f>IFERROR($BM$2&amp;VLOOKUP(B302,'Pay Table'!$M$3:$N$18,2,FALSE)&amp;$BL$2&amp;#REF!&amp;$BN$2,"")</f>
        <v/>
      </c>
      <c r="BM300" s="1" t="str">
        <f>IFERROR($BM$2&amp;VLOOKUP(C302,'Pay Table'!$M$3:$N$18,2,FALSE)&amp;$BL$2&amp;#REF!&amp;$BN$2,"")</f>
        <v/>
      </c>
      <c r="BN300" s="1" t="str">
        <f>IFERROR($BM$2&amp;VLOOKUP(D302,'Pay Table'!$M$3:$N$18,2,FALSE)&amp;$BL$2&amp;#REF!&amp;$BN$2,"")</f>
        <v/>
      </c>
      <c r="BO300" s="1" t="str">
        <f>IFERROR($BM$2&amp;VLOOKUP(E302,'Pay Table'!$M$3:$N$18,2,FALSE)&amp;$BL$2&amp;#REF!&amp;$BN$2,"")</f>
        <v/>
      </c>
      <c r="BP300" s="27" t="str">
        <f>IFERROR($BM$2&amp;VLOOKUP(F302,'Pay Table'!$M$3:$N$18,2,FALSE)&amp;$BL$2&amp;#REF!&amp;$BN$2,"")</f>
        <v/>
      </c>
    </row>
    <row r="301" spans="64:68" x14ac:dyDescent="0.15">
      <c r="BL301" s="26" t="str">
        <f>IFERROR($BM$2&amp;VLOOKUP(B303,'Pay Table'!$M$3:$N$18,2,FALSE)&amp;$BL$2&amp;#REF!&amp;$BN$2,"")</f>
        <v/>
      </c>
      <c r="BM301" s="1" t="str">
        <f>IFERROR($BM$2&amp;VLOOKUP(C303,'Pay Table'!$M$3:$N$18,2,FALSE)&amp;$BL$2&amp;#REF!&amp;$BN$2,"")</f>
        <v/>
      </c>
      <c r="BN301" s="1" t="str">
        <f>IFERROR($BM$2&amp;VLOOKUP(D303,'Pay Table'!$M$3:$N$18,2,FALSE)&amp;$BL$2&amp;#REF!&amp;$BN$2,"")</f>
        <v/>
      </c>
      <c r="BO301" s="1" t="str">
        <f>IFERROR($BM$2&amp;VLOOKUP(E303,'Pay Table'!$M$3:$N$18,2,FALSE)&amp;$BL$2&amp;#REF!&amp;$BN$2,"")</f>
        <v/>
      </c>
      <c r="BP301" s="27" t="str">
        <f>IFERROR($BM$2&amp;VLOOKUP(F303,'Pay Table'!$M$3:$N$18,2,FALSE)&amp;$BL$2&amp;#REF!&amp;$BN$2,"")</f>
        <v/>
      </c>
    </row>
    <row r="302" spans="64:68" x14ac:dyDescent="0.15">
      <c r="BL302" s="26" t="str">
        <f>IFERROR($BM$2&amp;VLOOKUP(B304,'Pay Table'!$M$3:$N$18,2,FALSE)&amp;$BL$2&amp;#REF!&amp;$BN$2,"")</f>
        <v/>
      </c>
      <c r="BM302" s="1" t="str">
        <f>IFERROR($BM$2&amp;VLOOKUP(C304,'Pay Table'!$M$3:$N$18,2,FALSE)&amp;$BL$2&amp;#REF!&amp;$BN$2,"")</f>
        <v/>
      </c>
      <c r="BN302" s="1" t="str">
        <f>IFERROR($BM$2&amp;VLOOKUP(D304,'Pay Table'!$M$3:$N$18,2,FALSE)&amp;$BL$2&amp;#REF!&amp;$BN$2,"")</f>
        <v/>
      </c>
      <c r="BO302" s="1" t="str">
        <f>IFERROR($BM$2&amp;VLOOKUP(E304,'Pay Table'!$M$3:$N$18,2,FALSE)&amp;$BL$2&amp;#REF!&amp;$BN$2,"")</f>
        <v/>
      </c>
      <c r="BP302" s="27" t="str">
        <f>IFERROR($BM$2&amp;VLOOKUP(F304,'Pay Table'!$M$3:$N$18,2,FALSE)&amp;$BL$2&amp;#REF!&amp;$BN$2,"")</f>
        <v/>
      </c>
    </row>
    <row r="303" spans="64:68" x14ac:dyDescent="0.15">
      <c r="BL303" s="26" t="str">
        <f>IFERROR($BM$2&amp;VLOOKUP(B305,'Pay Table'!$M$3:$N$18,2,FALSE)&amp;$BL$2&amp;#REF!&amp;$BN$2,"")</f>
        <v/>
      </c>
      <c r="BM303" s="1" t="str">
        <f>IFERROR($BM$2&amp;VLOOKUP(C305,'Pay Table'!$M$3:$N$18,2,FALSE)&amp;$BL$2&amp;#REF!&amp;$BN$2,"")</f>
        <v/>
      </c>
      <c r="BN303" s="1" t="str">
        <f>IFERROR($BM$2&amp;VLOOKUP(D305,'Pay Table'!$M$3:$N$18,2,FALSE)&amp;$BL$2&amp;#REF!&amp;$BN$2,"")</f>
        <v/>
      </c>
      <c r="BO303" s="1" t="str">
        <f>IFERROR($BM$2&amp;VLOOKUP(E305,'Pay Table'!$M$3:$N$18,2,FALSE)&amp;$BL$2&amp;#REF!&amp;$BN$2,"")</f>
        <v/>
      </c>
      <c r="BP303" s="27" t="str">
        <f>IFERROR($BM$2&amp;VLOOKUP(F305,'Pay Table'!$M$3:$N$18,2,FALSE)&amp;$BL$2&amp;#REF!&amp;$BN$2,"")</f>
        <v/>
      </c>
    </row>
    <row r="304" spans="64:68" x14ac:dyDescent="0.15">
      <c r="BL304" s="26" t="str">
        <f>IFERROR($BM$2&amp;VLOOKUP(B306,'Pay Table'!$M$3:$N$18,2,FALSE)&amp;$BL$2&amp;#REF!&amp;$BN$2,"")</f>
        <v/>
      </c>
      <c r="BM304" s="1" t="str">
        <f>IFERROR($BM$2&amp;VLOOKUP(C306,'Pay Table'!$M$3:$N$18,2,FALSE)&amp;$BL$2&amp;#REF!&amp;$BN$2,"")</f>
        <v/>
      </c>
      <c r="BN304" s="1" t="str">
        <f>IFERROR($BM$2&amp;VLOOKUP(D306,'Pay Table'!$M$3:$N$18,2,FALSE)&amp;$BL$2&amp;#REF!&amp;$BN$2,"")</f>
        <v/>
      </c>
      <c r="BO304" s="1" t="str">
        <f>IFERROR($BM$2&amp;VLOOKUP(E306,'Pay Table'!$M$3:$N$18,2,FALSE)&amp;$BL$2&amp;#REF!&amp;$BN$2,"")</f>
        <v/>
      </c>
      <c r="BP304" s="27" t="str">
        <f>IFERROR($BM$2&amp;VLOOKUP(F306,'Pay Table'!$M$3:$N$18,2,FALSE)&amp;$BL$2&amp;#REF!&amp;$BN$2,"")</f>
        <v/>
      </c>
    </row>
    <row r="305" spans="64:68" x14ac:dyDescent="0.15">
      <c r="BL305" s="26" t="str">
        <f>IFERROR($BM$2&amp;VLOOKUP(B307,'Pay Table'!$M$3:$N$18,2,FALSE)&amp;$BL$2&amp;#REF!&amp;$BN$2,"")</f>
        <v/>
      </c>
      <c r="BM305" s="1" t="str">
        <f>IFERROR($BM$2&amp;VLOOKUP(C307,'Pay Table'!$M$3:$N$18,2,FALSE)&amp;$BL$2&amp;#REF!&amp;$BN$2,"")</f>
        <v/>
      </c>
      <c r="BN305" s="1" t="str">
        <f>IFERROR($BM$2&amp;VLOOKUP(D307,'Pay Table'!$M$3:$N$18,2,FALSE)&amp;$BL$2&amp;#REF!&amp;$BN$2,"")</f>
        <v/>
      </c>
      <c r="BO305" s="1" t="str">
        <f>IFERROR($BM$2&amp;VLOOKUP(E307,'Pay Table'!$M$3:$N$18,2,FALSE)&amp;$BL$2&amp;#REF!&amp;$BN$2,"")</f>
        <v/>
      </c>
      <c r="BP305" s="27" t="str">
        <f>IFERROR($BM$2&amp;VLOOKUP(F307,'Pay Table'!$M$3:$N$18,2,FALSE)&amp;$BL$2&amp;#REF!&amp;$BN$2,"")</f>
        <v/>
      </c>
    </row>
    <row r="306" spans="64:68" x14ac:dyDescent="0.15">
      <c r="BL306" s="26" t="str">
        <f>IFERROR($BM$2&amp;VLOOKUP(B308,'Pay Table'!$M$3:$N$18,2,FALSE)&amp;$BL$2&amp;#REF!&amp;$BN$2,"")</f>
        <v/>
      </c>
      <c r="BM306" s="1" t="str">
        <f>IFERROR($BM$2&amp;VLOOKUP(C308,'Pay Table'!$M$3:$N$18,2,FALSE)&amp;$BL$2&amp;#REF!&amp;$BN$2,"")</f>
        <v/>
      </c>
      <c r="BN306" s="1" t="str">
        <f>IFERROR($BM$2&amp;VLOOKUP(D308,'Pay Table'!$M$3:$N$18,2,FALSE)&amp;$BL$2&amp;#REF!&amp;$BN$2,"")</f>
        <v/>
      </c>
      <c r="BO306" s="1" t="str">
        <f>IFERROR($BM$2&amp;VLOOKUP(E308,'Pay Table'!$M$3:$N$18,2,FALSE)&amp;$BL$2&amp;#REF!&amp;$BN$2,"")</f>
        <v/>
      </c>
      <c r="BP306" s="27" t="str">
        <f>IFERROR($BM$2&amp;VLOOKUP(F308,'Pay Table'!$M$3:$N$18,2,FALSE)&amp;$BL$2&amp;#REF!&amp;$BN$2,"")</f>
        <v/>
      </c>
    </row>
    <row r="307" spans="64:68" x14ac:dyDescent="0.15">
      <c r="BL307" s="26" t="str">
        <f>IFERROR($BM$2&amp;VLOOKUP(B309,'Pay Table'!$M$3:$N$18,2,FALSE)&amp;$BL$2&amp;#REF!&amp;$BN$2,"")</f>
        <v/>
      </c>
      <c r="BM307" s="1" t="str">
        <f>IFERROR($BM$2&amp;VLOOKUP(C309,'Pay Table'!$M$3:$N$18,2,FALSE)&amp;$BL$2&amp;#REF!&amp;$BN$2,"")</f>
        <v/>
      </c>
      <c r="BN307" s="1" t="str">
        <f>IFERROR($BM$2&amp;VLOOKUP(D309,'Pay Table'!$M$3:$N$18,2,FALSE)&amp;$BL$2&amp;#REF!&amp;$BN$2,"")</f>
        <v/>
      </c>
      <c r="BO307" s="1" t="str">
        <f>IFERROR($BM$2&amp;VLOOKUP(E309,'Pay Table'!$M$3:$N$18,2,FALSE)&amp;$BL$2&amp;#REF!&amp;$BN$2,"")</f>
        <v/>
      </c>
      <c r="BP307" s="27" t="str">
        <f>IFERROR($BM$2&amp;VLOOKUP(F309,'Pay Table'!$M$3:$N$18,2,FALSE)&amp;$BL$2&amp;#REF!&amp;$BN$2,"")</f>
        <v/>
      </c>
    </row>
    <row r="308" spans="64:68" x14ac:dyDescent="0.15">
      <c r="BL308" s="26" t="str">
        <f>IFERROR($BM$2&amp;VLOOKUP(B310,'Pay Table'!$M$3:$N$18,2,FALSE)&amp;$BL$2&amp;#REF!&amp;$BN$2,"")</f>
        <v/>
      </c>
      <c r="BM308" s="1" t="str">
        <f>IFERROR($BM$2&amp;VLOOKUP(C310,'Pay Table'!$M$3:$N$18,2,FALSE)&amp;$BL$2&amp;#REF!&amp;$BN$2,"")</f>
        <v/>
      </c>
      <c r="BN308" s="1" t="str">
        <f>IFERROR($BM$2&amp;VLOOKUP(D310,'Pay Table'!$M$3:$N$18,2,FALSE)&amp;$BL$2&amp;#REF!&amp;$BN$2,"")</f>
        <v/>
      </c>
      <c r="BO308" s="1" t="str">
        <f>IFERROR($BM$2&amp;VLOOKUP(E310,'Pay Table'!$M$3:$N$18,2,FALSE)&amp;$BL$2&amp;#REF!&amp;$BN$2,"")</f>
        <v/>
      </c>
      <c r="BP308" s="27" t="str">
        <f>IFERROR($BM$2&amp;VLOOKUP(F310,'Pay Table'!$M$3:$N$18,2,FALSE)&amp;$BL$2&amp;#REF!&amp;$BN$2,"")</f>
        <v/>
      </c>
    </row>
    <row r="309" spans="64:68" x14ac:dyDescent="0.15">
      <c r="BL309" s="26" t="str">
        <f>IFERROR($BM$2&amp;VLOOKUP(B311,'Pay Table'!$M$3:$N$18,2,FALSE)&amp;$BL$2&amp;#REF!&amp;$BN$2,"")</f>
        <v/>
      </c>
      <c r="BM309" s="1" t="str">
        <f>IFERROR($BM$2&amp;VLOOKUP(C311,'Pay Table'!$M$3:$N$18,2,FALSE)&amp;$BL$2&amp;#REF!&amp;$BN$2,"")</f>
        <v/>
      </c>
      <c r="BN309" s="1" t="str">
        <f>IFERROR($BM$2&amp;VLOOKUP(D311,'Pay Table'!$M$3:$N$18,2,FALSE)&amp;$BL$2&amp;#REF!&amp;$BN$2,"")</f>
        <v/>
      </c>
      <c r="BO309" s="1" t="str">
        <f>IFERROR($BM$2&amp;VLOOKUP(E311,'Pay Table'!$M$3:$N$18,2,FALSE)&amp;$BL$2&amp;#REF!&amp;$BN$2,"")</f>
        <v/>
      </c>
      <c r="BP309" s="27" t="str">
        <f>IFERROR($BM$2&amp;VLOOKUP(F311,'Pay Table'!$M$3:$N$18,2,FALSE)&amp;$BL$2&amp;#REF!&amp;$BN$2,"")</f>
        <v/>
      </c>
    </row>
    <row r="310" spans="64:68" x14ac:dyDescent="0.15">
      <c r="BL310" s="26" t="str">
        <f>IFERROR($BM$2&amp;VLOOKUP(B312,'Pay Table'!$M$3:$N$18,2,FALSE)&amp;$BL$2&amp;#REF!&amp;$BN$2,"")</f>
        <v/>
      </c>
      <c r="BM310" s="1" t="str">
        <f>IFERROR($BM$2&amp;VLOOKUP(C312,'Pay Table'!$M$3:$N$18,2,FALSE)&amp;$BL$2&amp;#REF!&amp;$BN$2,"")</f>
        <v/>
      </c>
      <c r="BN310" s="1" t="str">
        <f>IFERROR($BM$2&amp;VLOOKUP(D312,'Pay Table'!$M$3:$N$18,2,FALSE)&amp;$BL$2&amp;#REF!&amp;$BN$2,"")</f>
        <v/>
      </c>
      <c r="BO310" s="1" t="str">
        <f>IFERROR($BM$2&amp;VLOOKUP(E312,'Pay Table'!$M$3:$N$18,2,FALSE)&amp;$BL$2&amp;#REF!&amp;$BN$2,"")</f>
        <v/>
      </c>
      <c r="BP310" s="27" t="str">
        <f>IFERROR($BM$2&amp;VLOOKUP(F312,'Pay Table'!$M$3:$N$18,2,FALSE)&amp;$BL$2&amp;#REF!&amp;$BN$2,"")</f>
        <v/>
      </c>
    </row>
    <row r="311" spans="64:68" x14ac:dyDescent="0.15">
      <c r="BL311" s="26" t="str">
        <f>IFERROR($BM$2&amp;VLOOKUP(B313,'Pay Table'!$M$3:$N$18,2,FALSE)&amp;$BL$2&amp;#REF!&amp;$BN$2,"")</f>
        <v/>
      </c>
      <c r="BM311" s="1" t="str">
        <f>IFERROR($BM$2&amp;VLOOKUP(C313,'Pay Table'!$M$3:$N$18,2,FALSE)&amp;$BL$2&amp;#REF!&amp;$BN$2,"")</f>
        <v/>
      </c>
      <c r="BN311" s="1" t="str">
        <f>IFERROR($BM$2&amp;VLOOKUP(D313,'Pay Table'!$M$3:$N$18,2,FALSE)&amp;$BL$2&amp;#REF!&amp;$BN$2,"")</f>
        <v/>
      </c>
      <c r="BO311" s="1" t="str">
        <f>IFERROR($BM$2&amp;VLOOKUP(E313,'Pay Table'!$M$3:$N$18,2,FALSE)&amp;$BL$2&amp;#REF!&amp;$BN$2,"")</f>
        <v/>
      </c>
      <c r="BP311" s="27" t="str">
        <f>IFERROR($BM$2&amp;VLOOKUP(F313,'Pay Table'!$M$3:$N$18,2,FALSE)&amp;$BL$2&amp;#REF!&amp;$BN$2,"")</f>
        <v/>
      </c>
    </row>
    <row r="312" spans="64:68" x14ac:dyDescent="0.15">
      <c r="BL312" s="26" t="str">
        <f>IFERROR($BM$2&amp;VLOOKUP(B314,'Pay Table'!$M$3:$N$18,2,FALSE)&amp;$BL$2&amp;#REF!&amp;$BN$2,"")</f>
        <v/>
      </c>
      <c r="BM312" s="1" t="str">
        <f>IFERROR($BM$2&amp;VLOOKUP(C314,'Pay Table'!$M$3:$N$18,2,FALSE)&amp;$BL$2&amp;#REF!&amp;$BN$2,"")</f>
        <v/>
      </c>
      <c r="BN312" s="1" t="str">
        <f>IFERROR($BM$2&amp;VLOOKUP(D314,'Pay Table'!$M$3:$N$18,2,FALSE)&amp;$BL$2&amp;#REF!&amp;$BN$2,"")</f>
        <v/>
      </c>
      <c r="BO312" s="1" t="str">
        <f>IFERROR($BM$2&amp;VLOOKUP(E314,'Pay Table'!$M$3:$N$18,2,FALSE)&amp;$BL$2&amp;#REF!&amp;$BN$2,"")</f>
        <v/>
      </c>
      <c r="BP312" s="27" t="str">
        <f>IFERROR($BM$2&amp;VLOOKUP(F314,'Pay Table'!$M$3:$N$18,2,FALSE)&amp;$BL$2&amp;#REF!&amp;$BN$2,"")</f>
        <v/>
      </c>
    </row>
    <row r="313" spans="64:68" x14ac:dyDescent="0.15">
      <c r="BL313" s="26" t="str">
        <f>IFERROR($BM$2&amp;VLOOKUP(B315,'Pay Table'!$M$3:$N$18,2,FALSE)&amp;$BL$2&amp;#REF!&amp;$BN$2,"")</f>
        <v/>
      </c>
      <c r="BM313" s="1" t="str">
        <f>IFERROR($BM$2&amp;VLOOKUP(C315,'Pay Table'!$M$3:$N$18,2,FALSE)&amp;$BL$2&amp;#REF!&amp;$BN$2,"")</f>
        <v/>
      </c>
      <c r="BN313" s="1" t="str">
        <f>IFERROR($BM$2&amp;VLOOKUP(D315,'Pay Table'!$M$3:$N$18,2,FALSE)&amp;$BL$2&amp;#REF!&amp;$BN$2,"")</f>
        <v/>
      </c>
      <c r="BO313" s="1" t="str">
        <f>IFERROR($BM$2&amp;VLOOKUP(E315,'Pay Table'!$M$3:$N$18,2,FALSE)&amp;$BL$2&amp;#REF!&amp;$BN$2,"")</f>
        <v/>
      </c>
      <c r="BP313" s="27" t="str">
        <f>IFERROR($BM$2&amp;VLOOKUP(F315,'Pay Table'!$M$3:$N$18,2,FALSE)&amp;$BL$2&amp;#REF!&amp;$BN$2,"")</f>
        <v/>
      </c>
    </row>
    <row r="314" spans="64:68" x14ac:dyDescent="0.15">
      <c r="BL314" s="26" t="str">
        <f>IFERROR($BM$2&amp;VLOOKUP(B316,'Pay Table'!$M$3:$N$18,2,FALSE)&amp;$BL$2&amp;#REF!&amp;$BN$2,"")</f>
        <v/>
      </c>
      <c r="BM314" s="1" t="str">
        <f>IFERROR($BM$2&amp;VLOOKUP(C316,'Pay Table'!$M$3:$N$18,2,FALSE)&amp;$BL$2&amp;#REF!&amp;$BN$2,"")</f>
        <v/>
      </c>
      <c r="BN314" s="1" t="str">
        <f>IFERROR($BM$2&amp;VLOOKUP(D316,'Pay Table'!$M$3:$N$18,2,FALSE)&amp;$BL$2&amp;#REF!&amp;$BN$2,"")</f>
        <v/>
      </c>
      <c r="BO314" s="1" t="str">
        <f>IFERROR($BM$2&amp;VLOOKUP(E316,'Pay Table'!$M$3:$N$18,2,FALSE)&amp;$BL$2&amp;#REF!&amp;$BN$2,"")</f>
        <v/>
      </c>
      <c r="BP314" s="27" t="str">
        <f>IFERROR($BM$2&amp;VLOOKUP(F316,'Pay Table'!$M$3:$N$18,2,FALSE)&amp;$BL$2&amp;#REF!&amp;$BN$2,"")</f>
        <v/>
      </c>
    </row>
    <row r="315" spans="64:68" x14ac:dyDescent="0.15">
      <c r="BL315" s="26" t="str">
        <f>IFERROR($BM$2&amp;VLOOKUP(B317,'Pay Table'!$M$3:$N$18,2,FALSE)&amp;$BL$2&amp;#REF!&amp;$BN$2,"")</f>
        <v/>
      </c>
      <c r="BM315" s="1" t="str">
        <f>IFERROR($BM$2&amp;VLOOKUP(C317,'Pay Table'!$M$3:$N$18,2,FALSE)&amp;$BL$2&amp;#REF!&amp;$BN$2,"")</f>
        <v/>
      </c>
      <c r="BN315" s="1" t="str">
        <f>IFERROR($BM$2&amp;VLOOKUP(D317,'Pay Table'!$M$3:$N$18,2,FALSE)&amp;$BL$2&amp;#REF!&amp;$BN$2,"")</f>
        <v/>
      </c>
      <c r="BO315" s="1" t="str">
        <f>IFERROR($BM$2&amp;VLOOKUP(E317,'Pay Table'!$M$3:$N$18,2,FALSE)&amp;$BL$2&amp;#REF!&amp;$BN$2,"")</f>
        <v/>
      </c>
      <c r="BP315" s="27" t="str">
        <f>IFERROR($BM$2&amp;VLOOKUP(F317,'Pay Table'!$M$3:$N$18,2,FALSE)&amp;$BL$2&amp;#REF!&amp;$BN$2,"")</f>
        <v/>
      </c>
    </row>
    <row r="316" spans="64:68" x14ac:dyDescent="0.15">
      <c r="BL316" s="26" t="str">
        <f>IFERROR($BM$2&amp;VLOOKUP(B318,'Pay Table'!$M$3:$N$18,2,FALSE)&amp;$BL$2&amp;#REF!&amp;$BN$2,"")</f>
        <v/>
      </c>
      <c r="BM316" s="1" t="str">
        <f>IFERROR($BM$2&amp;VLOOKUP(C318,'Pay Table'!$M$3:$N$18,2,FALSE)&amp;$BL$2&amp;#REF!&amp;$BN$2,"")</f>
        <v/>
      </c>
      <c r="BN316" s="1" t="str">
        <f>IFERROR($BM$2&amp;VLOOKUP(D318,'Pay Table'!$M$3:$N$18,2,FALSE)&amp;$BL$2&amp;#REF!&amp;$BN$2,"")</f>
        <v/>
      </c>
      <c r="BO316" s="1" t="str">
        <f>IFERROR($BM$2&amp;VLOOKUP(E318,'Pay Table'!$M$3:$N$18,2,FALSE)&amp;$BL$2&amp;#REF!&amp;$BN$2,"")</f>
        <v/>
      </c>
      <c r="BP316" s="27" t="str">
        <f>IFERROR($BM$2&amp;VLOOKUP(F318,'Pay Table'!$M$3:$N$18,2,FALSE)&amp;$BL$2&amp;#REF!&amp;$BN$2,"")</f>
        <v/>
      </c>
    </row>
    <row r="317" spans="64:68" x14ac:dyDescent="0.15">
      <c r="BL317" s="26" t="str">
        <f>IFERROR($BM$2&amp;VLOOKUP(B319,'Pay Table'!$M$3:$N$18,2,FALSE)&amp;$BL$2&amp;#REF!&amp;$BN$2,"")</f>
        <v/>
      </c>
      <c r="BM317" s="1" t="str">
        <f>IFERROR($BM$2&amp;VLOOKUP(C319,'Pay Table'!$M$3:$N$18,2,FALSE)&amp;$BL$2&amp;#REF!&amp;$BN$2,"")</f>
        <v/>
      </c>
      <c r="BN317" s="1" t="str">
        <f>IFERROR($BM$2&amp;VLOOKUP(D319,'Pay Table'!$M$3:$N$18,2,FALSE)&amp;$BL$2&amp;#REF!&amp;$BN$2,"")</f>
        <v/>
      </c>
      <c r="BO317" s="1" t="str">
        <f>IFERROR($BM$2&amp;VLOOKUP(E319,'Pay Table'!$M$3:$N$18,2,FALSE)&amp;$BL$2&amp;#REF!&amp;$BN$2,"")</f>
        <v/>
      </c>
      <c r="BP317" s="27" t="str">
        <f>IFERROR($BM$2&amp;VLOOKUP(F319,'Pay Table'!$M$3:$N$18,2,FALSE)&amp;$BL$2&amp;#REF!&amp;$BN$2,"")</f>
        <v/>
      </c>
    </row>
    <row r="318" spans="64:68" x14ac:dyDescent="0.15">
      <c r="BL318" s="26" t="str">
        <f>IFERROR($BM$2&amp;VLOOKUP(B320,'Pay Table'!$M$3:$N$18,2,FALSE)&amp;$BL$2&amp;#REF!&amp;$BN$2,"")</f>
        <v/>
      </c>
      <c r="BM318" s="1" t="str">
        <f>IFERROR($BM$2&amp;VLOOKUP(C320,'Pay Table'!$M$3:$N$18,2,FALSE)&amp;$BL$2&amp;#REF!&amp;$BN$2,"")</f>
        <v/>
      </c>
      <c r="BN318" s="1" t="str">
        <f>IFERROR($BM$2&amp;VLOOKUP(D320,'Pay Table'!$M$3:$N$18,2,FALSE)&amp;$BL$2&amp;#REF!&amp;$BN$2,"")</f>
        <v/>
      </c>
      <c r="BO318" s="1" t="str">
        <f>IFERROR($BM$2&amp;VLOOKUP(E320,'Pay Table'!$M$3:$N$18,2,FALSE)&amp;$BL$2&amp;#REF!&amp;$BN$2,"")</f>
        <v/>
      </c>
      <c r="BP318" s="27" t="str">
        <f>IFERROR($BM$2&amp;VLOOKUP(F320,'Pay Table'!$M$3:$N$18,2,FALSE)&amp;$BL$2&amp;#REF!&amp;$BN$2,"")</f>
        <v/>
      </c>
    </row>
    <row r="319" spans="64:68" x14ac:dyDescent="0.15">
      <c r="BL319" s="26" t="str">
        <f>IFERROR($BM$2&amp;VLOOKUP(B321,'Pay Table'!$M$3:$N$18,2,FALSE)&amp;$BL$2&amp;#REF!&amp;$BN$2,"")</f>
        <v/>
      </c>
      <c r="BM319" s="1" t="str">
        <f>IFERROR($BM$2&amp;VLOOKUP(C321,'Pay Table'!$M$3:$N$18,2,FALSE)&amp;$BL$2&amp;#REF!&amp;$BN$2,"")</f>
        <v/>
      </c>
      <c r="BN319" s="1" t="str">
        <f>IFERROR($BM$2&amp;VLOOKUP(D321,'Pay Table'!$M$3:$N$18,2,FALSE)&amp;$BL$2&amp;#REF!&amp;$BN$2,"")</f>
        <v/>
      </c>
      <c r="BO319" s="1" t="str">
        <f>IFERROR($BM$2&amp;VLOOKUP(E321,'Pay Table'!$M$3:$N$18,2,FALSE)&amp;$BL$2&amp;#REF!&amp;$BN$2,"")</f>
        <v/>
      </c>
      <c r="BP319" s="27" t="str">
        <f>IFERROR($BM$2&amp;VLOOKUP(F321,'Pay Table'!$M$3:$N$18,2,FALSE)&amp;$BL$2&amp;#REF!&amp;$BN$2,"")</f>
        <v/>
      </c>
    </row>
    <row r="320" spans="64:68" x14ac:dyDescent="0.15">
      <c r="BL320" s="26" t="str">
        <f>IFERROR($BM$2&amp;VLOOKUP(B322,'Pay Table'!$M$3:$N$18,2,FALSE)&amp;$BL$2&amp;#REF!&amp;$BN$2,"")</f>
        <v/>
      </c>
      <c r="BM320" s="1" t="str">
        <f>IFERROR($BM$2&amp;VLOOKUP(C322,'Pay Table'!$M$3:$N$18,2,FALSE)&amp;$BL$2&amp;#REF!&amp;$BN$2,"")</f>
        <v/>
      </c>
      <c r="BN320" s="1" t="str">
        <f>IFERROR($BM$2&amp;VLOOKUP(D322,'Pay Table'!$M$3:$N$18,2,FALSE)&amp;$BL$2&amp;#REF!&amp;$BN$2,"")</f>
        <v/>
      </c>
      <c r="BO320" s="1" t="str">
        <f>IFERROR($BM$2&amp;VLOOKUP(E322,'Pay Table'!$M$3:$N$18,2,FALSE)&amp;$BL$2&amp;#REF!&amp;$BN$2,"")</f>
        <v/>
      </c>
      <c r="BP320" s="27" t="str">
        <f>IFERROR($BM$2&amp;VLOOKUP(F322,'Pay Table'!$M$3:$N$18,2,FALSE)&amp;$BL$2&amp;#REF!&amp;$BN$2,"")</f>
        <v/>
      </c>
    </row>
    <row r="321" spans="64:68" x14ac:dyDescent="0.15">
      <c r="BL321" s="26" t="str">
        <f>IFERROR($BM$2&amp;VLOOKUP(B323,'Pay Table'!$M$3:$N$18,2,FALSE)&amp;$BL$2&amp;#REF!&amp;$BN$2,"")</f>
        <v/>
      </c>
      <c r="BM321" s="1" t="str">
        <f>IFERROR($BM$2&amp;VLOOKUP(C323,'Pay Table'!$M$3:$N$18,2,FALSE)&amp;$BL$2&amp;#REF!&amp;$BN$2,"")</f>
        <v/>
      </c>
      <c r="BN321" s="1" t="str">
        <f>IFERROR($BM$2&amp;VLOOKUP(D323,'Pay Table'!$M$3:$N$18,2,FALSE)&amp;$BL$2&amp;#REF!&amp;$BN$2,"")</f>
        <v/>
      </c>
      <c r="BO321" s="1" t="str">
        <f>IFERROR($BM$2&amp;VLOOKUP(E323,'Pay Table'!$M$3:$N$18,2,FALSE)&amp;$BL$2&amp;#REF!&amp;$BN$2,"")</f>
        <v/>
      </c>
      <c r="BP321" s="27" t="str">
        <f>IFERROR($BM$2&amp;VLOOKUP(F323,'Pay Table'!$M$3:$N$18,2,FALSE)&amp;$BL$2&amp;#REF!&amp;$BN$2,"")</f>
        <v/>
      </c>
    </row>
    <row r="322" spans="64:68" x14ac:dyDescent="0.15">
      <c r="BL322" s="26" t="str">
        <f>IFERROR($BM$2&amp;VLOOKUP(B324,'Pay Table'!$M$3:$N$18,2,FALSE)&amp;$BL$2&amp;#REF!&amp;$BN$2,"")</f>
        <v/>
      </c>
      <c r="BM322" s="1" t="str">
        <f>IFERROR($BM$2&amp;VLOOKUP(C324,'Pay Table'!$M$3:$N$18,2,FALSE)&amp;$BL$2&amp;#REF!&amp;$BN$2,"")</f>
        <v/>
      </c>
      <c r="BN322" s="1" t="str">
        <f>IFERROR($BM$2&amp;VLOOKUP(D324,'Pay Table'!$M$3:$N$18,2,FALSE)&amp;$BL$2&amp;#REF!&amp;$BN$2,"")</f>
        <v/>
      </c>
      <c r="BO322" s="1" t="str">
        <f>IFERROR($BM$2&amp;VLOOKUP(E324,'Pay Table'!$M$3:$N$18,2,FALSE)&amp;$BL$2&amp;#REF!&amp;$BN$2,"")</f>
        <v/>
      </c>
      <c r="BP322" s="27" t="str">
        <f>IFERROR($BM$2&amp;VLOOKUP(F324,'Pay Table'!$M$3:$N$18,2,FALSE)&amp;$BL$2&amp;#REF!&amp;$BN$2,"")</f>
        <v/>
      </c>
    </row>
    <row r="323" spans="64:68" x14ac:dyDescent="0.15">
      <c r="BL323" s="26" t="str">
        <f>IFERROR($BM$2&amp;VLOOKUP(B325,'Pay Table'!$M$3:$N$18,2,FALSE)&amp;$BL$2&amp;#REF!&amp;$BN$2,"")</f>
        <v/>
      </c>
      <c r="BM323" s="1" t="str">
        <f>IFERROR($BM$2&amp;VLOOKUP(C325,'Pay Table'!$M$3:$N$18,2,FALSE)&amp;$BL$2&amp;#REF!&amp;$BN$2,"")</f>
        <v/>
      </c>
      <c r="BN323" s="1" t="str">
        <f>IFERROR($BM$2&amp;VLOOKUP(D325,'Pay Table'!$M$3:$N$18,2,FALSE)&amp;$BL$2&amp;#REF!&amp;$BN$2,"")</f>
        <v/>
      </c>
      <c r="BO323" s="1" t="str">
        <f>IFERROR($BM$2&amp;VLOOKUP(E325,'Pay Table'!$M$3:$N$18,2,FALSE)&amp;$BL$2&amp;#REF!&amp;$BN$2,"")</f>
        <v/>
      </c>
      <c r="BP323" s="27" t="str">
        <f>IFERROR($BM$2&amp;VLOOKUP(F325,'Pay Table'!$M$3:$N$18,2,FALSE)&amp;$BL$2&amp;#REF!&amp;$BN$2,"")</f>
        <v/>
      </c>
    </row>
    <row r="324" spans="64:68" x14ac:dyDescent="0.15">
      <c r="BL324" s="26" t="str">
        <f>IFERROR($BM$2&amp;VLOOKUP(B326,'Pay Table'!$M$3:$N$18,2,FALSE)&amp;$BL$2&amp;#REF!&amp;$BN$2,"")</f>
        <v/>
      </c>
      <c r="BM324" s="1" t="str">
        <f>IFERROR($BM$2&amp;VLOOKUP(C326,'Pay Table'!$M$3:$N$18,2,FALSE)&amp;$BL$2&amp;#REF!&amp;$BN$2,"")</f>
        <v/>
      </c>
      <c r="BN324" s="1" t="str">
        <f>IFERROR($BM$2&amp;VLOOKUP(D326,'Pay Table'!$M$3:$N$18,2,FALSE)&amp;$BL$2&amp;#REF!&amp;$BN$2,"")</f>
        <v/>
      </c>
      <c r="BO324" s="1" t="str">
        <f>IFERROR($BM$2&amp;VLOOKUP(E326,'Pay Table'!$M$3:$N$18,2,FALSE)&amp;$BL$2&amp;#REF!&amp;$BN$2,"")</f>
        <v/>
      </c>
      <c r="BP324" s="27" t="str">
        <f>IFERROR($BM$2&amp;VLOOKUP(F326,'Pay Table'!$M$3:$N$18,2,FALSE)&amp;$BL$2&amp;#REF!&amp;$BN$2,"")</f>
        <v/>
      </c>
    </row>
    <row r="325" spans="64:68" x14ac:dyDescent="0.15">
      <c r="BL325" s="26" t="str">
        <f>IFERROR($BM$2&amp;VLOOKUP(B327,'Pay Table'!$M$3:$N$18,2,FALSE)&amp;$BL$2&amp;#REF!&amp;$BN$2,"")</f>
        <v/>
      </c>
      <c r="BM325" s="1" t="str">
        <f>IFERROR($BM$2&amp;VLOOKUP(C327,'Pay Table'!$M$3:$N$18,2,FALSE)&amp;$BL$2&amp;#REF!&amp;$BN$2,"")</f>
        <v/>
      </c>
      <c r="BN325" s="1" t="str">
        <f>IFERROR($BM$2&amp;VLOOKUP(D327,'Pay Table'!$M$3:$N$18,2,FALSE)&amp;$BL$2&amp;#REF!&amp;$BN$2,"")</f>
        <v/>
      </c>
      <c r="BO325" s="1" t="str">
        <f>IFERROR($BM$2&amp;VLOOKUP(E327,'Pay Table'!$M$3:$N$18,2,FALSE)&amp;$BL$2&amp;#REF!&amp;$BN$2,"")</f>
        <v/>
      </c>
      <c r="BP325" s="27" t="str">
        <f>IFERROR($BM$2&amp;VLOOKUP(F327,'Pay Table'!$M$3:$N$18,2,FALSE)&amp;$BL$2&amp;#REF!&amp;$BN$2,"")</f>
        <v/>
      </c>
    </row>
    <row r="326" spans="64:68" x14ac:dyDescent="0.15">
      <c r="BL326" s="26" t="str">
        <f>IFERROR($BM$2&amp;VLOOKUP(B328,'Pay Table'!$M$3:$N$18,2,FALSE)&amp;$BL$2&amp;#REF!&amp;$BN$2,"")</f>
        <v/>
      </c>
      <c r="BM326" s="1" t="str">
        <f>IFERROR($BM$2&amp;VLOOKUP(C328,'Pay Table'!$M$3:$N$18,2,FALSE)&amp;$BL$2&amp;#REF!&amp;$BN$2,"")</f>
        <v/>
      </c>
      <c r="BN326" s="1" t="str">
        <f>IFERROR($BM$2&amp;VLOOKUP(D328,'Pay Table'!$M$3:$N$18,2,FALSE)&amp;$BL$2&amp;#REF!&amp;$BN$2,"")</f>
        <v/>
      </c>
      <c r="BO326" s="1" t="str">
        <f>IFERROR($BM$2&amp;VLOOKUP(E328,'Pay Table'!$M$3:$N$18,2,FALSE)&amp;$BL$2&amp;#REF!&amp;$BN$2,"")</f>
        <v/>
      </c>
      <c r="BP326" s="27" t="str">
        <f>IFERROR($BM$2&amp;VLOOKUP(F328,'Pay Table'!$M$3:$N$18,2,FALSE)&amp;$BL$2&amp;#REF!&amp;$BN$2,"")</f>
        <v/>
      </c>
    </row>
    <row r="327" spans="64:68" x14ac:dyDescent="0.15">
      <c r="BL327" s="26" t="str">
        <f>IFERROR($BM$2&amp;VLOOKUP(B329,'Pay Table'!$M$3:$N$18,2,FALSE)&amp;$BL$2&amp;#REF!&amp;$BN$2,"")</f>
        <v/>
      </c>
      <c r="BM327" s="1" t="str">
        <f>IFERROR($BM$2&amp;VLOOKUP(C329,'Pay Table'!$M$3:$N$18,2,FALSE)&amp;$BL$2&amp;#REF!&amp;$BN$2,"")</f>
        <v/>
      </c>
      <c r="BN327" s="1" t="str">
        <f>IFERROR($BM$2&amp;VLOOKUP(D329,'Pay Table'!$M$3:$N$18,2,FALSE)&amp;$BL$2&amp;#REF!&amp;$BN$2,"")</f>
        <v/>
      </c>
      <c r="BO327" s="1" t="str">
        <f>IFERROR($BM$2&amp;VLOOKUP(E329,'Pay Table'!$M$3:$N$18,2,FALSE)&amp;$BL$2&amp;#REF!&amp;$BN$2,"")</f>
        <v/>
      </c>
      <c r="BP327" s="27" t="str">
        <f>IFERROR($BM$2&amp;VLOOKUP(F329,'Pay Table'!$M$3:$N$18,2,FALSE)&amp;$BL$2&amp;#REF!&amp;$BN$2,"")</f>
        <v/>
      </c>
    </row>
    <row r="328" spans="64:68" x14ac:dyDescent="0.15">
      <c r="BL328" s="26" t="str">
        <f>IFERROR($BM$2&amp;VLOOKUP(B330,'Pay Table'!$M$3:$N$18,2,FALSE)&amp;$BL$2&amp;#REF!&amp;$BN$2,"")</f>
        <v/>
      </c>
      <c r="BM328" s="1" t="str">
        <f>IFERROR($BM$2&amp;VLOOKUP(C330,'Pay Table'!$M$3:$N$18,2,FALSE)&amp;$BL$2&amp;#REF!&amp;$BN$2,"")</f>
        <v/>
      </c>
      <c r="BN328" s="1" t="str">
        <f>IFERROR($BM$2&amp;VLOOKUP(D330,'Pay Table'!$M$3:$N$18,2,FALSE)&amp;$BL$2&amp;#REF!&amp;$BN$2,"")</f>
        <v/>
      </c>
      <c r="BO328" s="1" t="str">
        <f>IFERROR($BM$2&amp;VLOOKUP(E330,'Pay Table'!$M$3:$N$18,2,FALSE)&amp;$BL$2&amp;#REF!&amp;$BN$2,"")</f>
        <v/>
      </c>
      <c r="BP328" s="27" t="str">
        <f>IFERROR($BM$2&amp;VLOOKUP(F330,'Pay Table'!$M$3:$N$18,2,FALSE)&amp;$BL$2&amp;#REF!&amp;$BN$2,"")</f>
        <v/>
      </c>
    </row>
    <row r="329" spans="64:68" x14ac:dyDescent="0.15">
      <c r="BL329" s="26" t="str">
        <f>IFERROR($BM$2&amp;VLOOKUP(B331,'Pay Table'!$M$3:$N$18,2,FALSE)&amp;$BL$2&amp;#REF!&amp;$BN$2,"")</f>
        <v/>
      </c>
      <c r="BM329" s="1" t="str">
        <f>IFERROR($BM$2&amp;VLOOKUP(C331,'Pay Table'!$M$3:$N$18,2,FALSE)&amp;$BL$2&amp;#REF!&amp;$BN$2,"")</f>
        <v/>
      </c>
      <c r="BN329" s="1" t="str">
        <f>IFERROR($BM$2&amp;VLOOKUP(D331,'Pay Table'!$M$3:$N$18,2,FALSE)&amp;$BL$2&amp;#REF!&amp;$BN$2,"")</f>
        <v/>
      </c>
      <c r="BO329" s="1" t="str">
        <f>IFERROR($BM$2&amp;VLOOKUP(E331,'Pay Table'!$M$3:$N$18,2,FALSE)&amp;$BL$2&amp;#REF!&amp;$BN$2,"")</f>
        <v/>
      </c>
      <c r="BP329" s="27" t="str">
        <f>IFERROR($BM$2&amp;VLOOKUP(F331,'Pay Table'!$M$3:$N$18,2,FALSE)&amp;$BL$2&amp;#REF!&amp;$BN$2,"")</f>
        <v/>
      </c>
    </row>
    <row r="330" spans="64:68" x14ac:dyDescent="0.15">
      <c r="BL330" s="26" t="str">
        <f>IFERROR($BM$2&amp;VLOOKUP(B332,'Pay Table'!$M$3:$N$18,2,FALSE)&amp;$BL$2&amp;#REF!&amp;$BN$2,"")</f>
        <v/>
      </c>
      <c r="BM330" s="1" t="str">
        <f>IFERROR($BM$2&amp;VLOOKUP(C332,'Pay Table'!$M$3:$N$18,2,FALSE)&amp;$BL$2&amp;#REF!&amp;$BN$2,"")</f>
        <v/>
      </c>
      <c r="BN330" s="1" t="str">
        <f>IFERROR($BM$2&amp;VLOOKUP(D332,'Pay Table'!$M$3:$N$18,2,FALSE)&amp;$BL$2&amp;#REF!&amp;$BN$2,"")</f>
        <v/>
      </c>
      <c r="BO330" s="1" t="str">
        <f>IFERROR($BM$2&amp;VLOOKUP(E332,'Pay Table'!$M$3:$N$18,2,FALSE)&amp;$BL$2&amp;#REF!&amp;$BN$2,"")</f>
        <v/>
      </c>
      <c r="BP330" s="27" t="str">
        <f>IFERROR($BM$2&amp;VLOOKUP(F332,'Pay Table'!$M$3:$N$18,2,FALSE)&amp;$BL$2&amp;#REF!&amp;$BN$2,"")</f>
        <v/>
      </c>
    </row>
    <row r="331" spans="64:68" x14ac:dyDescent="0.15">
      <c r="BL331" s="26" t="str">
        <f>IFERROR($BM$2&amp;VLOOKUP(B333,'Pay Table'!$M$3:$N$18,2,FALSE)&amp;$BL$2&amp;#REF!&amp;$BN$2,"")</f>
        <v/>
      </c>
      <c r="BM331" s="1" t="str">
        <f>IFERROR($BM$2&amp;VLOOKUP(C333,'Pay Table'!$M$3:$N$18,2,FALSE)&amp;$BL$2&amp;#REF!&amp;$BN$2,"")</f>
        <v/>
      </c>
      <c r="BN331" s="1" t="str">
        <f>IFERROR($BM$2&amp;VLOOKUP(D333,'Pay Table'!$M$3:$N$18,2,FALSE)&amp;$BL$2&amp;#REF!&amp;$BN$2,"")</f>
        <v/>
      </c>
      <c r="BO331" s="1" t="str">
        <f>IFERROR($BM$2&amp;VLOOKUP(E333,'Pay Table'!$M$3:$N$18,2,FALSE)&amp;$BL$2&amp;#REF!&amp;$BN$2,"")</f>
        <v/>
      </c>
      <c r="BP331" s="27" t="str">
        <f>IFERROR($BM$2&amp;VLOOKUP(F333,'Pay Table'!$M$3:$N$18,2,FALSE)&amp;$BL$2&amp;#REF!&amp;$BN$2,"")</f>
        <v/>
      </c>
    </row>
    <row r="332" spans="64:68" x14ac:dyDescent="0.15">
      <c r="BL332" s="26" t="str">
        <f>IFERROR($BM$2&amp;VLOOKUP(B334,'Pay Table'!$M$3:$N$18,2,FALSE)&amp;$BL$2&amp;#REF!&amp;$BN$2,"")</f>
        <v/>
      </c>
      <c r="BM332" s="1" t="str">
        <f>IFERROR($BM$2&amp;VLOOKUP(C334,'Pay Table'!$M$3:$N$18,2,FALSE)&amp;$BL$2&amp;#REF!&amp;$BN$2,"")</f>
        <v/>
      </c>
      <c r="BN332" s="1" t="str">
        <f>IFERROR($BM$2&amp;VLOOKUP(D334,'Pay Table'!$M$3:$N$18,2,FALSE)&amp;$BL$2&amp;#REF!&amp;$BN$2,"")</f>
        <v/>
      </c>
      <c r="BO332" s="1" t="str">
        <f>IFERROR($BM$2&amp;VLOOKUP(E334,'Pay Table'!$M$3:$N$18,2,FALSE)&amp;$BL$2&amp;#REF!&amp;$BN$2,"")</f>
        <v/>
      </c>
      <c r="BP332" s="27" t="str">
        <f>IFERROR($BM$2&amp;VLOOKUP(F334,'Pay Table'!$M$3:$N$18,2,FALSE)&amp;$BL$2&amp;#REF!&amp;$BN$2,"")</f>
        <v/>
      </c>
    </row>
    <row r="333" spans="64:68" x14ac:dyDescent="0.15">
      <c r="BL333" s="26" t="str">
        <f>IFERROR($BM$2&amp;VLOOKUP(B335,'Pay Table'!$M$3:$N$18,2,FALSE)&amp;$BL$2&amp;#REF!&amp;$BN$2,"")</f>
        <v/>
      </c>
      <c r="BM333" s="1" t="str">
        <f>IFERROR($BM$2&amp;VLOOKUP(C335,'Pay Table'!$M$3:$N$18,2,FALSE)&amp;$BL$2&amp;#REF!&amp;$BN$2,"")</f>
        <v/>
      </c>
      <c r="BN333" s="1" t="str">
        <f>IFERROR($BM$2&amp;VLOOKUP(D335,'Pay Table'!$M$3:$N$18,2,FALSE)&amp;$BL$2&amp;#REF!&amp;$BN$2,"")</f>
        <v/>
      </c>
      <c r="BO333" s="1" t="str">
        <f>IFERROR($BM$2&amp;VLOOKUP(E335,'Pay Table'!$M$3:$N$18,2,FALSE)&amp;$BL$2&amp;#REF!&amp;$BN$2,"")</f>
        <v/>
      </c>
      <c r="BP333" s="27" t="str">
        <f>IFERROR($BM$2&amp;VLOOKUP(F335,'Pay Table'!$M$3:$N$18,2,FALSE)&amp;$BL$2&amp;#REF!&amp;$BN$2,"")</f>
        <v/>
      </c>
    </row>
    <row r="334" spans="64:68" x14ac:dyDescent="0.15">
      <c r="BL334" s="26" t="str">
        <f>IFERROR($BM$2&amp;VLOOKUP(B336,'Pay Table'!$M$3:$N$18,2,FALSE)&amp;$BL$2&amp;#REF!&amp;$BN$2,"")</f>
        <v/>
      </c>
      <c r="BM334" s="1" t="str">
        <f>IFERROR($BM$2&amp;VLOOKUP(C336,'Pay Table'!$M$3:$N$18,2,FALSE)&amp;$BL$2&amp;#REF!&amp;$BN$2,"")</f>
        <v/>
      </c>
      <c r="BN334" s="1" t="str">
        <f>IFERROR($BM$2&amp;VLOOKUP(D336,'Pay Table'!$M$3:$N$18,2,FALSE)&amp;$BL$2&amp;#REF!&amp;$BN$2,"")</f>
        <v/>
      </c>
      <c r="BO334" s="1" t="str">
        <f>IFERROR($BM$2&amp;VLOOKUP(E336,'Pay Table'!$M$3:$N$18,2,FALSE)&amp;$BL$2&amp;#REF!&amp;$BN$2,"")</f>
        <v/>
      </c>
      <c r="BP334" s="27" t="str">
        <f>IFERROR($BM$2&amp;VLOOKUP(F336,'Pay Table'!$M$3:$N$18,2,FALSE)&amp;$BL$2&amp;#REF!&amp;$BN$2,"")</f>
        <v/>
      </c>
    </row>
    <row r="335" spans="64:68" x14ac:dyDescent="0.15">
      <c r="BL335" s="26" t="str">
        <f>IFERROR($BM$2&amp;VLOOKUP(B337,'Pay Table'!$M$3:$N$18,2,FALSE)&amp;$BL$2&amp;#REF!&amp;$BN$2,"")</f>
        <v/>
      </c>
      <c r="BM335" s="1" t="str">
        <f>IFERROR($BM$2&amp;VLOOKUP(C337,'Pay Table'!$M$3:$N$18,2,FALSE)&amp;$BL$2&amp;#REF!&amp;$BN$2,"")</f>
        <v/>
      </c>
      <c r="BN335" s="1" t="str">
        <f>IFERROR($BM$2&amp;VLOOKUP(D337,'Pay Table'!$M$3:$N$18,2,FALSE)&amp;$BL$2&amp;#REF!&amp;$BN$2,"")</f>
        <v/>
      </c>
      <c r="BO335" s="1" t="str">
        <f>IFERROR($BM$2&amp;VLOOKUP(E337,'Pay Table'!$M$3:$N$18,2,FALSE)&amp;$BL$2&amp;#REF!&amp;$BN$2,"")</f>
        <v/>
      </c>
      <c r="BP335" s="27" t="str">
        <f>IFERROR($BM$2&amp;VLOOKUP(F337,'Pay Table'!$M$3:$N$18,2,FALSE)&amp;$BL$2&amp;#REF!&amp;$BN$2,"")</f>
        <v/>
      </c>
    </row>
    <row r="336" spans="64:68" x14ac:dyDescent="0.15">
      <c r="BL336" s="26" t="str">
        <f>IFERROR($BM$2&amp;VLOOKUP(B338,'Pay Table'!$M$3:$N$18,2,FALSE)&amp;$BL$2&amp;#REF!&amp;$BN$2,"")</f>
        <v/>
      </c>
      <c r="BM336" s="1" t="str">
        <f>IFERROR($BM$2&amp;VLOOKUP(C338,'Pay Table'!$M$3:$N$18,2,FALSE)&amp;$BL$2&amp;#REF!&amp;$BN$2,"")</f>
        <v/>
      </c>
      <c r="BN336" s="1" t="str">
        <f>IFERROR($BM$2&amp;VLOOKUP(D338,'Pay Table'!$M$3:$N$18,2,FALSE)&amp;$BL$2&amp;#REF!&amp;$BN$2,"")</f>
        <v/>
      </c>
      <c r="BO336" s="1" t="str">
        <f>IFERROR($BM$2&amp;VLOOKUP(E338,'Pay Table'!$M$3:$N$18,2,FALSE)&amp;$BL$2&amp;#REF!&amp;$BN$2,"")</f>
        <v/>
      </c>
      <c r="BP336" s="27" t="str">
        <f>IFERROR($BM$2&amp;VLOOKUP(F338,'Pay Table'!$M$3:$N$18,2,FALSE)&amp;$BL$2&amp;#REF!&amp;$BN$2,"")</f>
        <v/>
      </c>
    </row>
    <row r="337" spans="64:68" x14ac:dyDescent="0.15">
      <c r="BL337" s="26" t="str">
        <f>IFERROR($BM$2&amp;VLOOKUP(B339,'Pay Table'!$M$3:$N$18,2,FALSE)&amp;$BL$2&amp;#REF!&amp;$BN$2,"")</f>
        <v/>
      </c>
      <c r="BM337" s="1" t="str">
        <f>IFERROR($BM$2&amp;VLOOKUP(C339,'Pay Table'!$M$3:$N$18,2,FALSE)&amp;$BL$2&amp;#REF!&amp;$BN$2,"")</f>
        <v/>
      </c>
      <c r="BN337" s="1" t="str">
        <f>IFERROR($BM$2&amp;VLOOKUP(D339,'Pay Table'!$M$3:$N$18,2,FALSE)&amp;$BL$2&amp;#REF!&amp;$BN$2,"")</f>
        <v/>
      </c>
      <c r="BO337" s="1" t="str">
        <f>IFERROR($BM$2&amp;VLOOKUP(E339,'Pay Table'!$M$3:$N$18,2,FALSE)&amp;$BL$2&amp;#REF!&amp;$BN$2,"")</f>
        <v/>
      </c>
      <c r="BP337" s="27" t="str">
        <f>IFERROR($BM$2&amp;VLOOKUP(F339,'Pay Table'!$M$3:$N$18,2,FALSE)&amp;$BL$2&amp;#REF!&amp;$BN$2,"")</f>
        <v/>
      </c>
    </row>
    <row r="338" spans="64:68" x14ac:dyDescent="0.15">
      <c r="BL338" s="26" t="str">
        <f>IFERROR($BM$2&amp;VLOOKUP(B340,'Pay Table'!$M$3:$N$18,2,FALSE)&amp;$BL$2&amp;#REF!&amp;$BN$2,"")</f>
        <v/>
      </c>
      <c r="BM338" s="1" t="str">
        <f>IFERROR($BM$2&amp;VLOOKUP(C340,'Pay Table'!$M$3:$N$18,2,FALSE)&amp;$BL$2&amp;#REF!&amp;$BN$2,"")</f>
        <v/>
      </c>
      <c r="BN338" s="1" t="str">
        <f>IFERROR($BM$2&amp;VLOOKUP(D340,'Pay Table'!$M$3:$N$18,2,FALSE)&amp;$BL$2&amp;#REF!&amp;$BN$2,"")</f>
        <v/>
      </c>
      <c r="BO338" s="1" t="str">
        <f>IFERROR($BM$2&amp;VLOOKUP(E340,'Pay Table'!$M$3:$N$18,2,FALSE)&amp;$BL$2&amp;#REF!&amp;$BN$2,"")</f>
        <v/>
      </c>
      <c r="BP338" s="27" t="str">
        <f>IFERROR($BM$2&amp;VLOOKUP(F340,'Pay Table'!$M$3:$N$18,2,FALSE)&amp;$BL$2&amp;#REF!&amp;$BN$2,"")</f>
        <v/>
      </c>
    </row>
    <row r="339" spans="64:68" x14ac:dyDescent="0.15">
      <c r="BL339" s="26" t="str">
        <f>IFERROR($BM$2&amp;VLOOKUP(B341,'Pay Table'!$M$3:$N$18,2,FALSE)&amp;$BL$2&amp;#REF!&amp;$BN$2,"")</f>
        <v/>
      </c>
      <c r="BM339" s="1" t="str">
        <f>IFERROR($BM$2&amp;VLOOKUP(C341,'Pay Table'!$M$3:$N$18,2,FALSE)&amp;$BL$2&amp;#REF!&amp;$BN$2,"")</f>
        <v/>
      </c>
      <c r="BN339" s="1" t="str">
        <f>IFERROR($BM$2&amp;VLOOKUP(D341,'Pay Table'!$M$3:$N$18,2,FALSE)&amp;$BL$2&amp;#REF!&amp;$BN$2,"")</f>
        <v/>
      </c>
      <c r="BO339" s="1" t="str">
        <f>IFERROR($BM$2&amp;VLOOKUP(E341,'Pay Table'!$M$3:$N$18,2,FALSE)&amp;$BL$2&amp;#REF!&amp;$BN$2,"")</f>
        <v/>
      </c>
      <c r="BP339" s="27" t="str">
        <f>IFERROR($BM$2&amp;VLOOKUP(F341,'Pay Table'!$M$3:$N$18,2,FALSE)&amp;$BL$2&amp;#REF!&amp;$BN$2,"")</f>
        <v/>
      </c>
    </row>
    <row r="340" spans="64:68" x14ac:dyDescent="0.15">
      <c r="BL340" s="26" t="str">
        <f>IFERROR($BM$2&amp;VLOOKUP(B342,'Pay Table'!$M$3:$N$18,2,FALSE)&amp;$BL$2&amp;#REF!&amp;$BN$2,"")</f>
        <v/>
      </c>
      <c r="BM340" s="1" t="str">
        <f>IFERROR($BM$2&amp;VLOOKUP(C342,'Pay Table'!$M$3:$N$18,2,FALSE)&amp;$BL$2&amp;#REF!&amp;$BN$2,"")</f>
        <v/>
      </c>
      <c r="BN340" s="1" t="str">
        <f>IFERROR($BM$2&amp;VLOOKUP(D342,'Pay Table'!$M$3:$N$18,2,FALSE)&amp;$BL$2&amp;#REF!&amp;$BN$2,"")</f>
        <v/>
      </c>
      <c r="BO340" s="1" t="str">
        <f>IFERROR($BM$2&amp;VLOOKUP(E342,'Pay Table'!$M$3:$N$18,2,FALSE)&amp;$BL$2&amp;#REF!&amp;$BN$2,"")</f>
        <v/>
      </c>
      <c r="BP340" s="27" t="str">
        <f>IFERROR($BM$2&amp;VLOOKUP(F342,'Pay Table'!$M$3:$N$18,2,FALSE)&amp;$BL$2&amp;#REF!&amp;$BN$2,"")</f>
        <v/>
      </c>
    </row>
    <row r="341" spans="64:68" x14ac:dyDescent="0.15">
      <c r="BL341" s="26" t="str">
        <f>IFERROR($BM$2&amp;VLOOKUP(B343,'Pay Table'!$M$3:$N$18,2,FALSE)&amp;$BL$2&amp;#REF!&amp;$BN$2,"")</f>
        <v/>
      </c>
      <c r="BM341" s="1" t="str">
        <f>IFERROR($BM$2&amp;VLOOKUP(C343,'Pay Table'!$M$3:$N$18,2,FALSE)&amp;$BL$2&amp;#REF!&amp;$BN$2,"")</f>
        <v/>
      </c>
      <c r="BN341" s="1" t="str">
        <f>IFERROR($BM$2&amp;VLOOKUP(D343,'Pay Table'!$M$3:$N$18,2,FALSE)&amp;$BL$2&amp;#REF!&amp;$BN$2,"")</f>
        <v/>
      </c>
      <c r="BO341" s="1" t="str">
        <f>IFERROR($BM$2&amp;VLOOKUP(E343,'Pay Table'!$M$3:$N$18,2,FALSE)&amp;$BL$2&amp;#REF!&amp;$BN$2,"")</f>
        <v/>
      </c>
      <c r="BP341" s="27" t="str">
        <f>IFERROR($BM$2&amp;VLOOKUP(F343,'Pay Table'!$M$3:$N$18,2,FALSE)&amp;$BL$2&amp;#REF!&amp;$BN$2,"")</f>
        <v/>
      </c>
    </row>
    <row r="342" spans="64:68" x14ac:dyDescent="0.15">
      <c r="BL342" s="26" t="str">
        <f>IFERROR($BM$2&amp;VLOOKUP(B344,'Pay Table'!$M$3:$N$18,2,FALSE)&amp;$BL$2&amp;#REF!&amp;$BN$2,"")</f>
        <v/>
      </c>
      <c r="BM342" s="1" t="str">
        <f>IFERROR($BM$2&amp;VLOOKUP(C344,'Pay Table'!$M$3:$N$18,2,FALSE)&amp;$BL$2&amp;#REF!&amp;$BN$2,"")</f>
        <v/>
      </c>
      <c r="BN342" s="1" t="str">
        <f>IFERROR($BM$2&amp;VLOOKUP(D344,'Pay Table'!$M$3:$N$18,2,FALSE)&amp;$BL$2&amp;#REF!&amp;$BN$2,"")</f>
        <v/>
      </c>
      <c r="BO342" s="1" t="str">
        <f>IFERROR($BM$2&amp;VLOOKUP(E344,'Pay Table'!$M$3:$N$18,2,FALSE)&amp;$BL$2&amp;#REF!&amp;$BN$2,"")</f>
        <v/>
      </c>
      <c r="BP342" s="27" t="str">
        <f>IFERROR($BM$2&amp;VLOOKUP(F344,'Pay Table'!$M$3:$N$18,2,FALSE)&amp;$BL$2&amp;#REF!&amp;$BN$2,"")</f>
        <v/>
      </c>
    </row>
    <row r="343" spans="64:68" x14ac:dyDescent="0.15">
      <c r="BL343" s="26" t="str">
        <f>IFERROR($BM$2&amp;VLOOKUP(B345,'Pay Table'!$M$3:$N$18,2,FALSE)&amp;$BL$2&amp;#REF!&amp;$BN$2,"")</f>
        <v/>
      </c>
      <c r="BM343" s="1" t="str">
        <f>IFERROR($BM$2&amp;VLOOKUP(C345,'Pay Table'!$M$3:$N$18,2,FALSE)&amp;$BL$2&amp;#REF!&amp;$BN$2,"")</f>
        <v/>
      </c>
      <c r="BN343" s="1" t="str">
        <f>IFERROR($BM$2&amp;VLOOKUP(D345,'Pay Table'!$M$3:$N$18,2,FALSE)&amp;$BL$2&amp;#REF!&amp;$BN$2,"")</f>
        <v/>
      </c>
      <c r="BO343" s="1" t="str">
        <f>IFERROR($BM$2&amp;VLOOKUP(E345,'Pay Table'!$M$3:$N$18,2,FALSE)&amp;$BL$2&amp;#REF!&amp;$BN$2,"")</f>
        <v/>
      </c>
      <c r="BP343" s="27" t="str">
        <f>IFERROR($BM$2&amp;VLOOKUP(F345,'Pay Table'!$M$3:$N$18,2,FALSE)&amp;$BL$2&amp;#REF!&amp;$BN$2,"")</f>
        <v/>
      </c>
    </row>
    <row r="344" spans="64:68" x14ac:dyDescent="0.15">
      <c r="BL344" s="26" t="str">
        <f>IFERROR($BM$2&amp;VLOOKUP(B346,'Pay Table'!$M$3:$N$18,2,FALSE)&amp;$BL$2&amp;#REF!&amp;$BN$2,"")</f>
        <v/>
      </c>
      <c r="BM344" s="1" t="str">
        <f>IFERROR($BM$2&amp;VLOOKUP(C346,'Pay Table'!$M$3:$N$18,2,FALSE)&amp;$BL$2&amp;#REF!&amp;$BN$2,"")</f>
        <v/>
      </c>
      <c r="BN344" s="1" t="str">
        <f>IFERROR($BM$2&amp;VLOOKUP(D346,'Pay Table'!$M$3:$N$18,2,FALSE)&amp;$BL$2&amp;#REF!&amp;$BN$2,"")</f>
        <v/>
      </c>
      <c r="BO344" s="1" t="str">
        <f>IFERROR($BM$2&amp;VLOOKUP(E346,'Pay Table'!$M$3:$N$18,2,FALSE)&amp;$BL$2&amp;#REF!&amp;$BN$2,"")</f>
        <v/>
      </c>
      <c r="BP344" s="27" t="str">
        <f>IFERROR($BM$2&amp;VLOOKUP(F346,'Pay Table'!$M$3:$N$18,2,FALSE)&amp;$BL$2&amp;#REF!&amp;$BN$2,"")</f>
        <v/>
      </c>
    </row>
    <row r="345" spans="64:68" x14ac:dyDescent="0.15">
      <c r="BL345" s="26" t="str">
        <f>IFERROR($BM$2&amp;VLOOKUP(B347,'Pay Table'!$M$3:$N$18,2,FALSE)&amp;$BL$2&amp;#REF!&amp;$BN$2,"")</f>
        <v/>
      </c>
      <c r="BM345" s="1" t="str">
        <f>IFERROR($BM$2&amp;VLOOKUP(C347,'Pay Table'!$M$3:$N$18,2,FALSE)&amp;$BL$2&amp;#REF!&amp;$BN$2,"")</f>
        <v/>
      </c>
      <c r="BN345" s="1" t="str">
        <f>IFERROR($BM$2&amp;VLOOKUP(D347,'Pay Table'!$M$3:$N$18,2,FALSE)&amp;$BL$2&amp;#REF!&amp;$BN$2,"")</f>
        <v/>
      </c>
      <c r="BO345" s="1" t="str">
        <f>IFERROR($BM$2&amp;VLOOKUP(E347,'Pay Table'!$M$3:$N$18,2,FALSE)&amp;$BL$2&amp;#REF!&amp;$BN$2,"")</f>
        <v/>
      </c>
      <c r="BP345" s="27" t="str">
        <f>IFERROR($BM$2&amp;VLOOKUP(F347,'Pay Table'!$M$3:$N$18,2,FALSE)&amp;$BL$2&amp;#REF!&amp;$BN$2,"")</f>
        <v/>
      </c>
    </row>
    <row r="346" spans="64:68" x14ac:dyDescent="0.15">
      <c r="BL346" s="26" t="str">
        <f>IFERROR($BM$2&amp;VLOOKUP(B348,'Pay Table'!$M$3:$N$18,2,FALSE)&amp;$BL$2&amp;#REF!&amp;$BN$2,"")</f>
        <v/>
      </c>
      <c r="BM346" s="1" t="str">
        <f>IFERROR($BM$2&amp;VLOOKUP(C348,'Pay Table'!$M$3:$N$18,2,FALSE)&amp;$BL$2&amp;#REF!&amp;$BN$2,"")</f>
        <v/>
      </c>
      <c r="BN346" s="1" t="str">
        <f>IFERROR($BM$2&amp;VLOOKUP(D348,'Pay Table'!$M$3:$N$18,2,FALSE)&amp;$BL$2&amp;#REF!&amp;$BN$2,"")</f>
        <v/>
      </c>
      <c r="BO346" s="1" t="str">
        <f>IFERROR($BM$2&amp;VLOOKUP(E348,'Pay Table'!$M$3:$N$18,2,FALSE)&amp;$BL$2&amp;#REF!&amp;$BN$2,"")</f>
        <v/>
      </c>
      <c r="BP346" s="27" t="str">
        <f>IFERROR($BM$2&amp;VLOOKUP(F348,'Pay Table'!$M$3:$N$18,2,FALSE)&amp;$BL$2&amp;#REF!&amp;$BN$2,"")</f>
        <v/>
      </c>
    </row>
    <row r="347" spans="64:68" x14ac:dyDescent="0.15">
      <c r="BL347" s="26" t="str">
        <f>IFERROR($BM$2&amp;VLOOKUP(B349,'Pay Table'!$M$3:$N$18,2,FALSE)&amp;$BL$2&amp;#REF!&amp;$BN$2,"")</f>
        <v/>
      </c>
      <c r="BM347" s="1" t="str">
        <f>IFERROR($BM$2&amp;VLOOKUP(C349,'Pay Table'!$M$3:$N$18,2,FALSE)&amp;$BL$2&amp;#REF!&amp;$BN$2,"")</f>
        <v/>
      </c>
      <c r="BN347" s="1" t="str">
        <f>IFERROR($BM$2&amp;VLOOKUP(D349,'Pay Table'!$M$3:$N$18,2,FALSE)&amp;$BL$2&amp;#REF!&amp;$BN$2,"")</f>
        <v/>
      </c>
      <c r="BO347" s="1" t="str">
        <f>IFERROR($BM$2&amp;VLOOKUP(E349,'Pay Table'!$M$3:$N$18,2,FALSE)&amp;$BL$2&amp;#REF!&amp;$BN$2,"")</f>
        <v/>
      </c>
      <c r="BP347" s="27" t="str">
        <f>IFERROR($BM$2&amp;VLOOKUP(F349,'Pay Table'!$M$3:$N$18,2,FALSE)&amp;$BL$2&amp;#REF!&amp;$BN$2,"")</f>
        <v/>
      </c>
    </row>
    <row r="348" spans="64:68" x14ac:dyDescent="0.15">
      <c r="BL348" s="26" t="str">
        <f>IFERROR($BM$2&amp;VLOOKUP(B350,'Pay Table'!$M$3:$N$18,2,FALSE)&amp;$BL$2&amp;#REF!&amp;$BN$2,"")</f>
        <v/>
      </c>
      <c r="BM348" s="1" t="str">
        <f>IFERROR($BM$2&amp;VLOOKUP(C350,'Pay Table'!$M$3:$N$18,2,FALSE)&amp;$BL$2&amp;#REF!&amp;$BN$2,"")</f>
        <v/>
      </c>
      <c r="BN348" s="1" t="str">
        <f>IFERROR($BM$2&amp;VLOOKUP(D350,'Pay Table'!$M$3:$N$18,2,FALSE)&amp;$BL$2&amp;#REF!&amp;$BN$2,"")</f>
        <v/>
      </c>
      <c r="BO348" s="1" t="str">
        <f>IFERROR($BM$2&amp;VLOOKUP(E350,'Pay Table'!$M$3:$N$18,2,FALSE)&amp;$BL$2&amp;#REF!&amp;$BN$2,"")</f>
        <v/>
      </c>
      <c r="BP348" s="27" t="str">
        <f>IFERROR($BM$2&amp;VLOOKUP(F350,'Pay Table'!$M$3:$N$18,2,FALSE)&amp;$BL$2&amp;#REF!&amp;$BN$2,"")</f>
        <v/>
      </c>
    </row>
    <row r="349" spans="64:68" x14ac:dyDescent="0.15">
      <c r="BL349" s="26" t="str">
        <f>IFERROR($BM$2&amp;VLOOKUP(B351,'Pay Table'!$M$3:$N$18,2,FALSE)&amp;$BL$2&amp;#REF!&amp;$BN$2,"")</f>
        <v/>
      </c>
      <c r="BM349" s="1" t="str">
        <f>IFERROR($BM$2&amp;VLOOKUP(C351,'Pay Table'!$M$3:$N$18,2,FALSE)&amp;$BL$2&amp;#REF!&amp;$BN$2,"")</f>
        <v/>
      </c>
      <c r="BN349" s="1" t="str">
        <f>IFERROR($BM$2&amp;VLOOKUP(D351,'Pay Table'!$M$3:$N$18,2,FALSE)&amp;$BL$2&amp;#REF!&amp;$BN$2,"")</f>
        <v/>
      </c>
      <c r="BO349" s="1" t="str">
        <f>IFERROR($BM$2&amp;VLOOKUP(E351,'Pay Table'!$M$3:$N$18,2,FALSE)&amp;$BL$2&amp;#REF!&amp;$BN$2,"")</f>
        <v/>
      </c>
      <c r="BP349" s="27" t="str">
        <f>IFERROR($BM$2&amp;VLOOKUP(F351,'Pay Table'!$M$3:$N$18,2,FALSE)&amp;$BL$2&amp;#REF!&amp;$BN$2,"")</f>
        <v/>
      </c>
    </row>
    <row r="350" spans="64:68" x14ac:dyDescent="0.15">
      <c r="BL350" s="26" t="str">
        <f>IFERROR($BM$2&amp;VLOOKUP(B352,'Pay Table'!$M$3:$N$18,2,FALSE)&amp;$BL$2&amp;#REF!&amp;$BN$2,"")</f>
        <v/>
      </c>
      <c r="BM350" s="1" t="str">
        <f>IFERROR($BM$2&amp;VLOOKUP(C352,'Pay Table'!$M$3:$N$18,2,FALSE)&amp;$BL$2&amp;#REF!&amp;$BN$2,"")</f>
        <v/>
      </c>
      <c r="BN350" s="1" t="str">
        <f>IFERROR($BM$2&amp;VLOOKUP(D352,'Pay Table'!$M$3:$N$18,2,FALSE)&amp;$BL$2&amp;#REF!&amp;$BN$2,"")</f>
        <v/>
      </c>
      <c r="BO350" s="1" t="str">
        <f>IFERROR($BM$2&amp;VLOOKUP(E352,'Pay Table'!$M$3:$N$18,2,FALSE)&amp;$BL$2&amp;#REF!&amp;$BN$2,"")</f>
        <v/>
      </c>
      <c r="BP350" s="27" t="str">
        <f>IFERROR($BM$2&amp;VLOOKUP(F352,'Pay Table'!$M$3:$N$18,2,FALSE)&amp;$BL$2&amp;#REF!&amp;$BN$2,"")</f>
        <v/>
      </c>
    </row>
    <row r="351" spans="64:68" x14ac:dyDescent="0.15">
      <c r="BL351" s="26" t="str">
        <f>IFERROR($BM$2&amp;VLOOKUP(B353,'Pay Table'!$M$3:$N$18,2,FALSE)&amp;$BL$2&amp;#REF!&amp;$BN$2,"")</f>
        <v/>
      </c>
      <c r="BM351" s="1" t="str">
        <f>IFERROR($BM$2&amp;VLOOKUP(C353,'Pay Table'!$M$3:$N$18,2,FALSE)&amp;$BL$2&amp;#REF!&amp;$BN$2,"")</f>
        <v/>
      </c>
      <c r="BN351" s="1" t="str">
        <f>IFERROR($BM$2&amp;VLOOKUP(D353,'Pay Table'!$M$3:$N$18,2,FALSE)&amp;$BL$2&amp;#REF!&amp;$BN$2,"")</f>
        <v/>
      </c>
      <c r="BO351" s="1" t="str">
        <f>IFERROR($BM$2&amp;VLOOKUP(E353,'Pay Table'!$M$3:$N$18,2,FALSE)&amp;$BL$2&amp;#REF!&amp;$BN$2,"")</f>
        <v/>
      </c>
      <c r="BP351" s="27" t="str">
        <f>IFERROR($BM$2&amp;VLOOKUP(F353,'Pay Table'!$M$3:$N$18,2,FALSE)&amp;$BL$2&amp;#REF!&amp;$BN$2,"")</f>
        <v/>
      </c>
    </row>
    <row r="352" spans="64:68" x14ac:dyDescent="0.15">
      <c r="BL352" s="26" t="str">
        <f>IFERROR($BM$2&amp;VLOOKUP(B354,'Pay Table'!$M$3:$N$18,2,FALSE)&amp;$BL$2&amp;#REF!&amp;$BN$2,"")</f>
        <v/>
      </c>
      <c r="BM352" s="1" t="str">
        <f>IFERROR($BM$2&amp;VLOOKUP(C354,'Pay Table'!$M$3:$N$18,2,FALSE)&amp;$BL$2&amp;#REF!&amp;$BN$2,"")</f>
        <v/>
      </c>
      <c r="BN352" s="1" t="str">
        <f>IFERROR($BM$2&amp;VLOOKUP(D354,'Pay Table'!$M$3:$N$18,2,FALSE)&amp;$BL$2&amp;#REF!&amp;$BN$2,"")</f>
        <v/>
      </c>
      <c r="BO352" s="1" t="str">
        <f>IFERROR($BM$2&amp;VLOOKUP(E354,'Pay Table'!$M$3:$N$18,2,FALSE)&amp;$BL$2&amp;#REF!&amp;$BN$2,"")</f>
        <v/>
      </c>
      <c r="BP352" s="27" t="str">
        <f>IFERROR($BM$2&amp;VLOOKUP(F354,'Pay Table'!$M$3:$N$18,2,FALSE)&amp;$BL$2&amp;#REF!&amp;$BN$2,"")</f>
        <v/>
      </c>
    </row>
    <row r="353" spans="64:68" x14ac:dyDescent="0.15">
      <c r="BL353" s="26" t="str">
        <f>IFERROR($BM$2&amp;VLOOKUP(B355,'Pay Table'!$M$3:$N$18,2,FALSE)&amp;$BL$2&amp;#REF!&amp;$BN$2,"")</f>
        <v/>
      </c>
      <c r="BM353" s="1" t="str">
        <f>IFERROR($BM$2&amp;VLOOKUP(C355,'Pay Table'!$M$3:$N$18,2,FALSE)&amp;$BL$2&amp;#REF!&amp;$BN$2,"")</f>
        <v/>
      </c>
      <c r="BN353" s="1" t="str">
        <f>IFERROR($BM$2&amp;VLOOKUP(D355,'Pay Table'!$M$3:$N$18,2,FALSE)&amp;$BL$2&amp;#REF!&amp;$BN$2,"")</f>
        <v/>
      </c>
      <c r="BO353" s="1" t="str">
        <f>IFERROR($BM$2&amp;VLOOKUP(E355,'Pay Table'!$M$3:$N$18,2,FALSE)&amp;$BL$2&amp;#REF!&amp;$BN$2,"")</f>
        <v/>
      </c>
      <c r="BP353" s="27" t="str">
        <f>IFERROR($BM$2&amp;VLOOKUP(F355,'Pay Table'!$M$3:$N$18,2,FALSE)&amp;$BL$2&amp;#REF!&amp;$BN$2,"")</f>
        <v/>
      </c>
    </row>
    <row r="354" spans="64:68" x14ac:dyDescent="0.15">
      <c r="BL354" s="26" t="str">
        <f>IFERROR($BM$2&amp;VLOOKUP(B356,'Pay Table'!$M$3:$N$18,2,FALSE)&amp;$BL$2&amp;#REF!&amp;$BN$2,"")</f>
        <v/>
      </c>
      <c r="BM354" s="1" t="str">
        <f>IFERROR($BM$2&amp;VLOOKUP(C356,'Pay Table'!$M$3:$N$18,2,FALSE)&amp;$BL$2&amp;#REF!&amp;$BN$2,"")</f>
        <v/>
      </c>
      <c r="BN354" s="1" t="str">
        <f>IFERROR($BM$2&amp;VLOOKUP(D356,'Pay Table'!$M$3:$N$18,2,FALSE)&amp;$BL$2&amp;#REF!&amp;$BN$2,"")</f>
        <v/>
      </c>
      <c r="BO354" s="1" t="str">
        <f>IFERROR($BM$2&amp;VLOOKUP(E356,'Pay Table'!$M$3:$N$18,2,FALSE)&amp;$BL$2&amp;#REF!&amp;$BN$2,"")</f>
        <v/>
      </c>
      <c r="BP354" s="27" t="str">
        <f>IFERROR($BM$2&amp;VLOOKUP(F356,'Pay Table'!$M$3:$N$18,2,FALSE)&amp;$BL$2&amp;#REF!&amp;$BN$2,"")</f>
        <v/>
      </c>
    </row>
    <row r="355" spans="64:68" x14ac:dyDescent="0.15">
      <c r="BL355" s="26" t="str">
        <f>IFERROR($BM$2&amp;VLOOKUP(B357,'Pay Table'!$M$3:$N$18,2,FALSE)&amp;$BL$2&amp;#REF!&amp;$BN$2,"")</f>
        <v/>
      </c>
      <c r="BM355" s="1" t="str">
        <f>IFERROR($BM$2&amp;VLOOKUP(C357,'Pay Table'!$M$3:$N$18,2,FALSE)&amp;$BL$2&amp;#REF!&amp;$BN$2,"")</f>
        <v/>
      </c>
      <c r="BN355" s="1" t="str">
        <f>IFERROR($BM$2&amp;VLOOKUP(D357,'Pay Table'!$M$3:$N$18,2,FALSE)&amp;$BL$2&amp;#REF!&amp;$BN$2,"")</f>
        <v/>
      </c>
      <c r="BO355" s="1" t="str">
        <f>IFERROR($BM$2&amp;VLOOKUP(E357,'Pay Table'!$M$3:$N$18,2,FALSE)&amp;$BL$2&amp;#REF!&amp;$BN$2,"")</f>
        <v/>
      </c>
      <c r="BP355" s="27" t="str">
        <f>IFERROR($BM$2&amp;VLOOKUP(F357,'Pay Table'!$M$3:$N$18,2,FALSE)&amp;$BL$2&amp;#REF!&amp;$BN$2,"")</f>
        <v/>
      </c>
    </row>
    <row r="356" spans="64:68" x14ac:dyDescent="0.15">
      <c r="BL356" s="26" t="str">
        <f>IFERROR($BM$2&amp;VLOOKUP(B358,'Pay Table'!$M$3:$N$18,2,FALSE)&amp;$BL$2&amp;#REF!&amp;$BN$2,"")</f>
        <v/>
      </c>
      <c r="BM356" s="1" t="str">
        <f>IFERROR($BM$2&amp;VLOOKUP(C358,'Pay Table'!$M$3:$N$18,2,FALSE)&amp;$BL$2&amp;#REF!&amp;$BN$2,"")</f>
        <v/>
      </c>
      <c r="BN356" s="1" t="str">
        <f>IFERROR($BM$2&amp;VLOOKUP(D358,'Pay Table'!$M$3:$N$18,2,FALSE)&amp;$BL$2&amp;#REF!&amp;$BN$2,"")</f>
        <v/>
      </c>
      <c r="BO356" s="1" t="str">
        <f>IFERROR($BM$2&amp;VLOOKUP(E358,'Pay Table'!$M$3:$N$18,2,FALSE)&amp;$BL$2&amp;#REF!&amp;$BN$2,"")</f>
        <v/>
      </c>
      <c r="BP356" s="27" t="str">
        <f>IFERROR($BM$2&amp;VLOOKUP(F358,'Pay Table'!$M$3:$N$18,2,FALSE)&amp;$BL$2&amp;#REF!&amp;$BN$2,"")</f>
        <v/>
      </c>
    </row>
    <row r="357" spans="64:68" x14ac:dyDescent="0.15">
      <c r="BL357" s="26" t="str">
        <f>IFERROR($BM$2&amp;VLOOKUP(B359,'Pay Table'!$M$3:$N$18,2,FALSE)&amp;$BL$2&amp;#REF!&amp;$BN$2,"")</f>
        <v/>
      </c>
      <c r="BM357" s="1" t="str">
        <f>IFERROR($BM$2&amp;VLOOKUP(C359,'Pay Table'!$M$3:$N$18,2,FALSE)&amp;$BL$2&amp;#REF!&amp;$BN$2,"")</f>
        <v/>
      </c>
      <c r="BN357" s="1" t="str">
        <f>IFERROR($BM$2&amp;VLOOKUP(D359,'Pay Table'!$M$3:$N$18,2,FALSE)&amp;$BL$2&amp;#REF!&amp;$BN$2,"")</f>
        <v/>
      </c>
      <c r="BO357" s="1" t="str">
        <f>IFERROR($BM$2&amp;VLOOKUP(E359,'Pay Table'!$M$3:$N$18,2,FALSE)&amp;$BL$2&amp;#REF!&amp;$BN$2,"")</f>
        <v/>
      </c>
      <c r="BP357" s="27" t="str">
        <f>IFERROR($BM$2&amp;VLOOKUP(F359,'Pay Table'!$M$3:$N$18,2,FALSE)&amp;$BL$2&amp;#REF!&amp;$BN$2,"")</f>
        <v/>
      </c>
    </row>
    <row r="358" spans="64:68" x14ac:dyDescent="0.15">
      <c r="BL358" s="26" t="str">
        <f>IFERROR($BM$2&amp;VLOOKUP(B360,'Pay Table'!$M$3:$N$18,2,FALSE)&amp;$BL$2&amp;#REF!&amp;$BN$2,"")</f>
        <v/>
      </c>
      <c r="BM358" s="1" t="str">
        <f>IFERROR($BM$2&amp;VLOOKUP(C360,'Pay Table'!$M$3:$N$18,2,FALSE)&amp;$BL$2&amp;#REF!&amp;$BN$2,"")</f>
        <v/>
      </c>
      <c r="BN358" s="1" t="str">
        <f>IFERROR($BM$2&amp;VLOOKUP(D360,'Pay Table'!$M$3:$N$18,2,FALSE)&amp;$BL$2&amp;#REF!&amp;$BN$2,"")</f>
        <v/>
      </c>
      <c r="BO358" s="1" t="str">
        <f>IFERROR($BM$2&amp;VLOOKUP(E360,'Pay Table'!$M$3:$N$18,2,FALSE)&amp;$BL$2&amp;#REF!&amp;$BN$2,"")</f>
        <v/>
      </c>
      <c r="BP358" s="27" t="str">
        <f>IFERROR($BM$2&amp;VLOOKUP(F360,'Pay Table'!$M$3:$N$18,2,FALSE)&amp;$BL$2&amp;#REF!&amp;$BN$2,"")</f>
        <v/>
      </c>
    </row>
    <row r="359" spans="64:68" x14ac:dyDescent="0.15">
      <c r="BL359" s="26" t="str">
        <f>IFERROR($BM$2&amp;VLOOKUP(B361,'Pay Table'!$M$3:$N$18,2,FALSE)&amp;$BL$2&amp;#REF!&amp;$BN$2,"")</f>
        <v/>
      </c>
      <c r="BM359" s="1" t="str">
        <f>IFERROR($BM$2&amp;VLOOKUP(C361,'Pay Table'!$M$3:$N$18,2,FALSE)&amp;$BL$2&amp;#REF!&amp;$BN$2,"")</f>
        <v/>
      </c>
      <c r="BN359" s="1" t="str">
        <f>IFERROR($BM$2&amp;VLOOKUP(D361,'Pay Table'!$M$3:$N$18,2,FALSE)&amp;$BL$2&amp;#REF!&amp;$BN$2,"")</f>
        <v/>
      </c>
      <c r="BO359" s="1" t="str">
        <f>IFERROR($BM$2&amp;VLOOKUP(E361,'Pay Table'!$M$3:$N$18,2,FALSE)&amp;$BL$2&amp;#REF!&amp;$BN$2,"")</f>
        <v/>
      </c>
      <c r="BP359" s="27" t="str">
        <f>IFERROR($BM$2&amp;VLOOKUP(F361,'Pay Table'!$M$3:$N$18,2,FALSE)&amp;$BL$2&amp;#REF!&amp;$BN$2,"")</f>
        <v/>
      </c>
    </row>
    <row r="360" spans="64:68" x14ac:dyDescent="0.15">
      <c r="BL360" s="26" t="str">
        <f>IFERROR($BM$2&amp;VLOOKUP(B362,'Pay Table'!$M$3:$N$18,2,FALSE)&amp;$BL$2&amp;#REF!&amp;$BN$2,"")</f>
        <v/>
      </c>
      <c r="BM360" s="1" t="str">
        <f>IFERROR($BM$2&amp;VLOOKUP(C362,'Pay Table'!$M$3:$N$18,2,FALSE)&amp;$BL$2&amp;#REF!&amp;$BN$2,"")</f>
        <v/>
      </c>
      <c r="BN360" s="1" t="str">
        <f>IFERROR($BM$2&amp;VLOOKUP(D362,'Pay Table'!$M$3:$N$18,2,FALSE)&amp;$BL$2&amp;#REF!&amp;$BN$2,"")</f>
        <v/>
      </c>
      <c r="BO360" s="1" t="str">
        <f>IFERROR($BM$2&amp;VLOOKUP(E362,'Pay Table'!$M$3:$N$18,2,FALSE)&amp;$BL$2&amp;#REF!&amp;$BN$2,"")</f>
        <v/>
      </c>
      <c r="BP360" s="27" t="str">
        <f>IFERROR($BM$2&amp;VLOOKUP(F362,'Pay Table'!$M$3:$N$18,2,FALSE)&amp;$BL$2&amp;#REF!&amp;$BN$2,"")</f>
        <v/>
      </c>
    </row>
    <row r="361" spans="64:68" x14ac:dyDescent="0.15">
      <c r="BL361" s="26" t="str">
        <f>IFERROR($BM$2&amp;VLOOKUP(B363,'Pay Table'!$M$3:$N$18,2,FALSE)&amp;$BL$2&amp;#REF!&amp;$BN$2,"")</f>
        <v/>
      </c>
      <c r="BM361" s="1" t="str">
        <f>IFERROR($BM$2&amp;VLOOKUP(C363,'Pay Table'!$M$3:$N$18,2,FALSE)&amp;$BL$2&amp;#REF!&amp;$BN$2,"")</f>
        <v/>
      </c>
      <c r="BN361" s="1" t="str">
        <f>IFERROR($BM$2&amp;VLOOKUP(D363,'Pay Table'!$M$3:$N$18,2,FALSE)&amp;$BL$2&amp;#REF!&amp;$BN$2,"")</f>
        <v/>
      </c>
      <c r="BO361" s="1" t="str">
        <f>IFERROR($BM$2&amp;VLOOKUP(E363,'Pay Table'!$M$3:$N$18,2,FALSE)&amp;$BL$2&amp;#REF!&amp;$BN$2,"")</f>
        <v/>
      </c>
      <c r="BP361" s="27" t="str">
        <f>IFERROR($BM$2&amp;VLOOKUP(F363,'Pay Table'!$M$3:$N$18,2,FALSE)&amp;$BL$2&amp;#REF!&amp;$BN$2,"")</f>
        <v/>
      </c>
    </row>
    <row r="362" spans="64:68" x14ac:dyDescent="0.15">
      <c r="BL362" s="26" t="str">
        <f>IFERROR($BM$2&amp;VLOOKUP(B364,'Pay Table'!$M$3:$N$18,2,FALSE)&amp;$BL$2&amp;#REF!&amp;$BN$2,"")</f>
        <v/>
      </c>
      <c r="BM362" s="1" t="str">
        <f>IFERROR($BM$2&amp;VLOOKUP(C364,'Pay Table'!$M$3:$N$18,2,FALSE)&amp;$BL$2&amp;#REF!&amp;$BN$2,"")</f>
        <v/>
      </c>
      <c r="BN362" s="1" t="str">
        <f>IFERROR($BM$2&amp;VLOOKUP(D364,'Pay Table'!$M$3:$N$18,2,FALSE)&amp;$BL$2&amp;#REF!&amp;$BN$2,"")</f>
        <v/>
      </c>
      <c r="BO362" s="1" t="str">
        <f>IFERROR($BM$2&amp;VLOOKUP(E364,'Pay Table'!$M$3:$N$18,2,FALSE)&amp;$BL$2&amp;#REF!&amp;$BN$2,"")</f>
        <v/>
      </c>
      <c r="BP362" s="27" t="str">
        <f>IFERROR($BM$2&amp;VLOOKUP(F364,'Pay Table'!$M$3:$N$18,2,FALSE)&amp;$BL$2&amp;#REF!&amp;$BN$2,"")</f>
        <v/>
      </c>
    </row>
    <row r="363" spans="64:68" x14ac:dyDescent="0.15">
      <c r="BL363" s="26" t="str">
        <f>IFERROR($BM$2&amp;VLOOKUP(B365,'Pay Table'!$M$3:$N$18,2,FALSE)&amp;$BL$2&amp;#REF!&amp;$BN$2,"")</f>
        <v/>
      </c>
      <c r="BM363" s="1" t="str">
        <f>IFERROR($BM$2&amp;VLOOKUP(C365,'Pay Table'!$M$3:$N$18,2,FALSE)&amp;$BL$2&amp;#REF!&amp;$BN$2,"")</f>
        <v/>
      </c>
      <c r="BN363" s="1" t="str">
        <f>IFERROR($BM$2&amp;VLOOKUP(D365,'Pay Table'!$M$3:$N$18,2,FALSE)&amp;$BL$2&amp;#REF!&amp;$BN$2,"")</f>
        <v/>
      </c>
      <c r="BO363" s="1" t="str">
        <f>IFERROR($BM$2&amp;VLOOKUP(E365,'Pay Table'!$M$3:$N$18,2,FALSE)&amp;$BL$2&amp;#REF!&amp;$BN$2,"")</f>
        <v/>
      </c>
      <c r="BP363" s="27" t="str">
        <f>IFERROR($BM$2&amp;VLOOKUP(F365,'Pay Table'!$M$3:$N$18,2,FALSE)&amp;$BL$2&amp;#REF!&amp;$BN$2,"")</f>
        <v/>
      </c>
    </row>
    <row r="364" spans="64:68" x14ac:dyDescent="0.15">
      <c r="BL364" s="26" t="str">
        <f>IFERROR($BM$2&amp;VLOOKUP(B366,'Pay Table'!$M$3:$N$18,2,FALSE)&amp;$BL$2&amp;#REF!&amp;$BN$2,"")</f>
        <v/>
      </c>
      <c r="BM364" s="1" t="str">
        <f>IFERROR($BM$2&amp;VLOOKUP(C366,'Pay Table'!$M$3:$N$18,2,FALSE)&amp;$BL$2&amp;#REF!&amp;$BN$2,"")</f>
        <v/>
      </c>
      <c r="BN364" s="1" t="str">
        <f>IFERROR($BM$2&amp;VLOOKUP(D366,'Pay Table'!$M$3:$N$18,2,FALSE)&amp;$BL$2&amp;#REF!&amp;$BN$2,"")</f>
        <v/>
      </c>
      <c r="BO364" s="1" t="str">
        <f>IFERROR($BM$2&amp;VLOOKUP(E366,'Pay Table'!$M$3:$N$18,2,FALSE)&amp;$BL$2&amp;#REF!&amp;$BN$2,"")</f>
        <v/>
      </c>
      <c r="BP364" s="27" t="str">
        <f>IFERROR($BM$2&amp;VLOOKUP(F366,'Pay Table'!$M$3:$N$18,2,FALSE)&amp;$BL$2&amp;#REF!&amp;$BN$2,"")</f>
        <v/>
      </c>
    </row>
    <row r="365" spans="64:68" x14ac:dyDescent="0.15">
      <c r="BL365" s="26" t="str">
        <f>IFERROR($BM$2&amp;VLOOKUP(B367,'Pay Table'!$M$3:$N$18,2,FALSE)&amp;$BL$2&amp;#REF!&amp;$BN$2,"")</f>
        <v/>
      </c>
      <c r="BM365" s="1" t="str">
        <f>IFERROR($BM$2&amp;VLOOKUP(C367,'Pay Table'!$M$3:$N$18,2,FALSE)&amp;$BL$2&amp;#REF!&amp;$BN$2,"")</f>
        <v/>
      </c>
      <c r="BN365" s="1" t="str">
        <f>IFERROR($BM$2&amp;VLOOKUP(D367,'Pay Table'!$M$3:$N$18,2,FALSE)&amp;$BL$2&amp;#REF!&amp;$BN$2,"")</f>
        <v/>
      </c>
      <c r="BO365" s="1" t="str">
        <f>IFERROR($BM$2&amp;VLOOKUP(E367,'Pay Table'!$M$3:$N$18,2,FALSE)&amp;$BL$2&amp;#REF!&amp;$BN$2,"")</f>
        <v/>
      </c>
      <c r="BP365" s="27" t="str">
        <f>IFERROR($BM$2&amp;VLOOKUP(F367,'Pay Table'!$M$3:$N$18,2,FALSE)&amp;$BL$2&amp;#REF!&amp;$BN$2,"")</f>
        <v/>
      </c>
    </row>
    <row r="366" spans="64:68" x14ac:dyDescent="0.15">
      <c r="BL366" s="26" t="str">
        <f>IFERROR($BM$2&amp;VLOOKUP(B368,'Pay Table'!$M$3:$N$18,2,FALSE)&amp;$BL$2&amp;#REF!&amp;$BN$2,"")</f>
        <v/>
      </c>
      <c r="BM366" s="1" t="str">
        <f>IFERROR($BM$2&amp;VLOOKUP(C368,'Pay Table'!$M$3:$N$18,2,FALSE)&amp;$BL$2&amp;#REF!&amp;$BN$2,"")</f>
        <v/>
      </c>
      <c r="BN366" s="1" t="str">
        <f>IFERROR($BM$2&amp;VLOOKUP(D368,'Pay Table'!$M$3:$N$18,2,FALSE)&amp;$BL$2&amp;#REF!&amp;$BN$2,"")</f>
        <v/>
      </c>
      <c r="BO366" s="1" t="str">
        <f>IFERROR($BM$2&amp;VLOOKUP(E368,'Pay Table'!$M$3:$N$18,2,FALSE)&amp;$BL$2&amp;#REF!&amp;$BN$2,"")</f>
        <v/>
      </c>
      <c r="BP366" s="27" t="str">
        <f>IFERROR($BM$2&amp;VLOOKUP(F368,'Pay Table'!$M$3:$N$18,2,FALSE)&amp;$BL$2&amp;#REF!&amp;$BN$2,"")</f>
        <v/>
      </c>
    </row>
    <row r="367" spans="64:68" x14ac:dyDescent="0.15">
      <c r="BL367" s="26" t="str">
        <f>IFERROR($BM$2&amp;VLOOKUP(B369,'Pay Table'!$M$3:$N$18,2,FALSE)&amp;$BL$2&amp;#REF!&amp;$BN$2,"")</f>
        <v/>
      </c>
      <c r="BM367" s="1" t="str">
        <f>IFERROR($BM$2&amp;VLOOKUP(C369,'Pay Table'!$M$3:$N$18,2,FALSE)&amp;$BL$2&amp;#REF!&amp;$BN$2,"")</f>
        <v/>
      </c>
      <c r="BN367" s="1" t="str">
        <f>IFERROR($BM$2&amp;VLOOKUP(D369,'Pay Table'!$M$3:$N$18,2,FALSE)&amp;$BL$2&amp;#REF!&amp;$BN$2,"")</f>
        <v/>
      </c>
      <c r="BO367" s="1" t="str">
        <f>IFERROR($BM$2&amp;VLOOKUP(E369,'Pay Table'!$M$3:$N$18,2,FALSE)&amp;$BL$2&amp;#REF!&amp;$BN$2,"")</f>
        <v/>
      </c>
      <c r="BP367" s="27" t="str">
        <f>IFERROR($BM$2&amp;VLOOKUP(F369,'Pay Table'!$M$3:$N$18,2,FALSE)&amp;$BL$2&amp;#REF!&amp;$BN$2,"")</f>
        <v/>
      </c>
    </row>
    <row r="368" spans="64:68" x14ac:dyDescent="0.15">
      <c r="BL368" s="26" t="str">
        <f>IFERROR($BM$2&amp;VLOOKUP(B370,'Pay Table'!$M$3:$N$18,2,FALSE)&amp;$BL$2&amp;#REF!&amp;$BN$2,"")</f>
        <v/>
      </c>
      <c r="BM368" s="1" t="str">
        <f>IFERROR($BM$2&amp;VLOOKUP(C370,'Pay Table'!$M$3:$N$18,2,FALSE)&amp;$BL$2&amp;#REF!&amp;$BN$2,"")</f>
        <v/>
      </c>
      <c r="BN368" s="1" t="str">
        <f>IFERROR($BM$2&amp;VLOOKUP(D370,'Pay Table'!$M$3:$N$18,2,FALSE)&amp;$BL$2&amp;#REF!&amp;$BN$2,"")</f>
        <v/>
      </c>
      <c r="BO368" s="1" t="str">
        <f>IFERROR($BM$2&amp;VLOOKUP(E370,'Pay Table'!$M$3:$N$18,2,FALSE)&amp;$BL$2&amp;#REF!&amp;$BN$2,"")</f>
        <v/>
      </c>
      <c r="BP368" s="27" t="str">
        <f>IFERROR($BM$2&amp;VLOOKUP(F370,'Pay Table'!$M$3:$N$18,2,FALSE)&amp;$BL$2&amp;#REF!&amp;$BN$2,"")</f>
        <v/>
      </c>
    </row>
    <row r="369" spans="64:68" x14ac:dyDescent="0.15">
      <c r="BL369" s="26" t="str">
        <f>IFERROR($BM$2&amp;VLOOKUP(B371,'Pay Table'!$M$3:$N$18,2,FALSE)&amp;$BL$2&amp;#REF!&amp;$BN$2,"")</f>
        <v/>
      </c>
      <c r="BM369" s="1" t="str">
        <f>IFERROR($BM$2&amp;VLOOKUP(C371,'Pay Table'!$M$3:$N$18,2,FALSE)&amp;$BL$2&amp;#REF!&amp;$BN$2,"")</f>
        <v/>
      </c>
      <c r="BN369" s="1" t="str">
        <f>IFERROR($BM$2&amp;VLOOKUP(D371,'Pay Table'!$M$3:$N$18,2,FALSE)&amp;$BL$2&amp;#REF!&amp;$BN$2,"")</f>
        <v/>
      </c>
      <c r="BO369" s="1" t="str">
        <f>IFERROR($BM$2&amp;VLOOKUP(E371,'Pay Table'!$M$3:$N$18,2,FALSE)&amp;$BL$2&amp;#REF!&amp;$BN$2,"")</f>
        <v/>
      </c>
      <c r="BP369" s="27" t="str">
        <f>IFERROR($BM$2&amp;VLOOKUP(F371,'Pay Table'!$M$3:$N$18,2,FALSE)&amp;$BL$2&amp;#REF!&amp;$BN$2,"")</f>
        <v/>
      </c>
    </row>
    <row r="370" spans="64:68" x14ac:dyDescent="0.15">
      <c r="BL370" s="26" t="str">
        <f>IFERROR($BM$2&amp;VLOOKUP(B372,'Pay Table'!$M$3:$N$18,2,FALSE)&amp;$BL$2&amp;#REF!&amp;$BN$2,"")</f>
        <v/>
      </c>
      <c r="BM370" s="1" t="str">
        <f>IFERROR($BM$2&amp;VLOOKUP(C372,'Pay Table'!$M$3:$N$18,2,FALSE)&amp;$BL$2&amp;#REF!&amp;$BN$2,"")</f>
        <v/>
      </c>
      <c r="BN370" s="1" t="str">
        <f>IFERROR($BM$2&amp;VLOOKUP(D372,'Pay Table'!$M$3:$N$18,2,FALSE)&amp;$BL$2&amp;#REF!&amp;$BN$2,"")</f>
        <v/>
      </c>
      <c r="BO370" s="1" t="str">
        <f>IFERROR($BM$2&amp;VLOOKUP(E372,'Pay Table'!$M$3:$N$18,2,FALSE)&amp;$BL$2&amp;#REF!&amp;$BN$2,"")</f>
        <v/>
      </c>
      <c r="BP370" s="27" t="str">
        <f>IFERROR($BM$2&amp;VLOOKUP(F372,'Pay Table'!$M$3:$N$18,2,FALSE)&amp;$BL$2&amp;#REF!&amp;$BN$2,"")</f>
        <v/>
      </c>
    </row>
    <row r="371" spans="64:68" x14ac:dyDescent="0.15">
      <c r="BL371" s="26" t="str">
        <f>IFERROR($BM$2&amp;VLOOKUP(B373,'Pay Table'!$M$3:$N$18,2,FALSE)&amp;$BL$2&amp;#REF!&amp;$BN$2,"")</f>
        <v/>
      </c>
      <c r="BM371" s="1" t="str">
        <f>IFERROR($BM$2&amp;VLOOKUP(C373,'Pay Table'!$M$3:$N$18,2,FALSE)&amp;$BL$2&amp;#REF!&amp;$BN$2,"")</f>
        <v/>
      </c>
      <c r="BN371" s="1" t="str">
        <f>IFERROR($BM$2&amp;VLOOKUP(D373,'Pay Table'!$M$3:$N$18,2,FALSE)&amp;$BL$2&amp;#REF!&amp;$BN$2,"")</f>
        <v/>
      </c>
      <c r="BO371" s="1" t="str">
        <f>IFERROR($BM$2&amp;VLOOKUP(E373,'Pay Table'!$M$3:$N$18,2,FALSE)&amp;$BL$2&amp;#REF!&amp;$BN$2,"")</f>
        <v/>
      </c>
      <c r="BP371" s="27" t="str">
        <f>IFERROR($BM$2&amp;VLOOKUP(F373,'Pay Table'!$M$3:$N$18,2,FALSE)&amp;$BL$2&amp;#REF!&amp;$BN$2,"")</f>
        <v/>
      </c>
    </row>
    <row r="372" spans="64:68" x14ac:dyDescent="0.15">
      <c r="BL372" s="26" t="str">
        <f>IFERROR($BM$2&amp;VLOOKUP(B374,'Pay Table'!$M$3:$N$18,2,FALSE)&amp;$BL$2&amp;#REF!&amp;$BN$2,"")</f>
        <v/>
      </c>
      <c r="BM372" s="1" t="str">
        <f>IFERROR($BM$2&amp;VLOOKUP(C374,'Pay Table'!$M$3:$N$18,2,FALSE)&amp;$BL$2&amp;#REF!&amp;$BN$2,"")</f>
        <v/>
      </c>
      <c r="BN372" s="1" t="str">
        <f>IFERROR($BM$2&amp;VLOOKUP(D374,'Pay Table'!$M$3:$N$18,2,FALSE)&amp;$BL$2&amp;#REF!&amp;$BN$2,"")</f>
        <v/>
      </c>
      <c r="BO372" s="1" t="str">
        <f>IFERROR($BM$2&amp;VLOOKUP(E374,'Pay Table'!$M$3:$N$18,2,FALSE)&amp;$BL$2&amp;#REF!&amp;$BN$2,"")</f>
        <v/>
      </c>
      <c r="BP372" s="27" t="str">
        <f>IFERROR($BM$2&amp;VLOOKUP(F374,'Pay Table'!$M$3:$N$18,2,FALSE)&amp;$BL$2&amp;#REF!&amp;$BN$2,"")</f>
        <v/>
      </c>
    </row>
    <row r="373" spans="64:68" x14ac:dyDescent="0.15">
      <c r="BL373" s="26" t="str">
        <f>IFERROR($BM$2&amp;VLOOKUP(B375,'Pay Table'!$M$3:$N$18,2,FALSE)&amp;$BL$2&amp;#REF!&amp;$BN$2,"")</f>
        <v/>
      </c>
      <c r="BM373" s="1" t="str">
        <f>IFERROR($BM$2&amp;VLOOKUP(C375,'Pay Table'!$M$3:$N$18,2,FALSE)&amp;$BL$2&amp;#REF!&amp;$BN$2,"")</f>
        <v/>
      </c>
      <c r="BN373" s="1" t="str">
        <f>IFERROR($BM$2&amp;VLOOKUP(D375,'Pay Table'!$M$3:$N$18,2,FALSE)&amp;$BL$2&amp;#REF!&amp;$BN$2,"")</f>
        <v/>
      </c>
      <c r="BO373" s="1" t="str">
        <f>IFERROR($BM$2&amp;VLOOKUP(E375,'Pay Table'!$M$3:$N$18,2,FALSE)&amp;$BL$2&amp;#REF!&amp;$BN$2,"")</f>
        <v/>
      </c>
      <c r="BP373" s="27" t="str">
        <f>IFERROR($BM$2&amp;VLOOKUP(F375,'Pay Table'!$M$3:$N$18,2,FALSE)&amp;$BL$2&amp;#REF!&amp;$BN$2,"")</f>
        <v/>
      </c>
    </row>
    <row r="374" spans="64:68" x14ac:dyDescent="0.15">
      <c r="BL374" s="26" t="str">
        <f>IFERROR($BM$2&amp;VLOOKUP(B376,'Pay Table'!$M$3:$N$18,2,FALSE)&amp;$BL$2&amp;#REF!&amp;$BN$2,"")</f>
        <v/>
      </c>
      <c r="BM374" s="1" t="str">
        <f>IFERROR($BM$2&amp;VLOOKUP(C376,'Pay Table'!$M$3:$N$18,2,FALSE)&amp;$BL$2&amp;#REF!&amp;$BN$2,"")</f>
        <v/>
      </c>
      <c r="BN374" s="1" t="str">
        <f>IFERROR($BM$2&amp;VLOOKUP(D376,'Pay Table'!$M$3:$N$18,2,FALSE)&amp;$BL$2&amp;#REF!&amp;$BN$2,"")</f>
        <v/>
      </c>
      <c r="BO374" s="1" t="str">
        <f>IFERROR($BM$2&amp;VLOOKUP(E376,'Pay Table'!$M$3:$N$18,2,FALSE)&amp;$BL$2&amp;#REF!&amp;$BN$2,"")</f>
        <v/>
      </c>
      <c r="BP374" s="27" t="str">
        <f>IFERROR($BM$2&amp;VLOOKUP(F376,'Pay Table'!$M$3:$N$18,2,FALSE)&amp;$BL$2&amp;#REF!&amp;$BN$2,"")</f>
        <v/>
      </c>
    </row>
    <row r="375" spans="64:68" x14ac:dyDescent="0.15">
      <c r="BL375" s="26" t="str">
        <f>IFERROR($BM$2&amp;VLOOKUP(B377,'Pay Table'!$M$3:$N$18,2,FALSE)&amp;$BL$2&amp;#REF!&amp;$BN$2,"")</f>
        <v/>
      </c>
      <c r="BM375" s="1" t="str">
        <f>IFERROR($BM$2&amp;VLOOKUP(C377,'Pay Table'!$M$3:$N$18,2,FALSE)&amp;$BL$2&amp;#REF!&amp;$BN$2,"")</f>
        <v/>
      </c>
      <c r="BN375" s="1" t="str">
        <f>IFERROR($BM$2&amp;VLOOKUP(D377,'Pay Table'!$M$3:$N$18,2,FALSE)&amp;$BL$2&amp;#REF!&amp;$BN$2,"")</f>
        <v/>
      </c>
      <c r="BO375" s="1" t="str">
        <f>IFERROR($BM$2&amp;VLOOKUP(E377,'Pay Table'!$M$3:$N$18,2,FALSE)&amp;$BL$2&amp;#REF!&amp;$BN$2,"")</f>
        <v/>
      </c>
      <c r="BP375" s="27" t="str">
        <f>IFERROR($BM$2&amp;VLOOKUP(F377,'Pay Table'!$M$3:$N$18,2,FALSE)&amp;$BL$2&amp;#REF!&amp;$BN$2,"")</f>
        <v/>
      </c>
    </row>
    <row r="376" spans="64:68" x14ac:dyDescent="0.15">
      <c r="BL376" s="26" t="str">
        <f>IFERROR($BM$2&amp;VLOOKUP(B378,'Pay Table'!$M$3:$N$18,2,FALSE)&amp;$BL$2&amp;#REF!&amp;$BN$2,"")</f>
        <v/>
      </c>
      <c r="BM376" s="1" t="str">
        <f>IFERROR($BM$2&amp;VLOOKUP(C378,'Pay Table'!$M$3:$N$18,2,FALSE)&amp;$BL$2&amp;#REF!&amp;$BN$2,"")</f>
        <v/>
      </c>
      <c r="BN376" s="1" t="str">
        <f>IFERROR($BM$2&amp;VLOOKUP(D378,'Pay Table'!$M$3:$N$18,2,FALSE)&amp;$BL$2&amp;#REF!&amp;$BN$2,"")</f>
        <v/>
      </c>
      <c r="BO376" s="1" t="str">
        <f>IFERROR($BM$2&amp;VLOOKUP(E378,'Pay Table'!$M$3:$N$18,2,FALSE)&amp;$BL$2&amp;#REF!&amp;$BN$2,"")</f>
        <v/>
      </c>
      <c r="BP376" s="27" t="str">
        <f>IFERROR($BM$2&amp;VLOOKUP(F378,'Pay Table'!$M$3:$N$18,2,FALSE)&amp;$BL$2&amp;#REF!&amp;$BN$2,"")</f>
        <v/>
      </c>
    </row>
    <row r="377" spans="64:68" x14ac:dyDescent="0.15">
      <c r="BL377" s="26" t="str">
        <f>IFERROR($BM$2&amp;VLOOKUP(B379,'Pay Table'!$M$3:$N$18,2,FALSE)&amp;$BL$2&amp;#REF!&amp;$BN$2,"")</f>
        <v/>
      </c>
      <c r="BM377" s="1" t="str">
        <f>IFERROR($BM$2&amp;VLOOKUP(C379,'Pay Table'!$M$3:$N$18,2,FALSE)&amp;$BL$2&amp;#REF!&amp;$BN$2,"")</f>
        <v/>
      </c>
      <c r="BN377" s="1" t="str">
        <f>IFERROR($BM$2&amp;VLOOKUP(D379,'Pay Table'!$M$3:$N$18,2,FALSE)&amp;$BL$2&amp;#REF!&amp;$BN$2,"")</f>
        <v/>
      </c>
      <c r="BO377" s="1" t="str">
        <f>IFERROR($BM$2&amp;VLOOKUP(E379,'Pay Table'!$M$3:$N$18,2,FALSE)&amp;$BL$2&amp;#REF!&amp;$BN$2,"")</f>
        <v/>
      </c>
      <c r="BP377" s="27" t="str">
        <f>IFERROR($BM$2&amp;VLOOKUP(F379,'Pay Table'!$M$3:$N$18,2,FALSE)&amp;$BL$2&amp;#REF!&amp;$BN$2,"")</f>
        <v/>
      </c>
    </row>
    <row r="378" spans="64:68" x14ac:dyDescent="0.15">
      <c r="BL378" s="26" t="str">
        <f>IFERROR($BM$2&amp;VLOOKUP(B380,'Pay Table'!$M$3:$N$18,2,FALSE)&amp;$BL$2&amp;#REF!&amp;$BN$2,"")</f>
        <v/>
      </c>
      <c r="BM378" s="1" t="str">
        <f>IFERROR($BM$2&amp;VLOOKUP(C380,'Pay Table'!$M$3:$N$18,2,FALSE)&amp;$BL$2&amp;#REF!&amp;$BN$2,"")</f>
        <v/>
      </c>
      <c r="BN378" s="1" t="str">
        <f>IFERROR($BM$2&amp;VLOOKUP(D380,'Pay Table'!$M$3:$N$18,2,FALSE)&amp;$BL$2&amp;#REF!&amp;$BN$2,"")</f>
        <v/>
      </c>
      <c r="BO378" s="1" t="str">
        <f>IFERROR($BM$2&amp;VLOOKUP(E380,'Pay Table'!$M$3:$N$18,2,FALSE)&amp;$BL$2&amp;#REF!&amp;$BN$2,"")</f>
        <v/>
      </c>
      <c r="BP378" s="27" t="str">
        <f>IFERROR($BM$2&amp;VLOOKUP(F380,'Pay Table'!$M$3:$N$18,2,FALSE)&amp;$BL$2&amp;#REF!&amp;$BN$2,"")</f>
        <v/>
      </c>
    </row>
    <row r="379" spans="64:68" x14ac:dyDescent="0.15">
      <c r="BL379" s="26" t="str">
        <f>IFERROR($BM$2&amp;VLOOKUP(B381,'Pay Table'!$M$3:$N$18,2,FALSE)&amp;$BL$2&amp;#REF!&amp;$BN$2,"")</f>
        <v/>
      </c>
      <c r="BM379" s="1" t="str">
        <f>IFERROR($BM$2&amp;VLOOKUP(C381,'Pay Table'!$M$3:$N$18,2,FALSE)&amp;$BL$2&amp;#REF!&amp;$BN$2,"")</f>
        <v/>
      </c>
      <c r="BN379" s="1" t="str">
        <f>IFERROR($BM$2&amp;VLOOKUP(D381,'Pay Table'!$M$3:$N$18,2,FALSE)&amp;$BL$2&amp;#REF!&amp;$BN$2,"")</f>
        <v/>
      </c>
      <c r="BO379" s="1" t="str">
        <f>IFERROR($BM$2&amp;VLOOKUP(E381,'Pay Table'!$M$3:$N$18,2,FALSE)&amp;$BL$2&amp;#REF!&amp;$BN$2,"")</f>
        <v/>
      </c>
      <c r="BP379" s="27" t="str">
        <f>IFERROR($BM$2&amp;VLOOKUP(F381,'Pay Table'!$M$3:$N$18,2,FALSE)&amp;$BL$2&amp;#REF!&amp;$BN$2,"")</f>
        <v/>
      </c>
    </row>
    <row r="380" spans="64:68" x14ac:dyDescent="0.15">
      <c r="BL380" s="26" t="str">
        <f>IFERROR($BM$2&amp;VLOOKUP(B382,'Pay Table'!$M$3:$N$18,2,FALSE)&amp;$BL$2&amp;#REF!&amp;$BN$2,"")</f>
        <v/>
      </c>
      <c r="BM380" s="1" t="str">
        <f>IFERROR($BM$2&amp;VLOOKUP(C382,'Pay Table'!$M$3:$N$18,2,FALSE)&amp;$BL$2&amp;#REF!&amp;$BN$2,"")</f>
        <v/>
      </c>
      <c r="BN380" s="1" t="str">
        <f>IFERROR($BM$2&amp;VLOOKUP(D382,'Pay Table'!$M$3:$N$18,2,FALSE)&amp;$BL$2&amp;#REF!&amp;$BN$2,"")</f>
        <v/>
      </c>
      <c r="BO380" s="1" t="str">
        <f>IFERROR($BM$2&amp;VLOOKUP(E382,'Pay Table'!$M$3:$N$18,2,FALSE)&amp;$BL$2&amp;#REF!&amp;$BN$2,"")</f>
        <v/>
      </c>
      <c r="BP380" s="27" t="str">
        <f>IFERROR($BM$2&amp;VLOOKUP(F382,'Pay Table'!$M$3:$N$18,2,FALSE)&amp;$BL$2&amp;#REF!&amp;$BN$2,"")</f>
        <v/>
      </c>
    </row>
    <row r="381" spans="64:68" x14ac:dyDescent="0.15">
      <c r="BL381" s="26" t="str">
        <f>IFERROR($BM$2&amp;VLOOKUP(B383,'Pay Table'!$M$3:$N$18,2,FALSE)&amp;$BL$2&amp;#REF!&amp;$BN$2,"")</f>
        <v/>
      </c>
      <c r="BM381" s="1" t="str">
        <f>IFERROR($BM$2&amp;VLOOKUP(C383,'Pay Table'!$M$3:$N$18,2,FALSE)&amp;$BL$2&amp;#REF!&amp;$BN$2,"")</f>
        <v/>
      </c>
      <c r="BN381" s="1" t="str">
        <f>IFERROR($BM$2&amp;VLOOKUP(D383,'Pay Table'!$M$3:$N$18,2,FALSE)&amp;$BL$2&amp;#REF!&amp;$BN$2,"")</f>
        <v/>
      </c>
      <c r="BO381" s="1" t="str">
        <f>IFERROR($BM$2&amp;VLOOKUP(E383,'Pay Table'!$M$3:$N$18,2,FALSE)&amp;$BL$2&amp;#REF!&amp;$BN$2,"")</f>
        <v/>
      </c>
      <c r="BP381" s="27" t="str">
        <f>IFERROR($BM$2&amp;VLOOKUP(F383,'Pay Table'!$M$3:$N$18,2,FALSE)&amp;$BL$2&amp;#REF!&amp;$BN$2,"")</f>
        <v/>
      </c>
    </row>
    <row r="382" spans="64:68" x14ac:dyDescent="0.15">
      <c r="BL382" s="26" t="str">
        <f>IFERROR($BM$2&amp;VLOOKUP(B384,'Pay Table'!$M$3:$N$18,2,FALSE)&amp;$BL$2&amp;#REF!&amp;$BN$2,"")</f>
        <v/>
      </c>
      <c r="BM382" s="1" t="str">
        <f>IFERROR($BM$2&amp;VLOOKUP(C384,'Pay Table'!$M$3:$N$18,2,FALSE)&amp;$BL$2&amp;#REF!&amp;$BN$2,"")</f>
        <v/>
      </c>
      <c r="BN382" s="1" t="str">
        <f>IFERROR($BM$2&amp;VLOOKUP(D384,'Pay Table'!$M$3:$N$18,2,FALSE)&amp;$BL$2&amp;#REF!&amp;$BN$2,"")</f>
        <v/>
      </c>
      <c r="BO382" s="1" t="str">
        <f>IFERROR($BM$2&amp;VLOOKUP(E384,'Pay Table'!$M$3:$N$18,2,FALSE)&amp;$BL$2&amp;#REF!&amp;$BN$2,"")</f>
        <v/>
      </c>
      <c r="BP382" s="27" t="str">
        <f>IFERROR($BM$2&amp;VLOOKUP(F384,'Pay Table'!$M$3:$N$18,2,FALSE)&amp;$BL$2&amp;#REF!&amp;$BN$2,"")</f>
        <v/>
      </c>
    </row>
    <row r="383" spans="64:68" x14ac:dyDescent="0.15">
      <c r="BL383" s="26" t="str">
        <f>IFERROR($BM$2&amp;VLOOKUP(B385,'Pay Table'!$M$3:$N$18,2,FALSE)&amp;$BL$2&amp;#REF!&amp;$BN$2,"")</f>
        <v/>
      </c>
      <c r="BM383" s="1" t="str">
        <f>IFERROR($BM$2&amp;VLOOKUP(C385,'Pay Table'!$M$3:$N$18,2,FALSE)&amp;$BL$2&amp;#REF!&amp;$BN$2,"")</f>
        <v/>
      </c>
      <c r="BN383" s="1" t="str">
        <f>IFERROR($BM$2&amp;VLOOKUP(D385,'Pay Table'!$M$3:$N$18,2,FALSE)&amp;$BL$2&amp;#REF!&amp;$BN$2,"")</f>
        <v/>
      </c>
      <c r="BO383" s="1" t="str">
        <f>IFERROR($BM$2&amp;VLOOKUP(E385,'Pay Table'!$M$3:$N$18,2,FALSE)&amp;$BL$2&amp;#REF!&amp;$BN$2,"")</f>
        <v/>
      </c>
      <c r="BP383" s="27" t="str">
        <f>IFERROR($BM$2&amp;VLOOKUP(F385,'Pay Table'!$M$3:$N$18,2,FALSE)&amp;$BL$2&amp;#REF!&amp;$BN$2,"")</f>
        <v/>
      </c>
    </row>
    <row r="384" spans="64:68" x14ac:dyDescent="0.15">
      <c r="BL384" s="26" t="str">
        <f>IFERROR($BM$2&amp;VLOOKUP(B386,'Pay Table'!$M$3:$N$18,2,FALSE)&amp;$BL$2&amp;#REF!&amp;$BN$2,"")</f>
        <v/>
      </c>
      <c r="BM384" s="1" t="str">
        <f>IFERROR($BM$2&amp;VLOOKUP(C386,'Pay Table'!$M$3:$N$18,2,FALSE)&amp;$BL$2&amp;#REF!&amp;$BN$2,"")</f>
        <v/>
      </c>
      <c r="BN384" s="1" t="str">
        <f>IFERROR($BM$2&amp;VLOOKUP(D386,'Pay Table'!$M$3:$N$18,2,FALSE)&amp;$BL$2&amp;#REF!&amp;$BN$2,"")</f>
        <v/>
      </c>
      <c r="BO384" s="1" t="str">
        <f>IFERROR($BM$2&amp;VLOOKUP(E386,'Pay Table'!$M$3:$N$18,2,FALSE)&amp;$BL$2&amp;#REF!&amp;$BN$2,"")</f>
        <v/>
      </c>
      <c r="BP384" s="27" t="str">
        <f>IFERROR($BM$2&amp;VLOOKUP(F386,'Pay Table'!$M$3:$N$18,2,FALSE)&amp;$BL$2&amp;#REF!&amp;$BN$2,"")</f>
        <v/>
      </c>
    </row>
    <row r="385" spans="64:68" x14ac:dyDescent="0.15">
      <c r="BL385" s="26" t="str">
        <f>IFERROR($BM$2&amp;VLOOKUP(B387,'Pay Table'!$M$3:$N$18,2,FALSE)&amp;$BL$2&amp;#REF!&amp;$BN$2,"")</f>
        <v/>
      </c>
      <c r="BM385" s="1" t="str">
        <f>IFERROR($BM$2&amp;VLOOKUP(C387,'Pay Table'!$M$3:$N$18,2,FALSE)&amp;$BL$2&amp;#REF!&amp;$BN$2,"")</f>
        <v/>
      </c>
      <c r="BN385" s="1" t="str">
        <f>IFERROR($BM$2&amp;VLOOKUP(D387,'Pay Table'!$M$3:$N$18,2,FALSE)&amp;$BL$2&amp;#REF!&amp;$BN$2,"")</f>
        <v/>
      </c>
      <c r="BO385" s="1" t="str">
        <f>IFERROR($BM$2&amp;VLOOKUP(E387,'Pay Table'!$M$3:$N$18,2,FALSE)&amp;$BL$2&amp;#REF!&amp;$BN$2,"")</f>
        <v/>
      </c>
      <c r="BP385" s="27" t="str">
        <f>IFERROR($BM$2&amp;VLOOKUP(F387,'Pay Table'!$M$3:$N$18,2,FALSE)&amp;$BL$2&amp;#REF!&amp;$BN$2,"")</f>
        <v/>
      </c>
    </row>
    <row r="386" spans="64:68" x14ac:dyDescent="0.15">
      <c r="BL386" s="26" t="str">
        <f>IFERROR($BM$2&amp;VLOOKUP(B388,'Pay Table'!$M$3:$N$18,2,FALSE)&amp;$BL$2&amp;#REF!&amp;$BN$2,"")</f>
        <v/>
      </c>
      <c r="BM386" s="1" t="str">
        <f>IFERROR($BM$2&amp;VLOOKUP(C388,'Pay Table'!$M$3:$N$18,2,FALSE)&amp;$BL$2&amp;#REF!&amp;$BN$2,"")</f>
        <v/>
      </c>
      <c r="BN386" s="1" t="str">
        <f>IFERROR($BM$2&amp;VLOOKUP(D388,'Pay Table'!$M$3:$N$18,2,FALSE)&amp;$BL$2&amp;#REF!&amp;$BN$2,"")</f>
        <v/>
      </c>
      <c r="BO386" s="1" t="str">
        <f>IFERROR($BM$2&amp;VLOOKUP(E388,'Pay Table'!$M$3:$N$18,2,FALSE)&amp;$BL$2&amp;#REF!&amp;$BN$2,"")</f>
        <v/>
      </c>
      <c r="BP386" s="27" t="str">
        <f>IFERROR($BM$2&amp;VLOOKUP(F388,'Pay Table'!$M$3:$N$18,2,FALSE)&amp;$BL$2&amp;#REF!&amp;$BN$2,"")</f>
        <v/>
      </c>
    </row>
    <row r="387" spans="64:68" x14ac:dyDescent="0.15">
      <c r="BL387" s="26" t="str">
        <f>IFERROR($BM$2&amp;VLOOKUP(B389,'Pay Table'!$M$3:$N$18,2,FALSE)&amp;$BL$2&amp;#REF!&amp;$BN$2,"")</f>
        <v/>
      </c>
      <c r="BM387" s="1" t="str">
        <f>IFERROR($BM$2&amp;VLOOKUP(C389,'Pay Table'!$M$3:$N$18,2,FALSE)&amp;$BL$2&amp;#REF!&amp;$BN$2,"")</f>
        <v/>
      </c>
      <c r="BN387" s="1" t="str">
        <f>IFERROR($BM$2&amp;VLOOKUP(D389,'Pay Table'!$M$3:$N$18,2,FALSE)&amp;$BL$2&amp;#REF!&amp;$BN$2,"")</f>
        <v/>
      </c>
      <c r="BO387" s="1" t="str">
        <f>IFERROR($BM$2&amp;VLOOKUP(E389,'Pay Table'!$M$3:$N$18,2,FALSE)&amp;$BL$2&amp;#REF!&amp;$BN$2,"")</f>
        <v/>
      </c>
      <c r="BP387" s="27" t="str">
        <f>IFERROR($BM$2&amp;VLOOKUP(F389,'Pay Table'!$M$3:$N$18,2,FALSE)&amp;$BL$2&amp;#REF!&amp;$BN$2,"")</f>
        <v/>
      </c>
    </row>
    <row r="388" spans="64:68" x14ac:dyDescent="0.15">
      <c r="BL388" s="26" t="str">
        <f>IFERROR($BM$2&amp;VLOOKUP(B390,'Pay Table'!$M$3:$N$18,2,FALSE)&amp;$BL$2&amp;#REF!&amp;$BN$2,"")</f>
        <v/>
      </c>
      <c r="BM388" s="1" t="str">
        <f>IFERROR($BM$2&amp;VLOOKUP(C390,'Pay Table'!$M$3:$N$18,2,FALSE)&amp;$BL$2&amp;#REF!&amp;$BN$2,"")</f>
        <v/>
      </c>
      <c r="BN388" s="1" t="str">
        <f>IFERROR($BM$2&amp;VLOOKUP(D390,'Pay Table'!$M$3:$N$18,2,FALSE)&amp;$BL$2&amp;#REF!&amp;$BN$2,"")</f>
        <v/>
      </c>
      <c r="BO388" s="1" t="str">
        <f>IFERROR($BM$2&amp;VLOOKUP(E390,'Pay Table'!$M$3:$N$18,2,FALSE)&amp;$BL$2&amp;#REF!&amp;$BN$2,"")</f>
        <v/>
      </c>
      <c r="BP388" s="27" t="str">
        <f>IFERROR($BM$2&amp;VLOOKUP(F390,'Pay Table'!$M$3:$N$18,2,FALSE)&amp;$BL$2&amp;#REF!&amp;$BN$2,"")</f>
        <v/>
      </c>
    </row>
    <row r="389" spans="64:68" x14ac:dyDescent="0.15">
      <c r="BL389" s="26" t="str">
        <f>IFERROR($BM$2&amp;VLOOKUP(B391,'Pay Table'!$M$3:$N$18,2,FALSE)&amp;$BL$2&amp;#REF!&amp;$BN$2,"")</f>
        <v/>
      </c>
      <c r="BM389" s="1" t="str">
        <f>IFERROR($BM$2&amp;VLOOKUP(C391,'Pay Table'!$M$3:$N$18,2,FALSE)&amp;$BL$2&amp;#REF!&amp;$BN$2,"")</f>
        <v/>
      </c>
      <c r="BN389" s="1" t="str">
        <f>IFERROR($BM$2&amp;VLOOKUP(D391,'Pay Table'!$M$3:$N$18,2,FALSE)&amp;$BL$2&amp;#REF!&amp;$BN$2,"")</f>
        <v/>
      </c>
      <c r="BO389" s="1" t="str">
        <f>IFERROR($BM$2&amp;VLOOKUP(E391,'Pay Table'!$M$3:$N$18,2,FALSE)&amp;$BL$2&amp;#REF!&amp;$BN$2,"")</f>
        <v/>
      </c>
      <c r="BP389" s="27" t="str">
        <f>IFERROR($BM$2&amp;VLOOKUP(F391,'Pay Table'!$M$3:$N$18,2,FALSE)&amp;$BL$2&amp;#REF!&amp;$BN$2,"")</f>
        <v/>
      </c>
    </row>
    <row r="390" spans="64:68" x14ac:dyDescent="0.15">
      <c r="BL390" s="26" t="str">
        <f>IFERROR($BM$2&amp;VLOOKUP(B392,'Pay Table'!$M$3:$N$18,2,FALSE)&amp;$BL$2&amp;#REF!&amp;$BN$2,"")</f>
        <v/>
      </c>
      <c r="BM390" s="1" t="str">
        <f>IFERROR($BM$2&amp;VLOOKUP(C392,'Pay Table'!$M$3:$N$18,2,FALSE)&amp;$BL$2&amp;#REF!&amp;$BN$2,"")</f>
        <v/>
      </c>
      <c r="BN390" s="1" t="str">
        <f>IFERROR($BM$2&amp;VLOOKUP(D392,'Pay Table'!$M$3:$N$18,2,FALSE)&amp;$BL$2&amp;#REF!&amp;$BN$2,"")</f>
        <v/>
      </c>
      <c r="BO390" s="1" t="str">
        <f>IFERROR($BM$2&amp;VLOOKUP(E392,'Pay Table'!$M$3:$N$18,2,FALSE)&amp;$BL$2&amp;#REF!&amp;$BN$2,"")</f>
        <v/>
      </c>
      <c r="BP390" s="27" t="str">
        <f>IFERROR($BM$2&amp;VLOOKUP(F392,'Pay Table'!$M$3:$N$18,2,FALSE)&amp;$BL$2&amp;#REF!&amp;$BN$2,"")</f>
        <v/>
      </c>
    </row>
    <row r="391" spans="64:68" x14ac:dyDescent="0.15">
      <c r="BL391" s="26" t="str">
        <f>IFERROR($BM$2&amp;VLOOKUP(B393,'Pay Table'!$M$3:$N$18,2,FALSE)&amp;$BL$2&amp;#REF!&amp;$BN$2,"")</f>
        <v/>
      </c>
      <c r="BM391" s="1" t="str">
        <f>IFERROR($BM$2&amp;VLOOKUP(C393,'Pay Table'!$M$3:$N$18,2,FALSE)&amp;$BL$2&amp;#REF!&amp;$BN$2,"")</f>
        <v/>
      </c>
      <c r="BN391" s="1" t="str">
        <f>IFERROR($BM$2&amp;VLOOKUP(D393,'Pay Table'!$M$3:$N$18,2,FALSE)&amp;$BL$2&amp;#REF!&amp;$BN$2,"")</f>
        <v/>
      </c>
      <c r="BO391" s="1" t="str">
        <f>IFERROR($BM$2&amp;VLOOKUP(E393,'Pay Table'!$M$3:$N$18,2,FALSE)&amp;$BL$2&amp;#REF!&amp;$BN$2,"")</f>
        <v/>
      </c>
      <c r="BP391" s="27" t="str">
        <f>IFERROR($BM$2&amp;VLOOKUP(F393,'Pay Table'!$M$3:$N$18,2,FALSE)&amp;$BL$2&amp;#REF!&amp;$BN$2,"")</f>
        <v/>
      </c>
    </row>
    <row r="392" spans="64:68" x14ac:dyDescent="0.15">
      <c r="BL392" s="26" t="str">
        <f>IFERROR($BM$2&amp;VLOOKUP(B394,'Pay Table'!$M$3:$N$18,2,FALSE)&amp;$BL$2&amp;#REF!&amp;$BN$2,"")</f>
        <v/>
      </c>
      <c r="BM392" s="1" t="str">
        <f>IFERROR($BM$2&amp;VLOOKUP(C394,'Pay Table'!$M$3:$N$18,2,FALSE)&amp;$BL$2&amp;#REF!&amp;$BN$2,"")</f>
        <v/>
      </c>
      <c r="BN392" s="1" t="str">
        <f>IFERROR($BM$2&amp;VLOOKUP(D394,'Pay Table'!$M$3:$N$18,2,FALSE)&amp;$BL$2&amp;#REF!&amp;$BN$2,"")</f>
        <v/>
      </c>
      <c r="BO392" s="1" t="str">
        <f>IFERROR($BM$2&amp;VLOOKUP(E394,'Pay Table'!$M$3:$N$18,2,FALSE)&amp;$BL$2&amp;#REF!&amp;$BN$2,"")</f>
        <v/>
      </c>
      <c r="BP392" s="27" t="str">
        <f>IFERROR($BM$2&amp;VLOOKUP(F394,'Pay Table'!$M$3:$N$18,2,FALSE)&amp;$BL$2&amp;#REF!&amp;$BN$2,"")</f>
        <v/>
      </c>
    </row>
    <row r="393" spans="64:68" x14ac:dyDescent="0.15">
      <c r="BL393" s="26" t="str">
        <f>IFERROR($BM$2&amp;VLOOKUP(B395,'Pay Table'!$M$3:$N$18,2,FALSE)&amp;$BL$2&amp;#REF!&amp;$BN$2,"")</f>
        <v/>
      </c>
      <c r="BM393" s="1" t="str">
        <f>IFERROR($BM$2&amp;VLOOKUP(C395,'Pay Table'!$M$3:$N$18,2,FALSE)&amp;$BL$2&amp;#REF!&amp;$BN$2,"")</f>
        <v/>
      </c>
      <c r="BN393" s="1" t="str">
        <f>IFERROR($BM$2&amp;VLOOKUP(D395,'Pay Table'!$M$3:$N$18,2,FALSE)&amp;$BL$2&amp;#REF!&amp;$BN$2,"")</f>
        <v/>
      </c>
      <c r="BO393" s="1" t="str">
        <f>IFERROR($BM$2&amp;VLOOKUP(E395,'Pay Table'!$M$3:$N$18,2,FALSE)&amp;$BL$2&amp;#REF!&amp;$BN$2,"")</f>
        <v/>
      </c>
      <c r="BP393" s="27" t="str">
        <f>IFERROR($BM$2&amp;VLOOKUP(F395,'Pay Table'!$M$3:$N$18,2,FALSE)&amp;$BL$2&amp;#REF!&amp;$BN$2,"")</f>
        <v/>
      </c>
    </row>
    <row r="394" spans="64:68" x14ac:dyDescent="0.15">
      <c r="BL394" s="26" t="str">
        <f>IFERROR($BM$2&amp;VLOOKUP(B396,'Pay Table'!$M$3:$N$18,2,FALSE)&amp;$BL$2&amp;#REF!&amp;$BN$2,"")</f>
        <v/>
      </c>
      <c r="BM394" s="1" t="str">
        <f>IFERROR($BM$2&amp;VLOOKUP(C396,'Pay Table'!$M$3:$N$18,2,FALSE)&amp;$BL$2&amp;#REF!&amp;$BN$2,"")</f>
        <v/>
      </c>
      <c r="BN394" s="1" t="str">
        <f>IFERROR($BM$2&amp;VLOOKUP(D396,'Pay Table'!$M$3:$N$18,2,FALSE)&amp;$BL$2&amp;#REF!&amp;$BN$2,"")</f>
        <v/>
      </c>
      <c r="BO394" s="1" t="str">
        <f>IFERROR($BM$2&amp;VLOOKUP(E396,'Pay Table'!$M$3:$N$18,2,FALSE)&amp;$BL$2&amp;#REF!&amp;$BN$2,"")</f>
        <v/>
      </c>
      <c r="BP394" s="27" t="str">
        <f>IFERROR($BM$2&amp;VLOOKUP(F396,'Pay Table'!$M$3:$N$18,2,FALSE)&amp;$BL$2&amp;#REF!&amp;$BN$2,"")</f>
        <v/>
      </c>
    </row>
    <row r="395" spans="64:68" x14ac:dyDescent="0.15">
      <c r="BL395" s="26" t="str">
        <f>IFERROR($BM$2&amp;VLOOKUP(B397,'Pay Table'!$M$3:$N$18,2,FALSE)&amp;$BL$2&amp;#REF!&amp;$BN$2,"")</f>
        <v/>
      </c>
      <c r="BM395" s="1" t="str">
        <f>IFERROR($BM$2&amp;VLOOKUP(C397,'Pay Table'!$M$3:$N$18,2,FALSE)&amp;$BL$2&amp;#REF!&amp;$BN$2,"")</f>
        <v/>
      </c>
      <c r="BN395" s="1" t="str">
        <f>IFERROR($BM$2&amp;VLOOKUP(D397,'Pay Table'!$M$3:$N$18,2,FALSE)&amp;$BL$2&amp;#REF!&amp;$BN$2,"")</f>
        <v/>
      </c>
      <c r="BO395" s="1" t="str">
        <f>IFERROR($BM$2&amp;VLOOKUP(E397,'Pay Table'!$M$3:$N$18,2,FALSE)&amp;$BL$2&amp;#REF!&amp;$BN$2,"")</f>
        <v/>
      </c>
      <c r="BP395" s="27" t="str">
        <f>IFERROR($BM$2&amp;VLOOKUP(F397,'Pay Table'!$M$3:$N$18,2,FALSE)&amp;$BL$2&amp;#REF!&amp;$BN$2,"")</f>
        <v/>
      </c>
    </row>
    <row r="396" spans="64:68" x14ac:dyDescent="0.15">
      <c r="BL396" s="26" t="str">
        <f>IFERROR($BM$2&amp;VLOOKUP(B398,'Pay Table'!$M$3:$N$18,2,FALSE)&amp;$BL$2&amp;#REF!&amp;$BN$2,"")</f>
        <v/>
      </c>
      <c r="BM396" s="1" t="str">
        <f>IFERROR($BM$2&amp;VLOOKUP(C398,'Pay Table'!$M$3:$N$18,2,FALSE)&amp;$BL$2&amp;#REF!&amp;$BN$2,"")</f>
        <v/>
      </c>
      <c r="BN396" s="1" t="str">
        <f>IFERROR($BM$2&amp;VLOOKUP(D398,'Pay Table'!$M$3:$N$18,2,FALSE)&amp;$BL$2&amp;#REF!&amp;$BN$2,"")</f>
        <v/>
      </c>
      <c r="BO396" s="1" t="str">
        <f>IFERROR($BM$2&amp;VLOOKUP(E398,'Pay Table'!$M$3:$N$18,2,FALSE)&amp;$BL$2&amp;#REF!&amp;$BN$2,"")</f>
        <v/>
      </c>
      <c r="BP396" s="27" t="str">
        <f>IFERROR($BM$2&amp;VLOOKUP(F398,'Pay Table'!$M$3:$N$18,2,FALSE)&amp;$BL$2&amp;#REF!&amp;$BN$2,"")</f>
        <v/>
      </c>
    </row>
    <row r="397" spans="64:68" x14ac:dyDescent="0.15">
      <c r="BL397" s="26" t="str">
        <f>IFERROR($BM$2&amp;VLOOKUP(B399,'Pay Table'!$M$3:$N$18,2,FALSE)&amp;$BL$2&amp;#REF!&amp;$BN$2,"")</f>
        <v/>
      </c>
      <c r="BM397" s="1" t="str">
        <f>IFERROR($BM$2&amp;VLOOKUP(C399,'Pay Table'!$M$3:$N$18,2,FALSE)&amp;$BL$2&amp;#REF!&amp;$BN$2,"")</f>
        <v/>
      </c>
      <c r="BN397" s="1" t="str">
        <f>IFERROR($BM$2&amp;VLOOKUP(D399,'Pay Table'!$M$3:$N$18,2,FALSE)&amp;$BL$2&amp;#REF!&amp;$BN$2,"")</f>
        <v/>
      </c>
      <c r="BO397" s="1" t="str">
        <f>IFERROR($BM$2&amp;VLOOKUP(E399,'Pay Table'!$M$3:$N$18,2,FALSE)&amp;$BL$2&amp;#REF!&amp;$BN$2,"")</f>
        <v/>
      </c>
      <c r="BP397" s="27" t="str">
        <f>IFERROR($BM$2&amp;VLOOKUP(F399,'Pay Table'!$M$3:$N$18,2,FALSE)&amp;$BL$2&amp;#REF!&amp;$BN$2,"")</f>
        <v/>
      </c>
    </row>
    <row r="398" spans="64:68" x14ac:dyDescent="0.15">
      <c r="BL398" s="26" t="str">
        <f>IFERROR($BM$2&amp;VLOOKUP(B400,'Pay Table'!$M$3:$N$18,2,FALSE)&amp;$BL$2&amp;#REF!&amp;$BN$2,"")</f>
        <v/>
      </c>
      <c r="BM398" s="1" t="str">
        <f>IFERROR($BM$2&amp;VLOOKUP(C400,'Pay Table'!$M$3:$N$18,2,FALSE)&amp;$BL$2&amp;#REF!&amp;$BN$2,"")</f>
        <v/>
      </c>
      <c r="BN398" s="1" t="str">
        <f>IFERROR($BM$2&amp;VLOOKUP(D400,'Pay Table'!$M$3:$N$18,2,FALSE)&amp;$BL$2&amp;#REF!&amp;$BN$2,"")</f>
        <v/>
      </c>
      <c r="BO398" s="1" t="str">
        <f>IFERROR($BM$2&amp;VLOOKUP(E400,'Pay Table'!$M$3:$N$18,2,FALSE)&amp;$BL$2&amp;#REF!&amp;$BN$2,"")</f>
        <v/>
      </c>
      <c r="BP398" s="27" t="str">
        <f>IFERROR($BM$2&amp;VLOOKUP(F400,'Pay Table'!$M$3:$N$18,2,FALSE)&amp;$BL$2&amp;#REF!&amp;$BN$2,"")</f>
        <v/>
      </c>
    </row>
    <row r="399" spans="64:68" x14ac:dyDescent="0.15">
      <c r="BL399" s="26" t="str">
        <f>IFERROR($BM$2&amp;VLOOKUP(B401,'Pay Table'!$M$3:$N$18,2,FALSE)&amp;$BL$2&amp;#REF!&amp;$BN$2,"")</f>
        <v/>
      </c>
      <c r="BM399" s="1" t="str">
        <f>IFERROR($BM$2&amp;VLOOKUP(C401,'Pay Table'!$M$3:$N$18,2,FALSE)&amp;$BL$2&amp;#REF!&amp;$BN$2,"")</f>
        <v/>
      </c>
      <c r="BN399" s="1" t="str">
        <f>IFERROR($BM$2&amp;VLOOKUP(D401,'Pay Table'!$M$3:$N$18,2,FALSE)&amp;$BL$2&amp;#REF!&amp;$BN$2,"")</f>
        <v/>
      </c>
      <c r="BO399" s="1" t="str">
        <f>IFERROR($BM$2&amp;VLOOKUP(E401,'Pay Table'!$M$3:$N$18,2,FALSE)&amp;$BL$2&amp;#REF!&amp;$BN$2,"")</f>
        <v/>
      </c>
      <c r="BP399" s="27" t="str">
        <f>IFERROR($BM$2&amp;VLOOKUP(F401,'Pay Table'!$M$3:$N$18,2,FALSE)&amp;$BL$2&amp;#REF!&amp;$BN$2,"")</f>
        <v/>
      </c>
    </row>
    <row r="400" spans="64:68" x14ac:dyDescent="0.15">
      <c r="BL400" s="26" t="str">
        <f>IFERROR($BM$2&amp;VLOOKUP(B402,'Pay Table'!$M$3:$N$18,2,FALSE)&amp;$BL$2&amp;#REF!&amp;$BN$2,"")</f>
        <v/>
      </c>
      <c r="BM400" s="1" t="str">
        <f>IFERROR($BM$2&amp;VLOOKUP(C402,'Pay Table'!$M$3:$N$18,2,FALSE)&amp;$BL$2&amp;#REF!&amp;$BN$2,"")</f>
        <v/>
      </c>
      <c r="BN400" s="1" t="str">
        <f>IFERROR($BM$2&amp;VLOOKUP(D402,'Pay Table'!$M$3:$N$18,2,FALSE)&amp;$BL$2&amp;#REF!&amp;$BN$2,"")</f>
        <v/>
      </c>
      <c r="BO400" s="1" t="str">
        <f>IFERROR($BM$2&amp;VLOOKUP(E402,'Pay Table'!$M$3:$N$18,2,FALSE)&amp;$BL$2&amp;#REF!&amp;$BN$2,"")</f>
        <v/>
      </c>
      <c r="BP400" s="27" t="str">
        <f>IFERROR($BM$2&amp;VLOOKUP(F402,'Pay Table'!$M$3:$N$18,2,FALSE)&amp;$BL$2&amp;#REF!&amp;$BN$2,"")</f>
        <v/>
      </c>
    </row>
    <row r="401" spans="64:68" x14ac:dyDescent="0.15">
      <c r="BL401" s="26" t="str">
        <f>IFERROR($BM$2&amp;VLOOKUP(B403,'Pay Table'!$M$3:$N$18,2,FALSE)&amp;$BL$2&amp;#REF!&amp;$BN$2,"")</f>
        <v/>
      </c>
      <c r="BM401" s="1" t="str">
        <f>IFERROR($BM$2&amp;VLOOKUP(C403,'Pay Table'!$M$3:$N$18,2,FALSE)&amp;$BL$2&amp;#REF!&amp;$BN$2,"")</f>
        <v/>
      </c>
      <c r="BN401" s="1" t="str">
        <f>IFERROR($BM$2&amp;VLOOKUP(D403,'Pay Table'!$M$3:$N$18,2,FALSE)&amp;$BL$2&amp;#REF!&amp;$BN$2,"")</f>
        <v/>
      </c>
      <c r="BO401" s="1" t="str">
        <f>IFERROR($BM$2&amp;VLOOKUP(E403,'Pay Table'!$M$3:$N$18,2,FALSE)&amp;$BL$2&amp;#REF!&amp;$BN$2,"")</f>
        <v/>
      </c>
      <c r="BP401" s="27" t="str">
        <f>IFERROR($BM$2&amp;VLOOKUP(F403,'Pay Table'!$M$3:$N$18,2,FALSE)&amp;$BL$2&amp;#REF!&amp;$BN$2,"")</f>
        <v/>
      </c>
    </row>
    <row r="402" spans="64:68" x14ac:dyDescent="0.15">
      <c r="BL402" s="26" t="str">
        <f>IFERROR($BM$2&amp;VLOOKUP(B404,'Pay Table'!$M$3:$N$18,2,FALSE)&amp;$BL$2&amp;#REF!&amp;$BN$2,"")</f>
        <v/>
      </c>
      <c r="BM402" s="1" t="str">
        <f>IFERROR($BM$2&amp;VLOOKUP(C404,'Pay Table'!$M$3:$N$18,2,FALSE)&amp;$BL$2&amp;#REF!&amp;$BN$2,"")</f>
        <v/>
      </c>
      <c r="BN402" s="1" t="str">
        <f>IFERROR($BM$2&amp;VLOOKUP(D404,'Pay Table'!$M$3:$N$18,2,FALSE)&amp;$BL$2&amp;#REF!&amp;$BN$2,"")</f>
        <v/>
      </c>
      <c r="BO402" s="1" t="str">
        <f>IFERROR($BM$2&amp;VLOOKUP(E404,'Pay Table'!$M$3:$N$18,2,FALSE)&amp;$BL$2&amp;#REF!&amp;$BN$2,"")</f>
        <v/>
      </c>
      <c r="BP402" s="27" t="str">
        <f>IFERROR($BM$2&amp;VLOOKUP(F404,'Pay Table'!$M$3:$N$18,2,FALSE)&amp;$BL$2&amp;#REF!&amp;$BN$2,"")</f>
        <v/>
      </c>
    </row>
    <row r="403" spans="64:68" x14ac:dyDescent="0.15">
      <c r="BL403" s="26" t="str">
        <f>IFERROR($BM$2&amp;VLOOKUP(B405,'Pay Table'!$M$3:$N$18,2,FALSE)&amp;$BL$2&amp;#REF!&amp;$BN$2,"")</f>
        <v/>
      </c>
      <c r="BM403" s="1" t="str">
        <f>IFERROR($BM$2&amp;VLOOKUP(C405,'Pay Table'!$M$3:$N$18,2,FALSE)&amp;$BL$2&amp;#REF!&amp;$BN$2,"")</f>
        <v/>
      </c>
      <c r="BN403" s="1" t="str">
        <f>IFERROR($BM$2&amp;VLOOKUP(D405,'Pay Table'!$M$3:$N$18,2,FALSE)&amp;$BL$2&amp;#REF!&amp;$BN$2,"")</f>
        <v/>
      </c>
      <c r="BO403" s="1" t="str">
        <f>IFERROR($BM$2&amp;VLOOKUP(E405,'Pay Table'!$M$3:$N$18,2,FALSE)&amp;$BL$2&amp;#REF!&amp;$BN$2,"")</f>
        <v/>
      </c>
      <c r="BP403" s="27" t="str">
        <f>IFERROR($BM$2&amp;VLOOKUP(F405,'Pay Table'!$M$3:$N$18,2,FALSE)&amp;$BL$2&amp;#REF!&amp;$BN$2,"")</f>
        <v/>
      </c>
    </row>
    <row r="404" spans="64:68" x14ac:dyDescent="0.15">
      <c r="BL404" s="26" t="str">
        <f>IFERROR($BM$2&amp;VLOOKUP(B406,'Pay Table'!$M$3:$N$18,2,FALSE)&amp;$BL$2&amp;#REF!&amp;$BN$2,"")</f>
        <v/>
      </c>
      <c r="BM404" s="1" t="str">
        <f>IFERROR($BM$2&amp;VLOOKUP(C406,'Pay Table'!$M$3:$N$18,2,FALSE)&amp;$BL$2&amp;#REF!&amp;$BN$2,"")</f>
        <v/>
      </c>
      <c r="BN404" s="1" t="str">
        <f>IFERROR($BM$2&amp;VLOOKUP(D406,'Pay Table'!$M$3:$N$18,2,FALSE)&amp;$BL$2&amp;#REF!&amp;$BN$2,"")</f>
        <v/>
      </c>
      <c r="BO404" s="1" t="str">
        <f>IFERROR($BM$2&amp;VLOOKUP(E406,'Pay Table'!$M$3:$N$18,2,FALSE)&amp;$BL$2&amp;#REF!&amp;$BN$2,"")</f>
        <v/>
      </c>
      <c r="BP404" s="27" t="str">
        <f>IFERROR($BM$2&amp;VLOOKUP(F406,'Pay Table'!$M$3:$N$18,2,FALSE)&amp;$BL$2&amp;#REF!&amp;$BN$2,"")</f>
        <v/>
      </c>
    </row>
    <row r="405" spans="64:68" x14ac:dyDescent="0.15">
      <c r="BL405" s="26" t="str">
        <f>IFERROR($BM$2&amp;VLOOKUP(B407,'Pay Table'!$M$3:$N$18,2,FALSE)&amp;$BL$2&amp;#REF!&amp;$BN$2,"")</f>
        <v/>
      </c>
      <c r="BM405" s="1" t="str">
        <f>IFERROR($BM$2&amp;VLOOKUP(C407,'Pay Table'!$M$3:$N$18,2,FALSE)&amp;$BL$2&amp;#REF!&amp;$BN$2,"")</f>
        <v/>
      </c>
      <c r="BN405" s="1" t="str">
        <f>IFERROR($BM$2&amp;VLOOKUP(D407,'Pay Table'!$M$3:$N$18,2,FALSE)&amp;$BL$2&amp;#REF!&amp;$BN$2,"")</f>
        <v/>
      </c>
      <c r="BO405" s="1" t="str">
        <f>IFERROR($BM$2&amp;VLOOKUP(E407,'Pay Table'!$M$3:$N$18,2,FALSE)&amp;$BL$2&amp;#REF!&amp;$BN$2,"")</f>
        <v/>
      </c>
      <c r="BP405" s="27" t="str">
        <f>IFERROR($BM$2&amp;VLOOKUP(F407,'Pay Table'!$M$3:$N$18,2,FALSE)&amp;$BL$2&amp;#REF!&amp;$BN$2,"")</f>
        <v/>
      </c>
    </row>
    <row r="406" spans="64:68" x14ac:dyDescent="0.15">
      <c r="BL406" s="26" t="str">
        <f>IFERROR($BM$2&amp;VLOOKUP(B408,'Pay Table'!$M$3:$N$18,2,FALSE)&amp;$BL$2&amp;#REF!&amp;$BN$2,"")</f>
        <v/>
      </c>
      <c r="BM406" s="1" t="str">
        <f>IFERROR($BM$2&amp;VLOOKUP(C408,'Pay Table'!$M$3:$N$18,2,FALSE)&amp;$BL$2&amp;#REF!&amp;$BN$2,"")</f>
        <v/>
      </c>
      <c r="BN406" s="1" t="str">
        <f>IFERROR($BM$2&amp;VLOOKUP(D408,'Pay Table'!$M$3:$N$18,2,FALSE)&amp;$BL$2&amp;#REF!&amp;$BN$2,"")</f>
        <v/>
      </c>
      <c r="BO406" s="1" t="str">
        <f>IFERROR($BM$2&amp;VLOOKUP(E408,'Pay Table'!$M$3:$N$18,2,FALSE)&amp;$BL$2&amp;#REF!&amp;$BN$2,"")</f>
        <v/>
      </c>
      <c r="BP406" s="27" t="str">
        <f>IFERROR($BM$2&amp;VLOOKUP(F408,'Pay Table'!$M$3:$N$18,2,FALSE)&amp;$BL$2&amp;#REF!&amp;$BN$2,"")</f>
        <v/>
      </c>
    </row>
    <row r="407" spans="64:68" x14ac:dyDescent="0.15">
      <c r="BL407" s="26" t="str">
        <f>IFERROR($BM$2&amp;VLOOKUP(B409,'Pay Table'!$M$3:$N$18,2,FALSE)&amp;$BL$2&amp;#REF!&amp;$BN$2,"")</f>
        <v/>
      </c>
      <c r="BM407" s="1" t="str">
        <f>IFERROR($BM$2&amp;VLOOKUP(C409,'Pay Table'!$M$3:$N$18,2,FALSE)&amp;$BL$2&amp;#REF!&amp;$BN$2,"")</f>
        <v/>
      </c>
      <c r="BN407" s="1" t="str">
        <f>IFERROR($BM$2&amp;VLOOKUP(D409,'Pay Table'!$M$3:$N$18,2,FALSE)&amp;$BL$2&amp;#REF!&amp;$BN$2,"")</f>
        <v/>
      </c>
      <c r="BO407" s="1" t="str">
        <f>IFERROR($BM$2&amp;VLOOKUP(E409,'Pay Table'!$M$3:$N$18,2,FALSE)&amp;$BL$2&amp;#REF!&amp;$BN$2,"")</f>
        <v/>
      </c>
      <c r="BP407" s="27" t="str">
        <f>IFERROR($BM$2&amp;VLOOKUP(F409,'Pay Table'!$M$3:$N$18,2,FALSE)&amp;$BL$2&amp;#REF!&amp;$BN$2,"")</f>
        <v/>
      </c>
    </row>
    <row r="408" spans="64:68" x14ac:dyDescent="0.15">
      <c r="BL408" s="26" t="str">
        <f>IFERROR($BM$2&amp;VLOOKUP(B410,'Pay Table'!$M$3:$N$18,2,FALSE)&amp;$BL$2&amp;#REF!&amp;$BN$2,"")</f>
        <v/>
      </c>
      <c r="BM408" s="1" t="str">
        <f>IFERROR($BM$2&amp;VLOOKUP(C410,'Pay Table'!$M$3:$N$18,2,FALSE)&amp;$BL$2&amp;#REF!&amp;$BN$2,"")</f>
        <v/>
      </c>
      <c r="BN408" s="1" t="str">
        <f>IFERROR($BM$2&amp;VLOOKUP(D410,'Pay Table'!$M$3:$N$18,2,FALSE)&amp;$BL$2&amp;#REF!&amp;$BN$2,"")</f>
        <v/>
      </c>
      <c r="BO408" s="1" t="str">
        <f>IFERROR($BM$2&amp;VLOOKUP(E410,'Pay Table'!$M$3:$N$18,2,FALSE)&amp;$BL$2&amp;#REF!&amp;$BN$2,"")</f>
        <v/>
      </c>
      <c r="BP408" s="27" t="str">
        <f>IFERROR($BM$2&amp;VLOOKUP(F410,'Pay Table'!$M$3:$N$18,2,FALSE)&amp;$BL$2&amp;#REF!&amp;$BN$2,"")</f>
        <v/>
      </c>
    </row>
    <row r="409" spans="64:68" x14ac:dyDescent="0.15">
      <c r="BL409" s="26" t="str">
        <f>IFERROR($BM$2&amp;VLOOKUP(B411,'Pay Table'!$M$3:$N$18,2,FALSE)&amp;$BL$2&amp;#REF!&amp;$BN$2,"")</f>
        <v/>
      </c>
      <c r="BM409" s="1" t="str">
        <f>IFERROR($BM$2&amp;VLOOKUP(C411,'Pay Table'!$M$3:$N$18,2,FALSE)&amp;$BL$2&amp;#REF!&amp;$BN$2,"")</f>
        <v/>
      </c>
      <c r="BN409" s="1" t="str">
        <f>IFERROR($BM$2&amp;VLOOKUP(D411,'Pay Table'!$M$3:$N$18,2,FALSE)&amp;$BL$2&amp;#REF!&amp;$BN$2,"")</f>
        <v/>
      </c>
      <c r="BO409" s="1" t="str">
        <f>IFERROR($BM$2&amp;VLOOKUP(E411,'Pay Table'!$M$3:$N$18,2,FALSE)&amp;$BL$2&amp;#REF!&amp;$BN$2,"")</f>
        <v/>
      </c>
      <c r="BP409" s="27" t="str">
        <f>IFERROR($BM$2&amp;VLOOKUP(F411,'Pay Table'!$M$3:$N$18,2,FALSE)&amp;$BL$2&amp;#REF!&amp;$BN$2,"")</f>
        <v/>
      </c>
    </row>
    <row r="410" spans="64:68" x14ac:dyDescent="0.15">
      <c r="BL410" s="26" t="str">
        <f>IFERROR($BM$2&amp;VLOOKUP(B412,'Pay Table'!$M$3:$N$18,2,FALSE)&amp;$BL$2&amp;#REF!&amp;$BN$2,"")</f>
        <v/>
      </c>
      <c r="BM410" s="1" t="str">
        <f>IFERROR($BM$2&amp;VLOOKUP(C412,'Pay Table'!$M$3:$N$18,2,FALSE)&amp;$BL$2&amp;#REF!&amp;$BN$2,"")</f>
        <v/>
      </c>
      <c r="BN410" s="1" t="str">
        <f>IFERROR($BM$2&amp;VLOOKUP(D412,'Pay Table'!$M$3:$N$18,2,FALSE)&amp;$BL$2&amp;#REF!&amp;$BN$2,"")</f>
        <v/>
      </c>
      <c r="BO410" s="1" t="str">
        <f>IFERROR($BM$2&amp;VLOOKUP(E412,'Pay Table'!$M$3:$N$18,2,FALSE)&amp;$BL$2&amp;#REF!&amp;$BN$2,"")</f>
        <v/>
      </c>
      <c r="BP410" s="27" t="str">
        <f>IFERROR($BM$2&amp;VLOOKUP(F412,'Pay Table'!$M$3:$N$18,2,FALSE)&amp;$BL$2&amp;#REF!&amp;$BN$2,"")</f>
        <v/>
      </c>
    </row>
    <row r="411" spans="64:68" x14ac:dyDescent="0.15">
      <c r="BL411" s="26" t="str">
        <f>IFERROR($BM$2&amp;VLOOKUP(B413,'Pay Table'!$M$3:$N$18,2,FALSE)&amp;$BL$2&amp;#REF!&amp;$BN$2,"")</f>
        <v/>
      </c>
      <c r="BM411" s="1" t="str">
        <f>IFERROR($BM$2&amp;VLOOKUP(C413,'Pay Table'!$M$3:$N$18,2,FALSE)&amp;$BL$2&amp;#REF!&amp;$BN$2,"")</f>
        <v/>
      </c>
      <c r="BN411" s="1" t="str">
        <f>IFERROR($BM$2&amp;VLOOKUP(D413,'Pay Table'!$M$3:$N$18,2,FALSE)&amp;$BL$2&amp;#REF!&amp;$BN$2,"")</f>
        <v/>
      </c>
      <c r="BO411" s="1" t="str">
        <f>IFERROR($BM$2&amp;VLOOKUP(E413,'Pay Table'!$M$3:$N$18,2,FALSE)&amp;$BL$2&amp;#REF!&amp;$BN$2,"")</f>
        <v/>
      </c>
      <c r="BP411" s="27" t="str">
        <f>IFERROR($BM$2&amp;VLOOKUP(F413,'Pay Table'!$M$3:$N$18,2,FALSE)&amp;$BL$2&amp;#REF!&amp;$BN$2,"")</f>
        <v/>
      </c>
    </row>
    <row r="412" spans="64:68" x14ac:dyDescent="0.15">
      <c r="BL412" s="26" t="str">
        <f>IFERROR($BM$2&amp;VLOOKUP(B414,'Pay Table'!$M$3:$N$18,2,FALSE)&amp;$BL$2&amp;#REF!&amp;$BN$2,"")</f>
        <v/>
      </c>
      <c r="BM412" s="1" t="str">
        <f>IFERROR($BM$2&amp;VLOOKUP(C414,'Pay Table'!$M$3:$N$18,2,FALSE)&amp;$BL$2&amp;#REF!&amp;$BN$2,"")</f>
        <v/>
      </c>
      <c r="BN412" s="1" t="str">
        <f>IFERROR($BM$2&amp;VLOOKUP(D414,'Pay Table'!$M$3:$N$18,2,FALSE)&amp;$BL$2&amp;#REF!&amp;$BN$2,"")</f>
        <v/>
      </c>
      <c r="BO412" s="1" t="str">
        <f>IFERROR($BM$2&amp;VLOOKUP(E414,'Pay Table'!$M$3:$N$18,2,FALSE)&amp;$BL$2&amp;#REF!&amp;$BN$2,"")</f>
        <v/>
      </c>
      <c r="BP412" s="27" t="str">
        <f>IFERROR($BM$2&amp;VLOOKUP(F414,'Pay Table'!$M$3:$N$18,2,FALSE)&amp;$BL$2&amp;#REF!&amp;$BN$2,"")</f>
        <v/>
      </c>
    </row>
    <row r="413" spans="64:68" x14ac:dyDescent="0.15">
      <c r="BL413" s="26" t="str">
        <f>IFERROR($BM$2&amp;VLOOKUP(B415,'Pay Table'!$M$3:$N$18,2,FALSE)&amp;$BL$2&amp;#REF!&amp;$BN$2,"")</f>
        <v/>
      </c>
      <c r="BM413" s="1" t="str">
        <f>IFERROR($BM$2&amp;VLOOKUP(C415,'Pay Table'!$M$3:$N$18,2,FALSE)&amp;$BL$2&amp;#REF!&amp;$BN$2,"")</f>
        <v/>
      </c>
      <c r="BN413" s="1" t="str">
        <f>IFERROR($BM$2&amp;VLOOKUP(D415,'Pay Table'!$M$3:$N$18,2,FALSE)&amp;$BL$2&amp;#REF!&amp;$BN$2,"")</f>
        <v/>
      </c>
      <c r="BO413" s="1" t="str">
        <f>IFERROR($BM$2&amp;VLOOKUP(E415,'Pay Table'!$M$3:$N$18,2,FALSE)&amp;$BL$2&amp;#REF!&amp;$BN$2,"")</f>
        <v/>
      </c>
      <c r="BP413" s="27" t="str">
        <f>IFERROR($BM$2&amp;VLOOKUP(F415,'Pay Table'!$M$3:$N$18,2,FALSE)&amp;$BL$2&amp;#REF!&amp;$BN$2,"")</f>
        <v/>
      </c>
    </row>
    <row r="414" spans="64:68" x14ac:dyDescent="0.15">
      <c r="BL414" s="26" t="str">
        <f>IFERROR($BM$2&amp;VLOOKUP(B416,'Pay Table'!$M$3:$N$18,2,FALSE)&amp;$BL$2&amp;#REF!&amp;$BN$2,"")</f>
        <v/>
      </c>
      <c r="BM414" s="1" t="str">
        <f>IFERROR($BM$2&amp;VLOOKUP(C416,'Pay Table'!$M$3:$N$18,2,FALSE)&amp;$BL$2&amp;#REF!&amp;$BN$2,"")</f>
        <v/>
      </c>
      <c r="BN414" s="1" t="str">
        <f>IFERROR($BM$2&amp;VLOOKUP(D416,'Pay Table'!$M$3:$N$18,2,FALSE)&amp;$BL$2&amp;#REF!&amp;$BN$2,"")</f>
        <v/>
      </c>
      <c r="BO414" s="1" t="str">
        <f>IFERROR($BM$2&amp;VLOOKUP(E416,'Pay Table'!$M$3:$N$18,2,FALSE)&amp;$BL$2&amp;#REF!&amp;$BN$2,"")</f>
        <v/>
      </c>
      <c r="BP414" s="27" t="str">
        <f>IFERROR($BM$2&amp;VLOOKUP(F416,'Pay Table'!$M$3:$N$18,2,FALSE)&amp;$BL$2&amp;#REF!&amp;$BN$2,"")</f>
        <v/>
      </c>
    </row>
    <row r="415" spans="64:68" x14ac:dyDescent="0.15">
      <c r="BL415" s="26" t="str">
        <f>IFERROR($BM$2&amp;VLOOKUP(B417,'Pay Table'!$M$3:$N$18,2,FALSE)&amp;$BL$2&amp;#REF!&amp;$BN$2,"")</f>
        <v/>
      </c>
      <c r="BM415" s="1" t="str">
        <f>IFERROR($BM$2&amp;VLOOKUP(C417,'Pay Table'!$M$3:$N$18,2,FALSE)&amp;$BL$2&amp;#REF!&amp;$BN$2,"")</f>
        <v/>
      </c>
      <c r="BN415" s="1" t="str">
        <f>IFERROR($BM$2&amp;VLOOKUP(D417,'Pay Table'!$M$3:$N$18,2,FALSE)&amp;$BL$2&amp;#REF!&amp;$BN$2,"")</f>
        <v/>
      </c>
      <c r="BO415" s="1" t="str">
        <f>IFERROR($BM$2&amp;VLOOKUP(E417,'Pay Table'!$M$3:$N$18,2,FALSE)&amp;$BL$2&amp;#REF!&amp;$BN$2,"")</f>
        <v/>
      </c>
      <c r="BP415" s="27" t="str">
        <f>IFERROR($BM$2&amp;VLOOKUP(F417,'Pay Table'!$M$3:$N$18,2,FALSE)&amp;$BL$2&amp;#REF!&amp;$BN$2,"")</f>
        <v/>
      </c>
    </row>
    <row r="416" spans="64:68" x14ac:dyDescent="0.15">
      <c r="BL416" s="26" t="str">
        <f>IFERROR($BM$2&amp;VLOOKUP(B418,'Pay Table'!$M$3:$N$18,2,FALSE)&amp;$BL$2&amp;#REF!&amp;$BN$2,"")</f>
        <v/>
      </c>
      <c r="BM416" s="1" t="str">
        <f>IFERROR($BM$2&amp;VLOOKUP(C418,'Pay Table'!$M$3:$N$18,2,FALSE)&amp;$BL$2&amp;#REF!&amp;$BN$2,"")</f>
        <v/>
      </c>
      <c r="BN416" s="1" t="str">
        <f>IFERROR($BM$2&amp;VLOOKUP(D418,'Pay Table'!$M$3:$N$18,2,FALSE)&amp;$BL$2&amp;#REF!&amp;$BN$2,"")</f>
        <v/>
      </c>
      <c r="BO416" s="1" t="str">
        <f>IFERROR($BM$2&amp;VLOOKUP(E418,'Pay Table'!$M$3:$N$18,2,FALSE)&amp;$BL$2&amp;#REF!&amp;$BN$2,"")</f>
        <v/>
      </c>
      <c r="BP416" s="27" t="str">
        <f>IFERROR($BM$2&amp;VLOOKUP(F418,'Pay Table'!$M$3:$N$18,2,FALSE)&amp;$BL$2&amp;#REF!&amp;$BN$2,"")</f>
        <v/>
      </c>
    </row>
    <row r="417" spans="64:68" x14ac:dyDescent="0.15">
      <c r="BL417" s="26" t="str">
        <f>IFERROR($BM$2&amp;VLOOKUP(B419,'Pay Table'!$M$3:$N$18,2,FALSE)&amp;$BL$2&amp;#REF!&amp;$BN$2,"")</f>
        <v/>
      </c>
      <c r="BM417" s="1" t="str">
        <f>IFERROR($BM$2&amp;VLOOKUP(C419,'Pay Table'!$M$3:$N$18,2,FALSE)&amp;$BL$2&amp;#REF!&amp;$BN$2,"")</f>
        <v/>
      </c>
      <c r="BN417" s="1" t="str">
        <f>IFERROR($BM$2&amp;VLOOKUP(D419,'Pay Table'!$M$3:$N$18,2,FALSE)&amp;$BL$2&amp;#REF!&amp;$BN$2,"")</f>
        <v/>
      </c>
      <c r="BO417" s="1" t="str">
        <f>IFERROR($BM$2&amp;VLOOKUP(E419,'Pay Table'!$M$3:$N$18,2,FALSE)&amp;$BL$2&amp;#REF!&amp;$BN$2,"")</f>
        <v/>
      </c>
      <c r="BP417" s="27" t="str">
        <f>IFERROR($BM$2&amp;VLOOKUP(F419,'Pay Table'!$M$3:$N$18,2,FALSE)&amp;$BL$2&amp;#REF!&amp;$BN$2,"")</f>
        <v/>
      </c>
    </row>
    <row r="418" spans="64:68" x14ac:dyDescent="0.15">
      <c r="BL418" s="26" t="str">
        <f>IFERROR($BM$2&amp;VLOOKUP(B420,'Pay Table'!$M$3:$N$18,2,FALSE)&amp;$BL$2&amp;#REF!&amp;$BN$2,"")</f>
        <v/>
      </c>
      <c r="BM418" s="1" t="str">
        <f>IFERROR($BM$2&amp;VLOOKUP(C420,'Pay Table'!$M$3:$N$18,2,FALSE)&amp;$BL$2&amp;#REF!&amp;$BN$2,"")</f>
        <v/>
      </c>
      <c r="BN418" s="1" t="str">
        <f>IFERROR($BM$2&amp;VLOOKUP(D420,'Pay Table'!$M$3:$N$18,2,FALSE)&amp;$BL$2&amp;#REF!&amp;$BN$2,"")</f>
        <v/>
      </c>
      <c r="BO418" s="1" t="str">
        <f>IFERROR($BM$2&amp;VLOOKUP(E420,'Pay Table'!$M$3:$N$18,2,FALSE)&amp;$BL$2&amp;#REF!&amp;$BN$2,"")</f>
        <v/>
      </c>
      <c r="BP418" s="27" t="str">
        <f>IFERROR($BM$2&amp;VLOOKUP(F420,'Pay Table'!$M$3:$N$18,2,FALSE)&amp;$BL$2&amp;#REF!&amp;$BN$2,"")</f>
        <v/>
      </c>
    </row>
    <row r="419" spans="64:68" x14ac:dyDescent="0.15">
      <c r="BL419" s="26" t="str">
        <f>IFERROR($BM$2&amp;VLOOKUP(B421,'Pay Table'!$M$3:$N$18,2,FALSE)&amp;$BL$2&amp;#REF!&amp;$BN$2,"")</f>
        <v/>
      </c>
      <c r="BM419" s="1" t="str">
        <f>IFERROR($BM$2&amp;VLOOKUP(C421,'Pay Table'!$M$3:$N$18,2,FALSE)&amp;$BL$2&amp;#REF!&amp;$BN$2,"")</f>
        <v/>
      </c>
      <c r="BN419" s="1" t="str">
        <f>IFERROR($BM$2&amp;VLOOKUP(D421,'Pay Table'!$M$3:$N$18,2,FALSE)&amp;$BL$2&amp;#REF!&amp;$BN$2,"")</f>
        <v/>
      </c>
      <c r="BO419" s="1" t="str">
        <f>IFERROR($BM$2&amp;VLOOKUP(E421,'Pay Table'!$M$3:$N$18,2,FALSE)&amp;$BL$2&amp;#REF!&amp;$BN$2,"")</f>
        <v/>
      </c>
      <c r="BP419" s="27" t="str">
        <f>IFERROR($BM$2&amp;VLOOKUP(F421,'Pay Table'!$M$3:$N$18,2,FALSE)&amp;$BL$2&amp;#REF!&amp;$BN$2,"")</f>
        <v/>
      </c>
    </row>
    <row r="420" spans="64:68" x14ac:dyDescent="0.15">
      <c r="BL420" s="26" t="str">
        <f>IFERROR($BM$2&amp;VLOOKUP(B422,'Pay Table'!$M$3:$N$18,2,FALSE)&amp;$BL$2&amp;#REF!&amp;$BN$2,"")</f>
        <v/>
      </c>
      <c r="BM420" s="1" t="str">
        <f>IFERROR($BM$2&amp;VLOOKUP(C422,'Pay Table'!$M$3:$N$18,2,FALSE)&amp;$BL$2&amp;#REF!&amp;$BN$2,"")</f>
        <v/>
      </c>
      <c r="BN420" s="1" t="str">
        <f>IFERROR($BM$2&amp;VLOOKUP(D422,'Pay Table'!$M$3:$N$18,2,FALSE)&amp;$BL$2&amp;#REF!&amp;$BN$2,"")</f>
        <v/>
      </c>
      <c r="BO420" s="1" t="str">
        <f>IFERROR($BM$2&amp;VLOOKUP(E422,'Pay Table'!$M$3:$N$18,2,FALSE)&amp;$BL$2&amp;#REF!&amp;$BN$2,"")</f>
        <v/>
      </c>
      <c r="BP420" s="27" t="str">
        <f>IFERROR($BM$2&amp;VLOOKUP(F422,'Pay Table'!$M$3:$N$18,2,FALSE)&amp;$BL$2&amp;#REF!&amp;$BN$2,"")</f>
        <v/>
      </c>
    </row>
    <row r="421" spans="64:68" x14ac:dyDescent="0.15">
      <c r="BL421" s="26" t="str">
        <f>IFERROR($BM$2&amp;VLOOKUP(B423,'Pay Table'!$M$3:$N$18,2,FALSE)&amp;$BL$2&amp;#REF!&amp;$BN$2,"")</f>
        <v/>
      </c>
      <c r="BM421" s="1" t="str">
        <f>IFERROR($BM$2&amp;VLOOKUP(C423,'Pay Table'!$M$3:$N$18,2,FALSE)&amp;$BL$2&amp;#REF!&amp;$BN$2,"")</f>
        <v/>
      </c>
      <c r="BN421" s="1" t="str">
        <f>IFERROR($BM$2&amp;VLOOKUP(D423,'Pay Table'!$M$3:$N$18,2,FALSE)&amp;$BL$2&amp;#REF!&amp;$BN$2,"")</f>
        <v/>
      </c>
      <c r="BO421" s="1" t="str">
        <f>IFERROR($BM$2&amp;VLOOKUP(E423,'Pay Table'!$M$3:$N$18,2,FALSE)&amp;$BL$2&amp;#REF!&amp;$BN$2,"")</f>
        <v/>
      </c>
      <c r="BP421" s="27" t="str">
        <f>IFERROR($BM$2&amp;VLOOKUP(F423,'Pay Table'!$M$3:$N$18,2,FALSE)&amp;$BL$2&amp;#REF!&amp;$BN$2,"")</f>
        <v/>
      </c>
    </row>
    <row r="422" spans="64:68" x14ac:dyDescent="0.15">
      <c r="BL422" s="26" t="str">
        <f>IFERROR($BM$2&amp;VLOOKUP(B424,'Pay Table'!$M$3:$N$18,2,FALSE)&amp;$BL$2&amp;#REF!&amp;$BN$2,"")</f>
        <v/>
      </c>
      <c r="BM422" s="1" t="str">
        <f>IFERROR($BM$2&amp;VLOOKUP(C424,'Pay Table'!$M$3:$N$18,2,FALSE)&amp;$BL$2&amp;#REF!&amp;$BN$2,"")</f>
        <v/>
      </c>
      <c r="BN422" s="1" t="str">
        <f>IFERROR($BM$2&amp;VLOOKUP(D424,'Pay Table'!$M$3:$N$18,2,FALSE)&amp;$BL$2&amp;#REF!&amp;$BN$2,"")</f>
        <v/>
      </c>
      <c r="BO422" s="1" t="str">
        <f>IFERROR($BM$2&amp;VLOOKUP(E424,'Pay Table'!$M$3:$N$18,2,FALSE)&amp;$BL$2&amp;#REF!&amp;$BN$2,"")</f>
        <v/>
      </c>
      <c r="BP422" s="27" t="str">
        <f>IFERROR($BM$2&amp;VLOOKUP(F424,'Pay Table'!$M$3:$N$18,2,FALSE)&amp;$BL$2&amp;#REF!&amp;$BN$2,"")</f>
        <v/>
      </c>
    </row>
    <row r="423" spans="64:68" x14ac:dyDescent="0.15">
      <c r="BL423" s="26" t="str">
        <f>IFERROR($BM$2&amp;VLOOKUP(B425,'Pay Table'!$M$3:$N$18,2,FALSE)&amp;$BL$2&amp;#REF!&amp;$BN$2,"")</f>
        <v/>
      </c>
      <c r="BM423" s="1" t="str">
        <f>IFERROR($BM$2&amp;VLOOKUP(C425,'Pay Table'!$M$3:$N$18,2,FALSE)&amp;$BL$2&amp;#REF!&amp;$BN$2,"")</f>
        <v/>
      </c>
      <c r="BN423" s="1" t="str">
        <f>IFERROR($BM$2&amp;VLOOKUP(D425,'Pay Table'!$M$3:$N$18,2,FALSE)&amp;$BL$2&amp;#REF!&amp;$BN$2,"")</f>
        <v/>
      </c>
      <c r="BO423" s="1" t="str">
        <f>IFERROR($BM$2&amp;VLOOKUP(E425,'Pay Table'!$M$3:$N$18,2,FALSE)&amp;$BL$2&amp;#REF!&amp;$BN$2,"")</f>
        <v/>
      </c>
      <c r="BP423" s="27" t="str">
        <f>IFERROR($BM$2&amp;VLOOKUP(F425,'Pay Table'!$M$3:$N$18,2,FALSE)&amp;$BL$2&amp;#REF!&amp;$BN$2,"")</f>
        <v/>
      </c>
    </row>
    <row r="424" spans="64:68" x14ac:dyDescent="0.15">
      <c r="BL424" s="26" t="str">
        <f>IFERROR($BM$2&amp;VLOOKUP(B426,'Pay Table'!$M$3:$N$18,2,FALSE)&amp;$BL$2&amp;#REF!&amp;$BN$2,"")</f>
        <v/>
      </c>
      <c r="BM424" s="1" t="str">
        <f>IFERROR($BM$2&amp;VLOOKUP(C426,'Pay Table'!$M$3:$N$18,2,FALSE)&amp;$BL$2&amp;#REF!&amp;$BN$2,"")</f>
        <v/>
      </c>
      <c r="BN424" s="1" t="str">
        <f>IFERROR($BM$2&amp;VLOOKUP(D426,'Pay Table'!$M$3:$N$18,2,FALSE)&amp;$BL$2&amp;#REF!&amp;$BN$2,"")</f>
        <v/>
      </c>
      <c r="BO424" s="1" t="str">
        <f>IFERROR($BM$2&amp;VLOOKUP(E426,'Pay Table'!$M$3:$N$18,2,FALSE)&amp;$BL$2&amp;#REF!&amp;$BN$2,"")</f>
        <v/>
      </c>
      <c r="BP424" s="27" t="str">
        <f>IFERROR($BM$2&amp;VLOOKUP(F426,'Pay Table'!$M$3:$N$18,2,FALSE)&amp;$BL$2&amp;#REF!&amp;$BN$2,"")</f>
        <v/>
      </c>
    </row>
    <row r="425" spans="64:68" x14ac:dyDescent="0.15">
      <c r="BL425" s="26" t="str">
        <f>IFERROR($BM$2&amp;VLOOKUP(B427,'Pay Table'!$M$3:$N$18,2,FALSE)&amp;$BL$2&amp;#REF!&amp;$BN$2,"")</f>
        <v/>
      </c>
      <c r="BM425" s="1" t="str">
        <f>IFERROR($BM$2&amp;VLOOKUP(C427,'Pay Table'!$M$3:$N$18,2,FALSE)&amp;$BL$2&amp;#REF!&amp;$BN$2,"")</f>
        <v/>
      </c>
      <c r="BN425" s="1" t="str">
        <f>IFERROR($BM$2&amp;VLOOKUP(D427,'Pay Table'!$M$3:$N$18,2,FALSE)&amp;$BL$2&amp;#REF!&amp;$BN$2,"")</f>
        <v/>
      </c>
      <c r="BO425" s="1" t="str">
        <f>IFERROR($BM$2&amp;VLOOKUP(E427,'Pay Table'!$M$3:$N$18,2,FALSE)&amp;$BL$2&amp;#REF!&amp;$BN$2,"")</f>
        <v/>
      </c>
      <c r="BP425" s="27" t="str">
        <f>IFERROR($BM$2&amp;VLOOKUP(F427,'Pay Table'!$M$3:$N$18,2,FALSE)&amp;$BL$2&amp;#REF!&amp;$BN$2,"")</f>
        <v/>
      </c>
    </row>
    <row r="426" spans="64:68" x14ac:dyDescent="0.15">
      <c r="BL426" s="26" t="str">
        <f>IFERROR($BM$2&amp;VLOOKUP(B428,'Pay Table'!$M$3:$N$18,2,FALSE)&amp;$BL$2&amp;#REF!&amp;$BN$2,"")</f>
        <v/>
      </c>
      <c r="BM426" s="1" t="str">
        <f>IFERROR($BM$2&amp;VLOOKUP(C428,'Pay Table'!$M$3:$N$18,2,FALSE)&amp;$BL$2&amp;#REF!&amp;$BN$2,"")</f>
        <v/>
      </c>
      <c r="BN426" s="1" t="str">
        <f>IFERROR($BM$2&amp;VLOOKUP(D428,'Pay Table'!$M$3:$N$18,2,FALSE)&amp;$BL$2&amp;#REF!&amp;$BN$2,"")</f>
        <v/>
      </c>
      <c r="BO426" s="1" t="str">
        <f>IFERROR($BM$2&amp;VLOOKUP(E428,'Pay Table'!$M$3:$N$18,2,FALSE)&amp;$BL$2&amp;#REF!&amp;$BN$2,"")</f>
        <v/>
      </c>
      <c r="BP426" s="27" t="str">
        <f>IFERROR($BM$2&amp;VLOOKUP(F428,'Pay Table'!$M$3:$N$18,2,FALSE)&amp;$BL$2&amp;#REF!&amp;$BN$2,"")</f>
        <v/>
      </c>
    </row>
    <row r="427" spans="64:68" x14ac:dyDescent="0.15">
      <c r="BL427" s="26" t="str">
        <f>IFERROR($BM$2&amp;VLOOKUP(B429,'Pay Table'!$M$3:$N$18,2,FALSE)&amp;$BL$2&amp;#REF!&amp;$BN$2,"")</f>
        <v/>
      </c>
      <c r="BM427" s="1" t="str">
        <f>IFERROR($BM$2&amp;VLOOKUP(C429,'Pay Table'!$M$3:$N$18,2,FALSE)&amp;$BL$2&amp;#REF!&amp;$BN$2,"")</f>
        <v/>
      </c>
      <c r="BN427" s="1" t="str">
        <f>IFERROR($BM$2&amp;VLOOKUP(D429,'Pay Table'!$M$3:$N$18,2,FALSE)&amp;$BL$2&amp;#REF!&amp;$BN$2,"")</f>
        <v/>
      </c>
      <c r="BO427" s="1" t="str">
        <f>IFERROR($BM$2&amp;VLOOKUP(E429,'Pay Table'!$M$3:$N$18,2,FALSE)&amp;$BL$2&amp;#REF!&amp;$BN$2,"")</f>
        <v/>
      </c>
      <c r="BP427" s="27" t="str">
        <f>IFERROR($BM$2&amp;VLOOKUP(F429,'Pay Table'!$M$3:$N$18,2,FALSE)&amp;$BL$2&amp;#REF!&amp;$BN$2,"")</f>
        <v/>
      </c>
    </row>
    <row r="428" spans="64:68" x14ac:dyDescent="0.15">
      <c r="BL428" s="26" t="str">
        <f>IFERROR($BM$2&amp;VLOOKUP(B430,'Pay Table'!$M$3:$N$18,2,FALSE)&amp;$BL$2&amp;#REF!&amp;$BN$2,"")</f>
        <v/>
      </c>
      <c r="BM428" s="1" t="str">
        <f>IFERROR($BM$2&amp;VLOOKUP(C430,'Pay Table'!$M$3:$N$18,2,FALSE)&amp;$BL$2&amp;#REF!&amp;$BN$2,"")</f>
        <v/>
      </c>
      <c r="BN428" s="1" t="str">
        <f>IFERROR($BM$2&amp;VLOOKUP(D430,'Pay Table'!$M$3:$N$18,2,FALSE)&amp;$BL$2&amp;#REF!&amp;$BN$2,"")</f>
        <v/>
      </c>
      <c r="BO428" s="1" t="str">
        <f>IFERROR($BM$2&amp;VLOOKUP(E430,'Pay Table'!$M$3:$N$18,2,FALSE)&amp;$BL$2&amp;#REF!&amp;$BN$2,"")</f>
        <v/>
      </c>
      <c r="BP428" s="27" t="str">
        <f>IFERROR($BM$2&amp;VLOOKUP(F430,'Pay Table'!$M$3:$N$18,2,FALSE)&amp;$BL$2&amp;#REF!&amp;$BN$2,"")</f>
        <v/>
      </c>
    </row>
    <row r="429" spans="64:68" x14ac:dyDescent="0.15">
      <c r="BL429" s="26" t="str">
        <f>IFERROR($BM$2&amp;VLOOKUP(B431,'Pay Table'!$M$3:$N$18,2,FALSE)&amp;$BL$2&amp;#REF!&amp;$BN$2,"")</f>
        <v/>
      </c>
      <c r="BM429" s="1" t="str">
        <f>IFERROR($BM$2&amp;VLOOKUP(C431,'Pay Table'!$M$3:$N$18,2,FALSE)&amp;$BL$2&amp;#REF!&amp;$BN$2,"")</f>
        <v/>
      </c>
      <c r="BN429" s="1" t="str">
        <f>IFERROR($BM$2&amp;VLOOKUP(D431,'Pay Table'!$M$3:$N$18,2,FALSE)&amp;$BL$2&amp;#REF!&amp;$BN$2,"")</f>
        <v/>
      </c>
      <c r="BO429" s="1" t="str">
        <f>IFERROR($BM$2&amp;VLOOKUP(E431,'Pay Table'!$M$3:$N$18,2,FALSE)&amp;$BL$2&amp;#REF!&amp;$BN$2,"")</f>
        <v/>
      </c>
      <c r="BP429" s="27" t="str">
        <f>IFERROR($BM$2&amp;VLOOKUP(F431,'Pay Table'!$M$3:$N$18,2,FALSE)&amp;$BL$2&amp;#REF!&amp;$BN$2,"")</f>
        <v/>
      </c>
    </row>
    <row r="430" spans="64:68" x14ac:dyDescent="0.15">
      <c r="BL430" s="26" t="str">
        <f>IFERROR($BM$2&amp;VLOOKUP(B432,'Pay Table'!$M$3:$N$18,2,FALSE)&amp;$BL$2&amp;#REF!&amp;$BN$2,"")</f>
        <v/>
      </c>
      <c r="BM430" s="1" t="str">
        <f>IFERROR($BM$2&amp;VLOOKUP(C432,'Pay Table'!$M$3:$N$18,2,FALSE)&amp;$BL$2&amp;#REF!&amp;$BN$2,"")</f>
        <v/>
      </c>
      <c r="BN430" s="1" t="str">
        <f>IFERROR($BM$2&amp;VLOOKUP(D432,'Pay Table'!$M$3:$N$18,2,FALSE)&amp;$BL$2&amp;#REF!&amp;$BN$2,"")</f>
        <v/>
      </c>
      <c r="BO430" s="1" t="str">
        <f>IFERROR($BM$2&amp;VLOOKUP(E432,'Pay Table'!$M$3:$N$18,2,FALSE)&amp;$BL$2&amp;#REF!&amp;$BN$2,"")</f>
        <v/>
      </c>
      <c r="BP430" s="27" t="str">
        <f>IFERROR($BM$2&amp;VLOOKUP(F432,'Pay Table'!$M$3:$N$18,2,FALSE)&amp;$BL$2&amp;#REF!&amp;$BN$2,"")</f>
        <v/>
      </c>
    </row>
    <row r="431" spans="64:68" x14ac:dyDescent="0.15">
      <c r="BL431" s="26" t="str">
        <f>IFERROR($BM$2&amp;VLOOKUP(B433,'Pay Table'!$M$3:$N$18,2,FALSE)&amp;$BL$2&amp;#REF!&amp;$BN$2,"")</f>
        <v/>
      </c>
      <c r="BM431" s="1" t="str">
        <f>IFERROR($BM$2&amp;VLOOKUP(C433,'Pay Table'!$M$3:$N$18,2,FALSE)&amp;$BL$2&amp;#REF!&amp;$BN$2,"")</f>
        <v/>
      </c>
      <c r="BN431" s="1" t="str">
        <f>IFERROR($BM$2&amp;VLOOKUP(D433,'Pay Table'!$M$3:$N$18,2,FALSE)&amp;$BL$2&amp;#REF!&amp;$BN$2,"")</f>
        <v/>
      </c>
      <c r="BO431" s="1" t="str">
        <f>IFERROR($BM$2&amp;VLOOKUP(E433,'Pay Table'!$M$3:$N$18,2,FALSE)&amp;$BL$2&amp;#REF!&amp;$BN$2,"")</f>
        <v/>
      </c>
      <c r="BP431" s="27" t="str">
        <f>IFERROR($BM$2&amp;VLOOKUP(F433,'Pay Table'!$M$3:$N$18,2,FALSE)&amp;$BL$2&amp;#REF!&amp;$BN$2,"")</f>
        <v/>
      </c>
    </row>
    <row r="432" spans="64:68" x14ac:dyDescent="0.15">
      <c r="BL432" s="26" t="str">
        <f>IFERROR($BM$2&amp;VLOOKUP(B434,'Pay Table'!$M$3:$N$18,2,FALSE)&amp;$BL$2&amp;#REF!&amp;$BN$2,"")</f>
        <v/>
      </c>
      <c r="BM432" s="1" t="str">
        <f>IFERROR($BM$2&amp;VLOOKUP(C434,'Pay Table'!$M$3:$N$18,2,FALSE)&amp;$BL$2&amp;#REF!&amp;$BN$2,"")</f>
        <v/>
      </c>
      <c r="BN432" s="1" t="str">
        <f>IFERROR($BM$2&amp;VLOOKUP(D434,'Pay Table'!$M$3:$N$18,2,FALSE)&amp;$BL$2&amp;#REF!&amp;$BN$2,"")</f>
        <v/>
      </c>
      <c r="BO432" s="1" t="str">
        <f>IFERROR($BM$2&amp;VLOOKUP(E434,'Pay Table'!$M$3:$N$18,2,FALSE)&amp;$BL$2&amp;#REF!&amp;$BN$2,"")</f>
        <v/>
      </c>
      <c r="BP432" s="27" t="str">
        <f>IFERROR($BM$2&amp;VLOOKUP(F434,'Pay Table'!$M$3:$N$18,2,FALSE)&amp;$BL$2&amp;#REF!&amp;$BN$2,"")</f>
        <v/>
      </c>
    </row>
    <row r="433" spans="64:68" x14ac:dyDescent="0.15">
      <c r="BL433" s="26" t="str">
        <f>IFERROR($BM$2&amp;VLOOKUP(B435,'Pay Table'!$M$3:$N$18,2,FALSE)&amp;$BL$2&amp;#REF!&amp;$BN$2,"")</f>
        <v/>
      </c>
      <c r="BM433" s="1" t="str">
        <f>IFERROR($BM$2&amp;VLOOKUP(C435,'Pay Table'!$M$3:$N$18,2,FALSE)&amp;$BL$2&amp;#REF!&amp;$BN$2,"")</f>
        <v/>
      </c>
      <c r="BN433" s="1" t="str">
        <f>IFERROR($BM$2&amp;VLOOKUP(D435,'Pay Table'!$M$3:$N$18,2,FALSE)&amp;$BL$2&amp;#REF!&amp;$BN$2,"")</f>
        <v/>
      </c>
      <c r="BO433" s="1" t="str">
        <f>IFERROR($BM$2&amp;VLOOKUP(E435,'Pay Table'!$M$3:$N$18,2,FALSE)&amp;$BL$2&amp;#REF!&amp;$BN$2,"")</f>
        <v/>
      </c>
      <c r="BP433" s="27" t="str">
        <f>IFERROR($BM$2&amp;VLOOKUP(F435,'Pay Table'!$M$3:$N$18,2,FALSE)&amp;$BL$2&amp;#REF!&amp;$BN$2,"")</f>
        <v/>
      </c>
    </row>
    <row r="434" spans="64:68" x14ac:dyDescent="0.15">
      <c r="BL434" s="26" t="str">
        <f>IFERROR($BM$2&amp;VLOOKUP(B436,'Pay Table'!$M$3:$N$18,2,FALSE)&amp;$BL$2&amp;#REF!&amp;$BN$2,"")</f>
        <v/>
      </c>
      <c r="BM434" s="1" t="str">
        <f>IFERROR($BM$2&amp;VLOOKUP(C436,'Pay Table'!$M$3:$N$18,2,FALSE)&amp;$BL$2&amp;#REF!&amp;$BN$2,"")</f>
        <v/>
      </c>
      <c r="BN434" s="1" t="str">
        <f>IFERROR($BM$2&amp;VLOOKUP(D436,'Pay Table'!$M$3:$N$18,2,FALSE)&amp;$BL$2&amp;#REF!&amp;$BN$2,"")</f>
        <v/>
      </c>
      <c r="BO434" s="1" t="str">
        <f>IFERROR($BM$2&amp;VLOOKUP(E436,'Pay Table'!$M$3:$N$18,2,FALSE)&amp;$BL$2&amp;#REF!&amp;$BN$2,"")</f>
        <v/>
      </c>
      <c r="BP434" s="27" t="str">
        <f>IFERROR($BM$2&amp;VLOOKUP(F436,'Pay Table'!$M$3:$N$18,2,FALSE)&amp;$BL$2&amp;#REF!&amp;$BN$2,"")</f>
        <v/>
      </c>
    </row>
    <row r="435" spans="64:68" x14ac:dyDescent="0.15">
      <c r="BL435" s="26" t="str">
        <f>IFERROR($BM$2&amp;VLOOKUP(B437,'Pay Table'!$M$3:$N$18,2,FALSE)&amp;$BL$2&amp;#REF!&amp;$BN$2,"")</f>
        <v/>
      </c>
      <c r="BM435" s="1" t="str">
        <f>IFERROR($BM$2&amp;VLOOKUP(C437,'Pay Table'!$M$3:$N$18,2,FALSE)&amp;$BL$2&amp;#REF!&amp;$BN$2,"")</f>
        <v/>
      </c>
      <c r="BN435" s="1" t="str">
        <f>IFERROR($BM$2&amp;VLOOKUP(D437,'Pay Table'!$M$3:$N$18,2,FALSE)&amp;$BL$2&amp;#REF!&amp;$BN$2,"")</f>
        <v/>
      </c>
      <c r="BO435" s="1" t="str">
        <f>IFERROR($BM$2&amp;VLOOKUP(E437,'Pay Table'!$M$3:$N$18,2,FALSE)&amp;$BL$2&amp;#REF!&amp;$BN$2,"")</f>
        <v/>
      </c>
      <c r="BP435" s="27" t="str">
        <f>IFERROR($BM$2&amp;VLOOKUP(F437,'Pay Table'!$M$3:$N$18,2,FALSE)&amp;$BL$2&amp;#REF!&amp;$BN$2,"")</f>
        <v/>
      </c>
    </row>
    <row r="436" spans="64:68" x14ac:dyDescent="0.15">
      <c r="BL436" s="26" t="str">
        <f>IFERROR($BM$2&amp;VLOOKUP(B438,'Pay Table'!$M$3:$N$18,2,FALSE)&amp;$BL$2&amp;#REF!&amp;$BN$2,"")</f>
        <v/>
      </c>
      <c r="BM436" s="1" t="str">
        <f>IFERROR($BM$2&amp;VLOOKUP(C438,'Pay Table'!$M$3:$N$18,2,FALSE)&amp;$BL$2&amp;#REF!&amp;$BN$2,"")</f>
        <v/>
      </c>
      <c r="BN436" s="1" t="str">
        <f>IFERROR($BM$2&amp;VLOOKUP(D438,'Pay Table'!$M$3:$N$18,2,FALSE)&amp;$BL$2&amp;#REF!&amp;$BN$2,"")</f>
        <v/>
      </c>
      <c r="BO436" s="1" t="str">
        <f>IFERROR($BM$2&amp;VLOOKUP(E438,'Pay Table'!$M$3:$N$18,2,FALSE)&amp;$BL$2&amp;#REF!&amp;$BN$2,"")</f>
        <v/>
      </c>
      <c r="BP436" s="27" t="str">
        <f>IFERROR($BM$2&amp;VLOOKUP(F438,'Pay Table'!$M$3:$N$18,2,FALSE)&amp;$BL$2&amp;#REF!&amp;$BN$2,"")</f>
        <v/>
      </c>
    </row>
    <row r="437" spans="64:68" x14ac:dyDescent="0.15">
      <c r="BL437" s="26" t="str">
        <f>IFERROR($BM$2&amp;VLOOKUP(B439,'Pay Table'!$M$3:$N$18,2,FALSE)&amp;$BL$2&amp;#REF!&amp;$BN$2,"")</f>
        <v/>
      </c>
      <c r="BM437" s="1" t="str">
        <f>IFERROR($BM$2&amp;VLOOKUP(C439,'Pay Table'!$M$3:$N$18,2,FALSE)&amp;$BL$2&amp;#REF!&amp;$BN$2,"")</f>
        <v/>
      </c>
      <c r="BN437" s="1" t="str">
        <f>IFERROR($BM$2&amp;VLOOKUP(D439,'Pay Table'!$M$3:$N$18,2,FALSE)&amp;$BL$2&amp;#REF!&amp;$BN$2,"")</f>
        <v/>
      </c>
      <c r="BO437" s="1" t="str">
        <f>IFERROR($BM$2&amp;VLOOKUP(E439,'Pay Table'!$M$3:$N$18,2,FALSE)&amp;$BL$2&amp;#REF!&amp;$BN$2,"")</f>
        <v/>
      </c>
      <c r="BP437" s="27" t="str">
        <f>IFERROR($BM$2&amp;VLOOKUP(F439,'Pay Table'!$M$3:$N$18,2,FALSE)&amp;$BL$2&amp;#REF!&amp;$BN$2,"")</f>
        <v/>
      </c>
    </row>
    <row r="438" spans="64:68" x14ac:dyDescent="0.15">
      <c r="BL438" s="26" t="str">
        <f>IFERROR($BM$2&amp;VLOOKUP(B440,'Pay Table'!$M$3:$N$18,2,FALSE)&amp;$BL$2&amp;#REF!&amp;$BN$2,"")</f>
        <v/>
      </c>
      <c r="BM438" s="1" t="str">
        <f>IFERROR($BM$2&amp;VLOOKUP(C440,'Pay Table'!$M$3:$N$18,2,FALSE)&amp;$BL$2&amp;#REF!&amp;$BN$2,"")</f>
        <v/>
      </c>
      <c r="BN438" s="1" t="str">
        <f>IFERROR($BM$2&amp;VLOOKUP(D440,'Pay Table'!$M$3:$N$18,2,FALSE)&amp;$BL$2&amp;#REF!&amp;$BN$2,"")</f>
        <v/>
      </c>
      <c r="BO438" s="1" t="str">
        <f>IFERROR($BM$2&amp;VLOOKUP(E440,'Pay Table'!$M$3:$N$18,2,FALSE)&amp;$BL$2&amp;#REF!&amp;$BN$2,"")</f>
        <v/>
      </c>
      <c r="BP438" s="27" t="str">
        <f>IFERROR($BM$2&amp;VLOOKUP(F440,'Pay Table'!$M$3:$N$18,2,FALSE)&amp;$BL$2&amp;#REF!&amp;$BN$2,"")</f>
        <v/>
      </c>
    </row>
    <row r="439" spans="64:68" x14ac:dyDescent="0.15">
      <c r="BL439" s="26" t="str">
        <f>IFERROR($BM$2&amp;VLOOKUP(B441,'Pay Table'!$M$3:$N$18,2,FALSE)&amp;$BL$2&amp;#REF!&amp;$BN$2,"")</f>
        <v/>
      </c>
      <c r="BM439" s="1" t="str">
        <f>IFERROR($BM$2&amp;VLOOKUP(C441,'Pay Table'!$M$3:$N$18,2,FALSE)&amp;$BL$2&amp;#REF!&amp;$BN$2,"")</f>
        <v/>
      </c>
      <c r="BN439" s="1" t="str">
        <f>IFERROR($BM$2&amp;VLOOKUP(D441,'Pay Table'!$M$3:$N$18,2,FALSE)&amp;$BL$2&amp;#REF!&amp;$BN$2,"")</f>
        <v/>
      </c>
      <c r="BO439" s="1" t="str">
        <f>IFERROR($BM$2&amp;VLOOKUP(E441,'Pay Table'!$M$3:$N$18,2,FALSE)&amp;$BL$2&amp;#REF!&amp;$BN$2,"")</f>
        <v/>
      </c>
      <c r="BP439" s="27" t="str">
        <f>IFERROR($BM$2&amp;VLOOKUP(F441,'Pay Table'!$M$3:$N$18,2,FALSE)&amp;$BL$2&amp;#REF!&amp;$BN$2,"")</f>
        <v/>
      </c>
    </row>
    <row r="440" spans="64:68" x14ac:dyDescent="0.15">
      <c r="BL440" s="26" t="str">
        <f>IFERROR($BM$2&amp;VLOOKUP(B442,'Pay Table'!$M$3:$N$18,2,FALSE)&amp;$BL$2&amp;#REF!&amp;$BN$2,"")</f>
        <v/>
      </c>
      <c r="BM440" s="1" t="str">
        <f>IFERROR($BM$2&amp;VLOOKUP(C442,'Pay Table'!$M$3:$N$18,2,FALSE)&amp;$BL$2&amp;#REF!&amp;$BN$2,"")</f>
        <v/>
      </c>
      <c r="BN440" s="1" t="str">
        <f>IFERROR($BM$2&amp;VLOOKUP(D442,'Pay Table'!$M$3:$N$18,2,FALSE)&amp;$BL$2&amp;#REF!&amp;$BN$2,"")</f>
        <v/>
      </c>
      <c r="BO440" s="1" t="str">
        <f>IFERROR($BM$2&amp;VLOOKUP(E442,'Pay Table'!$M$3:$N$18,2,FALSE)&amp;$BL$2&amp;#REF!&amp;$BN$2,"")</f>
        <v/>
      </c>
      <c r="BP440" s="27" t="str">
        <f>IFERROR($BM$2&amp;VLOOKUP(F442,'Pay Table'!$M$3:$N$18,2,FALSE)&amp;$BL$2&amp;#REF!&amp;$BN$2,"")</f>
        <v/>
      </c>
    </row>
    <row r="441" spans="64:68" x14ac:dyDescent="0.15">
      <c r="BL441" s="26" t="str">
        <f>IFERROR($BM$2&amp;VLOOKUP(B443,'Pay Table'!$M$3:$N$18,2,FALSE)&amp;$BL$2&amp;#REF!&amp;$BN$2,"")</f>
        <v/>
      </c>
      <c r="BM441" s="1" t="str">
        <f>IFERROR($BM$2&amp;VLOOKUP(C443,'Pay Table'!$M$3:$N$18,2,FALSE)&amp;$BL$2&amp;#REF!&amp;$BN$2,"")</f>
        <v/>
      </c>
      <c r="BN441" s="1" t="str">
        <f>IFERROR($BM$2&amp;VLOOKUP(D443,'Pay Table'!$M$3:$N$18,2,FALSE)&amp;$BL$2&amp;#REF!&amp;$BN$2,"")</f>
        <v/>
      </c>
      <c r="BO441" s="1" t="str">
        <f>IFERROR($BM$2&amp;VLOOKUP(E443,'Pay Table'!$M$3:$N$18,2,FALSE)&amp;$BL$2&amp;#REF!&amp;$BN$2,"")</f>
        <v/>
      </c>
      <c r="BP441" s="27" t="str">
        <f>IFERROR($BM$2&amp;VLOOKUP(F443,'Pay Table'!$M$3:$N$18,2,FALSE)&amp;$BL$2&amp;#REF!&amp;$BN$2,"")</f>
        <v/>
      </c>
    </row>
    <row r="442" spans="64:68" x14ac:dyDescent="0.15">
      <c r="BL442" s="26" t="str">
        <f>IFERROR($BM$2&amp;VLOOKUP(B444,'Pay Table'!$M$3:$N$18,2,FALSE)&amp;$BL$2&amp;#REF!&amp;$BN$2,"")</f>
        <v/>
      </c>
      <c r="BM442" s="1" t="str">
        <f>IFERROR($BM$2&amp;VLOOKUP(C444,'Pay Table'!$M$3:$N$18,2,FALSE)&amp;$BL$2&amp;#REF!&amp;$BN$2,"")</f>
        <v/>
      </c>
      <c r="BN442" s="1" t="str">
        <f>IFERROR($BM$2&amp;VLOOKUP(D444,'Pay Table'!$M$3:$N$18,2,FALSE)&amp;$BL$2&amp;#REF!&amp;$BN$2,"")</f>
        <v/>
      </c>
      <c r="BO442" s="1" t="str">
        <f>IFERROR($BM$2&amp;VLOOKUP(E444,'Pay Table'!$M$3:$N$18,2,FALSE)&amp;$BL$2&amp;#REF!&amp;$BN$2,"")</f>
        <v/>
      </c>
      <c r="BP442" s="27" t="str">
        <f>IFERROR($BM$2&amp;VLOOKUP(F444,'Pay Table'!$M$3:$N$18,2,FALSE)&amp;$BL$2&amp;#REF!&amp;$BN$2,"")</f>
        <v/>
      </c>
    </row>
    <row r="443" spans="64:68" x14ac:dyDescent="0.15">
      <c r="BL443" s="26" t="str">
        <f>IFERROR($BM$2&amp;VLOOKUP(B445,'Pay Table'!$M$3:$N$18,2,FALSE)&amp;$BL$2&amp;#REF!&amp;$BN$2,"")</f>
        <v/>
      </c>
      <c r="BM443" s="1" t="str">
        <f>IFERROR($BM$2&amp;VLOOKUP(C445,'Pay Table'!$M$3:$N$18,2,FALSE)&amp;$BL$2&amp;#REF!&amp;$BN$2,"")</f>
        <v/>
      </c>
      <c r="BN443" s="1" t="str">
        <f>IFERROR($BM$2&amp;VLOOKUP(D445,'Pay Table'!$M$3:$N$18,2,FALSE)&amp;$BL$2&amp;#REF!&amp;$BN$2,"")</f>
        <v/>
      </c>
      <c r="BO443" s="1" t="str">
        <f>IFERROR($BM$2&amp;VLOOKUP(E445,'Pay Table'!$M$3:$N$18,2,FALSE)&amp;$BL$2&amp;#REF!&amp;$BN$2,"")</f>
        <v/>
      </c>
      <c r="BP443" s="27" t="str">
        <f>IFERROR($BM$2&amp;VLOOKUP(F445,'Pay Table'!$M$3:$N$18,2,FALSE)&amp;$BL$2&amp;#REF!&amp;$BN$2,"")</f>
        <v/>
      </c>
    </row>
    <row r="444" spans="64:68" x14ac:dyDescent="0.15">
      <c r="BL444" s="26" t="str">
        <f>IFERROR($BM$2&amp;VLOOKUP(B446,'Pay Table'!$M$3:$N$18,2,FALSE)&amp;$BL$2&amp;#REF!&amp;$BN$2,"")</f>
        <v/>
      </c>
      <c r="BM444" s="1" t="str">
        <f>IFERROR($BM$2&amp;VLOOKUP(C446,'Pay Table'!$M$3:$N$18,2,FALSE)&amp;$BL$2&amp;#REF!&amp;$BN$2,"")</f>
        <v/>
      </c>
      <c r="BN444" s="1" t="str">
        <f>IFERROR($BM$2&amp;VLOOKUP(D446,'Pay Table'!$M$3:$N$18,2,FALSE)&amp;$BL$2&amp;#REF!&amp;$BN$2,"")</f>
        <v/>
      </c>
      <c r="BO444" s="1" t="str">
        <f>IFERROR($BM$2&amp;VLOOKUP(E446,'Pay Table'!$M$3:$N$18,2,FALSE)&amp;$BL$2&amp;#REF!&amp;$BN$2,"")</f>
        <v/>
      </c>
      <c r="BP444" s="27" t="str">
        <f>IFERROR($BM$2&amp;VLOOKUP(F446,'Pay Table'!$M$3:$N$18,2,FALSE)&amp;$BL$2&amp;#REF!&amp;$BN$2,"")</f>
        <v/>
      </c>
    </row>
    <row r="445" spans="64:68" x14ac:dyDescent="0.15">
      <c r="BL445" s="26" t="str">
        <f>IFERROR($BM$2&amp;VLOOKUP(B447,'Pay Table'!$M$3:$N$18,2,FALSE)&amp;$BL$2&amp;#REF!&amp;$BN$2,"")</f>
        <v/>
      </c>
      <c r="BM445" s="1" t="str">
        <f>IFERROR($BM$2&amp;VLOOKUP(C447,'Pay Table'!$M$3:$N$18,2,FALSE)&amp;$BL$2&amp;#REF!&amp;$BN$2,"")</f>
        <v/>
      </c>
      <c r="BN445" s="1" t="str">
        <f>IFERROR($BM$2&amp;VLOOKUP(D447,'Pay Table'!$M$3:$N$18,2,FALSE)&amp;$BL$2&amp;#REF!&amp;$BN$2,"")</f>
        <v/>
      </c>
      <c r="BO445" s="1" t="str">
        <f>IFERROR($BM$2&amp;VLOOKUP(E447,'Pay Table'!$M$3:$N$18,2,FALSE)&amp;$BL$2&amp;#REF!&amp;$BN$2,"")</f>
        <v/>
      </c>
      <c r="BP445" s="27" t="str">
        <f>IFERROR($BM$2&amp;VLOOKUP(F447,'Pay Table'!$M$3:$N$18,2,FALSE)&amp;$BL$2&amp;#REF!&amp;$BN$2,"")</f>
        <v/>
      </c>
    </row>
    <row r="446" spans="64:68" x14ac:dyDescent="0.15">
      <c r="BL446" s="26" t="str">
        <f>IFERROR($BM$2&amp;VLOOKUP(B448,'Pay Table'!$M$3:$N$18,2,FALSE)&amp;$BL$2&amp;#REF!&amp;$BN$2,"")</f>
        <v/>
      </c>
      <c r="BM446" s="1" t="str">
        <f>IFERROR($BM$2&amp;VLOOKUP(C448,'Pay Table'!$M$3:$N$18,2,FALSE)&amp;$BL$2&amp;#REF!&amp;$BN$2,"")</f>
        <v/>
      </c>
      <c r="BN446" s="1" t="str">
        <f>IFERROR($BM$2&amp;VLOOKUP(D448,'Pay Table'!$M$3:$N$18,2,FALSE)&amp;$BL$2&amp;#REF!&amp;$BN$2,"")</f>
        <v/>
      </c>
      <c r="BO446" s="1" t="str">
        <f>IFERROR($BM$2&amp;VLOOKUP(E448,'Pay Table'!$M$3:$N$18,2,FALSE)&amp;$BL$2&amp;#REF!&amp;$BN$2,"")</f>
        <v/>
      </c>
      <c r="BP446" s="27" t="str">
        <f>IFERROR($BM$2&amp;VLOOKUP(F448,'Pay Table'!$M$3:$N$18,2,FALSE)&amp;$BL$2&amp;#REF!&amp;$BN$2,"")</f>
        <v/>
      </c>
    </row>
    <row r="447" spans="64:68" x14ac:dyDescent="0.15">
      <c r="BL447" s="26" t="str">
        <f>IFERROR($BM$2&amp;VLOOKUP(B449,'Pay Table'!$M$3:$N$18,2,FALSE)&amp;$BL$2&amp;#REF!&amp;$BN$2,"")</f>
        <v/>
      </c>
      <c r="BM447" s="1" t="str">
        <f>IFERROR($BM$2&amp;VLOOKUP(C449,'Pay Table'!$M$3:$N$18,2,FALSE)&amp;$BL$2&amp;#REF!&amp;$BN$2,"")</f>
        <v/>
      </c>
      <c r="BN447" s="1" t="str">
        <f>IFERROR($BM$2&amp;VLOOKUP(D449,'Pay Table'!$M$3:$N$18,2,FALSE)&amp;$BL$2&amp;#REF!&amp;$BN$2,"")</f>
        <v/>
      </c>
      <c r="BO447" s="1" t="str">
        <f>IFERROR($BM$2&amp;VLOOKUP(E449,'Pay Table'!$M$3:$N$18,2,FALSE)&amp;$BL$2&amp;#REF!&amp;$BN$2,"")</f>
        <v/>
      </c>
      <c r="BP447" s="27" t="str">
        <f>IFERROR($BM$2&amp;VLOOKUP(F449,'Pay Table'!$M$3:$N$18,2,FALSE)&amp;$BL$2&amp;#REF!&amp;$BN$2,"")</f>
        <v/>
      </c>
    </row>
    <row r="448" spans="64:68" x14ac:dyDescent="0.15">
      <c r="BL448" s="26" t="str">
        <f>IFERROR($BM$2&amp;VLOOKUP(B450,'Pay Table'!$M$3:$N$18,2,FALSE)&amp;$BL$2&amp;#REF!&amp;$BN$2,"")</f>
        <v/>
      </c>
      <c r="BM448" s="1" t="str">
        <f>IFERROR($BM$2&amp;VLOOKUP(C450,'Pay Table'!$M$3:$N$18,2,FALSE)&amp;$BL$2&amp;#REF!&amp;$BN$2,"")</f>
        <v/>
      </c>
      <c r="BN448" s="1" t="str">
        <f>IFERROR($BM$2&amp;VLOOKUP(D450,'Pay Table'!$M$3:$N$18,2,FALSE)&amp;$BL$2&amp;#REF!&amp;$BN$2,"")</f>
        <v/>
      </c>
      <c r="BO448" s="1" t="str">
        <f>IFERROR($BM$2&amp;VLOOKUP(E450,'Pay Table'!$M$3:$N$18,2,FALSE)&amp;$BL$2&amp;#REF!&amp;$BN$2,"")</f>
        <v/>
      </c>
      <c r="BP448" s="27" t="str">
        <f>IFERROR($BM$2&amp;VLOOKUP(F450,'Pay Table'!$M$3:$N$18,2,FALSE)&amp;$BL$2&amp;#REF!&amp;$BN$2,"")</f>
        <v/>
      </c>
    </row>
    <row r="449" spans="64:68" x14ac:dyDescent="0.15">
      <c r="BL449" s="26" t="str">
        <f>IFERROR($BM$2&amp;VLOOKUP(B451,'Pay Table'!$M$3:$N$18,2,FALSE)&amp;$BL$2&amp;#REF!&amp;$BN$2,"")</f>
        <v/>
      </c>
      <c r="BM449" s="1" t="str">
        <f>IFERROR($BM$2&amp;VLOOKUP(C451,'Pay Table'!$M$3:$N$18,2,FALSE)&amp;$BL$2&amp;#REF!&amp;$BN$2,"")</f>
        <v/>
      </c>
      <c r="BN449" s="1" t="str">
        <f>IFERROR($BM$2&amp;VLOOKUP(D451,'Pay Table'!$M$3:$N$18,2,FALSE)&amp;$BL$2&amp;#REF!&amp;$BN$2,"")</f>
        <v/>
      </c>
      <c r="BO449" s="1" t="str">
        <f>IFERROR($BM$2&amp;VLOOKUP(E451,'Pay Table'!$M$3:$N$18,2,FALSE)&amp;$BL$2&amp;#REF!&amp;$BN$2,"")</f>
        <v/>
      </c>
      <c r="BP449" s="27" t="str">
        <f>IFERROR($BM$2&amp;VLOOKUP(F451,'Pay Table'!$M$3:$N$18,2,FALSE)&amp;$BL$2&amp;#REF!&amp;$BN$2,"")</f>
        <v/>
      </c>
    </row>
    <row r="450" spans="64:68" x14ac:dyDescent="0.15">
      <c r="BL450" s="26" t="str">
        <f>IFERROR($BM$2&amp;VLOOKUP(B452,'Pay Table'!$M$3:$N$18,2,FALSE)&amp;$BL$2&amp;#REF!&amp;$BN$2,"")</f>
        <v/>
      </c>
      <c r="BM450" s="1" t="str">
        <f>IFERROR($BM$2&amp;VLOOKUP(C452,'Pay Table'!$M$3:$N$18,2,FALSE)&amp;$BL$2&amp;#REF!&amp;$BN$2,"")</f>
        <v/>
      </c>
      <c r="BN450" s="1" t="str">
        <f>IFERROR($BM$2&amp;VLOOKUP(D452,'Pay Table'!$M$3:$N$18,2,FALSE)&amp;$BL$2&amp;#REF!&amp;$BN$2,"")</f>
        <v/>
      </c>
      <c r="BO450" s="1" t="str">
        <f>IFERROR($BM$2&amp;VLOOKUP(E452,'Pay Table'!$M$3:$N$18,2,FALSE)&amp;$BL$2&amp;#REF!&amp;$BN$2,"")</f>
        <v/>
      </c>
      <c r="BP450" s="27" t="str">
        <f>IFERROR($BM$2&amp;VLOOKUP(F452,'Pay Table'!$M$3:$N$18,2,FALSE)&amp;$BL$2&amp;#REF!&amp;$BN$2,"")</f>
        <v/>
      </c>
    </row>
    <row r="451" spans="64:68" x14ac:dyDescent="0.15">
      <c r="BL451" s="26" t="str">
        <f>IFERROR($BM$2&amp;VLOOKUP(B453,'Pay Table'!$M$3:$N$18,2,FALSE)&amp;$BL$2&amp;#REF!&amp;$BN$2,"")</f>
        <v/>
      </c>
      <c r="BM451" s="1" t="str">
        <f>IFERROR($BM$2&amp;VLOOKUP(C453,'Pay Table'!$M$3:$N$18,2,FALSE)&amp;$BL$2&amp;#REF!&amp;$BN$2,"")</f>
        <v/>
      </c>
      <c r="BN451" s="1" t="str">
        <f>IFERROR($BM$2&amp;VLOOKUP(D453,'Pay Table'!$M$3:$N$18,2,FALSE)&amp;$BL$2&amp;#REF!&amp;$BN$2,"")</f>
        <v/>
      </c>
      <c r="BO451" s="1" t="str">
        <f>IFERROR($BM$2&amp;VLOOKUP(E453,'Pay Table'!$M$3:$N$18,2,FALSE)&amp;$BL$2&amp;#REF!&amp;$BN$2,"")</f>
        <v/>
      </c>
      <c r="BP451" s="27" t="str">
        <f>IFERROR($BM$2&amp;VLOOKUP(F453,'Pay Table'!$M$3:$N$18,2,FALSE)&amp;$BL$2&amp;#REF!&amp;$BN$2,"")</f>
        <v/>
      </c>
    </row>
    <row r="452" spans="64:68" x14ac:dyDescent="0.15">
      <c r="BL452" s="26" t="str">
        <f>IFERROR($BM$2&amp;VLOOKUP(B454,'Pay Table'!$M$3:$N$18,2,FALSE)&amp;$BL$2&amp;#REF!&amp;$BN$2,"")</f>
        <v/>
      </c>
      <c r="BM452" s="1" t="str">
        <f>IFERROR($BM$2&amp;VLOOKUP(C454,'Pay Table'!$M$3:$N$18,2,FALSE)&amp;$BL$2&amp;#REF!&amp;$BN$2,"")</f>
        <v/>
      </c>
      <c r="BN452" s="1" t="str">
        <f>IFERROR($BM$2&amp;VLOOKUP(D454,'Pay Table'!$M$3:$N$18,2,FALSE)&amp;$BL$2&amp;#REF!&amp;$BN$2,"")</f>
        <v/>
      </c>
      <c r="BO452" s="1" t="str">
        <f>IFERROR($BM$2&amp;VLOOKUP(E454,'Pay Table'!$M$3:$N$18,2,FALSE)&amp;$BL$2&amp;#REF!&amp;$BN$2,"")</f>
        <v/>
      </c>
      <c r="BP452" s="27" t="str">
        <f>IFERROR($BM$2&amp;VLOOKUP(F454,'Pay Table'!$M$3:$N$18,2,FALSE)&amp;$BL$2&amp;#REF!&amp;$BN$2,"")</f>
        <v/>
      </c>
    </row>
    <row r="453" spans="64:68" x14ac:dyDescent="0.15">
      <c r="BL453" s="26" t="str">
        <f>IFERROR($BM$2&amp;VLOOKUP(B455,'Pay Table'!$M$3:$N$18,2,FALSE)&amp;$BL$2&amp;#REF!&amp;$BN$2,"")</f>
        <v/>
      </c>
      <c r="BM453" s="1" t="str">
        <f>IFERROR($BM$2&amp;VLOOKUP(C455,'Pay Table'!$M$3:$N$18,2,FALSE)&amp;$BL$2&amp;#REF!&amp;$BN$2,"")</f>
        <v/>
      </c>
      <c r="BN453" s="1" t="str">
        <f>IFERROR($BM$2&amp;VLOOKUP(D455,'Pay Table'!$M$3:$N$18,2,FALSE)&amp;$BL$2&amp;#REF!&amp;$BN$2,"")</f>
        <v/>
      </c>
      <c r="BO453" s="1" t="str">
        <f>IFERROR($BM$2&amp;VLOOKUP(E455,'Pay Table'!$M$3:$N$18,2,FALSE)&amp;$BL$2&amp;#REF!&amp;$BN$2,"")</f>
        <v/>
      </c>
      <c r="BP453" s="27" t="str">
        <f>IFERROR($BM$2&amp;VLOOKUP(F455,'Pay Table'!$M$3:$N$18,2,FALSE)&amp;$BL$2&amp;#REF!&amp;$BN$2,"")</f>
        <v/>
      </c>
    </row>
    <row r="454" spans="64:68" x14ac:dyDescent="0.15">
      <c r="BL454" s="26" t="str">
        <f>IFERROR($BM$2&amp;VLOOKUP(B456,'Pay Table'!$M$3:$N$18,2,FALSE)&amp;$BL$2&amp;#REF!&amp;$BN$2,"")</f>
        <v/>
      </c>
      <c r="BM454" s="1" t="str">
        <f>IFERROR($BM$2&amp;VLOOKUP(C456,'Pay Table'!$M$3:$N$18,2,FALSE)&amp;$BL$2&amp;#REF!&amp;$BN$2,"")</f>
        <v/>
      </c>
      <c r="BN454" s="1" t="str">
        <f>IFERROR($BM$2&amp;VLOOKUP(D456,'Pay Table'!$M$3:$N$18,2,FALSE)&amp;$BL$2&amp;#REF!&amp;$BN$2,"")</f>
        <v/>
      </c>
      <c r="BO454" s="1" t="str">
        <f>IFERROR($BM$2&amp;VLOOKUP(E456,'Pay Table'!$M$3:$N$18,2,FALSE)&amp;$BL$2&amp;#REF!&amp;$BN$2,"")</f>
        <v/>
      </c>
      <c r="BP454" s="27" t="str">
        <f>IFERROR($BM$2&amp;VLOOKUP(F456,'Pay Table'!$M$3:$N$18,2,FALSE)&amp;$BL$2&amp;#REF!&amp;$BN$2,"")</f>
        <v/>
      </c>
    </row>
    <row r="455" spans="64:68" x14ac:dyDescent="0.15">
      <c r="BL455" s="26" t="str">
        <f>IFERROR($BM$2&amp;VLOOKUP(B457,'Pay Table'!$M$3:$N$18,2,FALSE)&amp;$BL$2&amp;#REF!&amp;$BN$2,"")</f>
        <v/>
      </c>
      <c r="BM455" s="1" t="str">
        <f>IFERROR($BM$2&amp;VLOOKUP(C457,'Pay Table'!$M$3:$N$18,2,FALSE)&amp;$BL$2&amp;#REF!&amp;$BN$2,"")</f>
        <v/>
      </c>
      <c r="BN455" s="1" t="str">
        <f>IFERROR($BM$2&amp;VLOOKUP(D457,'Pay Table'!$M$3:$N$18,2,FALSE)&amp;$BL$2&amp;#REF!&amp;$BN$2,"")</f>
        <v/>
      </c>
      <c r="BO455" s="1" t="str">
        <f>IFERROR($BM$2&amp;VLOOKUP(E457,'Pay Table'!$M$3:$N$18,2,FALSE)&amp;$BL$2&amp;#REF!&amp;$BN$2,"")</f>
        <v/>
      </c>
      <c r="BP455" s="27" t="str">
        <f>IFERROR($BM$2&amp;VLOOKUP(F457,'Pay Table'!$M$3:$N$18,2,FALSE)&amp;$BL$2&amp;#REF!&amp;$BN$2,"")</f>
        <v/>
      </c>
    </row>
    <row r="456" spans="64:68" x14ac:dyDescent="0.15">
      <c r="BL456" s="26" t="str">
        <f>IFERROR($BM$2&amp;VLOOKUP(B458,'Pay Table'!$M$3:$N$18,2,FALSE)&amp;$BL$2&amp;#REF!&amp;$BN$2,"")</f>
        <v/>
      </c>
      <c r="BM456" s="1" t="str">
        <f>IFERROR($BM$2&amp;VLOOKUP(C458,'Pay Table'!$M$3:$N$18,2,FALSE)&amp;$BL$2&amp;#REF!&amp;$BN$2,"")</f>
        <v/>
      </c>
      <c r="BN456" s="1" t="str">
        <f>IFERROR($BM$2&amp;VLOOKUP(D458,'Pay Table'!$M$3:$N$18,2,FALSE)&amp;$BL$2&amp;#REF!&amp;$BN$2,"")</f>
        <v/>
      </c>
      <c r="BO456" s="1" t="str">
        <f>IFERROR($BM$2&amp;VLOOKUP(E458,'Pay Table'!$M$3:$N$18,2,FALSE)&amp;$BL$2&amp;#REF!&amp;$BN$2,"")</f>
        <v/>
      </c>
      <c r="BP456" s="27" t="str">
        <f>IFERROR($BM$2&amp;VLOOKUP(F458,'Pay Table'!$M$3:$N$18,2,FALSE)&amp;$BL$2&amp;#REF!&amp;$BN$2,"")</f>
        <v/>
      </c>
    </row>
    <row r="457" spans="64:68" x14ac:dyDescent="0.15">
      <c r="BL457" s="26" t="str">
        <f>IFERROR($BM$2&amp;VLOOKUP(B459,'Pay Table'!$M$3:$N$18,2,FALSE)&amp;$BL$2&amp;#REF!&amp;$BN$2,"")</f>
        <v/>
      </c>
      <c r="BM457" s="1" t="str">
        <f>IFERROR($BM$2&amp;VLOOKUP(C459,'Pay Table'!$M$3:$N$18,2,FALSE)&amp;$BL$2&amp;#REF!&amp;$BN$2,"")</f>
        <v/>
      </c>
      <c r="BN457" s="1" t="str">
        <f>IFERROR($BM$2&amp;VLOOKUP(D459,'Pay Table'!$M$3:$N$18,2,FALSE)&amp;$BL$2&amp;#REF!&amp;$BN$2,"")</f>
        <v/>
      </c>
      <c r="BO457" s="1" t="str">
        <f>IFERROR($BM$2&amp;VLOOKUP(E459,'Pay Table'!$M$3:$N$18,2,FALSE)&amp;$BL$2&amp;#REF!&amp;$BN$2,"")</f>
        <v/>
      </c>
      <c r="BP457" s="27" t="str">
        <f>IFERROR($BM$2&amp;VLOOKUP(F459,'Pay Table'!$M$3:$N$18,2,FALSE)&amp;$BL$2&amp;#REF!&amp;$BN$2,"")</f>
        <v/>
      </c>
    </row>
    <row r="458" spans="64:68" x14ac:dyDescent="0.15">
      <c r="BL458" s="26" t="str">
        <f>IFERROR($BM$2&amp;VLOOKUP(B460,'Pay Table'!$M$3:$N$18,2,FALSE)&amp;$BL$2&amp;#REF!&amp;$BN$2,"")</f>
        <v/>
      </c>
      <c r="BM458" s="1" t="str">
        <f>IFERROR($BM$2&amp;VLOOKUP(C460,'Pay Table'!$M$3:$N$18,2,FALSE)&amp;$BL$2&amp;#REF!&amp;$BN$2,"")</f>
        <v/>
      </c>
      <c r="BN458" s="1" t="str">
        <f>IFERROR($BM$2&amp;VLOOKUP(D460,'Pay Table'!$M$3:$N$18,2,FALSE)&amp;$BL$2&amp;#REF!&amp;$BN$2,"")</f>
        <v/>
      </c>
      <c r="BO458" s="1" t="str">
        <f>IFERROR($BM$2&amp;VLOOKUP(E460,'Pay Table'!$M$3:$N$18,2,FALSE)&amp;$BL$2&amp;#REF!&amp;$BN$2,"")</f>
        <v/>
      </c>
      <c r="BP458" s="27" t="str">
        <f>IFERROR($BM$2&amp;VLOOKUP(F460,'Pay Table'!$M$3:$N$18,2,FALSE)&amp;$BL$2&amp;#REF!&amp;$BN$2,"")</f>
        <v/>
      </c>
    </row>
    <row r="459" spans="64:68" x14ac:dyDescent="0.15">
      <c r="BL459" s="26" t="str">
        <f>IFERROR($BM$2&amp;VLOOKUP(B461,'Pay Table'!$M$3:$N$18,2,FALSE)&amp;$BL$2&amp;#REF!&amp;$BN$2,"")</f>
        <v/>
      </c>
      <c r="BM459" s="1" t="str">
        <f>IFERROR($BM$2&amp;VLOOKUP(C461,'Pay Table'!$M$3:$N$18,2,FALSE)&amp;$BL$2&amp;#REF!&amp;$BN$2,"")</f>
        <v/>
      </c>
      <c r="BN459" s="1" t="str">
        <f>IFERROR($BM$2&amp;VLOOKUP(D461,'Pay Table'!$M$3:$N$18,2,FALSE)&amp;$BL$2&amp;#REF!&amp;$BN$2,"")</f>
        <v/>
      </c>
      <c r="BO459" s="1" t="str">
        <f>IFERROR($BM$2&amp;VLOOKUP(E461,'Pay Table'!$M$3:$N$18,2,FALSE)&amp;$BL$2&amp;#REF!&amp;$BN$2,"")</f>
        <v/>
      </c>
      <c r="BP459" s="27" t="str">
        <f>IFERROR($BM$2&amp;VLOOKUP(F461,'Pay Table'!$M$3:$N$18,2,FALSE)&amp;$BL$2&amp;#REF!&amp;$BN$2,"")</f>
        <v/>
      </c>
    </row>
    <row r="460" spans="64:68" x14ac:dyDescent="0.15">
      <c r="BL460" s="26" t="str">
        <f>IFERROR($BM$2&amp;VLOOKUP(B462,'Pay Table'!$M$3:$N$18,2,FALSE)&amp;$BL$2&amp;#REF!&amp;$BN$2,"")</f>
        <v/>
      </c>
      <c r="BM460" s="1" t="str">
        <f>IFERROR($BM$2&amp;VLOOKUP(C462,'Pay Table'!$M$3:$N$18,2,FALSE)&amp;$BL$2&amp;#REF!&amp;$BN$2,"")</f>
        <v/>
      </c>
      <c r="BN460" s="1" t="str">
        <f>IFERROR($BM$2&amp;VLOOKUP(D462,'Pay Table'!$M$3:$N$18,2,FALSE)&amp;$BL$2&amp;#REF!&amp;$BN$2,"")</f>
        <v/>
      </c>
      <c r="BO460" s="1" t="str">
        <f>IFERROR($BM$2&amp;VLOOKUP(E462,'Pay Table'!$M$3:$N$18,2,FALSE)&amp;$BL$2&amp;#REF!&amp;$BN$2,"")</f>
        <v/>
      </c>
      <c r="BP460" s="27" t="str">
        <f>IFERROR($BM$2&amp;VLOOKUP(F462,'Pay Table'!$M$3:$N$18,2,FALSE)&amp;$BL$2&amp;#REF!&amp;$BN$2,"")</f>
        <v/>
      </c>
    </row>
    <row r="461" spans="64:68" x14ac:dyDescent="0.15">
      <c r="BL461" s="26" t="str">
        <f>IFERROR($BM$2&amp;VLOOKUP(B463,'Pay Table'!$M$3:$N$18,2,FALSE)&amp;$BL$2&amp;#REF!&amp;$BN$2,"")</f>
        <v/>
      </c>
      <c r="BM461" s="1" t="str">
        <f>IFERROR($BM$2&amp;VLOOKUP(C463,'Pay Table'!$M$3:$N$18,2,FALSE)&amp;$BL$2&amp;#REF!&amp;$BN$2,"")</f>
        <v/>
      </c>
      <c r="BN461" s="1" t="str">
        <f>IFERROR($BM$2&amp;VLOOKUP(D463,'Pay Table'!$M$3:$N$18,2,FALSE)&amp;$BL$2&amp;#REF!&amp;$BN$2,"")</f>
        <v/>
      </c>
      <c r="BO461" s="1" t="str">
        <f>IFERROR($BM$2&amp;VLOOKUP(E463,'Pay Table'!$M$3:$N$18,2,FALSE)&amp;$BL$2&amp;#REF!&amp;$BN$2,"")</f>
        <v/>
      </c>
      <c r="BP461" s="27" t="str">
        <f>IFERROR($BM$2&amp;VLOOKUP(F463,'Pay Table'!$M$3:$N$18,2,FALSE)&amp;$BL$2&amp;#REF!&amp;$BN$2,"")</f>
        <v/>
      </c>
    </row>
    <row r="462" spans="64:68" x14ac:dyDescent="0.15">
      <c r="BL462" s="26" t="str">
        <f>IFERROR($BM$2&amp;VLOOKUP(B464,'Pay Table'!$M$3:$N$18,2,FALSE)&amp;$BL$2&amp;#REF!&amp;$BN$2,"")</f>
        <v/>
      </c>
      <c r="BM462" s="1" t="str">
        <f>IFERROR($BM$2&amp;VLOOKUP(C464,'Pay Table'!$M$3:$N$18,2,FALSE)&amp;$BL$2&amp;#REF!&amp;$BN$2,"")</f>
        <v/>
      </c>
      <c r="BN462" s="1" t="str">
        <f>IFERROR($BM$2&amp;VLOOKUP(D464,'Pay Table'!$M$3:$N$18,2,FALSE)&amp;$BL$2&amp;#REF!&amp;$BN$2,"")</f>
        <v/>
      </c>
      <c r="BO462" s="1" t="str">
        <f>IFERROR($BM$2&amp;VLOOKUP(E464,'Pay Table'!$M$3:$N$18,2,FALSE)&amp;$BL$2&amp;#REF!&amp;$BN$2,"")</f>
        <v/>
      </c>
      <c r="BP462" s="27" t="str">
        <f>IFERROR($BM$2&amp;VLOOKUP(F464,'Pay Table'!$M$3:$N$18,2,FALSE)&amp;$BL$2&amp;#REF!&amp;$BN$2,"")</f>
        <v/>
      </c>
    </row>
    <row r="463" spans="64:68" x14ac:dyDescent="0.15">
      <c r="BL463" s="26" t="str">
        <f>IFERROR($BM$2&amp;VLOOKUP(B465,'Pay Table'!$M$3:$N$18,2,FALSE)&amp;$BL$2&amp;#REF!&amp;$BN$2,"")</f>
        <v/>
      </c>
      <c r="BM463" s="1" t="str">
        <f>IFERROR($BM$2&amp;VLOOKUP(C465,'Pay Table'!$M$3:$N$18,2,FALSE)&amp;$BL$2&amp;#REF!&amp;$BN$2,"")</f>
        <v/>
      </c>
      <c r="BN463" s="1" t="str">
        <f>IFERROR($BM$2&amp;VLOOKUP(D465,'Pay Table'!$M$3:$N$18,2,FALSE)&amp;$BL$2&amp;#REF!&amp;$BN$2,"")</f>
        <v/>
      </c>
      <c r="BO463" s="1" t="str">
        <f>IFERROR($BM$2&amp;VLOOKUP(E465,'Pay Table'!$M$3:$N$18,2,FALSE)&amp;$BL$2&amp;#REF!&amp;$BN$2,"")</f>
        <v/>
      </c>
      <c r="BP463" s="27" t="str">
        <f>IFERROR($BM$2&amp;VLOOKUP(F465,'Pay Table'!$M$3:$N$18,2,FALSE)&amp;$BL$2&amp;#REF!&amp;$BN$2,"")</f>
        <v/>
      </c>
    </row>
    <row r="464" spans="64:68" x14ac:dyDescent="0.15">
      <c r="BL464" s="26" t="str">
        <f>IFERROR($BM$2&amp;VLOOKUP(B466,'Pay Table'!$M$3:$N$18,2,FALSE)&amp;$BL$2&amp;#REF!&amp;$BN$2,"")</f>
        <v/>
      </c>
      <c r="BM464" s="1" t="str">
        <f>IFERROR($BM$2&amp;VLOOKUP(C466,'Pay Table'!$M$3:$N$18,2,FALSE)&amp;$BL$2&amp;#REF!&amp;$BN$2,"")</f>
        <v/>
      </c>
      <c r="BN464" s="1" t="str">
        <f>IFERROR($BM$2&amp;VLOOKUP(D466,'Pay Table'!$M$3:$N$18,2,FALSE)&amp;$BL$2&amp;#REF!&amp;$BN$2,"")</f>
        <v/>
      </c>
      <c r="BO464" s="1" t="str">
        <f>IFERROR($BM$2&amp;VLOOKUP(E466,'Pay Table'!$M$3:$N$18,2,FALSE)&amp;$BL$2&amp;#REF!&amp;$BN$2,"")</f>
        <v/>
      </c>
      <c r="BP464" s="27" t="str">
        <f>IFERROR($BM$2&amp;VLOOKUP(F466,'Pay Table'!$M$3:$N$18,2,FALSE)&amp;$BL$2&amp;#REF!&amp;$BN$2,"")</f>
        <v/>
      </c>
    </row>
    <row r="465" spans="64:68" x14ac:dyDescent="0.15">
      <c r="BL465" s="26" t="str">
        <f>IFERROR($BM$2&amp;VLOOKUP(B467,'Pay Table'!$M$3:$N$18,2,FALSE)&amp;$BL$2&amp;#REF!&amp;$BN$2,"")</f>
        <v/>
      </c>
      <c r="BM465" s="1" t="str">
        <f>IFERROR($BM$2&amp;VLOOKUP(C467,'Pay Table'!$M$3:$N$18,2,FALSE)&amp;$BL$2&amp;#REF!&amp;$BN$2,"")</f>
        <v/>
      </c>
      <c r="BN465" s="1" t="str">
        <f>IFERROR($BM$2&amp;VLOOKUP(D467,'Pay Table'!$M$3:$N$18,2,FALSE)&amp;$BL$2&amp;#REF!&amp;$BN$2,"")</f>
        <v/>
      </c>
      <c r="BO465" s="1" t="str">
        <f>IFERROR($BM$2&amp;VLOOKUP(E467,'Pay Table'!$M$3:$N$18,2,FALSE)&amp;$BL$2&amp;#REF!&amp;$BN$2,"")</f>
        <v/>
      </c>
      <c r="BP465" s="27" t="str">
        <f>IFERROR($BM$2&amp;VLOOKUP(F467,'Pay Table'!$M$3:$N$18,2,FALSE)&amp;$BL$2&amp;#REF!&amp;$BN$2,"")</f>
        <v/>
      </c>
    </row>
    <row r="466" spans="64:68" x14ac:dyDescent="0.15">
      <c r="BL466" s="26" t="str">
        <f>IFERROR($BM$2&amp;VLOOKUP(B468,'Pay Table'!$M$3:$N$18,2,FALSE)&amp;$BL$2&amp;#REF!&amp;$BN$2,"")</f>
        <v/>
      </c>
      <c r="BM466" s="1" t="str">
        <f>IFERROR($BM$2&amp;VLOOKUP(C468,'Pay Table'!$M$3:$N$18,2,FALSE)&amp;$BL$2&amp;#REF!&amp;$BN$2,"")</f>
        <v/>
      </c>
      <c r="BN466" s="1" t="str">
        <f>IFERROR($BM$2&amp;VLOOKUP(D468,'Pay Table'!$M$3:$N$18,2,FALSE)&amp;$BL$2&amp;#REF!&amp;$BN$2,"")</f>
        <v/>
      </c>
      <c r="BO466" s="1" t="str">
        <f>IFERROR($BM$2&amp;VLOOKUP(E468,'Pay Table'!$M$3:$N$18,2,FALSE)&amp;$BL$2&amp;#REF!&amp;$BN$2,"")</f>
        <v/>
      </c>
      <c r="BP466" s="27" t="str">
        <f>IFERROR($BM$2&amp;VLOOKUP(F468,'Pay Table'!$M$3:$N$18,2,FALSE)&amp;$BL$2&amp;#REF!&amp;$BN$2,"")</f>
        <v/>
      </c>
    </row>
    <row r="467" spans="64:68" x14ac:dyDescent="0.15">
      <c r="BL467" s="26" t="str">
        <f>IFERROR($BM$2&amp;VLOOKUP(B469,'Pay Table'!$M$3:$N$18,2,FALSE)&amp;$BL$2&amp;#REF!&amp;$BN$2,"")</f>
        <v/>
      </c>
      <c r="BM467" s="1" t="str">
        <f>IFERROR($BM$2&amp;VLOOKUP(C469,'Pay Table'!$M$3:$N$18,2,FALSE)&amp;$BL$2&amp;#REF!&amp;$BN$2,"")</f>
        <v/>
      </c>
      <c r="BN467" s="1" t="str">
        <f>IFERROR($BM$2&amp;VLOOKUP(D469,'Pay Table'!$M$3:$N$18,2,FALSE)&amp;$BL$2&amp;#REF!&amp;$BN$2,"")</f>
        <v/>
      </c>
      <c r="BO467" s="1" t="str">
        <f>IFERROR($BM$2&amp;VLOOKUP(E469,'Pay Table'!$M$3:$N$18,2,FALSE)&amp;$BL$2&amp;#REF!&amp;$BN$2,"")</f>
        <v/>
      </c>
      <c r="BP467" s="27" t="str">
        <f>IFERROR($BM$2&amp;VLOOKUP(F469,'Pay Table'!$M$3:$N$18,2,FALSE)&amp;$BL$2&amp;#REF!&amp;$BN$2,"")</f>
        <v/>
      </c>
    </row>
    <row r="468" spans="64:68" x14ac:dyDescent="0.15">
      <c r="BL468" s="26" t="str">
        <f>IFERROR($BM$2&amp;VLOOKUP(B470,'Pay Table'!$M$3:$N$18,2,FALSE)&amp;$BL$2&amp;#REF!&amp;$BN$2,"")</f>
        <v/>
      </c>
      <c r="BM468" s="1" t="str">
        <f>IFERROR($BM$2&amp;VLOOKUP(C470,'Pay Table'!$M$3:$N$18,2,FALSE)&amp;$BL$2&amp;#REF!&amp;$BN$2,"")</f>
        <v/>
      </c>
      <c r="BN468" s="1" t="str">
        <f>IFERROR($BM$2&amp;VLOOKUP(D470,'Pay Table'!$M$3:$N$18,2,FALSE)&amp;$BL$2&amp;#REF!&amp;$BN$2,"")</f>
        <v/>
      </c>
      <c r="BO468" s="1" t="str">
        <f>IFERROR($BM$2&amp;VLOOKUP(E470,'Pay Table'!$M$3:$N$18,2,FALSE)&amp;$BL$2&amp;#REF!&amp;$BN$2,"")</f>
        <v/>
      </c>
      <c r="BP468" s="27" t="str">
        <f>IFERROR($BM$2&amp;VLOOKUP(F470,'Pay Table'!$M$3:$N$18,2,FALSE)&amp;$BL$2&amp;#REF!&amp;$BN$2,"")</f>
        <v/>
      </c>
    </row>
    <row r="469" spans="64:68" x14ac:dyDescent="0.15">
      <c r="BL469" s="26" t="str">
        <f>IFERROR($BM$2&amp;VLOOKUP(B471,'Pay Table'!$M$3:$N$18,2,FALSE)&amp;$BL$2&amp;#REF!&amp;$BN$2,"")</f>
        <v/>
      </c>
      <c r="BM469" s="1" t="str">
        <f>IFERROR($BM$2&amp;VLOOKUP(C471,'Pay Table'!$M$3:$N$18,2,FALSE)&amp;$BL$2&amp;#REF!&amp;$BN$2,"")</f>
        <v/>
      </c>
      <c r="BN469" s="1" t="str">
        <f>IFERROR($BM$2&amp;VLOOKUP(D471,'Pay Table'!$M$3:$N$18,2,FALSE)&amp;$BL$2&amp;#REF!&amp;$BN$2,"")</f>
        <v/>
      </c>
      <c r="BO469" s="1" t="str">
        <f>IFERROR($BM$2&amp;VLOOKUP(E471,'Pay Table'!$M$3:$N$18,2,FALSE)&amp;$BL$2&amp;#REF!&amp;$BN$2,"")</f>
        <v/>
      </c>
      <c r="BP469" s="27" t="str">
        <f>IFERROR($BM$2&amp;VLOOKUP(F471,'Pay Table'!$M$3:$N$18,2,FALSE)&amp;$BL$2&amp;#REF!&amp;$BN$2,"")</f>
        <v/>
      </c>
    </row>
    <row r="470" spans="64:68" x14ac:dyDescent="0.15">
      <c r="BL470" s="26" t="str">
        <f>IFERROR($BM$2&amp;VLOOKUP(B472,'Pay Table'!$M$3:$N$18,2,FALSE)&amp;$BL$2&amp;#REF!&amp;$BN$2,"")</f>
        <v/>
      </c>
      <c r="BM470" s="1" t="str">
        <f>IFERROR($BM$2&amp;VLOOKUP(C472,'Pay Table'!$M$3:$N$18,2,FALSE)&amp;$BL$2&amp;#REF!&amp;$BN$2,"")</f>
        <v/>
      </c>
      <c r="BN470" s="1" t="str">
        <f>IFERROR($BM$2&amp;VLOOKUP(D472,'Pay Table'!$M$3:$N$18,2,FALSE)&amp;$BL$2&amp;#REF!&amp;$BN$2,"")</f>
        <v/>
      </c>
      <c r="BO470" s="1" t="str">
        <f>IFERROR($BM$2&amp;VLOOKUP(E472,'Pay Table'!$M$3:$N$18,2,FALSE)&amp;$BL$2&amp;#REF!&amp;$BN$2,"")</f>
        <v/>
      </c>
      <c r="BP470" s="27" t="str">
        <f>IFERROR($BM$2&amp;VLOOKUP(F472,'Pay Table'!$M$3:$N$18,2,FALSE)&amp;$BL$2&amp;#REF!&amp;$BN$2,"")</f>
        <v/>
      </c>
    </row>
    <row r="471" spans="64:68" x14ac:dyDescent="0.15">
      <c r="BL471" s="26" t="str">
        <f>IFERROR($BM$2&amp;VLOOKUP(B473,'Pay Table'!$M$3:$N$18,2,FALSE)&amp;$BL$2&amp;#REF!&amp;$BN$2,"")</f>
        <v/>
      </c>
      <c r="BM471" s="1" t="str">
        <f>IFERROR($BM$2&amp;VLOOKUP(C473,'Pay Table'!$M$3:$N$18,2,FALSE)&amp;$BL$2&amp;#REF!&amp;$BN$2,"")</f>
        <v/>
      </c>
      <c r="BN471" s="1" t="str">
        <f>IFERROR($BM$2&amp;VLOOKUP(D473,'Pay Table'!$M$3:$N$18,2,FALSE)&amp;$BL$2&amp;#REF!&amp;$BN$2,"")</f>
        <v/>
      </c>
      <c r="BO471" s="1" t="str">
        <f>IFERROR($BM$2&amp;VLOOKUP(E473,'Pay Table'!$M$3:$N$18,2,FALSE)&amp;$BL$2&amp;#REF!&amp;$BN$2,"")</f>
        <v/>
      </c>
      <c r="BP471" s="27" t="str">
        <f>IFERROR($BM$2&amp;VLOOKUP(F473,'Pay Table'!$M$3:$N$18,2,FALSE)&amp;$BL$2&amp;#REF!&amp;$BN$2,"")</f>
        <v/>
      </c>
    </row>
    <row r="472" spans="64:68" x14ac:dyDescent="0.15">
      <c r="BL472" s="26" t="str">
        <f>IFERROR($BM$2&amp;VLOOKUP(B474,'Pay Table'!$M$3:$N$18,2,FALSE)&amp;$BL$2&amp;#REF!&amp;$BN$2,"")</f>
        <v/>
      </c>
      <c r="BM472" s="1" t="str">
        <f>IFERROR($BM$2&amp;VLOOKUP(C474,'Pay Table'!$M$3:$N$18,2,FALSE)&amp;$BL$2&amp;#REF!&amp;$BN$2,"")</f>
        <v/>
      </c>
      <c r="BN472" s="1" t="str">
        <f>IFERROR($BM$2&amp;VLOOKUP(D474,'Pay Table'!$M$3:$N$18,2,FALSE)&amp;$BL$2&amp;#REF!&amp;$BN$2,"")</f>
        <v/>
      </c>
      <c r="BO472" s="1" t="str">
        <f>IFERROR($BM$2&amp;VLOOKUP(E474,'Pay Table'!$M$3:$N$18,2,FALSE)&amp;$BL$2&amp;#REF!&amp;$BN$2,"")</f>
        <v/>
      </c>
      <c r="BP472" s="27" t="str">
        <f>IFERROR($BM$2&amp;VLOOKUP(F474,'Pay Table'!$M$3:$N$18,2,FALSE)&amp;$BL$2&amp;#REF!&amp;$BN$2,"")</f>
        <v/>
      </c>
    </row>
    <row r="473" spans="64:68" x14ac:dyDescent="0.15">
      <c r="BL473" s="26" t="str">
        <f>IFERROR($BM$2&amp;VLOOKUP(B475,'Pay Table'!$M$3:$N$18,2,FALSE)&amp;$BL$2&amp;#REF!&amp;$BN$2,"")</f>
        <v/>
      </c>
      <c r="BM473" s="1" t="str">
        <f>IFERROR($BM$2&amp;VLOOKUP(C475,'Pay Table'!$M$3:$N$18,2,FALSE)&amp;$BL$2&amp;#REF!&amp;$BN$2,"")</f>
        <v/>
      </c>
      <c r="BN473" s="1" t="str">
        <f>IFERROR($BM$2&amp;VLOOKUP(D475,'Pay Table'!$M$3:$N$18,2,FALSE)&amp;$BL$2&amp;#REF!&amp;$BN$2,"")</f>
        <v/>
      </c>
      <c r="BO473" s="1" t="str">
        <f>IFERROR($BM$2&amp;VLOOKUP(E475,'Pay Table'!$M$3:$N$18,2,FALSE)&amp;$BL$2&amp;#REF!&amp;$BN$2,"")</f>
        <v/>
      </c>
      <c r="BP473" s="27" t="str">
        <f>IFERROR($BM$2&amp;VLOOKUP(F475,'Pay Table'!$M$3:$N$18,2,FALSE)&amp;$BL$2&amp;#REF!&amp;$BN$2,"")</f>
        <v/>
      </c>
    </row>
    <row r="474" spans="64:68" x14ac:dyDescent="0.15">
      <c r="BL474" s="26" t="str">
        <f>IFERROR($BM$2&amp;VLOOKUP(B476,'Pay Table'!$M$3:$N$18,2,FALSE)&amp;$BL$2&amp;#REF!&amp;$BN$2,"")</f>
        <v/>
      </c>
      <c r="BM474" s="1" t="str">
        <f>IFERROR($BM$2&amp;VLOOKUP(C476,'Pay Table'!$M$3:$N$18,2,FALSE)&amp;$BL$2&amp;#REF!&amp;$BN$2,"")</f>
        <v/>
      </c>
      <c r="BN474" s="1" t="str">
        <f>IFERROR($BM$2&amp;VLOOKUP(D476,'Pay Table'!$M$3:$N$18,2,FALSE)&amp;$BL$2&amp;#REF!&amp;$BN$2,"")</f>
        <v/>
      </c>
      <c r="BO474" s="1" t="str">
        <f>IFERROR($BM$2&amp;VLOOKUP(E476,'Pay Table'!$M$3:$N$18,2,FALSE)&amp;$BL$2&amp;#REF!&amp;$BN$2,"")</f>
        <v/>
      </c>
      <c r="BP474" s="27" t="str">
        <f>IFERROR($BM$2&amp;VLOOKUP(F476,'Pay Table'!$M$3:$N$18,2,FALSE)&amp;$BL$2&amp;#REF!&amp;$BN$2,"")</f>
        <v/>
      </c>
    </row>
    <row r="475" spans="64:68" x14ac:dyDescent="0.15">
      <c r="BL475" s="26" t="str">
        <f>IFERROR($BM$2&amp;VLOOKUP(B477,'Pay Table'!$M$3:$N$18,2,FALSE)&amp;$BL$2&amp;#REF!&amp;$BN$2,"")</f>
        <v/>
      </c>
      <c r="BM475" s="1" t="str">
        <f>IFERROR($BM$2&amp;VLOOKUP(C477,'Pay Table'!$M$3:$N$18,2,FALSE)&amp;$BL$2&amp;#REF!&amp;$BN$2,"")</f>
        <v/>
      </c>
      <c r="BN475" s="1" t="str">
        <f>IFERROR($BM$2&amp;VLOOKUP(D477,'Pay Table'!$M$3:$N$18,2,FALSE)&amp;$BL$2&amp;#REF!&amp;$BN$2,"")</f>
        <v/>
      </c>
      <c r="BO475" s="1" t="str">
        <f>IFERROR($BM$2&amp;VLOOKUP(E477,'Pay Table'!$M$3:$N$18,2,FALSE)&amp;$BL$2&amp;#REF!&amp;$BN$2,"")</f>
        <v/>
      </c>
      <c r="BP475" s="27" t="str">
        <f>IFERROR($BM$2&amp;VLOOKUP(F477,'Pay Table'!$M$3:$N$18,2,FALSE)&amp;$BL$2&amp;#REF!&amp;$BN$2,"")</f>
        <v/>
      </c>
    </row>
    <row r="476" spans="64:68" x14ac:dyDescent="0.15">
      <c r="BL476" s="26" t="str">
        <f>IFERROR($BM$2&amp;VLOOKUP(B478,'Pay Table'!$M$3:$N$18,2,FALSE)&amp;$BL$2&amp;#REF!&amp;$BN$2,"")</f>
        <v/>
      </c>
      <c r="BM476" s="1" t="str">
        <f>IFERROR($BM$2&amp;VLOOKUP(C478,'Pay Table'!$M$3:$N$18,2,FALSE)&amp;$BL$2&amp;#REF!&amp;$BN$2,"")</f>
        <v/>
      </c>
      <c r="BN476" s="1" t="str">
        <f>IFERROR($BM$2&amp;VLOOKUP(D478,'Pay Table'!$M$3:$N$18,2,FALSE)&amp;$BL$2&amp;#REF!&amp;$BN$2,"")</f>
        <v/>
      </c>
      <c r="BO476" s="1" t="str">
        <f>IFERROR($BM$2&amp;VLOOKUP(E478,'Pay Table'!$M$3:$N$18,2,FALSE)&amp;$BL$2&amp;#REF!&amp;$BN$2,"")</f>
        <v/>
      </c>
      <c r="BP476" s="27" t="str">
        <f>IFERROR($BM$2&amp;VLOOKUP(F478,'Pay Table'!$M$3:$N$18,2,FALSE)&amp;$BL$2&amp;#REF!&amp;$BN$2,"")</f>
        <v/>
      </c>
    </row>
    <row r="477" spans="64:68" x14ac:dyDescent="0.15">
      <c r="BL477" s="26" t="str">
        <f>IFERROR($BM$2&amp;VLOOKUP(B479,'Pay Table'!$M$3:$N$18,2,FALSE)&amp;$BL$2&amp;#REF!&amp;$BN$2,"")</f>
        <v/>
      </c>
      <c r="BM477" s="1" t="str">
        <f>IFERROR($BM$2&amp;VLOOKUP(C479,'Pay Table'!$M$3:$N$18,2,FALSE)&amp;$BL$2&amp;#REF!&amp;$BN$2,"")</f>
        <v/>
      </c>
      <c r="BN477" s="1" t="str">
        <f>IFERROR($BM$2&amp;VLOOKUP(D479,'Pay Table'!$M$3:$N$18,2,FALSE)&amp;$BL$2&amp;#REF!&amp;$BN$2,"")</f>
        <v/>
      </c>
      <c r="BO477" s="1" t="str">
        <f>IFERROR($BM$2&amp;VLOOKUP(E479,'Pay Table'!$M$3:$N$18,2,FALSE)&amp;$BL$2&amp;#REF!&amp;$BN$2,"")</f>
        <v/>
      </c>
      <c r="BP477" s="27" t="str">
        <f>IFERROR($BM$2&amp;VLOOKUP(F479,'Pay Table'!$M$3:$N$18,2,FALSE)&amp;$BL$2&amp;#REF!&amp;$BN$2,"")</f>
        <v/>
      </c>
    </row>
    <row r="478" spans="64:68" x14ac:dyDescent="0.15">
      <c r="BL478" s="26" t="str">
        <f>IFERROR($BM$2&amp;VLOOKUP(B480,'Pay Table'!$M$3:$N$18,2,FALSE)&amp;$BL$2&amp;#REF!&amp;$BN$2,"")</f>
        <v/>
      </c>
      <c r="BM478" s="1" t="str">
        <f>IFERROR($BM$2&amp;VLOOKUP(C480,'Pay Table'!$M$3:$N$18,2,FALSE)&amp;$BL$2&amp;#REF!&amp;$BN$2,"")</f>
        <v/>
      </c>
      <c r="BN478" s="1" t="str">
        <f>IFERROR($BM$2&amp;VLOOKUP(D480,'Pay Table'!$M$3:$N$18,2,FALSE)&amp;$BL$2&amp;#REF!&amp;$BN$2,"")</f>
        <v/>
      </c>
      <c r="BO478" s="1" t="str">
        <f>IFERROR($BM$2&amp;VLOOKUP(E480,'Pay Table'!$M$3:$N$18,2,FALSE)&amp;$BL$2&amp;#REF!&amp;$BN$2,"")</f>
        <v/>
      </c>
      <c r="BP478" s="27" t="str">
        <f>IFERROR($BM$2&amp;VLOOKUP(F480,'Pay Table'!$M$3:$N$18,2,FALSE)&amp;$BL$2&amp;#REF!&amp;$BN$2,"")</f>
        <v/>
      </c>
    </row>
    <row r="479" spans="64:68" x14ac:dyDescent="0.15">
      <c r="BL479" s="26" t="str">
        <f>IFERROR($BM$2&amp;VLOOKUP(B481,'Pay Table'!$M$3:$N$18,2,FALSE)&amp;$BL$2&amp;#REF!&amp;$BN$2,"")</f>
        <v/>
      </c>
      <c r="BM479" s="1" t="str">
        <f>IFERROR($BM$2&amp;VLOOKUP(C481,'Pay Table'!$M$3:$N$18,2,FALSE)&amp;$BL$2&amp;#REF!&amp;$BN$2,"")</f>
        <v/>
      </c>
      <c r="BN479" s="1" t="str">
        <f>IFERROR($BM$2&amp;VLOOKUP(D481,'Pay Table'!$M$3:$N$18,2,FALSE)&amp;$BL$2&amp;#REF!&amp;$BN$2,"")</f>
        <v/>
      </c>
      <c r="BO479" s="1" t="str">
        <f>IFERROR($BM$2&amp;VLOOKUP(E481,'Pay Table'!$M$3:$N$18,2,FALSE)&amp;$BL$2&amp;#REF!&amp;$BN$2,"")</f>
        <v/>
      </c>
      <c r="BP479" s="27" t="str">
        <f>IFERROR($BM$2&amp;VLOOKUP(F481,'Pay Table'!$M$3:$N$18,2,FALSE)&amp;$BL$2&amp;#REF!&amp;$BN$2,"")</f>
        <v/>
      </c>
    </row>
    <row r="480" spans="64:68" x14ac:dyDescent="0.15">
      <c r="BL480" s="26" t="str">
        <f>IFERROR($BM$2&amp;VLOOKUP(B482,'Pay Table'!$M$3:$N$18,2,FALSE)&amp;$BL$2&amp;#REF!&amp;$BN$2,"")</f>
        <v/>
      </c>
      <c r="BM480" s="1" t="str">
        <f>IFERROR($BM$2&amp;VLOOKUP(C482,'Pay Table'!$M$3:$N$18,2,FALSE)&amp;$BL$2&amp;#REF!&amp;$BN$2,"")</f>
        <v/>
      </c>
      <c r="BN480" s="1" t="str">
        <f>IFERROR($BM$2&amp;VLOOKUP(D482,'Pay Table'!$M$3:$N$18,2,FALSE)&amp;$BL$2&amp;#REF!&amp;$BN$2,"")</f>
        <v/>
      </c>
      <c r="BO480" s="1" t="str">
        <f>IFERROR($BM$2&amp;VLOOKUP(E482,'Pay Table'!$M$3:$N$18,2,FALSE)&amp;$BL$2&amp;#REF!&amp;$BN$2,"")</f>
        <v/>
      </c>
      <c r="BP480" s="27" t="str">
        <f>IFERROR($BM$2&amp;VLOOKUP(F482,'Pay Table'!$M$3:$N$18,2,FALSE)&amp;$BL$2&amp;#REF!&amp;$BN$2,"")</f>
        <v/>
      </c>
    </row>
    <row r="481" spans="64:68" x14ac:dyDescent="0.15">
      <c r="BL481" s="26" t="str">
        <f>IFERROR($BM$2&amp;VLOOKUP(B483,'Pay Table'!$M$3:$N$18,2,FALSE)&amp;$BL$2&amp;#REF!&amp;$BN$2,"")</f>
        <v/>
      </c>
      <c r="BM481" s="1" t="str">
        <f>IFERROR($BM$2&amp;VLOOKUP(C483,'Pay Table'!$M$3:$N$18,2,FALSE)&amp;$BL$2&amp;#REF!&amp;$BN$2,"")</f>
        <v/>
      </c>
      <c r="BN481" s="1" t="str">
        <f>IFERROR($BM$2&amp;VLOOKUP(D483,'Pay Table'!$M$3:$N$18,2,FALSE)&amp;$BL$2&amp;#REF!&amp;$BN$2,"")</f>
        <v/>
      </c>
      <c r="BO481" s="1" t="str">
        <f>IFERROR($BM$2&amp;VLOOKUP(E483,'Pay Table'!$M$3:$N$18,2,FALSE)&amp;$BL$2&amp;#REF!&amp;$BN$2,"")</f>
        <v/>
      </c>
      <c r="BP481" s="27" t="str">
        <f>IFERROR($BM$2&amp;VLOOKUP(F483,'Pay Table'!$M$3:$N$18,2,FALSE)&amp;$BL$2&amp;#REF!&amp;$BN$2,"")</f>
        <v/>
      </c>
    </row>
    <row r="482" spans="64:68" x14ac:dyDescent="0.15">
      <c r="BL482" s="26" t="str">
        <f>IFERROR($BM$2&amp;VLOOKUP(B484,'Pay Table'!$M$3:$N$18,2,FALSE)&amp;$BL$2&amp;#REF!&amp;$BN$2,"")</f>
        <v/>
      </c>
      <c r="BM482" s="1" t="str">
        <f>IFERROR($BM$2&amp;VLOOKUP(C484,'Pay Table'!$M$3:$N$18,2,FALSE)&amp;$BL$2&amp;#REF!&amp;$BN$2,"")</f>
        <v/>
      </c>
      <c r="BN482" s="1" t="str">
        <f>IFERROR($BM$2&amp;VLOOKUP(D484,'Pay Table'!$M$3:$N$18,2,FALSE)&amp;$BL$2&amp;#REF!&amp;$BN$2,"")</f>
        <v/>
      </c>
      <c r="BO482" s="1" t="str">
        <f>IFERROR($BM$2&amp;VLOOKUP(E484,'Pay Table'!$M$3:$N$18,2,FALSE)&amp;$BL$2&amp;#REF!&amp;$BN$2,"")</f>
        <v/>
      </c>
      <c r="BP482" s="27" t="str">
        <f>IFERROR($BM$2&amp;VLOOKUP(F484,'Pay Table'!$M$3:$N$18,2,FALSE)&amp;$BL$2&amp;#REF!&amp;$BN$2,"")</f>
        <v/>
      </c>
    </row>
    <row r="483" spans="64:68" x14ac:dyDescent="0.15">
      <c r="BL483" s="26" t="str">
        <f>IFERROR($BM$2&amp;VLOOKUP(B485,'Pay Table'!$M$3:$N$18,2,FALSE)&amp;$BL$2&amp;#REF!&amp;$BN$2,"")</f>
        <v/>
      </c>
      <c r="BM483" s="1" t="str">
        <f>IFERROR($BM$2&amp;VLOOKUP(C485,'Pay Table'!$M$3:$N$18,2,FALSE)&amp;$BL$2&amp;#REF!&amp;$BN$2,"")</f>
        <v/>
      </c>
      <c r="BN483" s="1" t="str">
        <f>IFERROR($BM$2&amp;VLOOKUP(D485,'Pay Table'!$M$3:$N$18,2,FALSE)&amp;$BL$2&amp;#REF!&amp;$BN$2,"")</f>
        <v/>
      </c>
      <c r="BO483" s="1" t="str">
        <f>IFERROR($BM$2&amp;VLOOKUP(E485,'Pay Table'!$M$3:$N$18,2,FALSE)&amp;$BL$2&amp;#REF!&amp;$BN$2,"")</f>
        <v/>
      </c>
      <c r="BP483" s="27" t="str">
        <f>IFERROR($BM$2&amp;VLOOKUP(F485,'Pay Table'!$M$3:$N$18,2,FALSE)&amp;$BL$2&amp;#REF!&amp;$BN$2,"")</f>
        <v/>
      </c>
    </row>
    <row r="484" spans="64:68" x14ac:dyDescent="0.15">
      <c r="BL484" s="26" t="str">
        <f>IFERROR($BM$2&amp;VLOOKUP(B486,'Pay Table'!$M$3:$N$18,2,FALSE)&amp;$BL$2&amp;#REF!&amp;$BN$2,"")</f>
        <v/>
      </c>
      <c r="BM484" s="1" t="str">
        <f>IFERROR($BM$2&amp;VLOOKUP(C486,'Pay Table'!$M$3:$N$18,2,FALSE)&amp;$BL$2&amp;#REF!&amp;$BN$2,"")</f>
        <v/>
      </c>
      <c r="BN484" s="1" t="str">
        <f>IFERROR($BM$2&amp;VLOOKUP(D486,'Pay Table'!$M$3:$N$18,2,FALSE)&amp;$BL$2&amp;#REF!&amp;$BN$2,"")</f>
        <v/>
      </c>
      <c r="BO484" s="1" t="str">
        <f>IFERROR($BM$2&amp;VLOOKUP(E486,'Pay Table'!$M$3:$N$18,2,FALSE)&amp;$BL$2&amp;#REF!&amp;$BN$2,"")</f>
        <v/>
      </c>
      <c r="BP484" s="27" t="str">
        <f>IFERROR($BM$2&amp;VLOOKUP(F486,'Pay Table'!$M$3:$N$18,2,FALSE)&amp;$BL$2&amp;#REF!&amp;$BN$2,"")</f>
        <v/>
      </c>
    </row>
    <row r="485" spans="64:68" x14ac:dyDescent="0.15">
      <c r="BL485" s="26" t="str">
        <f>IFERROR($BM$2&amp;VLOOKUP(B487,'Pay Table'!$M$3:$N$18,2,FALSE)&amp;$BL$2&amp;#REF!&amp;$BN$2,"")</f>
        <v/>
      </c>
      <c r="BM485" s="1" t="str">
        <f>IFERROR($BM$2&amp;VLOOKUP(C487,'Pay Table'!$M$3:$N$18,2,FALSE)&amp;$BL$2&amp;#REF!&amp;$BN$2,"")</f>
        <v/>
      </c>
      <c r="BN485" s="1" t="str">
        <f>IFERROR($BM$2&amp;VLOOKUP(D487,'Pay Table'!$M$3:$N$18,2,FALSE)&amp;$BL$2&amp;#REF!&amp;$BN$2,"")</f>
        <v/>
      </c>
      <c r="BO485" s="1" t="str">
        <f>IFERROR($BM$2&amp;VLOOKUP(E487,'Pay Table'!$M$3:$N$18,2,FALSE)&amp;$BL$2&amp;#REF!&amp;$BN$2,"")</f>
        <v/>
      </c>
      <c r="BP485" s="27" t="str">
        <f>IFERROR($BM$2&amp;VLOOKUP(F487,'Pay Table'!$M$3:$N$18,2,FALSE)&amp;$BL$2&amp;#REF!&amp;$BN$2,"")</f>
        <v/>
      </c>
    </row>
    <row r="486" spans="64:68" x14ac:dyDescent="0.15">
      <c r="BL486" s="26" t="str">
        <f>IFERROR($BM$2&amp;VLOOKUP(B488,'Pay Table'!$M$3:$N$18,2,FALSE)&amp;$BL$2&amp;#REF!&amp;$BN$2,"")</f>
        <v/>
      </c>
      <c r="BM486" s="1" t="str">
        <f>IFERROR($BM$2&amp;VLOOKUP(C488,'Pay Table'!$M$3:$N$18,2,FALSE)&amp;$BL$2&amp;#REF!&amp;$BN$2,"")</f>
        <v/>
      </c>
      <c r="BN486" s="1" t="str">
        <f>IFERROR($BM$2&amp;VLOOKUP(D488,'Pay Table'!$M$3:$N$18,2,FALSE)&amp;$BL$2&amp;#REF!&amp;$BN$2,"")</f>
        <v/>
      </c>
      <c r="BO486" s="1" t="str">
        <f>IFERROR($BM$2&amp;VLOOKUP(E488,'Pay Table'!$M$3:$N$18,2,FALSE)&amp;$BL$2&amp;#REF!&amp;$BN$2,"")</f>
        <v/>
      </c>
      <c r="BP486" s="27" t="str">
        <f>IFERROR($BM$2&amp;VLOOKUP(F488,'Pay Table'!$M$3:$N$18,2,FALSE)&amp;$BL$2&amp;#REF!&amp;$BN$2,"")</f>
        <v/>
      </c>
    </row>
    <row r="487" spans="64:68" x14ac:dyDescent="0.15">
      <c r="BL487" s="26" t="str">
        <f>IFERROR($BM$2&amp;VLOOKUP(B489,'Pay Table'!$M$3:$N$18,2,FALSE)&amp;$BL$2&amp;#REF!&amp;$BN$2,"")</f>
        <v/>
      </c>
      <c r="BM487" s="1" t="str">
        <f>IFERROR($BM$2&amp;VLOOKUP(C489,'Pay Table'!$M$3:$N$18,2,FALSE)&amp;$BL$2&amp;#REF!&amp;$BN$2,"")</f>
        <v/>
      </c>
      <c r="BN487" s="1" t="str">
        <f>IFERROR($BM$2&amp;VLOOKUP(D489,'Pay Table'!$M$3:$N$18,2,FALSE)&amp;$BL$2&amp;#REF!&amp;$BN$2,"")</f>
        <v/>
      </c>
      <c r="BO487" s="1" t="str">
        <f>IFERROR($BM$2&amp;VLOOKUP(E489,'Pay Table'!$M$3:$N$18,2,FALSE)&amp;$BL$2&amp;#REF!&amp;$BN$2,"")</f>
        <v/>
      </c>
      <c r="BP487" s="27" t="str">
        <f>IFERROR($BM$2&amp;VLOOKUP(F489,'Pay Table'!$M$3:$N$18,2,FALSE)&amp;$BL$2&amp;#REF!&amp;$BN$2,"")</f>
        <v/>
      </c>
    </row>
    <row r="488" spans="64:68" x14ac:dyDescent="0.15">
      <c r="BL488" s="26" t="str">
        <f>IFERROR($BM$2&amp;VLOOKUP(B490,'Pay Table'!$M$3:$N$18,2,FALSE)&amp;$BL$2&amp;#REF!&amp;$BN$2,"")</f>
        <v/>
      </c>
      <c r="BM488" s="1" t="str">
        <f>IFERROR($BM$2&amp;VLOOKUP(C490,'Pay Table'!$M$3:$N$18,2,FALSE)&amp;$BL$2&amp;#REF!&amp;$BN$2,"")</f>
        <v/>
      </c>
      <c r="BN488" s="1" t="str">
        <f>IFERROR($BM$2&amp;VLOOKUP(D490,'Pay Table'!$M$3:$N$18,2,FALSE)&amp;$BL$2&amp;#REF!&amp;$BN$2,"")</f>
        <v/>
      </c>
      <c r="BO488" s="1" t="str">
        <f>IFERROR($BM$2&amp;VLOOKUP(E490,'Pay Table'!$M$3:$N$18,2,FALSE)&amp;$BL$2&amp;#REF!&amp;$BN$2,"")</f>
        <v/>
      </c>
      <c r="BP488" s="27" t="str">
        <f>IFERROR($BM$2&amp;VLOOKUP(F490,'Pay Table'!$M$3:$N$18,2,FALSE)&amp;$BL$2&amp;#REF!&amp;$BN$2,"")</f>
        <v/>
      </c>
    </row>
    <row r="489" spans="64:68" x14ac:dyDescent="0.15">
      <c r="BL489" s="26" t="str">
        <f>IFERROR($BM$2&amp;VLOOKUP(B491,'Pay Table'!$M$3:$N$18,2,FALSE)&amp;$BL$2&amp;#REF!&amp;$BN$2,"")</f>
        <v/>
      </c>
      <c r="BM489" s="1" t="str">
        <f>IFERROR($BM$2&amp;VLOOKUP(C491,'Pay Table'!$M$3:$N$18,2,FALSE)&amp;$BL$2&amp;#REF!&amp;$BN$2,"")</f>
        <v/>
      </c>
      <c r="BN489" s="1" t="str">
        <f>IFERROR($BM$2&amp;VLOOKUP(D491,'Pay Table'!$M$3:$N$18,2,FALSE)&amp;$BL$2&amp;#REF!&amp;$BN$2,"")</f>
        <v/>
      </c>
      <c r="BO489" s="1" t="str">
        <f>IFERROR($BM$2&amp;VLOOKUP(E491,'Pay Table'!$M$3:$N$18,2,FALSE)&amp;$BL$2&amp;#REF!&amp;$BN$2,"")</f>
        <v/>
      </c>
      <c r="BP489" s="27" t="str">
        <f>IFERROR($BM$2&amp;VLOOKUP(F491,'Pay Table'!$M$3:$N$18,2,FALSE)&amp;$BL$2&amp;#REF!&amp;$BN$2,"")</f>
        <v/>
      </c>
    </row>
    <row r="490" spans="64:68" x14ac:dyDescent="0.15">
      <c r="BL490" s="26" t="str">
        <f>IFERROR($BM$2&amp;VLOOKUP(B492,'Pay Table'!$M$3:$N$18,2,FALSE)&amp;$BL$2&amp;#REF!&amp;$BN$2,"")</f>
        <v/>
      </c>
      <c r="BM490" s="1" t="str">
        <f>IFERROR($BM$2&amp;VLOOKUP(C492,'Pay Table'!$M$3:$N$18,2,FALSE)&amp;$BL$2&amp;#REF!&amp;$BN$2,"")</f>
        <v/>
      </c>
      <c r="BN490" s="1" t="str">
        <f>IFERROR($BM$2&amp;VLOOKUP(D492,'Pay Table'!$M$3:$N$18,2,FALSE)&amp;$BL$2&amp;#REF!&amp;$BN$2,"")</f>
        <v/>
      </c>
      <c r="BO490" s="1" t="str">
        <f>IFERROR($BM$2&amp;VLOOKUP(E492,'Pay Table'!$M$3:$N$18,2,FALSE)&amp;$BL$2&amp;#REF!&amp;$BN$2,"")</f>
        <v/>
      </c>
      <c r="BP490" s="27" t="str">
        <f>IFERROR($BM$2&amp;VLOOKUP(F492,'Pay Table'!$M$3:$N$18,2,FALSE)&amp;$BL$2&amp;#REF!&amp;$BN$2,"")</f>
        <v/>
      </c>
    </row>
    <row r="491" spans="64:68" x14ac:dyDescent="0.15">
      <c r="BL491" s="26" t="str">
        <f>IFERROR($BM$2&amp;VLOOKUP(B493,'Pay Table'!$M$3:$N$18,2,FALSE)&amp;$BL$2&amp;#REF!&amp;$BN$2,"")</f>
        <v/>
      </c>
      <c r="BM491" s="1" t="str">
        <f>IFERROR($BM$2&amp;VLOOKUP(C493,'Pay Table'!$M$3:$N$18,2,FALSE)&amp;$BL$2&amp;#REF!&amp;$BN$2,"")</f>
        <v/>
      </c>
      <c r="BN491" s="1" t="str">
        <f>IFERROR($BM$2&amp;VLOOKUP(D493,'Pay Table'!$M$3:$N$18,2,FALSE)&amp;$BL$2&amp;#REF!&amp;$BN$2,"")</f>
        <v/>
      </c>
      <c r="BO491" s="1" t="str">
        <f>IFERROR($BM$2&amp;VLOOKUP(E493,'Pay Table'!$M$3:$N$18,2,FALSE)&amp;$BL$2&amp;#REF!&amp;$BN$2,"")</f>
        <v/>
      </c>
      <c r="BP491" s="27" t="str">
        <f>IFERROR($BM$2&amp;VLOOKUP(F493,'Pay Table'!$M$3:$N$18,2,FALSE)&amp;$BL$2&amp;#REF!&amp;$BN$2,"")</f>
        <v/>
      </c>
    </row>
    <row r="492" spans="64:68" x14ac:dyDescent="0.15">
      <c r="BL492" s="26" t="str">
        <f>IFERROR($BM$2&amp;VLOOKUP(B494,'Pay Table'!$M$3:$N$18,2,FALSE)&amp;$BL$2&amp;#REF!&amp;$BN$2,"")</f>
        <v/>
      </c>
      <c r="BM492" s="1" t="str">
        <f>IFERROR($BM$2&amp;VLOOKUP(C494,'Pay Table'!$M$3:$N$18,2,FALSE)&amp;$BL$2&amp;#REF!&amp;$BN$2,"")</f>
        <v/>
      </c>
      <c r="BN492" s="1" t="str">
        <f>IFERROR($BM$2&amp;VLOOKUP(D494,'Pay Table'!$M$3:$N$18,2,FALSE)&amp;$BL$2&amp;#REF!&amp;$BN$2,"")</f>
        <v/>
      </c>
      <c r="BO492" s="1" t="str">
        <f>IFERROR($BM$2&amp;VLOOKUP(E494,'Pay Table'!$M$3:$N$18,2,FALSE)&amp;$BL$2&amp;#REF!&amp;$BN$2,"")</f>
        <v/>
      </c>
      <c r="BP492" s="27" t="str">
        <f>IFERROR($BM$2&amp;VLOOKUP(F494,'Pay Table'!$M$3:$N$18,2,FALSE)&amp;$BL$2&amp;#REF!&amp;$BN$2,"")</f>
        <v/>
      </c>
    </row>
    <row r="493" spans="64:68" x14ac:dyDescent="0.15">
      <c r="BL493" s="26" t="str">
        <f>IFERROR($BM$2&amp;VLOOKUP(B495,'Pay Table'!$M$3:$N$18,2,FALSE)&amp;$BL$2&amp;#REF!&amp;$BN$2,"")</f>
        <v/>
      </c>
      <c r="BM493" s="1" t="str">
        <f>IFERROR($BM$2&amp;VLOOKUP(C495,'Pay Table'!$M$3:$N$18,2,FALSE)&amp;$BL$2&amp;#REF!&amp;$BN$2,"")</f>
        <v/>
      </c>
      <c r="BN493" s="1" t="str">
        <f>IFERROR($BM$2&amp;VLOOKUP(D495,'Pay Table'!$M$3:$N$18,2,FALSE)&amp;$BL$2&amp;#REF!&amp;$BN$2,"")</f>
        <v/>
      </c>
      <c r="BO493" s="1" t="str">
        <f>IFERROR($BM$2&amp;VLOOKUP(E495,'Pay Table'!$M$3:$N$18,2,FALSE)&amp;$BL$2&amp;#REF!&amp;$BN$2,"")</f>
        <v/>
      </c>
      <c r="BP493" s="27" t="str">
        <f>IFERROR($BM$2&amp;VLOOKUP(F495,'Pay Table'!$M$3:$N$18,2,FALSE)&amp;$BL$2&amp;#REF!&amp;$BN$2,"")</f>
        <v/>
      </c>
    </row>
    <row r="494" spans="64:68" x14ac:dyDescent="0.15">
      <c r="BL494" s="26" t="str">
        <f>IFERROR($BM$2&amp;VLOOKUP(B496,'Pay Table'!$M$3:$N$18,2,FALSE)&amp;$BL$2&amp;#REF!&amp;$BN$2,"")</f>
        <v/>
      </c>
      <c r="BM494" s="1" t="str">
        <f>IFERROR($BM$2&amp;VLOOKUP(C496,'Pay Table'!$M$3:$N$18,2,FALSE)&amp;$BL$2&amp;#REF!&amp;$BN$2,"")</f>
        <v/>
      </c>
      <c r="BN494" s="1" t="str">
        <f>IFERROR($BM$2&amp;VLOOKUP(D496,'Pay Table'!$M$3:$N$18,2,FALSE)&amp;$BL$2&amp;#REF!&amp;$BN$2,"")</f>
        <v/>
      </c>
      <c r="BO494" s="1" t="str">
        <f>IFERROR($BM$2&amp;VLOOKUP(E496,'Pay Table'!$M$3:$N$18,2,FALSE)&amp;$BL$2&amp;#REF!&amp;$BN$2,"")</f>
        <v/>
      </c>
      <c r="BP494" s="27" t="str">
        <f>IFERROR($BM$2&amp;VLOOKUP(F496,'Pay Table'!$M$3:$N$18,2,FALSE)&amp;$BL$2&amp;#REF!&amp;$BN$2,"")</f>
        <v/>
      </c>
    </row>
    <row r="495" spans="64:68" x14ac:dyDescent="0.15">
      <c r="BL495" s="26" t="str">
        <f>IFERROR($BM$2&amp;VLOOKUP(B497,'Pay Table'!$M$3:$N$18,2,FALSE)&amp;$BL$2&amp;#REF!&amp;$BN$2,"")</f>
        <v/>
      </c>
      <c r="BM495" s="1" t="str">
        <f>IFERROR($BM$2&amp;VLOOKUP(C497,'Pay Table'!$M$3:$N$18,2,FALSE)&amp;$BL$2&amp;#REF!&amp;$BN$2,"")</f>
        <v/>
      </c>
      <c r="BN495" s="1" t="str">
        <f>IFERROR($BM$2&amp;VLOOKUP(D497,'Pay Table'!$M$3:$N$18,2,FALSE)&amp;$BL$2&amp;#REF!&amp;$BN$2,"")</f>
        <v/>
      </c>
      <c r="BO495" s="1" t="str">
        <f>IFERROR($BM$2&amp;VLOOKUP(E497,'Pay Table'!$M$3:$N$18,2,FALSE)&amp;$BL$2&amp;#REF!&amp;$BN$2,"")</f>
        <v/>
      </c>
      <c r="BP495" s="27" t="str">
        <f>IFERROR($BM$2&amp;VLOOKUP(F497,'Pay Table'!$M$3:$N$18,2,FALSE)&amp;$BL$2&amp;#REF!&amp;$BN$2,"")</f>
        <v/>
      </c>
    </row>
    <row r="496" spans="64:68" x14ac:dyDescent="0.15">
      <c r="BL496" s="26" t="str">
        <f>IFERROR($BM$2&amp;VLOOKUP(B498,'Pay Table'!$M$3:$N$18,2,FALSE)&amp;$BL$2&amp;#REF!&amp;$BN$2,"")</f>
        <v/>
      </c>
      <c r="BM496" s="1" t="str">
        <f>IFERROR($BM$2&amp;VLOOKUP(C498,'Pay Table'!$M$3:$N$18,2,FALSE)&amp;$BL$2&amp;#REF!&amp;$BN$2,"")</f>
        <v/>
      </c>
      <c r="BN496" s="1" t="str">
        <f>IFERROR($BM$2&amp;VLOOKUP(D498,'Pay Table'!$M$3:$N$18,2,FALSE)&amp;$BL$2&amp;#REF!&amp;$BN$2,"")</f>
        <v/>
      </c>
      <c r="BO496" s="1" t="str">
        <f>IFERROR($BM$2&amp;VLOOKUP(E498,'Pay Table'!$M$3:$N$18,2,FALSE)&amp;$BL$2&amp;#REF!&amp;$BN$2,"")</f>
        <v/>
      </c>
      <c r="BP496" s="27" t="str">
        <f>IFERROR($BM$2&amp;VLOOKUP(F498,'Pay Table'!$M$3:$N$18,2,FALSE)&amp;$BL$2&amp;#REF!&amp;$BN$2,"")</f>
        <v/>
      </c>
    </row>
    <row r="497" spans="64:68" x14ac:dyDescent="0.15">
      <c r="BL497" s="26" t="str">
        <f>IFERROR($BM$2&amp;VLOOKUP(B499,'Pay Table'!$M$3:$N$18,2,FALSE)&amp;$BL$2&amp;#REF!&amp;$BN$2,"")</f>
        <v/>
      </c>
      <c r="BM497" s="1" t="str">
        <f>IFERROR($BM$2&amp;VLOOKUP(C499,'Pay Table'!$M$3:$N$18,2,FALSE)&amp;$BL$2&amp;#REF!&amp;$BN$2,"")</f>
        <v/>
      </c>
      <c r="BN497" s="1" t="str">
        <f>IFERROR($BM$2&amp;VLOOKUP(D499,'Pay Table'!$M$3:$N$18,2,FALSE)&amp;$BL$2&amp;#REF!&amp;$BN$2,"")</f>
        <v/>
      </c>
      <c r="BO497" s="1" t="str">
        <f>IFERROR($BM$2&amp;VLOOKUP(E499,'Pay Table'!$M$3:$N$18,2,FALSE)&amp;$BL$2&amp;#REF!&amp;$BN$2,"")</f>
        <v/>
      </c>
      <c r="BP497" s="27" t="str">
        <f>IFERROR($BM$2&amp;VLOOKUP(F499,'Pay Table'!$M$3:$N$18,2,FALSE)&amp;$BL$2&amp;#REF!&amp;$BN$2,"")</f>
        <v/>
      </c>
    </row>
    <row r="498" spans="64:68" x14ac:dyDescent="0.15">
      <c r="BL498" s="26" t="str">
        <f>IFERROR($BM$2&amp;VLOOKUP(B500,'Pay Table'!$M$3:$N$18,2,FALSE)&amp;$BL$2&amp;#REF!&amp;$BN$2,"")</f>
        <v/>
      </c>
      <c r="BM498" s="1" t="str">
        <f>IFERROR($BM$2&amp;VLOOKUP(C500,'Pay Table'!$M$3:$N$18,2,FALSE)&amp;$BL$2&amp;#REF!&amp;$BN$2,"")</f>
        <v/>
      </c>
      <c r="BN498" s="1" t="str">
        <f>IFERROR($BM$2&amp;VLOOKUP(D500,'Pay Table'!$M$3:$N$18,2,FALSE)&amp;$BL$2&amp;#REF!&amp;$BN$2,"")</f>
        <v/>
      </c>
      <c r="BO498" s="1" t="str">
        <f>IFERROR($BM$2&amp;VLOOKUP(E500,'Pay Table'!$M$3:$N$18,2,FALSE)&amp;$BL$2&amp;#REF!&amp;$BN$2,"")</f>
        <v/>
      </c>
      <c r="BP498" s="27" t="str">
        <f>IFERROR($BM$2&amp;VLOOKUP(F500,'Pay Table'!$M$3:$N$18,2,FALSE)&amp;$BL$2&amp;#REF!&amp;$BN$2,"")</f>
        <v/>
      </c>
    </row>
    <row r="499" spans="64:68" x14ac:dyDescent="0.15">
      <c r="BL499" s="26" t="str">
        <f>IFERROR($BM$2&amp;VLOOKUP(B501,'Pay Table'!$M$3:$N$18,2,FALSE)&amp;$BL$2&amp;#REF!&amp;$BN$2,"")</f>
        <v/>
      </c>
      <c r="BM499" s="1" t="str">
        <f>IFERROR($BM$2&amp;VLOOKUP(C501,'Pay Table'!$M$3:$N$18,2,FALSE)&amp;$BL$2&amp;#REF!&amp;$BN$2,"")</f>
        <v/>
      </c>
      <c r="BN499" s="1" t="str">
        <f>IFERROR($BM$2&amp;VLOOKUP(D501,'Pay Table'!$M$3:$N$18,2,FALSE)&amp;$BL$2&amp;#REF!&amp;$BN$2,"")</f>
        <v/>
      </c>
      <c r="BO499" s="1" t="str">
        <f>IFERROR($BM$2&amp;VLOOKUP(E501,'Pay Table'!$M$3:$N$18,2,FALSE)&amp;$BL$2&amp;#REF!&amp;$BN$2,"")</f>
        <v/>
      </c>
      <c r="BP499" s="27" t="str">
        <f>IFERROR($BM$2&amp;VLOOKUP(F501,'Pay Table'!$M$3:$N$18,2,FALSE)&amp;$BL$2&amp;#REF!&amp;$BN$2,"")</f>
        <v/>
      </c>
    </row>
    <row r="500" spans="64:68" x14ac:dyDescent="0.15">
      <c r="BL500" s="26" t="str">
        <f>IFERROR($BM$2&amp;VLOOKUP(B502,'Pay Table'!$M$3:$N$18,2,FALSE)&amp;$BL$2&amp;#REF!&amp;$BN$2,"")</f>
        <v/>
      </c>
      <c r="BM500" s="1" t="str">
        <f>IFERROR($BM$2&amp;VLOOKUP(C502,'Pay Table'!$M$3:$N$18,2,FALSE)&amp;$BL$2&amp;#REF!&amp;$BN$2,"")</f>
        <v/>
      </c>
      <c r="BN500" s="1" t="str">
        <f>IFERROR($BM$2&amp;VLOOKUP(D502,'Pay Table'!$M$3:$N$18,2,FALSE)&amp;$BL$2&amp;#REF!&amp;$BN$2,"")</f>
        <v/>
      </c>
      <c r="BO500" s="1" t="str">
        <f>IFERROR($BM$2&amp;VLOOKUP(E502,'Pay Table'!$M$3:$N$18,2,FALSE)&amp;$BL$2&amp;#REF!&amp;$BN$2,"")</f>
        <v/>
      </c>
      <c r="BP500" s="27" t="str">
        <f>IFERROR($BM$2&amp;VLOOKUP(F502,'Pay Table'!$M$3:$N$18,2,FALSE)&amp;$BL$2&amp;#REF!&amp;$BN$2,"")</f>
        <v/>
      </c>
    </row>
    <row r="501" spans="64:68" x14ac:dyDescent="0.15">
      <c r="BL501" s="26" t="str">
        <f>IFERROR($BM$2&amp;VLOOKUP(B503,'Pay Table'!$M$3:$N$18,2,FALSE)&amp;$BL$2&amp;#REF!&amp;$BN$2,"")</f>
        <v/>
      </c>
      <c r="BM501" s="1" t="str">
        <f>IFERROR($BM$2&amp;VLOOKUP(C503,'Pay Table'!$M$3:$N$18,2,FALSE)&amp;$BL$2&amp;#REF!&amp;$BN$2,"")</f>
        <v/>
      </c>
      <c r="BN501" s="1" t="str">
        <f>IFERROR($BM$2&amp;VLOOKUP(D503,'Pay Table'!$M$3:$N$18,2,FALSE)&amp;$BL$2&amp;#REF!&amp;$BN$2,"")</f>
        <v/>
      </c>
      <c r="BO501" s="1" t="str">
        <f>IFERROR($BM$2&amp;VLOOKUP(E503,'Pay Table'!$M$3:$N$18,2,FALSE)&amp;$BL$2&amp;#REF!&amp;$BN$2,"")</f>
        <v/>
      </c>
      <c r="BP501" s="27" t="str">
        <f>IFERROR($BM$2&amp;VLOOKUP(F503,'Pay Table'!$M$3:$N$18,2,FALSE)&amp;$BL$2&amp;#REF!&amp;$BN$2,"")</f>
        <v/>
      </c>
    </row>
    <row r="502" spans="64:68" x14ac:dyDescent="0.15">
      <c r="BL502" s="26" t="str">
        <f>IFERROR($BM$2&amp;VLOOKUP(B504,'Pay Table'!$M$3:$N$18,2,FALSE)&amp;$BL$2&amp;#REF!&amp;$BN$2,"")</f>
        <v/>
      </c>
      <c r="BM502" s="1" t="str">
        <f>IFERROR($BM$2&amp;VLOOKUP(C504,'Pay Table'!$M$3:$N$18,2,FALSE)&amp;$BL$2&amp;#REF!&amp;$BN$2,"")</f>
        <v/>
      </c>
      <c r="BN502" s="1" t="str">
        <f>IFERROR($BM$2&amp;VLOOKUP(D504,'Pay Table'!$M$3:$N$18,2,FALSE)&amp;$BL$2&amp;#REF!&amp;$BN$2,"")</f>
        <v/>
      </c>
      <c r="BO502" s="1" t="str">
        <f>IFERROR($BM$2&amp;VLOOKUP(E504,'Pay Table'!$M$3:$N$18,2,FALSE)&amp;$BL$2&amp;#REF!&amp;$BN$2,"")</f>
        <v/>
      </c>
      <c r="BP502" s="27" t="str">
        <f>IFERROR($BM$2&amp;VLOOKUP(F504,'Pay Table'!$M$3:$N$18,2,FALSE)&amp;$BL$2&amp;#REF!&amp;$BN$2,"")</f>
        <v/>
      </c>
    </row>
    <row r="503" spans="64:68" x14ac:dyDescent="0.15">
      <c r="BL503" s="26" t="str">
        <f>IFERROR($BM$2&amp;VLOOKUP(B505,'Pay Table'!$M$3:$N$18,2,FALSE)&amp;$BL$2&amp;#REF!&amp;$BN$2,"")</f>
        <v/>
      </c>
      <c r="BM503" s="1" t="str">
        <f>IFERROR($BM$2&amp;VLOOKUP(C505,'Pay Table'!$M$3:$N$18,2,FALSE)&amp;$BL$2&amp;#REF!&amp;$BN$2,"")</f>
        <v/>
      </c>
      <c r="BN503" s="1" t="str">
        <f>IFERROR($BM$2&amp;VLOOKUP(D505,'Pay Table'!$M$3:$N$18,2,FALSE)&amp;$BL$2&amp;#REF!&amp;$BN$2,"")</f>
        <v/>
      </c>
      <c r="BO503" s="1" t="str">
        <f>IFERROR($BM$2&amp;VLOOKUP(E505,'Pay Table'!$M$3:$N$18,2,FALSE)&amp;$BL$2&amp;#REF!&amp;$BN$2,"")</f>
        <v/>
      </c>
      <c r="BP503" s="27" t="str">
        <f>IFERROR($BM$2&amp;VLOOKUP(F505,'Pay Table'!$M$3:$N$18,2,FALSE)&amp;$BL$2&amp;#REF!&amp;$BN$2,"")</f>
        <v/>
      </c>
    </row>
    <row r="504" spans="64:68" x14ac:dyDescent="0.15">
      <c r="BL504" s="26" t="str">
        <f>IFERROR($BM$2&amp;VLOOKUP(B506,'Pay Table'!$M$3:$N$18,2,FALSE)&amp;$BL$2&amp;#REF!&amp;$BN$2,"")</f>
        <v/>
      </c>
      <c r="BM504" s="1" t="str">
        <f>IFERROR($BM$2&amp;VLOOKUP(C506,'Pay Table'!$M$3:$N$18,2,FALSE)&amp;$BL$2&amp;#REF!&amp;$BN$2,"")</f>
        <v/>
      </c>
      <c r="BN504" s="1" t="str">
        <f>IFERROR($BM$2&amp;VLOOKUP(D506,'Pay Table'!$M$3:$N$18,2,FALSE)&amp;$BL$2&amp;#REF!&amp;$BN$2,"")</f>
        <v/>
      </c>
      <c r="BO504" s="1" t="str">
        <f>IFERROR($BM$2&amp;VLOOKUP(E506,'Pay Table'!$M$3:$N$18,2,FALSE)&amp;$BL$2&amp;#REF!&amp;$BN$2,"")</f>
        <v/>
      </c>
      <c r="BP504" s="27" t="str">
        <f>IFERROR($BM$2&amp;VLOOKUP(F506,'Pay Table'!$M$3:$N$18,2,FALSE)&amp;$BL$2&amp;#REF!&amp;$BN$2,"")</f>
        <v/>
      </c>
    </row>
    <row r="505" spans="64:68" x14ac:dyDescent="0.15">
      <c r="BL505" s="26" t="str">
        <f>IFERROR($BM$2&amp;VLOOKUP(B507,'Pay Table'!$M$3:$N$18,2,FALSE)&amp;$BL$2&amp;#REF!&amp;$BN$2,"")</f>
        <v/>
      </c>
      <c r="BM505" s="1" t="str">
        <f>IFERROR($BM$2&amp;VLOOKUP(C507,'Pay Table'!$M$3:$N$18,2,FALSE)&amp;$BL$2&amp;#REF!&amp;$BN$2,"")</f>
        <v/>
      </c>
      <c r="BN505" s="1" t="str">
        <f>IFERROR($BM$2&amp;VLOOKUP(D507,'Pay Table'!$M$3:$N$18,2,FALSE)&amp;$BL$2&amp;#REF!&amp;$BN$2,"")</f>
        <v/>
      </c>
      <c r="BO505" s="1" t="str">
        <f>IFERROR($BM$2&amp;VLOOKUP(E507,'Pay Table'!$M$3:$N$18,2,FALSE)&amp;$BL$2&amp;#REF!&amp;$BN$2,"")</f>
        <v/>
      </c>
      <c r="BP505" s="27" t="str">
        <f>IFERROR($BM$2&amp;VLOOKUP(F507,'Pay Table'!$M$3:$N$18,2,FALSE)&amp;$BL$2&amp;#REF!&amp;$BN$2,"")</f>
        <v/>
      </c>
    </row>
    <row r="506" spans="64:68" x14ac:dyDescent="0.15">
      <c r="BL506" s="26" t="str">
        <f>IFERROR($BM$2&amp;VLOOKUP(B508,'Pay Table'!$M$3:$N$18,2,FALSE)&amp;$BL$2&amp;#REF!&amp;$BN$2,"")</f>
        <v/>
      </c>
      <c r="BM506" s="1" t="str">
        <f>IFERROR($BM$2&amp;VLOOKUP(C508,'Pay Table'!$M$3:$N$18,2,FALSE)&amp;$BL$2&amp;#REF!&amp;$BN$2,"")</f>
        <v/>
      </c>
      <c r="BN506" s="1" t="str">
        <f>IFERROR($BM$2&amp;VLOOKUP(D508,'Pay Table'!$M$3:$N$18,2,FALSE)&amp;$BL$2&amp;#REF!&amp;$BN$2,"")</f>
        <v/>
      </c>
      <c r="BO506" s="1" t="str">
        <f>IFERROR($BM$2&amp;VLOOKUP(E508,'Pay Table'!$M$3:$N$18,2,FALSE)&amp;$BL$2&amp;#REF!&amp;$BN$2,"")</f>
        <v/>
      </c>
      <c r="BP506" s="27" t="str">
        <f>IFERROR($BM$2&amp;VLOOKUP(F508,'Pay Table'!$M$3:$N$18,2,FALSE)&amp;$BL$2&amp;#REF!&amp;$BN$2,"")</f>
        <v/>
      </c>
    </row>
    <row r="507" spans="64:68" x14ac:dyDescent="0.15">
      <c r="BL507" s="26" t="str">
        <f>IFERROR($BM$2&amp;VLOOKUP(B509,'Pay Table'!$M$3:$N$18,2,FALSE)&amp;$BL$2&amp;#REF!&amp;$BN$2,"")</f>
        <v/>
      </c>
      <c r="BM507" s="1" t="str">
        <f>IFERROR($BM$2&amp;VLOOKUP(C509,'Pay Table'!$M$3:$N$18,2,FALSE)&amp;$BL$2&amp;#REF!&amp;$BN$2,"")</f>
        <v/>
      </c>
      <c r="BN507" s="1" t="str">
        <f>IFERROR($BM$2&amp;VLOOKUP(D509,'Pay Table'!$M$3:$N$18,2,FALSE)&amp;$BL$2&amp;#REF!&amp;$BN$2,"")</f>
        <v/>
      </c>
      <c r="BO507" s="1" t="str">
        <f>IFERROR($BM$2&amp;VLOOKUP(E509,'Pay Table'!$M$3:$N$18,2,FALSE)&amp;$BL$2&amp;#REF!&amp;$BN$2,"")</f>
        <v/>
      </c>
      <c r="BP507" s="27" t="str">
        <f>IFERROR($BM$2&amp;VLOOKUP(F509,'Pay Table'!$M$3:$N$18,2,FALSE)&amp;$BL$2&amp;#REF!&amp;$BN$2,"")</f>
        <v/>
      </c>
    </row>
    <row r="508" spans="64:68" x14ac:dyDescent="0.15">
      <c r="BL508" s="26" t="str">
        <f>IFERROR($BM$2&amp;VLOOKUP(B510,'Pay Table'!$M$3:$N$18,2,FALSE)&amp;$BL$2&amp;#REF!&amp;$BN$2,"")</f>
        <v/>
      </c>
      <c r="BM508" s="1" t="str">
        <f>IFERROR($BM$2&amp;VLOOKUP(C510,'Pay Table'!$M$3:$N$18,2,FALSE)&amp;$BL$2&amp;#REF!&amp;$BN$2,"")</f>
        <v/>
      </c>
      <c r="BN508" s="1" t="str">
        <f>IFERROR($BM$2&amp;VLOOKUP(D510,'Pay Table'!$M$3:$N$18,2,FALSE)&amp;$BL$2&amp;#REF!&amp;$BN$2,"")</f>
        <v/>
      </c>
      <c r="BO508" s="1" t="str">
        <f>IFERROR($BM$2&amp;VLOOKUP(E510,'Pay Table'!$M$3:$N$18,2,FALSE)&amp;$BL$2&amp;#REF!&amp;$BN$2,"")</f>
        <v/>
      </c>
      <c r="BP508" s="27" t="str">
        <f>IFERROR($BM$2&amp;VLOOKUP(F510,'Pay Table'!$M$3:$N$18,2,FALSE)&amp;$BL$2&amp;#REF!&amp;$BN$2,"")</f>
        <v/>
      </c>
    </row>
    <row r="509" spans="64:68" x14ac:dyDescent="0.15">
      <c r="BL509" s="26" t="str">
        <f>IFERROR($BM$2&amp;VLOOKUP(B511,'Pay Table'!$M$3:$N$18,2,FALSE)&amp;$BL$2&amp;#REF!&amp;$BN$2,"")</f>
        <v/>
      </c>
      <c r="BM509" s="1" t="str">
        <f>IFERROR($BM$2&amp;VLOOKUP(C511,'Pay Table'!$M$3:$N$18,2,FALSE)&amp;$BL$2&amp;#REF!&amp;$BN$2,"")</f>
        <v/>
      </c>
      <c r="BN509" s="1" t="str">
        <f>IFERROR($BM$2&amp;VLOOKUP(D511,'Pay Table'!$M$3:$N$18,2,FALSE)&amp;$BL$2&amp;#REF!&amp;$BN$2,"")</f>
        <v/>
      </c>
      <c r="BO509" s="1" t="str">
        <f>IFERROR($BM$2&amp;VLOOKUP(E511,'Pay Table'!$M$3:$N$18,2,FALSE)&amp;$BL$2&amp;#REF!&amp;$BN$2,"")</f>
        <v/>
      </c>
      <c r="BP509" s="27" t="str">
        <f>IFERROR($BM$2&amp;VLOOKUP(F511,'Pay Table'!$M$3:$N$18,2,FALSE)&amp;$BL$2&amp;#REF!&amp;$BN$2,"")</f>
        <v/>
      </c>
    </row>
    <row r="510" spans="64:68" x14ac:dyDescent="0.15">
      <c r="BL510" s="26" t="str">
        <f>IFERROR($BM$2&amp;VLOOKUP(B512,'Pay Table'!$M$3:$N$18,2,FALSE)&amp;$BL$2&amp;#REF!&amp;$BN$2,"")</f>
        <v/>
      </c>
      <c r="BM510" s="1" t="str">
        <f>IFERROR($BM$2&amp;VLOOKUP(C512,'Pay Table'!$M$3:$N$18,2,FALSE)&amp;$BL$2&amp;#REF!&amp;$BN$2,"")</f>
        <v/>
      </c>
      <c r="BN510" s="1" t="str">
        <f>IFERROR($BM$2&amp;VLOOKUP(D512,'Pay Table'!$M$3:$N$18,2,FALSE)&amp;$BL$2&amp;#REF!&amp;$BN$2,"")</f>
        <v/>
      </c>
      <c r="BO510" s="1" t="str">
        <f>IFERROR($BM$2&amp;VLOOKUP(E512,'Pay Table'!$M$3:$N$18,2,FALSE)&amp;$BL$2&amp;#REF!&amp;$BN$2,"")</f>
        <v/>
      </c>
      <c r="BP510" s="27" t="str">
        <f>IFERROR($BM$2&amp;VLOOKUP(F512,'Pay Table'!$M$3:$N$18,2,FALSE)&amp;$BL$2&amp;#REF!&amp;$BN$2,"")</f>
        <v/>
      </c>
    </row>
    <row r="511" spans="64:68" x14ac:dyDescent="0.15">
      <c r="BL511" s="26" t="str">
        <f>IFERROR($BM$2&amp;VLOOKUP(B513,'Pay Table'!$M$3:$N$18,2,FALSE)&amp;$BL$2&amp;#REF!&amp;$BN$2,"")</f>
        <v/>
      </c>
      <c r="BM511" s="1" t="str">
        <f>IFERROR($BM$2&amp;VLOOKUP(C513,'Pay Table'!$M$3:$N$18,2,FALSE)&amp;$BL$2&amp;#REF!&amp;$BN$2,"")</f>
        <v/>
      </c>
      <c r="BN511" s="1" t="str">
        <f>IFERROR($BM$2&amp;VLOOKUP(D513,'Pay Table'!$M$3:$N$18,2,FALSE)&amp;$BL$2&amp;#REF!&amp;$BN$2,"")</f>
        <v/>
      </c>
      <c r="BO511" s="1" t="str">
        <f>IFERROR($BM$2&amp;VLOOKUP(E513,'Pay Table'!$M$3:$N$18,2,FALSE)&amp;$BL$2&amp;#REF!&amp;$BN$2,"")</f>
        <v/>
      </c>
      <c r="BP511" s="27" t="str">
        <f>IFERROR($BM$2&amp;VLOOKUP(F513,'Pay Table'!$M$3:$N$18,2,FALSE)&amp;$BL$2&amp;#REF!&amp;$BN$2,"")</f>
        <v/>
      </c>
    </row>
    <row r="512" spans="64:68" x14ac:dyDescent="0.15">
      <c r="BL512" s="26" t="str">
        <f>IFERROR($BM$2&amp;VLOOKUP(B514,'Pay Table'!$M$3:$N$18,2,FALSE)&amp;$BL$2&amp;#REF!&amp;$BN$2,"")</f>
        <v/>
      </c>
      <c r="BM512" s="1" t="str">
        <f>IFERROR($BM$2&amp;VLOOKUP(C514,'Pay Table'!$M$3:$N$18,2,FALSE)&amp;$BL$2&amp;#REF!&amp;$BN$2,"")</f>
        <v/>
      </c>
      <c r="BN512" s="1" t="str">
        <f>IFERROR($BM$2&amp;VLOOKUP(D514,'Pay Table'!$M$3:$N$18,2,FALSE)&amp;$BL$2&amp;#REF!&amp;$BN$2,"")</f>
        <v/>
      </c>
      <c r="BO512" s="1" t="str">
        <f>IFERROR($BM$2&amp;VLOOKUP(E514,'Pay Table'!$M$3:$N$18,2,FALSE)&amp;$BL$2&amp;#REF!&amp;$BN$2,"")</f>
        <v/>
      </c>
      <c r="BP512" s="27" t="str">
        <f>IFERROR($BM$2&amp;VLOOKUP(F514,'Pay Table'!$M$3:$N$18,2,FALSE)&amp;$BL$2&amp;#REF!&amp;$BN$2,"")</f>
        <v/>
      </c>
    </row>
    <row r="513" spans="64:68" x14ac:dyDescent="0.15">
      <c r="BL513" s="26" t="str">
        <f>IFERROR($BM$2&amp;VLOOKUP(B515,'Pay Table'!$M$3:$N$18,2,FALSE)&amp;$BL$2&amp;#REF!&amp;$BN$2,"")</f>
        <v/>
      </c>
      <c r="BM513" s="1" t="str">
        <f>IFERROR($BM$2&amp;VLOOKUP(C515,'Pay Table'!$M$3:$N$18,2,FALSE)&amp;$BL$2&amp;#REF!&amp;$BN$2,"")</f>
        <v/>
      </c>
      <c r="BN513" s="1" t="str">
        <f>IFERROR($BM$2&amp;VLOOKUP(D515,'Pay Table'!$M$3:$N$18,2,FALSE)&amp;$BL$2&amp;#REF!&amp;$BN$2,"")</f>
        <v/>
      </c>
      <c r="BO513" s="1" t="str">
        <f>IFERROR($BM$2&amp;VLOOKUP(E515,'Pay Table'!$M$3:$N$18,2,FALSE)&amp;$BL$2&amp;#REF!&amp;$BN$2,"")</f>
        <v/>
      </c>
      <c r="BP513" s="27" t="str">
        <f>IFERROR($BM$2&amp;VLOOKUP(F515,'Pay Table'!$M$3:$N$18,2,FALSE)&amp;$BL$2&amp;#REF!&amp;$BN$2,"")</f>
        <v/>
      </c>
    </row>
    <row r="514" spans="64:68" x14ac:dyDescent="0.15">
      <c r="BL514" s="26" t="str">
        <f>IFERROR($BM$2&amp;VLOOKUP(B516,'Pay Table'!$M$3:$N$18,2,FALSE)&amp;$BL$2&amp;#REF!&amp;$BN$2,"")</f>
        <v/>
      </c>
      <c r="BM514" s="1" t="str">
        <f>IFERROR($BM$2&amp;VLOOKUP(C516,'Pay Table'!$M$3:$N$18,2,FALSE)&amp;$BL$2&amp;#REF!&amp;$BN$2,"")</f>
        <v/>
      </c>
      <c r="BN514" s="1" t="str">
        <f>IFERROR($BM$2&amp;VLOOKUP(D516,'Pay Table'!$M$3:$N$18,2,FALSE)&amp;$BL$2&amp;#REF!&amp;$BN$2,"")</f>
        <v/>
      </c>
      <c r="BO514" s="1" t="str">
        <f>IFERROR($BM$2&amp;VLOOKUP(E516,'Pay Table'!$M$3:$N$18,2,FALSE)&amp;$BL$2&amp;#REF!&amp;$BN$2,"")</f>
        <v/>
      </c>
      <c r="BP514" s="27" t="str">
        <f>IFERROR($BM$2&amp;VLOOKUP(F516,'Pay Table'!$M$3:$N$18,2,FALSE)&amp;$BL$2&amp;#REF!&amp;$BN$2,"")</f>
        <v/>
      </c>
    </row>
    <row r="515" spans="64:68" x14ac:dyDescent="0.15">
      <c r="BL515" s="26" t="str">
        <f>IFERROR($BM$2&amp;VLOOKUP(B517,'Pay Table'!$M$3:$N$18,2,FALSE)&amp;$BL$2&amp;#REF!&amp;$BN$2,"")</f>
        <v/>
      </c>
      <c r="BM515" s="1" t="str">
        <f>IFERROR($BM$2&amp;VLOOKUP(C517,'Pay Table'!$M$3:$N$18,2,FALSE)&amp;$BL$2&amp;#REF!&amp;$BN$2,"")</f>
        <v/>
      </c>
      <c r="BN515" s="1" t="str">
        <f>IFERROR($BM$2&amp;VLOOKUP(D517,'Pay Table'!$M$3:$N$18,2,FALSE)&amp;$BL$2&amp;#REF!&amp;$BN$2,"")</f>
        <v/>
      </c>
      <c r="BO515" s="1" t="str">
        <f>IFERROR($BM$2&amp;VLOOKUP(E517,'Pay Table'!$M$3:$N$18,2,FALSE)&amp;$BL$2&amp;#REF!&amp;$BN$2,"")</f>
        <v/>
      </c>
      <c r="BP515" s="27" t="str">
        <f>IFERROR($BM$2&amp;VLOOKUP(F517,'Pay Table'!$M$3:$N$18,2,FALSE)&amp;$BL$2&amp;#REF!&amp;$BN$2,"")</f>
        <v/>
      </c>
    </row>
    <row r="516" spans="64:68" x14ac:dyDescent="0.15">
      <c r="BL516" s="26" t="str">
        <f>IFERROR($BM$2&amp;VLOOKUP(B518,'Pay Table'!$M$3:$N$18,2,FALSE)&amp;$BL$2&amp;#REF!&amp;$BN$2,"")</f>
        <v/>
      </c>
      <c r="BM516" s="1" t="str">
        <f>IFERROR($BM$2&amp;VLOOKUP(C518,'Pay Table'!$M$3:$N$18,2,FALSE)&amp;$BL$2&amp;#REF!&amp;$BN$2,"")</f>
        <v/>
      </c>
      <c r="BN516" s="1" t="str">
        <f>IFERROR($BM$2&amp;VLOOKUP(D518,'Pay Table'!$M$3:$N$18,2,FALSE)&amp;$BL$2&amp;#REF!&amp;$BN$2,"")</f>
        <v/>
      </c>
      <c r="BO516" s="1" t="str">
        <f>IFERROR($BM$2&amp;VLOOKUP(E518,'Pay Table'!$M$3:$N$18,2,FALSE)&amp;$BL$2&amp;#REF!&amp;$BN$2,"")</f>
        <v/>
      </c>
      <c r="BP516" s="27" t="str">
        <f>IFERROR($BM$2&amp;VLOOKUP(F518,'Pay Table'!$M$3:$N$18,2,FALSE)&amp;$BL$2&amp;#REF!&amp;$BN$2,"")</f>
        <v/>
      </c>
    </row>
    <row r="517" spans="64:68" x14ac:dyDescent="0.15">
      <c r="BL517" s="26" t="str">
        <f>IFERROR($BM$2&amp;VLOOKUP(B519,'Pay Table'!$M$3:$N$18,2,FALSE)&amp;$BL$2&amp;#REF!&amp;$BN$2,"")</f>
        <v/>
      </c>
      <c r="BM517" s="1" t="str">
        <f>IFERROR($BM$2&amp;VLOOKUP(C519,'Pay Table'!$M$3:$N$18,2,FALSE)&amp;$BL$2&amp;#REF!&amp;$BN$2,"")</f>
        <v/>
      </c>
      <c r="BN517" s="1" t="str">
        <f>IFERROR($BM$2&amp;VLOOKUP(D519,'Pay Table'!$M$3:$N$18,2,FALSE)&amp;$BL$2&amp;#REF!&amp;$BN$2,"")</f>
        <v/>
      </c>
      <c r="BO517" s="1" t="str">
        <f>IFERROR($BM$2&amp;VLOOKUP(E519,'Pay Table'!$M$3:$N$18,2,FALSE)&amp;$BL$2&amp;#REF!&amp;$BN$2,"")</f>
        <v/>
      </c>
      <c r="BP517" s="27" t="str">
        <f>IFERROR($BM$2&amp;VLOOKUP(F519,'Pay Table'!$M$3:$N$18,2,FALSE)&amp;$BL$2&amp;#REF!&amp;$BN$2,"")</f>
        <v/>
      </c>
    </row>
    <row r="518" spans="64:68" x14ac:dyDescent="0.15">
      <c r="BL518" s="26" t="str">
        <f>IFERROR($BM$2&amp;VLOOKUP(B520,'Pay Table'!$M$3:$N$18,2,FALSE)&amp;$BL$2&amp;#REF!&amp;$BN$2,"")</f>
        <v/>
      </c>
      <c r="BM518" s="1" t="str">
        <f>IFERROR($BM$2&amp;VLOOKUP(C520,'Pay Table'!$M$3:$N$18,2,FALSE)&amp;$BL$2&amp;#REF!&amp;$BN$2,"")</f>
        <v/>
      </c>
      <c r="BN518" s="1" t="str">
        <f>IFERROR($BM$2&amp;VLOOKUP(D520,'Pay Table'!$M$3:$N$18,2,FALSE)&amp;$BL$2&amp;#REF!&amp;$BN$2,"")</f>
        <v/>
      </c>
      <c r="BO518" s="1" t="str">
        <f>IFERROR($BM$2&amp;VLOOKUP(E520,'Pay Table'!$M$3:$N$18,2,FALSE)&amp;$BL$2&amp;#REF!&amp;$BN$2,"")</f>
        <v/>
      </c>
      <c r="BP518" s="27" t="str">
        <f>IFERROR($BM$2&amp;VLOOKUP(F520,'Pay Table'!$M$3:$N$18,2,FALSE)&amp;$BL$2&amp;#REF!&amp;$BN$2,"")</f>
        <v/>
      </c>
    </row>
    <row r="519" spans="64:68" x14ac:dyDescent="0.15">
      <c r="BL519" s="26" t="str">
        <f>IFERROR($BM$2&amp;VLOOKUP(B521,'Pay Table'!$M$3:$N$18,2,FALSE)&amp;$BL$2&amp;#REF!&amp;$BN$2,"")</f>
        <v/>
      </c>
      <c r="BM519" s="1" t="str">
        <f>IFERROR($BM$2&amp;VLOOKUP(C521,'Pay Table'!$M$3:$N$18,2,FALSE)&amp;$BL$2&amp;#REF!&amp;$BN$2,"")</f>
        <v/>
      </c>
      <c r="BN519" s="1" t="str">
        <f>IFERROR($BM$2&amp;VLOOKUP(D521,'Pay Table'!$M$3:$N$18,2,FALSE)&amp;$BL$2&amp;#REF!&amp;$BN$2,"")</f>
        <v/>
      </c>
      <c r="BO519" s="1" t="str">
        <f>IFERROR($BM$2&amp;VLOOKUP(E521,'Pay Table'!$M$3:$N$18,2,FALSE)&amp;$BL$2&amp;#REF!&amp;$BN$2,"")</f>
        <v/>
      </c>
      <c r="BP519" s="27" t="str">
        <f>IFERROR($BM$2&amp;VLOOKUP(F521,'Pay Table'!$M$3:$N$18,2,FALSE)&amp;$BL$2&amp;#REF!&amp;$BN$2,"")</f>
        <v/>
      </c>
    </row>
    <row r="520" spans="64:68" x14ac:dyDescent="0.15">
      <c r="BL520" s="26" t="str">
        <f>IFERROR($BM$2&amp;VLOOKUP(B522,'Pay Table'!$M$3:$N$18,2,FALSE)&amp;$BL$2&amp;#REF!&amp;$BN$2,"")</f>
        <v/>
      </c>
      <c r="BM520" s="1" t="str">
        <f>IFERROR($BM$2&amp;VLOOKUP(C522,'Pay Table'!$M$3:$N$18,2,FALSE)&amp;$BL$2&amp;#REF!&amp;$BN$2,"")</f>
        <v/>
      </c>
      <c r="BN520" s="1" t="str">
        <f>IFERROR($BM$2&amp;VLOOKUP(D522,'Pay Table'!$M$3:$N$18,2,FALSE)&amp;$BL$2&amp;#REF!&amp;$BN$2,"")</f>
        <v/>
      </c>
      <c r="BO520" s="1" t="str">
        <f>IFERROR($BM$2&amp;VLOOKUP(E522,'Pay Table'!$M$3:$N$18,2,FALSE)&amp;$BL$2&amp;#REF!&amp;$BN$2,"")</f>
        <v/>
      </c>
      <c r="BP520" s="27" t="str">
        <f>IFERROR($BM$2&amp;VLOOKUP(F522,'Pay Table'!$M$3:$N$18,2,FALSE)&amp;$BL$2&amp;#REF!&amp;$BN$2,"")</f>
        <v/>
      </c>
    </row>
    <row r="521" spans="64:68" x14ac:dyDescent="0.15">
      <c r="BL521" s="26" t="str">
        <f>IFERROR($BM$2&amp;VLOOKUP(B523,'Pay Table'!$M$3:$N$18,2,FALSE)&amp;$BL$2&amp;#REF!&amp;$BN$2,"")</f>
        <v/>
      </c>
      <c r="BM521" s="1" t="str">
        <f>IFERROR($BM$2&amp;VLOOKUP(C523,'Pay Table'!$M$3:$N$18,2,FALSE)&amp;$BL$2&amp;#REF!&amp;$BN$2,"")</f>
        <v/>
      </c>
      <c r="BN521" s="1" t="str">
        <f>IFERROR($BM$2&amp;VLOOKUP(D523,'Pay Table'!$M$3:$N$18,2,FALSE)&amp;$BL$2&amp;#REF!&amp;$BN$2,"")</f>
        <v/>
      </c>
      <c r="BO521" s="1" t="str">
        <f>IFERROR($BM$2&amp;VLOOKUP(E523,'Pay Table'!$M$3:$N$18,2,FALSE)&amp;$BL$2&amp;#REF!&amp;$BN$2,"")</f>
        <v/>
      </c>
      <c r="BP521" s="27" t="str">
        <f>IFERROR($BM$2&amp;VLOOKUP(F523,'Pay Table'!$M$3:$N$18,2,FALSE)&amp;$BL$2&amp;#REF!&amp;$BN$2,"")</f>
        <v/>
      </c>
    </row>
    <row r="522" spans="64:68" x14ac:dyDescent="0.15">
      <c r="BL522" s="26" t="str">
        <f>IFERROR($BM$2&amp;VLOOKUP(B524,'Pay Table'!$M$3:$N$18,2,FALSE)&amp;$BL$2&amp;#REF!&amp;$BN$2,"")</f>
        <v/>
      </c>
      <c r="BM522" s="1" t="str">
        <f>IFERROR($BM$2&amp;VLOOKUP(C524,'Pay Table'!$M$3:$N$18,2,FALSE)&amp;$BL$2&amp;#REF!&amp;$BN$2,"")</f>
        <v/>
      </c>
      <c r="BN522" s="1" t="str">
        <f>IFERROR($BM$2&amp;VLOOKUP(D524,'Pay Table'!$M$3:$N$18,2,FALSE)&amp;$BL$2&amp;#REF!&amp;$BN$2,"")</f>
        <v/>
      </c>
      <c r="BO522" s="1" t="str">
        <f>IFERROR($BM$2&amp;VLOOKUP(E524,'Pay Table'!$M$3:$N$18,2,FALSE)&amp;$BL$2&amp;#REF!&amp;$BN$2,"")</f>
        <v/>
      </c>
      <c r="BP522" s="27" t="str">
        <f>IFERROR($BM$2&amp;VLOOKUP(F524,'Pay Table'!$M$3:$N$18,2,FALSE)&amp;$BL$2&amp;#REF!&amp;$BN$2,"")</f>
        <v/>
      </c>
    </row>
    <row r="523" spans="64:68" x14ac:dyDescent="0.15">
      <c r="BL523" s="26" t="str">
        <f>IFERROR($BM$2&amp;VLOOKUP(B525,'Pay Table'!$M$3:$N$18,2,FALSE)&amp;$BL$2&amp;#REF!&amp;$BN$2,"")</f>
        <v/>
      </c>
      <c r="BM523" s="1" t="str">
        <f>IFERROR($BM$2&amp;VLOOKUP(C525,'Pay Table'!$M$3:$N$18,2,FALSE)&amp;$BL$2&amp;#REF!&amp;$BN$2,"")</f>
        <v/>
      </c>
      <c r="BN523" s="1" t="str">
        <f>IFERROR($BM$2&amp;VLOOKUP(D525,'Pay Table'!$M$3:$N$18,2,FALSE)&amp;$BL$2&amp;#REF!&amp;$BN$2,"")</f>
        <v/>
      </c>
      <c r="BO523" s="1" t="str">
        <f>IFERROR($BM$2&amp;VLOOKUP(E525,'Pay Table'!$M$3:$N$18,2,FALSE)&amp;$BL$2&amp;#REF!&amp;$BN$2,"")</f>
        <v/>
      </c>
      <c r="BP523" s="27" t="str">
        <f>IFERROR($BM$2&amp;VLOOKUP(F525,'Pay Table'!$M$3:$N$18,2,FALSE)&amp;$BL$2&amp;#REF!&amp;$BN$2,"")</f>
        <v/>
      </c>
    </row>
    <row r="524" spans="64:68" x14ac:dyDescent="0.15">
      <c r="BL524" s="26" t="str">
        <f>IFERROR($BM$2&amp;VLOOKUP(B526,'Pay Table'!$M$3:$N$18,2,FALSE)&amp;$BL$2&amp;#REF!&amp;$BN$2,"")</f>
        <v/>
      </c>
      <c r="BM524" s="1" t="str">
        <f>IFERROR($BM$2&amp;VLOOKUP(C526,'Pay Table'!$M$3:$N$18,2,FALSE)&amp;$BL$2&amp;#REF!&amp;$BN$2,"")</f>
        <v/>
      </c>
      <c r="BN524" s="1" t="str">
        <f>IFERROR($BM$2&amp;VLOOKUP(D526,'Pay Table'!$M$3:$N$18,2,FALSE)&amp;$BL$2&amp;#REF!&amp;$BN$2,"")</f>
        <v/>
      </c>
      <c r="BO524" s="1" t="str">
        <f>IFERROR($BM$2&amp;VLOOKUP(E526,'Pay Table'!$M$3:$N$18,2,FALSE)&amp;$BL$2&amp;#REF!&amp;$BN$2,"")</f>
        <v/>
      </c>
      <c r="BP524" s="27" t="str">
        <f>IFERROR($BM$2&amp;VLOOKUP(F526,'Pay Table'!$M$3:$N$18,2,FALSE)&amp;$BL$2&amp;#REF!&amp;$BN$2,"")</f>
        <v/>
      </c>
    </row>
    <row r="525" spans="64:68" x14ac:dyDescent="0.15">
      <c r="BL525" s="26" t="str">
        <f>IFERROR($BM$2&amp;VLOOKUP(B527,'Pay Table'!$M$3:$N$18,2,FALSE)&amp;$BL$2&amp;#REF!&amp;$BN$2,"")</f>
        <v/>
      </c>
      <c r="BM525" s="1" t="str">
        <f>IFERROR($BM$2&amp;VLOOKUP(C527,'Pay Table'!$M$3:$N$18,2,FALSE)&amp;$BL$2&amp;#REF!&amp;$BN$2,"")</f>
        <v/>
      </c>
      <c r="BN525" s="1" t="str">
        <f>IFERROR($BM$2&amp;VLOOKUP(D527,'Pay Table'!$M$3:$N$18,2,FALSE)&amp;$BL$2&amp;#REF!&amp;$BN$2,"")</f>
        <v/>
      </c>
      <c r="BO525" s="1" t="str">
        <f>IFERROR($BM$2&amp;VLOOKUP(E527,'Pay Table'!$M$3:$N$18,2,FALSE)&amp;$BL$2&amp;#REF!&amp;$BN$2,"")</f>
        <v/>
      </c>
      <c r="BP525" s="27" t="str">
        <f>IFERROR($BM$2&amp;VLOOKUP(F527,'Pay Table'!$M$3:$N$18,2,FALSE)&amp;$BL$2&amp;#REF!&amp;$BN$2,"")</f>
        <v/>
      </c>
    </row>
    <row r="526" spans="64:68" x14ac:dyDescent="0.15">
      <c r="BL526" s="26" t="str">
        <f>IFERROR($BM$2&amp;VLOOKUP(B528,'Pay Table'!$M$3:$N$18,2,FALSE)&amp;$BL$2&amp;#REF!&amp;$BN$2,"")</f>
        <v/>
      </c>
      <c r="BM526" s="1" t="str">
        <f>IFERROR($BM$2&amp;VLOOKUP(C528,'Pay Table'!$M$3:$N$18,2,FALSE)&amp;$BL$2&amp;#REF!&amp;$BN$2,"")</f>
        <v/>
      </c>
      <c r="BN526" s="1" t="str">
        <f>IFERROR($BM$2&amp;VLOOKUP(D528,'Pay Table'!$M$3:$N$18,2,FALSE)&amp;$BL$2&amp;#REF!&amp;$BN$2,"")</f>
        <v/>
      </c>
      <c r="BO526" s="1" t="str">
        <f>IFERROR($BM$2&amp;VLOOKUP(E528,'Pay Table'!$M$3:$N$18,2,FALSE)&amp;$BL$2&amp;#REF!&amp;$BN$2,"")</f>
        <v/>
      </c>
      <c r="BP526" s="27" t="str">
        <f>IFERROR($BM$2&amp;VLOOKUP(F528,'Pay Table'!$M$3:$N$18,2,FALSE)&amp;$BL$2&amp;#REF!&amp;$BN$2,"")</f>
        <v/>
      </c>
    </row>
    <row r="527" spans="64:68" x14ac:dyDescent="0.15">
      <c r="BL527" s="26" t="str">
        <f>IFERROR($BM$2&amp;VLOOKUP(B529,'Pay Table'!$M$3:$N$18,2,FALSE)&amp;$BL$2&amp;#REF!&amp;$BN$2,"")</f>
        <v/>
      </c>
      <c r="BM527" s="1" t="str">
        <f>IFERROR($BM$2&amp;VLOOKUP(C529,'Pay Table'!$M$3:$N$18,2,FALSE)&amp;$BL$2&amp;#REF!&amp;$BN$2,"")</f>
        <v/>
      </c>
      <c r="BN527" s="1" t="str">
        <f>IFERROR($BM$2&amp;VLOOKUP(D529,'Pay Table'!$M$3:$N$18,2,FALSE)&amp;$BL$2&amp;#REF!&amp;$BN$2,"")</f>
        <v/>
      </c>
      <c r="BO527" s="1" t="str">
        <f>IFERROR($BM$2&amp;VLOOKUP(E529,'Pay Table'!$M$3:$N$18,2,FALSE)&amp;$BL$2&amp;#REF!&amp;$BN$2,"")</f>
        <v/>
      </c>
      <c r="BP527" s="27" t="str">
        <f>IFERROR($BM$2&amp;VLOOKUP(F529,'Pay Table'!$M$3:$N$18,2,FALSE)&amp;$BL$2&amp;#REF!&amp;$BN$2,"")</f>
        <v/>
      </c>
    </row>
    <row r="528" spans="64:68" x14ac:dyDescent="0.15">
      <c r="BL528" s="26" t="str">
        <f>IFERROR($BM$2&amp;VLOOKUP(B530,'Pay Table'!$M$3:$N$18,2,FALSE)&amp;$BL$2&amp;#REF!&amp;$BN$2,"")</f>
        <v/>
      </c>
      <c r="BM528" s="1" t="str">
        <f>IFERROR($BM$2&amp;VLOOKUP(C530,'Pay Table'!$M$3:$N$18,2,FALSE)&amp;$BL$2&amp;#REF!&amp;$BN$2,"")</f>
        <v/>
      </c>
      <c r="BN528" s="1" t="str">
        <f>IFERROR($BM$2&amp;VLOOKUP(D530,'Pay Table'!$M$3:$N$18,2,FALSE)&amp;$BL$2&amp;#REF!&amp;$BN$2,"")</f>
        <v/>
      </c>
      <c r="BO528" s="1" t="str">
        <f>IFERROR($BM$2&amp;VLOOKUP(E530,'Pay Table'!$M$3:$N$18,2,FALSE)&amp;$BL$2&amp;#REF!&amp;$BN$2,"")</f>
        <v/>
      </c>
      <c r="BP528" s="27" t="str">
        <f>IFERROR($BM$2&amp;VLOOKUP(F530,'Pay Table'!$M$3:$N$18,2,FALSE)&amp;$BL$2&amp;#REF!&amp;$BN$2,"")</f>
        <v/>
      </c>
    </row>
    <row r="529" spans="64:68" x14ac:dyDescent="0.15">
      <c r="BL529" s="26" t="str">
        <f>IFERROR($BM$2&amp;VLOOKUP(B531,'Pay Table'!$M$3:$N$18,2,FALSE)&amp;$BL$2&amp;#REF!&amp;$BN$2,"")</f>
        <v/>
      </c>
      <c r="BM529" s="1" t="str">
        <f>IFERROR($BM$2&amp;VLOOKUP(C531,'Pay Table'!$M$3:$N$18,2,FALSE)&amp;$BL$2&amp;#REF!&amp;$BN$2,"")</f>
        <v/>
      </c>
      <c r="BN529" s="1" t="str">
        <f>IFERROR($BM$2&amp;VLOOKUP(D531,'Pay Table'!$M$3:$N$18,2,FALSE)&amp;$BL$2&amp;#REF!&amp;$BN$2,"")</f>
        <v/>
      </c>
      <c r="BO529" s="1" t="str">
        <f>IFERROR($BM$2&amp;VLOOKUP(E531,'Pay Table'!$M$3:$N$18,2,FALSE)&amp;$BL$2&amp;#REF!&amp;$BN$2,"")</f>
        <v/>
      </c>
      <c r="BP529" s="27" t="str">
        <f>IFERROR($BM$2&amp;VLOOKUP(F531,'Pay Table'!$M$3:$N$18,2,FALSE)&amp;$BL$2&amp;#REF!&amp;$BN$2,"")</f>
        <v/>
      </c>
    </row>
    <row r="530" spans="64:68" x14ac:dyDescent="0.15">
      <c r="BL530" s="26" t="str">
        <f>IFERROR($BM$2&amp;VLOOKUP(B532,'Pay Table'!$M$3:$N$18,2,FALSE)&amp;$BL$2&amp;#REF!&amp;$BN$2,"")</f>
        <v/>
      </c>
      <c r="BM530" s="1" t="str">
        <f>IFERROR($BM$2&amp;VLOOKUP(C532,'Pay Table'!$M$3:$N$18,2,FALSE)&amp;$BL$2&amp;#REF!&amp;$BN$2,"")</f>
        <v/>
      </c>
      <c r="BN530" s="1" t="str">
        <f>IFERROR($BM$2&amp;VLOOKUP(D532,'Pay Table'!$M$3:$N$18,2,FALSE)&amp;$BL$2&amp;#REF!&amp;$BN$2,"")</f>
        <v/>
      </c>
      <c r="BO530" s="1" t="str">
        <f>IFERROR($BM$2&amp;VLOOKUP(E532,'Pay Table'!$M$3:$N$18,2,FALSE)&amp;$BL$2&amp;#REF!&amp;$BN$2,"")</f>
        <v/>
      </c>
      <c r="BP530" s="27" t="str">
        <f>IFERROR($BM$2&amp;VLOOKUP(F532,'Pay Table'!$M$3:$N$18,2,FALSE)&amp;$BL$2&amp;#REF!&amp;$BN$2,"")</f>
        <v/>
      </c>
    </row>
    <row r="531" spans="64:68" x14ac:dyDescent="0.15">
      <c r="BL531" s="26" t="str">
        <f>IFERROR($BM$2&amp;VLOOKUP(B533,'Pay Table'!$M$3:$N$18,2,FALSE)&amp;$BL$2&amp;#REF!&amp;$BN$2,"")</f>
        <v/>
      </c>
      <c r="BM531" s="1" t="str">
        <f>IFERROR($BM$2&amp;VLOOKUP(C533,'Pay Table'!$M$3:$N$18,2,FALSE)&amp;$BL$2&amp;#REF!&amp;$BN$2,"")</f>
        <v/>
      </c>
      <c r="BN531" s="1" t="str">
        <f>IFERROR($BM$2&amp;VLOOKUP(D533,'Pay Table'!$M$3:$N$18,2,FALSE)&amp;$BL$2&amp;#REF!&amp;$BN$2,"")</f>
        <v/>
      </c>
      <c r="BO531" s="1" t="str">
        <f>IFERROR($BM$2&amp;VLOOKUP(E533,'Pay Table'!$M$3:$N$18,2,FALSE)&amp;$BL$2&amp;#REF!&amp;$BN$2,"")</f>
        <v/>
      </c>
      <c r="BP531" s="27" t="str">
        <f>IFERROR($BM$2&amp;VLOOKUP(F533,'Pay Table'!$M$3:$N$18,2,FALSE)&amp;$BL$2&amp;#REF!&amp;$BN$2,"")</f>
        <v/>
      </c>
    </row>
    <row r="532" spans="64:68" x14ac:dyDescent="0.15">
      <c r="BL532" s="26" t="str">
        <f>IFERROR($BM$2&amp;VLOOKUP(B534,'Pay Table'!$M$3:$N$18,2,FALSE)&amp;$BL$2&amp;#REF!&amp;$BN$2,"")</f>
        <v/>
      </c>
      <c r="BM532" s="1" t="str">
        <f>IFERROR($BM$2&amp;VLOOKUP(C534,'Pay Table'!$M$3:$N$18,2,FALSE)&amp;$BL$2&amp;#REF!&amp;$BN$2,"")</f>
        <v/>
      </c>
      <c r="BN532" s="1" t="str">
        <f>IFERROR($BM$2&amp;VLOOKUP(D534,'Pay Table'!$M$3:$N$18,2,FALSE)&amp;$BL$2&amp;#REF!&amp;$BN$2,"")</f>
        <v/>
      </c>
      <c r="BO532" s="1" t="str">
        <f>IFERROR($BM$2&amp;VLOOKUP(E534,'Pay Table'!$M$3:$N$18,2,FALSE)&amp;$BL$2&amp;#REF!&amp;$BN$2,"")</f>
        <v/>
      </c>
      <c r="BP532" s="27" t="str">
        <f>IFERROR($BM$2&amp;VLOOKUP(F534,'Pay Table'!$M$3:$N$18,2,FALSE)&amp;$BL$2&amp;#REF!&amp;$BN$2,"")</f>
        <v/>
      </c>
    </row>
    <row r="533" spans="64:68" x14ac:dyDescent="0.15">
      <c r="BL533" s="26" t="str">
        <f>IFERROR($BM$2&amp;VLOOKUP(B535,'Pay Table'!$M$3:$N$18,2,FALSE)&amp;$BL$2&amp;#REF!&amp;$BN$2,"")</f>
        <v/>
      </c>
      <c r="BM533" s="1" t="str">
        <f>IFERROR($BM$2&amp;VLOOKUP(C535,'Pay Table'!$M$3:$N$18,2,FALSE)&amp;$BL$2&amp;#REF!&amp;$BN$2,"")</f>
        <v/>
      </c>
      <c r="BN533" s="1" t="str">
        <f>IFERROR($BM$2&amp;VLOOKUP(D535,'Pay Table'!$M$3:$N$18,2,FALSE)&amp;$BL$2&amp;#REF!&amp;$BN$2,"")</f>
        <v/>
      </c>
      <c r="BO533" s="1" t="str">
        <f>IFERROR($BM$2&amp;VLOOKUP(E535,'Pay Table'!$M$3:$N$18,2,FALSE)&amp;$BL$2&amp;#REF!&amp;$BN$2,"")</f>
        <v/>
      </c>
      <c r="BP533" s="27" t="str">
        <f>IFERROR($BM$2&amp;VLOOKUP(F535,'Pay Table'!$M$3:$N$18,2,FALSE)&amp;$BL$2&amp;#REF!&amp;$BN$2,"")</f>
        <v/>
      </c>
    </row>
    <row r="534" spans="64:68" x14ac:dyDescent="0.15">
      <c r="BL534" s="26" t="str">
        <f>IFERROR($BM$2&amp;VLOOKUP(B536,'Pay Table'!$M$3:$N$18,2,FALSE)&amp;$BL$2&amp;#REF!&amp;$BN$2,"")</f>
        <v/>
      </c>
      <c r="BM534" s="1" t="str">
        <f>IFERROR($BM$2&amp;VLOOKUP(C536,'Pay Table'!$M$3:$N$18,2,FALSE)&amp;$BL$2&amp;#REF!&amp;$BN$2,"")</f>
        <v/>
      </c>
      <c r="BN534" s="1" t="str">
        <f>IFERROR($BM$2&amp;VLOOKUP(D536,'Pay Table'!$M$3:$N$18,2,FALSE)&amp;$BL$2&amp;#REF!&amp;$BN$2,"")</f>
        <v/>
      </c>
      <c r="BO534" s="1" t="str">
        <f>IFERROR($BM$2&amp;VLOOKUP(E536,'Pay Table'!$M$3:$N$18,2,FALSE)&amp;$BL$2&amp;#REF!&amp;$BN$2,"")</f>
        <v/>
      </c>
      <c r="BP534" s="27" t="str">
        <f>IFERROR($BM$2&amp;VLOOKUP(F536,'Pay Table'!$M$3:$N$18,2,FALSE)&amp;$BL$2&amp;#REF!&amp;$BN$2,"")</f>
        <v/>
      </c>
    </row>
    <row r="535" spans="64:68" x14ac:dyDescent="0.15">
      <c r="BL535" s="26" t="str">
        <f>IFERROR($BM$2&amp;VLOOKUP(B537,'Pay Table'!$M$3:$N$18,2,FALSE)&amp;$BL$2&amp;#REF!&amp;$BN$2,"")</f>
        <v/>
      </c>
      <c r="BM535" s="1" t="str">
        <f>IFERROR($BM$2&amp;VLOOKUP(C537,'Pay Table'!$M$3:$N$18,2,FALSE)&amp;$BL$2&amp;#REF!&amp;$BN$2,"")</f>
        <v/>
      </c>
      <c r="BN535" s="1" t="str">
        <f>IFERROR($BM$2&amp;VLOOKUP(D537,'Pay Table'!$M$3:$N$18,2,FALSE)&amp;$BL$2&amp;#REF!&amp;$BN$2,"")</f>
        <v/>
      </c>
      <c r="BO535" s="1" t="str">
        <f>IFERROR($BM$2&amp;VLOOKUP(E537,'Pay Table'!$M$3:$N$18,2,FALSE)&amp;$BL$2&amp;#REF!&amp;$BN$2,"")</f>
        <v/>
      </c>
      <c r="BP535" s="27" t="str">
        <f>IFERROR($BM$2&amp;VLOOKUP(F537,'Pay Table'!$M$3:$N$18,2,FALSE)&amp;$BL$2&amp;#REF!&amp;$BN$2,"")</f>
        <v/>
      </c>
    </row>
    <row r="536" spans="64:68" x14ac:dyDescent="0.15">
      <c r="BL536" s="26" t="str">
        <f>IFERROR($BM$2&amp;VLOOKUP(B538,'Pay Table'!$M$3:$N$18,2,FALSE)&amp;$BL$2&amp;#REF!&amp;$BN$2,"")</f>
        <v/>
      </c>
      <c r="BM536" s="1" t="str">
        <f>IFERROR($BM$2&amp;VLOOKUP(C538,'Pay Table'!$M$3:$N$18,2,FALSE)&amp;$BL$2&amp;#REF!&amp;$BN$2,"")</f>
        <v/>
      </c>
      <c r="BN536" s="1" t="str">
        <f>IFERROR($BM$2&amp;VLOOKUP(D538,'Pay Table'!$M$3:$N$18,2,FALSE)&amp;$BL$2&amp;#REF!&amp;$BN$2,"")</f>
        <v/>
      </c>
      <c r="BO536" s="1" t="str">
        <f>IFERROR($BM$2&amp;VLOOKUP(E538,'Pay Table'!$M$3:$N$18,2,FALSE)&amp;$BL$2&amp;#REF!&amp;$BN$2,"")</f>
        <v/>
      </c>
      <c r="BP536" s="27" t="str">
        <f>IFERROR($BM$2&amp;VLOOKUP(F538,'Pay Table'!$M$3:$N$18,2,FALSE)&amp;$BL$2&amp;#REF!&amp;$BN$2,"")</f>
        <v/>
      </c>
    </row>
    <row r="537" spans="64:68" x14ac:dyDescent="0.15">
      <c r="BL537" s="26" t="str">
        <f>IFERROR($BM$2&amp;VLOOKUP(B539,'Pay Table'!$M$3:$N$18,2,FALSE)&amp;$BL$2&amp;#REF!&amp;$BN$2,"")</f>
        <v/>
      </c>
      <c r="BM537" s="1" t="str">
        <f>IFERROR($BM$2&amp;VLOOKUP(C539,'Pay Table'!$M$3:$N$18,2,FALSE)&amp;$BL$2&amp;#REF!&amp;$BN$2,"")</f>
        <v/>
      </c>
      <c r="BN537" s="1" t="str">
        <f>IFERROR($BM$2&amp;VLOOKUP(D539,'Pay Table'!$M$3:$N$18,2,FALSE)&amp;$BL$2&amp;#REF!&amp;$BN$2,"")</f>
        <v/>
      </c>
      <c r="BO537" s="1" t="str">
        <f>IFERROR($BM$2&amp;VLOOKUP(E539,'Pay Table'!$M$3:$N$18,2,FALSE)&amp;$BL$2&amp;#REF!&amp;$BN$2,"")</f>
        <v/>
      </c>
      <c r="BP537" s="27" t="str">
        <f>IFERROR($BM$2&amp;VLOOKUP(F539,'Pay Table'!$M$3:$N$18,2,FALSE)&amp;$BL$2&amp;#REF!&amp;$BN$2,"")</f>
        <v/>
      </c>
    </row>
    <row r="538" spans="64:68" x14ac:dyDescent="0.15">
      <c r="BL538" s="26" t="str">
        <f>IFERROR($BM$2&amp;VLOOKUP(B540,'Pay Table'!$M$3:$N$18,2,FALSE)&amp;$BL$2&amp;#REF!&amp;$BN$2,"")</f>
        <v/>
      </c>
      <c r="BM538" s="1" t="str">
        <f>IFERROR($BM$2&amp;VLOOKUP(C540,'Pay Table'!$M$3:$N$18,2,FALSE)&amp;$BL$2&amp;#REF!&amp;$BN$2,"")</f>
        <v/>
      </c>
      <c r="BN538" s="1" t="str">
        <f>IFERROR($BM$2&amp;VLOOKUP(D540,'Pay Table'!$M$3:$N$18,2,FALSE)&amp;$BL$2&amp;#REF!&amp;$BN$2,"")</f>
        <v/>
      </c>
      <c r="BO538" s="1" t="str">
        <f>IFERROR($BM$2&amp;VLOOKUP(E540,'Pay Table'!$M$3:$N$18,2,FALSE)&amp;$BL$2&amp;#REF!&amp;$BN$2,"")</f>
        <v/>
      </c>
      <c r="BP538" s="27" t="str">
        <f>IFERROR($BM$2&amp;VLOOKUP(F540,'Pay Table'!$M$3:$N$18,2,FALSE)&amp;$BL$2&amp;#REF!&amp;$BN$2,"")</f>
        <v/>
      </c>
    </row>
    <row r="539" spans="64:68" x14ac:dyDescent="0.15">
      <c r="BL539" s="26" t="str">
        <f>IFERROR($BM$2&amp;VLOOKUP(B541,'Pay Table'!$M$3:$N$18,2,FALSE)&amp;$BL$2&amp;#REF!&amp;$BN$2,"")</f>
        <v/>
      </c>
      <c r="BM539" s="1" t="str">
        <f>IFERROR($BM$2&amp;VLOOKUP(C541,'Pay Table'!$M$3:$N$18,2,FALSE)&amp;$BL$2&amp;#REF!&amp;$BN$2,"")</f>
        <v/>
      </c>
      <c r="BN539" s="1" t="str">
        <f>IFERROR($BM$2&amp;VLOOKUP(D541,'Pay Table'!$M$3:$N$18,2,FALSE)&amp;$BL$2&amp;#REF!&amp;$BN$2,"")</f>
        <v/>
      </c>
      <c r="BO539" s="1" t="str">
        <f>IFERROR($BM$2&amp;VLOOKUP(E541,'Pay Table'!$M$3:$N$18,2,FALSE)&amp;$BL$2&amp;#REF!&amp;$BN$2,"")</f>
        <v/>
      </c>
      <c r="BP539" s="27" t="str">
        <f>IFERROR($BM$2&amp;VLOOKUP(F541,'Pay Table'!$M$3:$N$18,2,FALSE)&amp;$BL$2&amp;#REF!&amp;$BN$2,"")</f>
        <v/>
      </c>
    </row>
    <row r="540" spans="64:68" x14ac:dyDescent="0.15">
      <c r="BL540" s="26" t="str">
        <f>IFERROR($BM$2&amp;VLOOKUP(B542,'Pay Table'!$M$3:$N$18,2,FALSE)&amp;$BL$2&amp;#REF!&amp;$BN$2,"")</f>
        <v/>
      </c>
      <c r="BM540" s="1" t="str">
        <f>IFERROR($BM$2&amp;VLOOKUP(C542,'Pay Table'!$M$3:$N$18,2,FALSE)&amp;$BL$2&amp;#REF!&amp;$BN$2,"")</f>
        <v/>
      </c>
      <c r="BN540" s="1" t="str">
        <f>IFERROR($BM$2&amp;VLOOKUP(D542,'Pay Table'!$M$3:$N$18,2,FALSE)&amp;$BL$2&amp;#REF!&amp;$BN$2,"")</f>
        <v/>
      </c>
      <c r="BO540" s="1" t="str">
        <f>IFERROR($BM$2&amp;VLOOKUP(E542,'Pay Table'!$M$3:$N$18,2,FALSE)&amp;$BL$2&amp;#REF!&amp;$BN$2,"")</f>
        <v/>
      </c>
      <c r="BP540" s="27" t="str">
        <f>IFERROR($BM$2&amp;VLOOKUP(F542,'Pay Table'!$M$3:$N$18,2,FALSE)&amp;$BL$2&amp;#REF!&amp;$BN$2,"")</f>
        <v/>
      </c>
    </row>
    <row r="541" spans="64:68" x14ac:dyDescent="0.15">
      <c r="BL541" s="26" t="str">
        <f>IFERROR($BM$2&amp;VLOOKUP(B543,'Pay Table'!$M$3:$N$18,2,FALSE)&amp;$BL$2&amp;#REF!&amp;$BN$2,"")</f>
        <v/>
      </c>
      <c r="BM541" s="1" t="str">
        <f>IFERROR($BM$2&amp;VLOOKUP(C543,'Pay Table'!$M$3:$N$18,2,FALSE)&amp;$BL$2&amp;#REF!&amp;$BN$2,"")</f>
        <v/>
      </c>
      <c r="BN541" s="1" t="str">
        <f>IFERROR($BM$2&amp;VLOOKUP(D543,'Pay Table'!$M$3:$N$18,2,FALSE)&amp;$BL$2&amp;#REF!&amp;$BN$2,"")</f>
        <v/>
      </c>
      <c r="BO541" s="1" t="str">
        <f>IFERROR($BM$2&amp;VLOOKUP(E543,'Pay Table'!$M$3:$N$18,2,FALSE)&amp;$BL$2&amp;#REF!&amp;$BN$2,"")</f>
        <v/>
      </c>
      <c r="BP541" s="27" t="str">
        <f>IFERROR($BM$2&amp;VLOOKUP(F543,'Pay Table'!$M$3:$N$18,2,FALSE)&amp;$BL$2&amp;#REF!&amp;$BN$2,"")</f>
        <v/>
      </c>
    </row>
    <row r="542" spans="64:68" x14ac:dyDescent="0.15">
      <c r="BL542" s="26" t="str">
        <f>IFERROR($BM$2&amp;VLOOKUP(B544,'Pay Table'!$M$3:$N$18,2,FALSE)&amp;$BL$2&amp;#REF!&amp;$BN$2,"")</f>
        <v/>
      </c>
      <c r="BM542" s="1" t="str">
        <f>IFERROR($BM$2&amp;VLOOKUP(C544,'Pay Table'!$M$3:$N$18,2,FALSE)&amp;$BL$2&amp;#REF!&amp;$BN$2,"")</f>
        <v/>
      </c>
      <c r="BN542" s="1" t="str">
        <f>IFERROR($BM$2&amp;VLOOKUP(D544,'Pay Table'!$M$3:$N$18,2,FALSE)&amp;$BL$2&amp;#REF!&amp;$BN$2,"")</f>
        <v/>
      </c>
      <c r="BO542" s="1" t="str">
        <f>IFERROR($BM$2&amp;VLOOKUP(E544,'Pay Table'!$M$3:$N$18,2,FALSE)&amp;$BL$2&amp;#REF!&amp;$BN$2,"")</f>
        <v/>
      </c>
      <c r="BP542" s="27" t="str">
        <f>IFERROR($BM$2&amp;VLOOKUP(F544,'Pay Table'!$M$3:$N$18,2,FALSE)&amp;$BL$2&amp;#REF!&amp;$BN$2,"")</f>
        <v/>
      </c>
    </row>
    <row r="543" spans="64:68" x14ac:dyDescent="0.15">
      <c r="BL543" s="26" t="str">
        <f>IFERROR($BM$2&amp;VLOOKUP(B545,'Pay Table'!$M$3:$N$18,2,FALSE)&amp;$BL$2&amp;#REF!&amp;$BN$2,"")</f>
        <v/>
      </c>
      <c r="BM543" s="1" t="str">
        <f>IFERROR($BM$2&amp;VLOOKUP(C545,'Pay Table'!$M$3:$N$18,2,FALSE)&amp;$BL$2&amp;#REF!&amp;$BN$2,"")</f>
        <v/>
      </c>
      <c r="BN543" s="1" t="str">
        <f>IFERROR($BM$2&amp;VLOOKUP(D545,'Pay Table'!$M$3:$N$18,2,FALSE)&amp;$BL$2&amp;#REF!&amp;$BN$2,"")</f>
        <v/>
      </c>
      <c r="BO543" s="1" t="str">
        <f>IFERROR($BM$2&amp;VLOOKUP(E545,'Pay Table'!$M$3:$N$18,2,FALSE)&amp;$BL$2&amp;#REF!&amp;$BN$2,"")</f>
        <v/>
      </c>
      <c r="BP543" s="27" t="str">
        <f>IFERROR($BM$2&amp;VLOOKUP(F545,'Pay Table'!$M$3:$N$18,2,FALSE)&amp;$BL$2&amp;#REF!&amp;$BN$2,"")</f>
        <v/>
      </c>
    </row>
    <row r="544" spans="64:68" x14ac:dyDescent="0.15">
      <c r="BL544" s="26" t="str">
        <f>IFERROR($BM$2&amp;VLOOKUP(B546,'Pay Table'!$M$3:$N$18,2,FALSE)&amp;$BL$2&amp;#REF!&amp;$BN$2,"")</f>
        <v/>
      </c>
      <c r="BM544" s="1" t="str">
        <f>IFERROR($BM$2&amp;VLOOKUP(C546,'Pay Table'!$M$3:$N$18,2,FALSE)&amp;$BL$2&amp;#REF!&amp;$BN$2,"")</f>
        <v/>
      </c>
      <c r="BN544" s="1" t="str">
        <f>IFERROR($BM$2&amp;VLOOKUP(D546,'Pay Table'!$M$3:$N$18,2,FALSE)&amp;$BL$2&amp;#REF!&amp;$BN$2,"")</f>
        <v/>
      </c>
      <c r="BO544" s="1" t="str">
        <f>IFERROR($BM$2&amp;VLOOKUP(E546,'Pay Table'!$M$3:$N$18,2,FALSE)&amp;$BL$2&amp;#REF!&amp;$BN$2,"")</f>
        <v/>
      </c>
      <c r="BP544" s="27" t="str">
        <f>IFERROR($BM$2&amp;VLOOKUP(F546,'Pay Table'!$M$3:$N$18,2,FALSE)&amp;$BL$2&amp;#REF!&amp;$BN$2,"")</f>
        <v/>
      </c>
    </row>
    <row r="545" spans="64:68" x14ac:dyDescent="0.15">
      <c r="BL545" s="26" t="str">
        <f>IFERROR($BM$2&amp;VLOOKUP(B547,'Pay Table'!$M$3:$N$18,2,FALSE)&amp;$BL$2&amp;#REF!&amp;$BN$2,"")</f>
        <v/>
      </c>
      <c r="BM545" s="1" t="str">
        <f>IFERROR($BM$2&amp;VLOOKUP(C547,'Pay Table'!$M$3:$N$18,2,FALSE)&amp;$BL$2&amp;#REF!&amp;$BN$2,"")</f>
        <v/>
      </c>
      <c r="BN545" s="1" t="str">
        <f>IFERROR($BM$2&amp;VLOOKUP(D547,'Pay Table'!$M$3:$N$18,2,FALSE)&amp;$BL$2&amp;#REF!&amp;$BN$2,"")</f>
        <v/>
      </c>
      <c r="BO545" s="1" t="str">
        <f>IFERROR($BM$2&amp;VLOOKUP(E547,'Pay Table'!$M$3:$N$18,2,FALSE)&amp;$BL$2&amp;#REF!&amp;$BN$2,"")</f>
        <v/>
      </c>
      <c r="BP545" s="27" t="str">
        <f>IFERROR($BM$2&amp;VLOOKUP(F547,'Pay Table'!$M$3:$N$18,2,FALSE)&amp;$BL$2&amp;#REF!&amp;$BN$2,"")</f>
        <v/>
      </c>
    </row>
    <row r="546" spans="64:68" x14ac:dyDescent="0.15">
      <c r="BL546" s="26" t="str">
        <f>IFERROR($BM$2&amp;VLOOKUP(B548,'Pay Table'!$M$3:$N$18,2,FALSE)&amp;$BL$2&amp;#REF!&amp;$BN$2,"")</f>
        <v/>
      </c>
      <c r="BM546" s="1" t="str">
        <f>IFERROR($BM$2&amp;VLOOKUP(C548,'Pay Table'!$M$3:$N$18,2,FALSE)&amp;$BL$2&amp;#REF!&amp;$BN$2,"")</f>
        <v/>
      </c>
      <c r="BN546" s="1" t="str">
        <f>IFERROR($BM$2&amp;VLOOKUP(D548,'Pay Table'!$M$3:$N$18,2,FALSE)&amp;$BL$2&amp;#REF!&amp;$BN$2,"")</f>
        <v/>
      </c>
      <c r="BO546" s="1" t="str">
        <f>IFERROR($BM$2&amp;VLOOKUP(E548,'Pay Table'!$M$3:$N$18,2,FALSE)&amp;$BL$2&amp;#REF!&amp;$BN$2,"")</f>
        <v/>
      </c>
      <c r="BP546" s="27" t="str">
        <f>IFERROR($BM$2&amp;VLOOKUP(F548,'Pay Table'!$M$3:$N$18,2,FALSE)&amp;$BL$2&amp;#REF!&amp;$BN$2,"")</f>
        <v/>
      </c>
    </row>
    <row r="547" spans="64:68" x14ac:dyDescent="0.15">
      <c r="BL547" s="26" t="str">
        <f>IFERROR($BM$2&amp;VLOOKUP(B549,'Pay Table'!$M$3:$N$18,2,FALSE)&amp;$BL$2&amp;#REF!&amp;$BN$2,"")</f>
        <v/>
      </c>
      <c r="BM547" s="1" t="str">
        <f>IFERROR($BM$2&amp;VLOOKUP(C549,'Pay Table'!$M$3:$N$18,2,FALSE)&amp;$BL$2&amp;#REF!&amp;$BN$2,"")</f>
        <v/>
      </c>
      <c r="BN547" s="1" t="str">
        <f>IFERROR($BM$2&amp;VLOOKUP(D549,'Pay Table'!$M$3:$N$18,2,FALSE)&amp;$BL$2&amp;#REF!&amp;$BN$2,"")</f>
        <v/>
      </c>
      <c r="BO547" s="1" t="str">
        <f>IFERROR($BM$2&amp;VLOOKUP(E549,'Pay Table'!$M$3:$N$18,2,FALSE)&amp;$BL$2&amp;#REF!&amp;$BN$2,"")</f>
        <v/>
      </c>
      <c r="BP547" s="27" t="str">
        <f>IFERROR($BM$2&amp;VLOOKUP(F549,'Pay Table'!$M$3:$N$18,2,FALSE)&amp;$BL$2&amp;#REF!&amp;$BN$2,"")</f>
        <v/>
      </c>
    </row>
    <row r="548" spans="64:68" x14ac:dyDescent="0.15">
      <c r="BL548" s="26" t="str">
        <f>IFERROR($BM$2&amp;VLOOKUP(B550,'Pay Table'!$M$3:$N$18,2,FALSE)&amp;$BL$2&amp;#REF!&amp;$BN$2,"")</f>
        <v/>
      </c>
      <c r="BM548" s="1" t="str">
        <f>IFERROR($BM$2&amp;VLOOKUP(C550,'Pay Table'!$M$3:$N$18,2,FALSE)&amp;$BL$2&amp;#REF!&amp;$BN$2,"")</f>
        <v/>
      </c>
      <c r="BN548" s="1" t="str">
        <f>IFERROR($BM$2&amp;VLOOKUP(D550,'Pay Table'!$M$3:$N$18,2,FALSE)&amp;$BL$2&amp;#REF!&amp;$BN$2,"")</f>
        <v/>
      </c>
      <c r="BO548" s="1" t="str">
        <f>IFERROR($BM$2&amp;VLOOKUP(E550,'Pay Table'!$M$3:$N$18,2,FALSE)&amp;$BL$2&amp;#REF!&amp;$BN$2,"")</f>
        <v/>
      </c>
      <c r="BP548" s="27" t="str">
        <f>IFERROR($BM$2&amp;VLOOKUP(F550,'Pay Table'!$M$3:$N$18,2,FALSE)&amp;$BL$2&amp;#REF!&amp;$BN$2,"")</f>
        <v/>
      </c>
    </row>
    <row r="549" spans="64:68" x14ac:dyDescent="0.15">
      <c r="BL549" s="26" t="str">
        <f>IFERROR($BM$2&amp;VLOOKUP(B551,'Pay Table'!$M$3:$N$18,2,FALSE)&amp;$BL$2&amp;#REF!&amp;$BN$2,"")</f>
        <v/>
      </c>
      <c r="BM549" s="1" t="str">
        <f>IFERROR($BM$2&amp;VLOOKUP(C551,'Pay Table'!$M$3:$N$18,2,FALSE)&amp;$BL$2&amp;#REF!&amp;$BN$2,"")</f>
        <v/>
      </c>
      <c r="BN549" s="1" t="str">
        <f>IFERROR($BM$2&amp;VLOOKUP(D551,'Pay Table'!$M$3:$N$18,2,FALSE)&amp;$BL$2&amp;#REF!&amp;$BN$2,"")</f>
        <v/>
      </c>
      <c r="BO549" s="1" t="str">
        <f>IFERROR($BM$2&amp;VLOOKUP(E551,'Pay Table'!$M$3:$N$18,2,FALSE)&amp;$BL$2&amp;#REF!&amp;$BN$2,"")</f>
        <v/>
      </c>
      <c r="BP549" s="27" t="str">
        <f>IFERROR($BM$2&amp;VLOOKUP(F551,'Pay Table'!$M$3:$N$18,2,FALSE)&amp;$BL$2&amp;#REF!&amp;$BN$2,"")</f>
        <v/>
      </c>
    </row>
    <row r="550" spans="64:68" x14ac:dyDescent="0.15">
      <c r="BL550" s="26" t="str">
        <f>IFERROR($BM$2&amp;VLOOKUP(B552,'Pay Table'!$M$3:$N$18,2,FALSE)&amp;$BL$2&amp;#REF!&amp;$BN$2,"")</f>
        <v/>
      </c>
      <c r="BM550" s="1" t="str">
        <f>IFERROR($BM$2&amp;VLOOKUP(C552,'Pay Table'!$M$3:$N$18,2,FALSE)&amp;$BL$2&amp;#REF!&amp;$BN$2,"")</f>
        <v/>
      </c>
      <c r="BN550" s="1" t="str">
        <f>IFERROR($BM$2&amp;VLOOKUP(D552,'Pay Table'!$M$3:$N$18,2,FALSE)&amp;$BL$2&amp;#REF!&amp;$BN$2,"")</f>
        <v/>
      </c>
      <c r="BO550" s="1" t="str">
        <f>IFERROR($BM$2&amp;VLOOKUP(E552,'Pay Table'!$M$3:$N$18,2,FALSE)&amp;$BL$2&amp;#REF!&amp;$BN$2,"")</f>
        <v/>
      </c>
      <c r="BP550" s="27" t="str">
        <f>IFERROR($BM$2&amp;VLOOKUP(F552,'Pay Table'!$M$3:$N$18,2,FALSE)&amp;$BL$2&amp;#REF!&amp;$BN$2,"")</f>
        <v/>
      </c>
    </row>
    <row r="551" spans="64:68" x14ac:dyDescent="0.15">
      <c r="BL551" s="26" t="str">
        <f>IFERROR($BM$2&amp;VLOOKUP(B553,'Pay Table'!$M$3:$N$18,2,FALSE)&amp;$BL$2&amp;#REF!&amp;$BN$2,"")</f>
        <v/>
      </c>
      <c r="BM551" s="1" t="str">
        <f>IFERROR($BM$2&amp;VLOOKUP(C553,'Pay Table'!$M$3:$N$18,2,FALSE)&amp;$BL$2&amp;#REF!&amp;$BN$2,"")</f>
        <v/>
      </c>
      <c r="BN551" s="1" t="str">
        <f>IFERROR($BM$2&amp;VLOOKUP(D553,'Pay Table'!$M$3:$N$18,2,FALSE)&amp;$BL$2&amp;#REF!&amp;$BN$2,"")</f>
        <v/>
      </c>
      <c r="BO551" s="1" t="str">
        <f>IFERROR($BM$2&amp;VLOOKUP(E553,'Pay Table'!$M$3:$N$18,2,FALSE)&amp;$BL$2&amp;#REF!&amp;$BN$2,"")</f>
        <v/>
      </c>
      <c r="BP551" s="27" t="str">
        <f>IFERROR($BM$2&amp;VLOOKUP(F553,'Pay Table'!$M$3:$N$18,2,FALSE)&amp;$BL$2&amp;#REF!&amp;$BN$2,"")</f>
        <v/>
      </c>
    </row>
    <row r="552" spans="64:68" x14ac:dyDescent="0.15">
      <c r="BL552" s="26" t="str">
        <f>IFERROR($BM$2&amp;VLOOKUP(B554,'Pay Table'!$M$3:$N$18,2,FALSE)&amp;$BL$2&amp;#REF!&amp;$BN$2,"")</f>
        <v/>
      </c>
      <c r="BM552" s="1" t="str">
        <f>IFERROR($BM$2&amp;VLOOKUP(C554,'Pay Table'!$M$3:$N$18,2,FALSE)&amp;$BL$2&amp;#REF!&amp;$BN$2,"")</f>
        <v/>
      </c>
      <c r="BN552" s="1" t="str">
        <f>IFERROR($BM$2&amp;VLOOKUP(D554,'Pay Table'!$M$3:$N$18,2,FALSE)&amp;$BL$2&amp;#REF!&amp;$BN$2,"")</f>
        <v/>
      </c>
      <c r="BO552" s="1" t="str">
        <f>IFERROR($BM$2&amp;VLOOKUP(E554,'Pay Table'!$M$3:$N$18,2,FALSE)&amp;$BL$2&amp;#REF!&amp;$BN$2,"")</f>
        <v/>
      </c>
      <c r="BP552" s="27" t="str">
        <f>IFERROR($BM$2&amp;VLOOKUP(F554,'Pay Table'!$M$3:$N$18,2,FALSE)&amp;$BL$2&amp;#REF!&amp;$BN$2,"")</f>
        <v/>
      </c>
    </row>
    <row r="553" spans="64:68" x14ac:dyDescent="0.15">
      <c r="BL553" s="26" t="str">
        <f>IFERROR($BM$2&amp;VLOOKUP(B555,'Pay Table'!$M$3:$N$18,2,FALSE)&amp;$BL$2&amp;#REF!&amp;$BN$2,"")</f>
        <v/>
      </c>
      <c r="BM553" s="1" t="str">
        <f>IFERROR($BM$2&amp;VLOOKUP(C555,'Pay Table'!$M$3:$N$18,2,FALSE)&amp;$BL$2&amp;#REF!&amp;$BN$2,"")</f>
        <v/>
      </c>
      <c r="BN553" s="1" t="str">
        <f>IFERROR($BM$2&amp;VLOOKUP(D555,'Pay Table'!$M$3:$N$18,2,FALSE)&amp;$BL$2&amp;#REF!&amp;$BN$2,"")</f>
        <v/>
      </c>
      <c r="BO553" s="1" t="str">
        <f>IFERROR($BM$2&amp;VLOOKUP(E555,'Pay Table'!$M$3:$N$18,2,FALSE)&amp;$BL$2&amp;#REF!&amp;$BN$2,"")</f>
        <v/>
      </c>
      <c r="BP553" s="27" t="str">
        <f>IFERROR($BM$2&amp;VLOOKUP(F555,'Pay Table'!$M$3:$N$18,2,FALSE)&amp;$BL$2&amp;#REF!&amp;$BN$2,"")</f>
        <v/>
      </c>
    </row>
    <row r="554" spans="64:68" x14ac:dyDescent="0.15">
      <c r="BL554" s="26" t="str">
        <f>IFERROR($BM$2&amp;VLOOKUP(B556,'Pay Table'!$M$3:$N$18,2,FALSE)&amp;$BL$2&amp;#REF!&amp;$BN$2,"")</f>
        <v/>
      </c>
      <c r="BM554" s="1" t="str">
        <f>IFERROR($BM$2&amp;VLOOKUP(C556,'Pay Table'!$M$3:$N$18,2,FALSE)&amp;$BL$2&amp;#REF!&amp;$BN$2,"")</f>
        <v/>
      </c>
      <c r="BN554" s="1" t="str">
        <f>IFERROR($BM$2&amp;VLOOKUP(D556,'Pay Table'!$M$3:$N$18,2,FALSE)&amp;$BL$2&amp;#REF!&amp;$BN$2,"")</f>
        <v/>
      </c>
      <c r="BO554" s="1" t="str">
        <f>IFERROR($BM$2&amp;VLOOKUP(E556,'Pay Table'!$M$3:$N$18,2,FALSE)&amp;$BL$2&amp;#REF!&amp;$BN$2,"")</f>
        <v/>
      </c>
      <c r="BP554" s="27" t="str">
        <f>IFERROR($BM$2&amp;VLOOKUP(F556,'Pay Table'!$M$3:$N$18,2,FALSE)&amp;$BL$2&amp;#REF!&amp;$BN$2,"")</f>
        <v/>
      </c>
    </row>
    <row r="555" spans="64:68" x14ac:dyDescent="0.15">
      <c r="BL555" s="26" t="str">
        <f>IFERROR($BM$2&amp;VLOOKUP(B557,'Pay Table'!$M$3:$N$18,2,FALSE)&amp;$BL$2&amp;#REF!&amp;$BN$2,"")</f>
        <v/>
      </c>
      <c r="BM555" s="1" t="str">
        <f>IFERROR($BM$2&amp;VLOOKUP(C557,'Pay Table'!$M$3:$N$18,2,FALSE)&amp;$BL$2&amp;#REF!&amp;$BN$2,"")</f>
        <v/>
      </c>
      <c r="BN555" s="1" t="str">
        <f>IFERROR($BM$2&amp;VLOOKUP(D557,'Pay Table'!$M$3:$N$18,2,FALSE)&amp;$BL$2&amp;#REF!&amp;$BN$2,"")</f>
        <v/>
      </c>
      <c r="BO555" s="1" t="str">
        <f>IFERROR($BM$2&amp;VLOOKUP(E557,'Pay Table'!$M$3:$N$18,2,FALSE)&amp;$BL$2&amp;#REF!&amp;$BN$2,"")</f>
        <v/>
      </c>
      <c r="BP555" s="27" t="str">
        <f>IFERROR($BM$2&amp;VLOOKUP(F557,'Pay Table'!$M$3:$N$18,2,FALSE)&amp;$BL$2&amp;#REF!&amp;$BN$2,"")</f>
        <v/>
      </c>
    </row>
    <row r="556" spans="64:68" x14ac:dyDescent="0.15">
      <c r="BL556" s="26" t="str">
        <f>IFERROR($BM$2&amp;VLOOKUP(B558,'Pay Table'!$M$3:$N$18,2,FALSE)&amp;$BL$2&amp;#REF!&amp;$BN$2,"")</f>
        <v/>
      </c>
      <c r="BM556" s="1" t="str">
        <f>IFERROR($BM$2&amp;VLOOKUP(C558,'Pay Table'!$M$3:$N$18,2,FALSE)&amp;$BL$2&amp;#REF!&amp;$BN$2,"")</f>
        <v/>
      </c>
      <c r="BN556" s="1" t="str">
        <f>IFERROR($BM$2&amp;VLOOKUP(D558,'Pay Table'!$M$3:$N$18,2,FALSE)&amp;$BL$2&amp;#REF!&amp;$BN$2,"")</f>
        <v/>
      </c>
      <c r="BO556" s="1" t="str">
        <f>IFERROR($BM$2&amp;VLOOKUP(E558,'Pay Table'!$M$3:$N$18,2,FALSE)&amp;$BL$2&amp;#REF!&amp;$BN$2,"")</f>
        <v/>
      </c>
      <c r="BP556" s="27" t="str">
        <f>IFERROR($BM$2&amp;VLOOKUP(F558,'Pay Table'!$M$3:$N$18,2,FALSE)&amp;$BL$2&amp;#REF!&amp;$BN$2,"")</f>
        <v/>
      </c>
    </row>
    <row r="557" spans="64:68" x14ac:dyDescent="0.15">
      <c r="BL557" s="26" t="str">
        <f>IFERROR($BM$2&amp;VLOOKUP(B559,'Pay Table'!$M$3:$N$18,2,FALSE)&amp;$BL$2&amp;#REF!&amp;$BN$2,"")</f>
        <v/>
      </c>
      <c r="BM557" s="1" t="str">
        <f>IFERROR($BM$2&amp;VLOOKUP(C559,'Pay Table'!$M$3:$N$18,2,FALSE)&amp;$BL$2&amp;#REF!&amp;$BN$2,"")</f>
        <v/>
      </c>
      <c r="BN557" s="1" t="str">
        <f>IFERROR($BM$2&amp;VLOOKUP(D559,'Pay Table'!$M$3:$N$18,2,FALSE)&amp;$BL$2&amp;#REF!&amp;$BN$2,"")</f>
        <v/>
      </c>
      <c r="BO557" s="1" t="str">
        <f>IFERROR($BM$2&amp;VLOOKUP(E559,'Pay Table'!$M$3:$N$18,2,FALSE)&amp;$BL$2&amp;#REF!&amp;$BN$2,"")</f>
        <v/>
      </c>
      <c r="BP557" s="27" t="str">
        <f>IFERROR($BM$2&amp;VLOOKUP(F559,'Pay Table'!$M$3:$N$18,2,FALSE)&amp;$BL$2&amp;#REF!&amp;$BN$2,"")</f>
        <v/>
      </c>
    </row>
    <row r="558" spans="64:68" x14ac:dyDescent="0.15">
      <c r="BL558" s="26" t="str">
        <f>IFERROR($BM$2&amp;VLOOKUP(B560,'Pay Table'!$M$3:$N$18,2,FALSE)&amp;$BL$2&amp;#REF!&amp;$BN$2,"")</f>
        <v/>
      </c>
      <c r="BM558" s="1" t="str">
        <f>IFERROR($BM$2&amp;VLOOKUP(C560,'Pay Table'!$M$3:$N$18,2,FALSE)&amp;$BL$2&amp;#REF!&amp;$BN$2,"")</f>
        <v/>
      </c>
      <c r="BN558" s="1" t="str">
        <f>IFERROR($BM$2&amp;VLOOKUP(D560,'Pay Table'!$M$3:$N$18,2,FALSE)&amp;$BL$2&amp;#REF!&amp;$BN$2,"")</f>
        <v/>
      </c>
      <c r="BO558" s="1" t="str">
        <f>IFERROR($BM$2&amp;VLOOKUP(E560,'Pay Table'!$M$3:$N$18,2,FALSE)&amp;$BL$2&amp;#REF!&amp;$BN$2,"")</f>
        <v/>
      </c>
      <c r="BP558" s="27" t="str">
        <f>IFERROR($BM$2&amp;VLOOKUP(F560,'Pay Table'!$M$3:$N$18,2,FALSE)&amp;$BL$2&amp;#REF!&amp;$BN$2,"")</f>
        <v/>
      </c>
    </row>
    <row r="559" spans="64:68" x14ac:dyDescent="0.15">
      <c r="BL559" s="26" t="str">
        <f>IFERROR($BM$2&amp;VLOOKUP(B561,'Pay Table'!$M$3:$N$18,2,FALSE)&amp;$BL$2&amp;#REF!&amp;$BN$2,"")</f>
        <v/>
      </c>
      <c r="BM559" s="1" t="str">
        <f>IFERROR($BM$2&amp;VLOOKUP(C561,'Pay Table'!$M$3:$N$18,2,FALSE)&amp;$BL$2&amp;#REF!&amp;$BN$2,"")</f>
        <v/>
      </c>
      <c r="BN559" s="1" t="str">
        <f>IFERROR($BM$2&amp;VLOOKUP(D561,'Pay Table'!$M$3:$N$18,2,FALSE)&amp;$BL$2&amp;#REF!&amp;$BN$2,"")</f>
        <v/>
      </c>
      <c r="BO559" s="1" t="str">
        <f>IFERROR($BM$2&amp;VLOOKUP(E561,'Pay Table'!$M$3:$N$18,2,FALSE)&amp;$BL$2&amp;#REF!&amp;$BN$2,"")</f>
        <v/>
      </c>
      <c r="BP559" s="27" t="str">
        <f>IFERROR($BM$2&amp;VLOOKUP(F561,'Pay Table'!$M$3:$N$18,2,FALSE)&amp;$BL$2&amp;#REF!&amp;$BN$2,"")</f>
        <v/>
      </c>
    </row>
    <row r="560" spans="64:68" x14ac:dyDescent="0.15">
      <c r="BL560" s="26" t="str">
        <f>IFERROR($BM$2&amp;VLOOKUP(B562,'Pay Table'!$M$3:$N$18,2,FALSE)&amp;$BL$2&amp;#REF!&amp;$BN$2,"")</f>
        <v/>
      </c>
      <c r="BM560" s="1" t="str">
        <f>IFERROR($BM$2&amp;VLOOKUP(C562,'Pay Table'!$M$3:$N$18,2,FALSE)&amp;$BL$2&amp;#REF!&amp;$BN$2,"")</f>
        <v/>
      </c>
      <c r="BN560" s="1" t="str">
        <f>IFERROR($BM$2&amp;VLOOKUP(D562,'Pay Table'!$M$3:$N$18,2,FALSE)&amp;$BL$2&amp;#REF!&amp;$BN$2,"")</f>
        <v/>
      </c>
      <c r="BO560" s="1" t="str">
        <f>IFERROR($BM$2&amp;VLOOKUP(E562,'Pay Table'!$M$3:$N$18,2,FALSE)&amp;$BL$2&amp;#REF!&amp;$BN$2,"")</f>
        <v/>
      </c>
      <c r="BP560" s="27" t="str">
        <f>IFERROR($BM$2&amp;VLOOKUP(F562,'Pay Table'!$M$3:$N$18,2,FALSE)&amp;$BL$2&amp;#REF!&amp;$BN$2,"")</f>
        <v/>
      </c>
    </row>
    <row r="561" spans="64:68" x14ac:dyDescent="0.15">
      <c r="BL561" s="26" t="str">
        <f>IFERROR($BM$2&amp;VLOOKUP(B563,'Pay Table'!$M$3:$N$18,2,FALSE)&amp;$BL$2&amp;#REF!&amp;$BN$2,"")</f>
        <v/>
      </c>
      <c r="BM561" s="1" t="str">
        <f>IFERROR($BM$2&amp;VLOOKUP(C563,'Pay Table'!$M$3:$N$18,2,FALSE)&amp;$BL$2&amp;#REF!&amp;$BN$2,"")</f>
        <v/>
      </c>
      <c r="BN561" s="1" t="str">
        <f>IFERROR($BM$2&amp;VLOOKUP(D563,'Pay Table'!$M$3:$N$18,2,FALSE)&amp;$BL$2&amp;#REF!&amp;$BN$2,"")</f>
        <v/>
      </c>
      <c r="BO561" s="1" t="str">
        <f>IFERROR($BM$2&amp;VLOOKUP(E563,'Pay Table'!$M$3:$N$18,2,FALSE)&amp;$BL$2&amp;#REF!&amp;$BN$2,"")</f>
        <v/>
      </c>
      <c r="BP561" s="27" t="str">
        <f>IFERROR($BM$2&amp;VLOOKUP(F563,'Pay Table'!$M$3:$N$18,2,FALSE)&amp;$BL$2&amp;#REF!&amp;$BN$2,"")</f>
        <v/>
      </c>
    </row>
    <row r="562" spans="64:68" x14ac:dyDescent="0.15">
      <c r="BL562" s="26" t="str">
        <f>IFERROR($BM$2&amp;VLOOKUP(B564,'Pay Table'!$M$3:$N$18,2,FALSE)&amp;$BL$2&amp;#REF!&amp;$BN$2,"")</f>
        <v/>
      </c>
      <c r="BM562" s="1" t="str">
        <f>IFERROR($BM$2&amp;VLOOKUP(C564,'Pay Table'!$M$3:$N$18,2,FALSE)&amp;$BL$2&amp;#REF!&amp;$BN$2,"")</f>
        <v/>
      </c>
      <c r="BN562" s="1" t="str">
        <f>IFERROR($BM$2&amp;VLOOKUP(D564,'Pay Table'!$M$3:$N$18,2,FALSE)&amp;$BL$2&amp;#REF!&amp;$BN$2,"")</f>
        <v/>
      </c>
      <c r="BO562" s="1" t="str">
        <f>IFERROR($BM$2&amp;VLOOKUP(E564,'Pay Table'!$M$3:$N$18,2,FALSE)&amp;$BL$2&amp;#REF!&amp;$BN$2,"")</f>
        <v/>
      </c>
      <c r="BP562" s="27" t="str">
        <f>IFERROR($BM$2&amp;VLOOKUP(F564,'Pay Table'!$M$3:$N$18,2,FALSE)&amp;$BL$2&amp;#REF!&amp;$BN$2,"")</f>
        <v/>
      </c>
    </row>
    <row r="563" spans="64:68" x14ac:dyDescent="0.15">
      <c r="BL563" s="26" t="str">
        <f>IFERROR($BM$2&amp;VLOOKUP(B565,'Pay Table'!$M$3:$N$18,2,FALSE)&amp;$BL$2&amp;#REF!&amp;$BN$2,"")</f>
        <v/>
      </c>
      <c r="BM563" s="1" t="str">
        <f>IFERROR($BM$2&amp;VLOOKUP(C565,'Pay Table'!$M$3:$N$18,2,FALSE)&amp;$BL$2&amp;#REF!&amp;$BN$2,"")</f>
        <v/>
      </c>
      <c r="BN563" s="1" t="str">
        <f>IFERROR($BM$2&amp;VLOOKUP(D565,'Pay Table'!$M$3:$N$18,2,FALSE)&amp;$BL$2&amp;#REF!&amp;$BN$2,"")</f>
        <v/>
      </c>
      <c r="BO563" s="1" t="str">
        <f>IFERROR($BM$2&amp;VLOOKUP(E565,'Pay Table'!$M$3:$N$18,2,FALSE)&amp;$BL$2&amp;#REF!&amp;$BN$2,"")</f>
        <v/>
      </c>
      <c r="BP563" s="27" t="str">
        <f>IFERROR($BM$2&amp;VLOOKUP(F565,'Pay Table'!$M$3:$N$18,2,FALSE)&amp;$BL$2&amp;#REF!&amp;$BN$2,"")</f>
        <v/>
      </c>
    </row>
    <row r="564" spans="64:68" x14ac:dyDescent="0.15">
      <c r="BL564" s="26" t="str">
        <f>IFERROR($BM$2&amp;VLOOKUP(B566,'Pay Table'!$M$3:$N$18,2,FALSE)&amp;$BL$2&amp;#REF!&amp;$BN$2,"")</f>
        <v/>
      </c>
      <c r="BM564" s="1" t="str">
        <f>IFERROR($BM$2&amp;VLOOKUP(C566,'Pay Table'!$M$3:$N$18,2,FALSE)&amp;$BL$2&amp;#REF!&amp;$BN$2,"")</f>
        <v/>
      </c>
      <c r="BN564" s="1" t="str">
        <f>IFERROR($BM$2&amp;VLOOKUP(D566,'Pay Table'!$M$3:$N$18,2,FALSE)&amp;$BL$2&amp;#REF!&amp;$BN$2,"")</f>
        <v/>
      </c>
      <c r="BO564" s="1" t="str">
        <f>IFERROR($BM$2&amp;VLOOKUP(E566,'Pay Table'!$M$3:$N$18,2,FALSE)&amp;$BL$2&amp;#REF!&amp;$BN$2,"")</f>
        <v/>
      </c>
      <c r="BP564" s="27" t="str">
        <f>IFERROR($BM$2&amp;VLOOKUP(F566,'Pay Table'!$M$3:$N$18,2,FALSE)&amp;$BL$2&amp;#REF!&amp;$BN$2,"")</f>
        <v/>
      </c>
    </row>
    <row r="565" spans="64:68" x14ac:dyDescent="0.15">
      <c r="BL565" s="26" t="str">
        <f>IFERROR($BM$2&amp;VLOOKUP(B567,'Pay Table'!$M$3:$N$18,2,FALSE)&amp;$BL$2&amp;#REF!&amp;$BN$2,"")</f>
        <v/>
      </c>
      <c r="BM565" s="1" t="str">
        <f>IFERROR($BM$2&amp;VLOOKUP(C567,'Pay Table'!$M$3:$N$18,2,FALSE)&amp;$BL$2&amp;#REF!&amp;$BN$2,"")</f>
        <v/>
      </c>
      <c r="BN565" s="1" t="str">
        <f>IFERROR($BM$2&amp;VLOOKUP(D567,'Pay Table'!$M$3:$N$18,2,FALSE)&amp;$BL$2&amp;#REF!&amp;$BN$2,"")</f>
        <v/>
      </c>
      <c r="BO565" s="1" t="str">
        <f>IFERROR($BM$2&amp;VLOOKUP(E567,'Pay Table'!$M$3:$N$18,2,FALSE)&amp;$BL$2&amp;#REF!&amp;$BN$2,"")</f>
        <v/>
      </c>
      <c r="BP565" s="27" t="str">
        <f>IFERROR($BM$2&amp;VLOOKUP(F567,'Pay Table'!$M$3:$N$18,2,FALSE)&amp;$BL$2&amp;#REF!&amp;$BN$2,"")</f>
        <v/>
      </c>
    </row>
    <row r="566" spans="64:68" x14ac:dyDescent="0.15">
      <c r="BL566" s="26" t="str">
        <f>IFERROR($BM$2&amp;VLOOKUP(B568,'Pay Table'!$M$3:$N$18,2,FALSE)&amp;$BL$2&amp;#REF!&amp;$BN$2,"")</f>
        <v/>
      </c>
      <c r="BM566" s="1" t="str">
        <f>IFERROR($BM$2&amp;VLOOKUP(C568,'Pay Table'!$M$3:$N$18,2,FALSE)&amp;$BL$2&amp;#REF!&amp;$BN$2,"")</f>
        <v/>
      </c>
      <c r="BN566" s="1" t="str">
        <f>IFERROR($BM$2&amp;VLOOKUP(D568,'Pay Table'!$M$3:$N$18,2,FALSE)&amp;$BL$2&amp;#REF!&amp;$BN$2,"")</f>
        <v/>
      </c>
      <c r="BO566" s="1" t="str">
        <f>IFERROR($BM$2&amp;VLOOKUP(E568,'Pay Table'!$M$3:$N$18,2,FALSE)&amp;$BL$2&amp;#REF!&amp;$BN$2,"")</f>
        <v/>
      </c>
      <c r="BP566" s="27" t="str">
        <f>IFERROR($BM$2&amp;VLOOKUP(F568,'Pay Table'!$M$3:$N$18,2,FALSE)&amp;$BL$2&amp;#REF!&amp;$BN$2,"")</f>
        <v/>
      </c>
    </row>
    <row r="567" spans="64:68" x14ac:dyDescent="0.15">
      <c r="BL567" s="26" t="str">
        <f>IFERROR($BM$2&amp;VLOOKUP(B569,'Pay Table'!$M$3:$N$18,2,FALSE)&amp;$BL$2&amp;#REF!&amp;$BN$2,"")</f>
        <v/>
      </c>
      <c r="BM567" s="1" t="str">
        <f>IFERROR($BM$2&amp;VLOOKUP(C569,'Pay Table'!$M$3:$N$18,2,FALSE)&amp;$BL$2&amp;#REF!&amp;$BN$2,"")</f>
        <v/>
      </c>
      <c r="BN567" s="1" t="str">
        <f>IFERROR($BM$2&amp;VLOOKUP(D569,'Pay Table'!$M$3:$N$18,2,FALSE)&amp;$BL$2&amp;#REF!&amp;$BN$2,"")</f>
        <v/>
      </c>
      <c r="BO567" s="1" t="str">
        <f>IFERROR($BM$2&amp;VLOOKUP(E569,'Pay Table'!$M$3:$N$18,2,FALSE)&amp;$BL$2&amp;#REF!&amp;$BN$2,"")</f>
        <v/>
      </c>
      <c r="BP567" s="27" t="str">
        <f>IFERROR($BM$2&amp;VLOOKUP(F569,'Pay Table'!$M$3:$N$18,2,FALSE)&amp;$BL$2&amp;#REF!&amp;$BN$2,"")</f>
        <v/>
      </c>
    </row>
    <row r="568" spans="64:68" x14ac:dyDescent="0.15">
      <c r="BL568" s="26" t="str">
        <f>IFERROR($BM$2&amp;VLOOKUP(B570,'Pay Table'!$M$3:$N$18,2,FALSE)&amp;$BL$2&amp;#REF!&amp;$BN$2,"")</f>
        <v/>
      </c>
      <c r="BM568" s="1" t="str">
        <f>IFERROR($BM$2&amp;VLOOKUP(C570,'Pay Table'!$M$3:$N$18,2,FALSE)&amp;$BL$2&amp;#REF!&amp;$BN$2,"")</f>
        <v/>
      </c>
      <c r="BN568" s="1" t="str">
        <f>IFERROR($BM$2&amp;VLOOKUP(D570,'Pay Table'!$M$3:$N$18,2,FALSE)&amp;$BL$2&amp;#REF!&amp;$BN$2,"")</f>
        <v/>
      </c>
      <c r="BO568" s="1" t="str">
        <f>IFERROR($BM$2&amp;VLOOKUP(E570,'Pay Table'!$M$3:$N$18,2,FALSE)&amp;$BL$2&amp;#REF!&amp;$BN$2,"")</f>
        <v/>
      </c>
      <c r="BP568" s="27" t="str">
        <f>IFERROR($BM$2&amp;VLOOKUP(F570,'Pay Table'!$M$3:$N$18,2,FALSE)&amp;$BL$2&amp;#REF!&amp;$BN$2,"")</f>
        <v/>
      </c>
    </row>
    <row r="569" spans="64:68" x14ac:dyDescent="0.15">
      <c r="BL569" s="26" t="str">
        <f>IFERROR($BM$2&amp;VLOOKUP(B571,'Pay Table'!$M$3:$N$18,2,FALSE)&amp;$BL$2&amp;#REF!&amp;$BN$2,"")</f>
        <v/>
      </c>
      <c r="BM569" s="1" t="str">
        <f>IFERROR($BM$2&amp;VLOOKUP(C571,'Pay Table'!$M$3:$N$18,2,FALSE)&amp;$BL$2&amp;#REF!&amp;$BN$2,"")</f>
        <v/>
      </c>
      <c r="BN569" s="1" t="str">
        <f>IFERROR($BM$2&amp;VLOOKUP(D571,'Pay Table'!$M$3:$N$18,2,FALSE)&amp;$BL$2&amp;#REF!&amp;$BN$2,"")</f>
        <v/>
      </c>
      <c r="BO569" s="1" t="str">
        <f>IFERROR($BM$2&amp;VLOOKUP(E571,'Pay Table'!$M$3:$N$18,2,FALSE)&amp;$BL$2&amp;#REF!&amp;$BN$2,"")</f>
        <v/>
      </c>
      <c r="BP569" s="27" t="str">
        <f>IFERROR($BM$2&amp;VLOOKUP(F571,'Pay Table'!$M$3:$N$18,2,FALSE)&amp;$BL$2&amp;#REF!&amp;$BN$2,"")</f>
        <v/>
      </c>
    </row>
    <row r="570" spans="64:68" x14ac:dyDescent="0.15">
      <c r="BL570" s="26" t="str">
        <f>IFERROR($BM$2&amp;VLOOKUP(B572,'Pay Table'!$M$3:$N$18,2,FALSE)&amp;$BL$2&amp;#REF!&amp;$BN$2,"")</f>
        <v/>
      </c>
      <c r="BM570" s="1" t="str">
        <f>IFERROR($BM$2&amp;VLOOKUP(C572,'Pay Table'!$M$3:$N$18,2,FALSE)&amp;$BL$2&amp;#REF!&amp;$BN$2,"")</f>
        <v/>
      </c>
      <c r="BN570" s="1" t="str">
        <f>IFERROR($BM$2&amp;VLOOKUP(D572,'Pay Table'!$M$3:$N$18,2,FALSE)&amp;$BL$2&amp;#REF!&amp;$BN$2,"")</f>
        <v/>
      </c>
      <c r="BO570" s="1" t="str">
        <f>IFERROR($BM$2&amp;VLOOKUP(E572,'Pay Table'!$M$3:$N$18,2,FALSE)&amp;$BL$2&amp;#REF!&amp;$BN$2,"")</f>
        <v/>
      </c>
      <c r="BP570" s="27" t="str">
        <f>IFERROR($BM$2&amp;VLOOKUP(F572,'Pay Table'!$M$3:$N$18,2,FALSE)&amp;$BL$2&amp;#REF!&amp;$BN$2,"")</f>
        <v/>
      </c>
    </row>
    <row r="571" spans="64:68" x14ac:dyDescent="0.15">
      <c r="BL571" s="26" t="str">
        <f>IFERROR($BM$2&amp;VLOOKUP(B573,'Pay Table'!$M$3:$N$18,2,FALSE)&amp;$BL$2&amp;#REF!&amp;$BN$2,"")</f>
        <v/>
      </c>
      <c r="BM571" s="1" t="str">
        <f>IFERROR($BM$2&amp;VLOOKUP(C573,'Pay Table'!$M$3:$N$18,2,FALSE)&amp;$BL$2&amp;#REF!&amp;$BN$2,"")</f>
        <v/>
      </c>
      <c r="BN571" s="1" t="str">
        <f>IFERROR($BM$2&amp;VLOOKUP(D573,'Pay Table'!$M$3:$N$18,2,FALSE)&amp;$BL$2&amp;#REF!&amp;$BN$2,"")</f>
        <v/>
      </c>
      <c r="BO571" s="1" t="str">
        <f>IFERROR($BM$2&amp;VLOOKUP(E573,'Pay Table'!$M$3:$N$18,2,FALSE)&amp;$BL$2&amp;#REF!&amp;$BN$2,"")</f>
        <v/>
      </c>
      <c r="BP571" s="27" t="str">
        <f>IFERROR($BM$2&amp;VLOOKUP(F573,'Pay Table'!$M$3:$N$18,2,FALSE)&amp;$BL$2&amp;#REF!&amp;$BN$2,"")</f>
        <v/>
      </c>
    </row>
    <row r="572" spans="64:68" x14ac:dyDescent="0.15">
      <c r="BL572" s="26" t="str">
        <f>IFERROR($BM$2&amp;VLOOKUP(B574,'Pay Table'!$M$3:$N$18,2,FALSE)&amp;$BL$2&amp;#REF!&amp;$BN$2,"")</f>
        <v/>
      </c>
      <c r="BM572" s="1" t="str">
        <f>IFERROR($BM$2&amp;VLOOKUP(C574,'Pay Table'!$M$3:$N$18,2,FALSE)&amp;$BL$2&amp;#REF!&amp;$BN$2,"")</f>
        <v/>
      </c>
      <c r="BN572" s="1" t="str">
        <f>IFERROR($BM$2&amp;VLOOKUP(D574,'Pay Table'!$M$3:$N$18,2,FALSE)&amp;$BL$2&amp;#REF!&amp;$BN$2,"")</f>
        <v/>
      </c>
      <c r="BO572" s="1" t="str">
        <f>IFERROR($BM$2&amp;VLOOKUP(E574,'Pay Table'!$M$3:$N$18,2,FALSE)&amp;$BL$2&amp;#REF!&amp;$BN$2,"")</f>
        <v/>
      </c>
      <c r="BP572" s="27" t="str">
        <f>IFERROR($BM$2&amp;VLOOKUP(F574,'Pay Table'!$M$3:$N$18,2,FALSE)&amp;$BL$2&amp;#REF!&amp;$BN$2,"")</f>
        <v/>
      </c>
    </row>
    <row r="573" spans="64:68" x14ac:dyDescent="0.15">
      <c r="BL573" s="26" t="str">
        <f>IFERROR($BM$2&amp;VLOOKUP(B575,'Pay Table'!$M$3:$N$18,2,FALSE)&amp;$BL$2&amp;#REF!&amp;$BN$2,"")</f>
        <v/>
      </c>
      <c r="BM573" s="1" t="str">
        <f>IFERROR($BM$2&amp;VLOOKUP(C575,'Pay Table'!$M$3:$N$18,2,FALSE)&amp;$BL$2&amp;#REF!&amp;$BN$2,"")</f>
        <v/>
      </c>
      <c r="BN573" s="1" t="str">
        <f>IFERROR($BM$2&amp;VLOOKUP(D575,'Pay Table'!$M$3:$N$18,2,FALSE)&amp;$BL$2&amp;#REF!&amp;$BN$2,"")</f>
        <v/>
      </c>
      <c r="BO573" s="1" t="str">
        <f>IFERROR($BM$2&amp;VLOOKUP(E575,'Pay Table'!$M$3:$N$18,2,FALSE)&amp;$BL$2&amp;#REF!&amp;$BN$2,"")</f>
        <v/>
      </c>
      <c r="BP573" s="27" t="str">
        <f>IFERROR($BM$2&amp;VLOOKUP(F575,'Pay Table'!$M$3:$N$18,2,FALSE)&amp;$BL$2&amp;#REF!&amp;$BN$2,"")</f>
        <v/>
      </c>
    </row>
    <row r="574" spans="64:68" x14ac:dyDescent="0.15">
      <c r="BL574" s="26" t="str">
        <f>IFERROR($BM$2&amp;VLOOKUP(B576,'Pay Table'!$M$3:$N$18,2,FALSE)&amp;$BL$2&amp;#REF!&amp;$BN$2,"")</f>
        <v/>
      </c>
      <c r="BM574" s="1" t="str">
        <f>IFERROR($BM$2&amp;VLOOKUP(C576,'Pay Table'!$M$3:$N$18,2,FALSE)&amp;$BL$2&amp;#REF!&amp;$BN$2,"")</f>
        <v/>
      </c>
      <c r="BN574" s="1" t="str">
        <f>IFERROR($BM$2&amp;VLOOKUP(D576,'Pay Table'!$M$3:$N$18,2,FALSE)&amp;$BL$2&amp;#REF!&amp;$BN$2,"")</f>
        <v/>
      </c>
      <c r="BO574" s="1" t="str">
        <f>IFERROR($BM$2&amp;VLOOKUP(E576,'Pay Table'!$M$3:$N$18,2,FALSE)&amp;$BL$2&amp;#REF!&amp;$BN$2,"")</f>
        <v/>
      </c>
      <c r="BP574" s="27" t="str">
        <f>IFERROR($BM$2&amp;VLOOKUP(F576,'Pay Table'!$M$3:$N$18,2,FALSE)&amp;$BL$2&amp;#REF!&amp;$BN$2,"")</f>
        <v/>
      </c>
    </row>
    <row r="575" spans="64:68" x14ac:dyDescent="0.15">
      <c r="BL575" s="26" t="str">
        <f>IFERROR($BM$2&amp;VLOOKUP(B577,'Pay Table'!$M$3:$N$18,2,FALSE)&amp;$BL$2&amp;#REF!&amp;$BN$2,"")</f>
        <v/>
      </c>
      <c r="BM575" s="1" t="str">
        <f>IFERROR($BM$2&amp;VLOOKUP(C577,'Pay Table'!$M$3:$N$18,2,FALSE)&amp;$BL$2&amp;#REF!&amp;$BN$2,"")</f>
        <v/>
      </c>
      <c r="BN575" s="1" t="str">
        <f>IFERROR($BM$2&amp;VLOOKUP(D577,'Pay Table'!$M$3:$N$18,2,FALSE)&amp;$BL$2&amp;#REF!&amp;$BN$2,"")</f>
        <v/>
      </c>
      <c r="BO575" s="1" t="str">
        <f>IFERROR($BM$2&amp;VLOOKUP(E577,'Pay Table'!$M$3:$N$18,2,FALSE)&amp;$BL$2&amp;#REF!&amp;$BN$2,"")</f>
        <v/>
      </c>
      <c r="BP575" s="27" t="str">
        <f>IFERROR($BM$2&amp;VLOOKUP(F577,'Pay Table'!$M$3:$N$18,2,FALSE)&amp;$BL$2&amp;#REF!&amp;$BN$2,"")</f>
        <v/>
      </c>
    </row>
    <row r="576" spans="64:68" x14ac:dyDescent="0.15">
      <c r="BL576" s="26" t="str">
        <f>IFERROR($BM$2&amp;VLOOKUP(B578,'Pay Table'!$M$3:$N$18,2,FALSE)&amp;$BL$2&amp;#REF!&amp;$BN$2,"")</f>
        <v/>
      </c>
      <c r="BM576" s="1" t="str">
        <f>IFERROR($BM$2&amp;VLOOKUP(C578,'Pay Table'!$M$3:$N$18,2,FALSE)&amp;$BL$2&amp;#REF!&amp;$BN$2,"")</f>
        <v/>
      </c>
      <c r="BN576" s="1" t="str">
        <f>IFERROR($BM$2&amp;VLOOKUP(D578,'Pay Table'!$M$3:$N$18,2,FALSE)&amp;$BL$2&amp;#REF!&amp;$BN$2,"")</f>
        <v/>
      </c>
      <c r="BO576" s="1" t="str">
        <f>IFERROR($BM$2&amp;VLOOKUP(E578,'Pay Table'!$M$3:$N$18,2,FALSE)&amp;$BL$2&amp;#REF!&amp;$BN$2,"")</f>
        <v/>
      </c>
      <c r="BP576" s="27" t="str">
        <f>IFERROR($BM$2&amp;VLOOKUP(F578,'Pay Table'!$M$3:$N$18,2,FALSE)&amp;$BL$2&amp;#REF!&amp;$BN$2,"")</f>
        <v/>
      </c>
    </row>
    <row r="577" spans="64:68" x14ac:dyDescent="0.15">
      <c r="BL577" s="26" t="str">
        <f>IFERROR($BM$2&amp;VLOOKUP(B579,'Pay Table'!$M$3:$N$18,2,FALSE)&amp;$BL$2&amp;#REF!&amp;$BN$2,"")</f>
        <v/>
      </c>
      <c r="BM577" s="1" t="str">
        <f>IFERROR($BM$2&amp;VLOOKUP(C579,'Pay Table'!$M$3:$N$18,2,FALSE)&amp;$BL$2&amp;#REF!&amp;$BN$2,"")</f>
        <v/>
      </c>
      <c r="BN577" s="1" t="str">
        <f>IFERROR($BM$2&amp;VLOOKUP(D579,'Pay Table'!$M$3:$N$18,2,FALSE)&amp;$BL$2&amp;#REF!&amp;$BN$2,"")</f>
        <v/>
      </c>
      <c r="BO577" s="1" t="str">
        <f>IFERROR($BM$2&amp;VLOOKUP(E579,'Pay Table'!$M$3:$N$18,2,FALSE)&amp;$BL$2&amp;#REF!&amp;$BN$2,"")</f>
        <v/>
      </c>
      <c r="BP577" s="27" t="str">
        <f>IFERROR($BM$2&amp;VLOOKUP(F579,'Pay Table'!$M$3:$N$18,2,FALSE)&amp;$BL$2&amp;#REF!&amp;$BN$2,"")</f>
        <v/>
      </c>
    </row>
    <row r="578" spans="64:68" x14ac:dyDescent="0.15">
      <c r="BL578" s="26" t="str">
        <f>IFERROR($BM$2&amp;VLOOKUP(B580,'Pay Table'!$M$3:$N$18,2,FALSE)&amp;$BL$2&amp;#REF!&amp;$BN$2,"")</f>
        <v/>
      </c>
      <c r="BM578" s="1" t="str">
        <f>IFERROR($BM$2&amp;VLOOKUP(C580,'Pay Table'!$M$3:$N$18,2,FALSE)&amp;$BL$2&amp;#REF!&amp;$BN$2,"")</f>
        <v/>
      </c>
      <c r="BN578" s="1" t="str">
        <f>IFERROR($BM$2&amp;VLOOKUP(D580,'Pay Table'!$M$3:$N$18,2,FALSE)&amp;$BL$2&amp;#REF!&amp;$BN$2,"")</f>
        <v/>
      </c>
      <c r="BO578" s="1" t="str">
        <f>IFERROR($BM$2&amp;VLOOKUP(E580,'Pay Table'!$M$3:$N$18,2,FALSE)&amp;$BL$2&amp;#REF!&amp;$BN$2,"")</f>
        <v/>
      </c>
      <c r="BP578" s="27" t="str">
        <f>IFERROR($BM$2&amp;VLOOKUP(F580,'Pay Table'!$M$3:$N$18,2,FALSE)&amp;$BL$2&amp;#REF!&amp;$BN$2,"")</f>
        <v/>
      </c>
    </row>
    <row r="579" spans="64:68" x14ac:dyDescent="0.15">
      <c r="BL579" s="26" t="str">
        <f>IFERROR($BM$2&amp;VLOOKUP(B581,'Pay Table'!$M$3:$N$18,2,FALSE)&amp;$BL$2&amp;#REF!&amp;$BN$2,"")</f>
        <v/>
      </c>
      <c r="BM579" s="1" t="str">
        <f>IFERROR($BM$2&amp;VLOOKUP(C581,'Pay Table'!$M$3:$N$18,2,FALSE)&amp;$BL$2&amp;#REF!&amp;$BN$2,"")</f>
        <v/>
      </c>
      <c r="BN579" s="1" t="str">
        <f>IFERROR($BM$2&amp;VLOOKUP(D581,'Pay Table'!$M$3:$N$18,2,FALSE)&amp;$BL$2&amp;#REF!&amp;$BN$2,"")</f>
        <v/>
      </c>
      <c r="BO579" s="1" t="str">
        <f>IFERROR($BM$2&amp;VLOOKUP(E581,'Pay Table'!$M$3:$N$18,2,FALSE)&amp;$BL$2&amp;#REF!&amp;$BN$2,"")</f>
        <v/>
      </c>
      <c r="BP579" s="27" t="str">
        <f>IFERROR($BM$2&amp;VLOOKUP(F581,'Pay Table'!$M$3:$N$18,2,FALSE)&amp;$BL$2&amp;#REF!&amp;$BN$2,"")</f>
        <v/>
      </c>
    </row>
    <row r="580" spans="64:68" x14ac:dyDescent="0.15">
      <c r="BL580" s="26" t="str">
        <f>IFERROR($BM$2&amp;VLOOKUP(B582,'Pay Table'!$M$3:$N$18,2,FALSE)&amp;$BL$2&amp;#REF!&amp;$BN$2,"")</f>
        <v/>
      </c>
      <c r="BM580" s="1" t="str">
        <f>IFERROR($BM$2&amp;VLOOKUP(C582,'Pay Table'!$M$3:$N$18,2,FALSE)&amp;$BL$2&amp;#REF!&amp;$BN$2,"")</f>
        <v/>
      </c>
      <c r="BN580" s="1" t="str">
        <f>IFERROR($BM$2&amp;VLOOKUP(D582,'Pay Table'!$M$3:$N$18,2,FALSE)&amp;$BL$2&amp;#REF!&amp;$BN$2,"")</f>
        <v/>
      </c>
      <c r="BO580" s="1" t="str">
        <f>IFERROR($BM$2&amp;VLOOKUP(E582,'Pay Table'!$M$3:$N$18,2,FALSE)&amp;$BL$2&amp;#REF!&amp;$BN$2,"")</f>
        <v/>
      </c>
      <c r="BP580" s="27" t="str">
        <f>IFERROR($BM$2&amp;VLOOKUP(F582,'Pay Table'!$M$3:$N$18,2,FALSE)&amp;$BL$2&amp;#REF!&amp;$BN$2,"")</f>
        <v/>
      </c>
    </row>
    <row r="581" spans="64:68" x14ac:dyDescent="0.15">
      <c r="BL581" s="26" t="str">
        <f>IFERROR($BM$2&amp;VLOOKUP(B583,'Pay Table'!$M$3:$N$18,2,FALSE)&amp;$BL$2&amp;#REF!&amp;$BN$2,"")</f>
        <v/>
      </c>
      <c r="BM581" s="1" t="str">
        <f>IFERROR($BM$2&amp;VLOOKUP(C583,'Pay Table'!$M$3:$N$18,2,FALSE)&amp;$BL$2&amp;#REF!&amp;$BN$2,"")</f>
        <v/>
      </c>
      <c r="BN581" s="1" t="str">
        <f>IFERROR($BM$2&amp;VLOOKUP(D583,'Pay Table'!$M$3:$N$18,2,FALSE)&amp;$BL$2&amp;#REF!&amp;$BN$2,"")</f>
        <v/>
      </c>
      <c r="BO581" s="1" t="str">
        <f>IFERROR($BM$2&amp;VLOOKUP(E583,'Pay Table'!$M$3:$N$18,2,FALSE)&amp;$BL$2&amp;#REF!&amp;$BN$2,"")</f>
        <v/>
      </c>
      <c r="BP581" s="27" t="str">
        <f>IFERROR($BM$2&amp;VLOOKUP(F583,'Pay Table'!$M$3:$N$18,2,FALSE)&amp;$BL$2&amp;#REF!&amp;$BN$2,"")</f>
        <v/>
      </c>
    </row>
    <row r="582" spans="64:68" x14ac:dyDescent="0.15">
      <c r="BL582" s="26" t="str">
        <f>IFERROR($BM$2&amp;VLOOKUP(B584,'Pay Table'!$M$3:$N$18,2,FALSE)&amp;$BL$2&amp;#REF!&amp;$BN$2,"")</f>
        <v/>
      </c>
      <c r="BM582" s="1" t="str">
        <f>IFERROR($BM$2&amp;VLOOKUP(C584,'Pay Table'!$M$3:$N$18,2,FALSE)&amp;$BL$2&amp;#REF!&amp;$BN$2,"")</f>
        <v/>
      </c>
      <c r="BN582" s="1" t="str">
        <f>IFERROR($BM$2&amp;VLOOKUP(D584,'Pay Table'!$M$3:$N$18,2,FALSE)&amp;$BL$2&amp;#REF!&amp;$BN$2,"")</f>
        <v/>
      </c>
      <c r="BO582" s="1" t="str">
        <f>IFERROR($BM$2&amp;VLOOKUP(E584,'Pay Table'!$M$3:$N$18,2,FALSE)&amp;$BL$2&amp;#REF!&amp;$BN$2,"")</f>
        <v/>
      </c>
      <c r="BP582" s="27" t="str">
        <f>IFERROR($BM$2&amp;VLOOKUP(F584,'Pay Table'!$M$3:$N$18,2,FALSE)&amp;$BL$2&amp;#REF!&amp;$BN$2,"")</f>
        <v/>
      </c>
    </row>
    <row r="583" spans="64:68" x14ac:dyDescent="0.15">
      <c r="BL583" s="26" t="str">
        <f>IFERROR($BM$2&amp;VLOOKUP(B585,'Pay Table'!$M$3:$N$18,2,FALSE)&amp;$BL$2&amp;#REF!&amp;$BN$2,"")</f>
        <v/>
      </c>
      <c r="BM583" s="1" t="str">
        <f>IFERROR($BM$2&amp;VLOOKUP(C585,'Pay Table'!$M$3:$N$18,2,FALSE)&amp;$BL$2&amp;#REF!&amp;$BN$2,"")</f>
        <v/>
      </c>
      <c r="BN583" s="1" t="str">
        <f>IFERROR($BM$2&amp;VLOOKUP(D585,'Pay Table'!$M$3:$N$18,2,FALSE)&amp;$BL$2&amp;#REF!&amp;$BN$2,"")</f>
        <v/>
      </c>
      <c r="BO583" s="1" t="str">
        <f>IFERROR($BM$2&amp;VLOOKUP(E585,'Pay Table'!$M$3:$N$18,2,FALSE)&amp;$BL$2&amp;#REF!&amp;$BN$2,"")</f>
        <v/>
      </c>
      <c r="BP583" s="27" t="str">
        <f>IFERROR($BM$2&amp;VLOOKUP(F585,'Pay Table'!$M$3:$N$18,2,FALSE)&amp;$BL$2&amp;#REF!&amp;$BN$2,"")</f>
        <v/>
      </c>
    </row>
    <row r="584" spans="64:68" x14ac:dyDescent="0.15">
      <c r="BL584" s="26" t="str">
        <f>IFERROR($BM$2&amp;VLOOKUP(B586,'Pay Table'!$M$3:$N$18,2,FALSE)&amp;$BL$2&amp;#REF!&amp;$BN$2,"")</f>
        <v/>
      </c>
      <c r="BM584" s="1" t="str">
        <f>IFERROR($BM$2&amp;VLOOKUP(C586,'Pay Table'!$M$3:$N$18,2,FALSE)&amp;$BL$2&amp;#REF!&amp;$BN$2,"")</f>
        <v/>
      </c>
      <c r="BN584" s="1" t="str">
        <f>IFERROR($BM$2&amp;VLOOKUP(D586,'Pay Table'!$M$3:$N$18,2,FALSE)&amp;$BL$2&amp;#REF!&amp;$BN$2,"")</f>
        <v/>
      </c>
      <c r="BO584" s="1" t="str">
        <f>IFERROR($BM$2&amp;VLOOKUP(E586,'Pay Table'!$M$3:$N$18,2,FALSE)&amp;$BL$2&amp;#REF!&amp;$BN$2,"")</f>
        <v/>
      </c>
      <c r="BP584" s="27" t="str">
        <f>IFERROR($BM$2&amp;VLOOKUP(F586,'Pay Table'!$M$3:$N$18,2,FALSE)&amp;$BL$2&amp;#REF!&amp;$BN$2,"")</f>
        <v/>
      </c>
    </row>
    <row r="585" spans="64:68" x14ac:dyDescent="0.15">
      <c r="BL585" s="26" t="str">
        <f>IFERROR($BM$2&amp;VLOOKUP(B587,'Pay Table'!$M$3:$N$18,2,FALSE)&amp;$BL$2&amp;#REF!&amp;$BN$2,"")</f>
        <v/>
      </c>
      <c r="BM585" s="1" t="str">
        <f>IFERROR($BM$2&amp;VLOOKUP(C587,'Pay Table'!$M$3:$N$18,2,FALSE)&amp;$BL$2&amp;#REF!&amp;$BN$2,"")</f>
        <v/>
      </c>
      <c r="BN585" s="1" t="str">
        <f>IFERROR($BM$2&amp;VLOOKUP(D587,'Pay Table'!$M$3:$N$18,2,FALSE)&amp;$BL$2&amp;#REF!&amp;$BN$2,"")</f>
        <v/>
      </c>
      <c r="BO585" s="1" t="str">
        <f>IFERROR($BM$2&amp;VLOOKUP(E587,'Pay Table'!$M$3:$N$18,2,FALSE)&amp;$BL$2&amp;#REF!&amp;$BN$2,"")</f>
        <v/>
      </c>
      <c r="BP585" s="27" t="str">
        <f>IFERROR($BM$2&amp;VLOOKUP(F587,'Pay Table'!$M$3:$N$18,2,FALSE)&amp;$BL$2&amp;#REF!&amp;$BN$2,"")</f>
        <v/>
      </c>
    </row>
    <row r="586" spans="64:68" x14ac:dyDescent="0.15">
      <c r="BL586" s="26" t="str">
        <f>IFERROR($BM$2&amp;VLOOKUP(B588,'Pay Table'!$M$3:$N$18,2,FALSE)&amp;$BL$2&amp;#REF!&amp;$BN$2,"")</f>
        <v/>
      </c>
      <c r="BM586" s="1" t="str">
        <f>IFERROR($BM$2&amp;VLOOKUP(C588,'Pay Table'!$M$3:$N$18,2,FALSE)&amp;$BL$2&amp;#REF!&amp;$BN$2,"")</f>
        <v/>
      </c>
      <c r="BN586" s="1" t="str">
        <f>IFERROR($BM$2&amp;VLOOKUP(D588,'Pay Table'!$M$3:$N$18,2,FALSE)&amp;$BL$2&amp;#REF!&amp;$BN$2,"")</f>
        <v/>
      </c>
      <c r="BO586" s="1" t="str">
        <f>IFERROR($BM$2&amp;VLOOKUP(E588,'Pay Table'!$M$3:$N$18,2,FALSE)&amp;$BL$2&amp;#REF!&amp;$BN$2,"")</f>
        <v/>
      </c>
      <c r="BP586" s="27" t="str">
        <f>IFERROR($BM$2&amp;VLOOKUP(F588,'Pay Table'!$M$3:$N$18,2,FALSE)&amp;$BL$2&amp;#REF!&amp;$BN$2,"")</f>
        <v/>
      </c>
    </row>
    <row r="587" spans="64:68" x14ac:dyDescent="0.15">
      <c r="BL587" s="26" t="str">
        <f>IFERROR($BM$2&amp;VLOOKUP(B589,'Pay Table'!$M$3:$N$18,2,FALSE)&amp;$BL$2&amp;#REF!&amp;$BN$2,"")</f>
        <v/>
      </c>
      <c r="BM587" s="1" t="str">
        <f>IFERROR($BM$2&amp;VLOOKUP(C589,'Pay Table'!$M$3:$N$18,2,FALSE)&amp;$BL$2&amp;#REF!&amp;$BN$2,"")</f>
        <v/>
      </c>
      <c r="BN587" s="1" t="str">
        <f>IFERROR($BM$2&amp;VLOOKUP(D589,'Pay Table'!$M$3:$N$18,2,FALSE)&amp;$BL$2&amp;#REF!&amp;$BN$2,"")</f>
        <v/>
      </c>
      <c r="BO587" s="1" t="str">
        <f>IFERROR($BM$2&amp;VLOOKUP(E589,'Pay Table'!$M$3:$N$18,2,FALSE)&amp;$BL$2&amp;#REF!&amp;$BN$2,"")</f>
        <v/>
      </c>
      <c r="BP587" s="27" t="str">
        <f>IFERROR($BM$2&amp;VLOOKUP(F589,'Pay Table'!$M$3:$N$18,2,FALSE)&amp;$BL$2&amp;#REF!&amp;$BN$2,"")</f>
        <v/>
      </c>
    </row>
    <row r="588" spans="64:68" x14ac:dyDescent="0.15">
      <c r="BL588" s="26" t="str">
        <f>IFERROR($BM$2&amp;VLOOKUP(B590,'Pay Table'!$M$3:$N$18,2,FALSE)&amp;$BL$2&amp;#REF!&amp;$BN$2,"")</f>
        <v/>
      </c>
      <c r="BM588" s="1" t="str">
        <f>IFERROR($BM$2&amp;VLOOKUP(C590,'Pay Table'!$M$3:$N$18,2,FALSE)&amp;$BL$2&amp;#REF!&amp;$BN$2,"")</f>
        <v/>
      </c>
      <c r="BN588" s="1" t="str">
        <f>IFERROR($BM$2&amp;VLOOKUP(D590,'Pay Table'!$M$3:$N$18,2,FALSE)&amp;$BL$2&amp;#REF!&amp;$BN$2,"")</f>
        <v/>
      </c>
      <c r="BO588" s="1" t="str">
        <f>IFERROR($BM$2&amp;VLOOKUP(E590,'Pay Table'!$M$3:$N$18,2,FALSE)&amp;$BL$2&amp;#REF!&amp;$BN$2,"")</f>
        <v/>
      </c>
      <c r="BP588" s="27" t="str">
        <f>IFERROR($BM$2&amp;VLOOKUP(F590,'Pay Table'!$M$3:$N$18,2,FALSE)&amp;$BL$2&amp;#REF!&amp;$BN$2,"")</f>
        <v/>
      </c>
    </row>
    <row r="589" spans="64:68" x14ac:dyDescent="0.15">
      <c r="BL589" s="26" t="str">
        <f>IFERROR($BM$2&amp;VLOOKUP(B591,'Pay Table'!$M$3:$N$18,2,FALSE)&amp;$BL$2&amp;#REF!&amp;$BN$2,"")</f>
        <v/>
      </c>
      <c r="BM589" s="1" t="str">
        <f>IFERROR($BM$2&amp;VLOOKUP(C591,'Pay Table'!$M$3:$N$18,2,FALSE)&amp;$BL$2&amp;#REF!&amp;$BN$2,"")</f>
        <v/>
      </c>
      <c r="BN589" s="1" t="str">
        <f>IFERROR($BM$2&amp;VLOOKUP(D591,'Pay Table'!$M$3:$N$18,2,FALSE)&amp;$BL$2&amp;#REF!&amp;$BN$2,"")</f>
        <v/>
      </c>
      <c r="BO589" s="1" t="str">
        <f>IFERROR($BM$2&amp;VLOOKUP(E591,'Pay Table'!$M$3:$N$18,2,FALSE)&amp;$BL$2&amp;#REF!&amp;$BN$2,"")</f>
        <v/>
      </c>
      <c r="BP589" s="27" t="str">
        <f>IFERROR($BM$2&amp;VLOOKUP(F591,'Pay Table'!$M$3:$N$18,2,FALSE)&amp;$BL$2&amp;#REF!&amp;$BN$2,"")</f>
        <v/>
      </c>
    </row>
    <row r="590" spans="64:68" x14ac:dyDescent="0.15">
      <c r="BL590" s="26" t="str">
        <f>IFERROR($BM$2&amp;VLOOKUP(B592,'Pay Table'!$M$3:$N$18,2,FALSE)&amp;$BL$2&amp;#REF!&amp;$BN$2,"")</f>
        <v/>
      </c>
      <c r="BM590" s="1" t="str">
        <f>IFERROR($BM$2&amp;VLOOKUP(C592,'Pay Table'!$M$3:$N$18,2,FALSE)&amp;$BL$2&amp;#REF!&amp;$BN$2,"")</f>
        <v/>
      </c>
      <c r="BN590" s="1" t="str">
        <f>IFERROR($BM$2&amp;VLOOKUP(D592,'Pay Table'!$M$3:$N$18,2,FALSE)&amp;$BL$2&amp;#REF!&amp;$BN$2,"")</f>
        <v/>
      </c>
      <c r="BO590" s="1" t="str">
        <f>IFERROR($BM$2&amp;VLOOKUP(E592,'Pay Table'!$M$3:$N$18,2,FALSE)&amp;$BL$2&amp;#REF!&amp;$BN$2,"")</f>
        <v/>
      </c>
      <c r="BP590" s="27" t="str">
        <f>IFERROR($BM$2&amp;VLOOKUP(F592,'Pay Table'!$M$3:$N$18,2,FALSE)&amp;$BL$2&amp;#REF!&amp;$BN$2,"")</f>
        <v/>
      </c>
    </row>
    <row r="591" spans="64:68" x14ac:dyDescent="0.15">
      <c r="BL591" s="26" t="str">
        <f>IFERROR($BM$2&amp;VLOOKUP(B593,'Pay Table'!$M$3:$N$18,2,FALSE)&amp;$BL$2&amp;#REF!&amp;$BN$2,"")</f>
        <v/>
      </c>
      <c r="BM591" s="1" t="str">
        <f>IFERROR($BM$2&amp;VLOOKUP(C593,'Pay Table'!$M$3:$N$18,2,FALSE)&amp;$BL$2&amp;#REF!&amp;$BN$2,"")</f>
        <v/>
      </c>
      <c r="BN591" s="1" t="str">
        <f>IFERROR($BM$2&amp;VLOOKUP(D593,'Pay Table'!$M$3:$N$18,2,FALSE)&amp;$BL$2&amp;#REF!&amp;$BN$2,"")</f>
        <v/>
      </c>
      <c r="BO591" s="1" t="str">
        <f>IFERROR($BM$2&amp;VLOOKUP(E593,'Pay Table'!$M$3:$N$18,2,FALSE)&amp;$BL$2&amp;#REF!&amp;$BN$2,"")</f>
        <v/>
      </c>
      <c r="BP591" s="27" t="str">
        <f>IFERROR($BM$2&amp;VLOOKUP(F593,'Pay Table'!$M$3:$N$18,2,FALSE)&amp;$BL$2&amp;#REF!&amp;$BN$2,"")</f>
        <v/>
      </c>
    </row>
    <row r="592" spans="64:68" x14ac:dyDescent="0.15">
      <c r="BL592" s="26" t="str">
        <f>IFERROR($BM$2&amp;VLOOKUP(B594,'Pay Table'!$M$3:$N$18,2,FALSE)&amp;$BL$2&amp;#REF!&amp;$BN$2,"")</f>
        <v/>
      </c>
      <c r="BM592" s="1" t="str">
        <f>IFERROR($BM$2&amp;VLOOKUP(C594,'Pay Table'!$M$3:$N$18,2,FALSE)&amp;$BL$2&amp;#REF!&amp;$BN$2,"")</f>
        <v/>
      </c>
      <c r="BN592" s="1" t="str">
        <f>IFERROR($BM$2&amp;VLOOKUP(D594,'Pay Table'!$M$3:$N$18,2,FALSE)&amp;$BL$2&amp;#REF!&amp;$BN$2,"")</f>
        <v/>
      </c>
      <c r="BO592" s="1" t="str">
        <f>IFERROR($BM$2&amp;VLOOKUP(E594,'Pay Table'!$M$3:$N$18,2,FALSE)&amp;$BL$2&amp;#REF!&amp;$BN$2,"")</f>
        <v/>
      </c>
      <c r="BP592" s="27" t="str">
        <f>IFERROR($BM$2&amp;VLOOKUP(F594,'Pay Table'!$M$3:$N$18,2,FALSE)&amp;$BL$2&amp;#REF!&amp;$BN$2,"")</f>
        <v/>
      </c>
    </row>
    <row r="593" spans="64:68" x14ac:dyDescent="0.15">
      <c r="BL593" s="26" t="str">
        <f>IFERROR($BM$2&amp;VLOOKUP(B595,'Pay Table'!$M$3:$N$18,2,FALSE)&amp;$BL$2&amp;#REF!&amp;$BN$2,"")</f>
        <v/>
      </c>
      <c r="BM593" s="1" t="str">
        <f>IFERROR($BM$2&amp;VLOOKUP(C595,'Pay Table'!$M$3:$N$18,2,FALSE)&amp;$BL$2&amp;#REF!&amp;$BN$2,"")</f>
        <v/>
      </c>
      <c r="BN593" s="1" t="str">
        <f>IFERROR($BM$2&amp;VLOOKUP(D595,'Pay Table'!$M$3:$N$18,2,FALSE)&amp;$BL$2&amp;#REF!&amp;$BN$2,"")</f>
        <v/>
      </c>
      <c r="BO593" s="1" t="str">
        <f>IFERROR($BM$2&amp;VLOOKUP(E595,'Pay Table'!$M$3:$N$18,2,FALSE)&amp;$BL$2&amp;#REF!&amp;$BN$2,"")</f>
        <v/>
      </c>
      <c r="BP593" s="27" t="str">
        <f>IFERROR($BM$2&amp;VLOOKUP(F595,'Pay Table'!$M$3:$N$18,2,FALSE)&amp;$BL$2&amp;#REF!&amp;$BN$2,"")</f>
        <v/>
      </c>
    </row>
    <row r="594" spans="64:68" x14ac:dyDescent="0.15">
      <c r="BL594" s="26" t="str">
        <f>IFERROR($BM$2&amp;VLOOKUP(B596,'Pay Table'!$M$3:$N$18,2,FALSE)&amp;$BL$2&amp;#REF!&amp;$BN$2,"")</f>
        <v/>
      </c>
      <c r="BM594" s="1" t="str">
        <f>IFERROR($BM$2&amp;VLOOKUP(C596,'Pay Table'!$M$3:$N$18,2,FALSE)&amp;$BL$2&amp;#REF!&amp;$BN$2,"")</f>
        <v/>
      </c>
      <c r="BN594" s="1" t="str">
        <f>IFERROR($BM$2&amp;VLOOKUP(D596,'Pay Table'!$M$3:$N$18,2,FALSE)&amp;$BL$2&amp;#REF!&amp;$BN$2,"")</f>
        <v/>
      </c>
      <c r="BO594" s="1" t="str">
        <f>IFERROR($BM$2&amp;VLOOKUP(E596,'Pay Table'!$M$3:$N$18,2,FALSE)&amp;$BL$2&amp;#REF!&amp;$BN$2,"")</f>
        <v/>
      </c>
      <c r="BP594" s="27" t="str">
        <f>IFERROR($BM$2&amp;VLOOKUP(F596,'Pay Table'!$M$3:$N$18,2,FALSE)&amp;$BL$2&amp;#REF!&amp;$BN$2,"")</f>
        <v/>
      </c>
    </row>
    <row r="595" spans="64:68" x14ac:dyDescent="0.15">
      <c r="BL595" s="26" t="str">
        <f>IFERROR($BM$2&amp;VLOOKUP(B597,'Pay Table'!$M$3:$N$18,2,FALSE)&amp;$BL$2&amp;#REF!&amp;$BN$2,"")</f>
        <v/>
      </c>
      <c r="BM595" s="1" t="str">
        <f>IFERROR($BM$2&amp;VLOOKUP(C597,'Pay Table'!$M$3:$N$18,2,FALSE)&amp;$BL$2&amp;#REF!&amp;$BN$2,"")</f>
        <v/>
      </c>
      <c r="BN595" s="1" t="str">
        <f>IFERROR($BM$2&amp;VLOOKUP(D597,'Pay Table'!$M$3:$N$18,2,FALSE)&amp;$BL$2&amp;#REF!&amp;$BN$2,"")</f>
        <v/>
      </c>
      <c r="BO595" s="1" t="str">
        <f>IFERROR($BM$2&amp;VLOOKUP(E597,'Pay Table'!$M$3:$N$18,2,FALSE)&amp;$BL$2&amp;#REF!&amp;$BN$2,"")</f>
        <v/>
      </c>
      <c r="BP595" s="27" t="str">
        <f>IFERROR($BM$2&amp;VLOOKUP(F597,'Pay Table'!$M$3:$N$18,2,FALSE)&amp;$BL$2&amp;#REF!&amp;$BN$2,"")</f>
        <v/>
      </c>
    </row>
    <row r="596" spans="64:68" x14ac:dyDescent="0.15">
      <c r="BL596" s="26" t="str">
        <f>IFERROR($BM$2&amp;VLOOKUP(B598,'Pay Table'!$M$3:$N$18,2,FALSE)&amp;$BL$2&amp;#REF!&amp;$BN$2,"")</f>
        <v/>
      </c>
      <c r="BM596" s="1" t="str">
        <f>IFERROR($BM$2&amp;VLOOKUP(C598,'Pay Table'!$M$3:$N$18,2,FALSE)&amp;$BL$2&amp;#REF!&amp;$BN$2,"")</f>
        <v/>
      </c>
      <c r="BN596" s="1" t="str">
        <f>IFERROR($BM$2&amp;VLOOKUP(D598,'Pay Table'!$M$3:$N$18,2,FALSE)&amp;$BL$2&amp;#REF!&amp;$BN$2,"")</f>
        <v/>
      </c>
      <c r="BO596" s="1" t="str">
        <f>IFERROR($BM$2&amp;VLOOKUP(E598,'Pay Table'!$M$3:$N$18,2,FALSE)&amp;$BL$2&amp;#REF!&amp;$BN$2,"")</f>
        <v/>
      </c>
      <c r="BP596" s="27" t="str">
        <f>IFERROR($BM$2&amp;VLOOKUP(F598,'Pay Table'!$M$3:$N$18,2,FALSE)&amp;$BL$2&amp;#REF!&amp;$BN$2,"")</f>
        <v/>
      </c>
    </row>
    <row r="597" spans="64:68" x14ac:dyDescent="0.15">
      <c r="BL597" s="26" t="str">
        <f>IFERROR($BM$2&amp;VLOOKUP(B599,'Pay Table'!$M$3:$N$18,2,FALSE)&amp;$BL$2&amp;#REF!&amp;$BN$2,"")</f>
        <v/>
      </c>
      <c r="BM597" s="1" t="str">
        <f>IFERROR($BM$2&amp;VLOOKUP(C599,'Pay Table'!$M$3:$N$18,2,FALSE)&amp;$BL$2&amp;#REF!&amp;$BN$2,"")</f>
        <v/>
      </c>
      <c r="BN597" s="1" t="str">
        <f>IFERROR($BM$2&amp;VLOOKUP(D599,'Pay Table'!$M$3:$N$18,2,FALSE)&amp;$BL$2&amp;#REF!&amp;$BN$2,"")</f>
        <v/>
      </c>
      <c r="BO597" s="1" t="str">
        <f>IFERROR($BM$2&amp;VLOOKUP(E599,'Pay Table'!$M$3:$N$18,2,FALSE)&amp;$BL$2&amp;#REF!&amp;$BN$2,"")</f>
        <v/>
      </c>
      <c r="BP597" s="27" t="str">
        <f>IFERROR($BM$2&amp;VLOOKUP(F599,'Pay Table'!$M$3:$N$18,2,FALSE)&amp;$BL$2&amp;#REF!&amp;$BN$2,"")</f>
        <v/>
      </c>
    </row>
    <row r="598" spans="64:68" x14ac:dyDescent="0.15">
      <c r="BL598" s="26" t="str">
        <f>IFERROR($BM$2&amp;VLOOKUP(B600,'Pay Table'!$M$3:$N$18,2,FALSE)&amp;$BL$2&amp;#REF!&amp;$BN$2,"")</f>
        <v/>
      </c>
      <c r="BM598" s="1" t="str">
        <f>IFERROR($BM$2&amp;VLOOKUP(C600,'Pay Table'!$M$3:$N$18,2,FALSE)&amp;$BL$2&amp;#REF!&amp;$BN$2,"")</f>
        <v/>
      </c>
      <c r="BN598" s="1" t="str">
        <f>IFERROR($BM$2&amp;VLOOKUP(D600,'Pay Table'!$M$3:$N$18,2,FALSE)&amp;$BL$2&amp;#REF!&amp;$BN$2,"")</f>
        <v/>
      </c>
      <c r="BO598" s="1" t="str">
        <f>IFERROR($BM$2&amp;VLOOKUP(E600,'Pay Table'!$M$3:$N$18,2,FALSE)&amp;$BL$2&amp;#REF!&amp;$BN$2,"")</f>
        <v/>
      </c>
      <c r="BP598" s="27" t="str">
        <f>IFERROR($BM$2&amp;VLOOKUP(F600,'Pay Table'!$M$3:$N$18,2,FALSE)&amp;$BL$2&amp;#REF!&amp;$BN$2,"")</f>
        <v/>
      </c>
    </row>
    <row r="599" spans="64:68" x14ac:dyDescent="0.15">
      <c r="BL599" s="26" t="str">
        <f>IFERROR($BM$2&amp;VLOOKUP(B601,'Pay Table'!$M$3:$N$18,2,FALSE)&amp;$BL$2&amp;#REF!&amp;$BN$2,"")</f>
        <v/>
      </c>
      <c r="BM599" s="1" t="str">
        <f>IFERROR($BM$2&amp;VLOOKUP(C601,'Pay Table'!$M$3:$N$18,2,FALSE)&amp;$BL$2&amp;#REF!&amp;$BN$2,"")</f>
        <v/>
      </c>
      <c r="BN599" s="1" t="str">
        <f>IFERROR($BM$2&amp;VLOOKUP(D601,'Pay Table'!$M$3:$N$18,2,FALSE)&amp;$BL$2&amp;#REF!&amp;$BN$2,"")</f>
        <v/>
      </c>
      <c r="BO599" s="1" t="str">
        <f>IFERROR($BM$2&amp;VLOOKUP(E601,'Pay Table'!$M$3:$N$18,2,FALSE)&amp;$BL$2&amp;#REF!&amp;$BN$2,"")</f>
        <v/>
      </c>
      <c r="BP599" s="27" t="str">
        <f>IFERROR($BM$2&amp;VLOOKUP(F601,'Pay Table'!$M$3:$N$18,2,FALSE)&amp;$BL$2&amp;#REF!&amp;$BN$2,"")</f>
        <v/>
      </c>
    </row>
    <row r="600" spans="64:68" x14ac:dyDescent="0.15">
      <c r="BL600" s="26" t="str">
        <f>IFERROR($BM$2&amp;VLOOKUP(B602,'Pay Table'!$M$3:$N$18,2,FALSE)&amp;$BL$2&amp;#REF!&amp;$BN$2,"")</f>
        <v/>
      </c>
      <c r="BM600" s="1" t="str">
        <f>IFERROR($BM$2&amp;VLOOKUP(C602,'Pay Table'!$M$3:$N$18,2,FALSE)&amp;$BL$2&amp;#REF!&amp;$BN$2,"")</f>
        <v/>
      </c>
      <c r="BN600" s="1" t="str">
        <f>IFERROR($BM$2&amp;VLOOKUP(D602,'Pay Table'!$M$3:$N$18,2,FALSE)&amp;$BL$2&amp;#REF!&amp;$BN$2,"")</f>
        <v/>
      </c>
      <c r="BO600" s="1" t="str">
        <f>IFERROR($BM$2&amp;VLOOKUP(E602,'Pay Table'!$M$3:$N$18,2,FALSE)&amp;$BL$2&amp;#REF!&amp;$BN$2,"")</f>
        <v/>
      </c>
      <c r="BP600" s="27" t="str">
        <f>IFERROR($BM$2&amp;VLOOKUP(F602,'Pay Table'!$M$3:$N$18,2,FALSE)&amp;$BL$2&amp;#REF!&amp;$BN$2,"")</f>
        <v/>
      </c>
    </row>
    <row r="601" spans="64:68" x14ac:dyDescent="0.15">
      <c r="BL601" s="26" t="str">
        <f>IFERROR($BM$2&amp;VLOOKUP(B603,'Pay Table'!$M$3:$N$18,2,FALSE)&amp;$BL$2&amp;#REF!&amp;$BN$2,"")</f>
        <v/>
      </c>
      <c r="BM601" s="1" t="str">
        <f>IFERROR($BM$2&amp;VLOOKUP(C603,'Pay Table'!$M$3:$N$18,2,FALSE)&amp;$BL$2&amp;#REF!&amp;$BN$2,"")</f>
        <v/>
      </c>
      <c r="BN601" s="1" t="str">
        <f>IFERROR($BM$2&amp;VLOOKUP(D603,'Pay Table'!$M$3:$N$18,2,FALSE)&amp;$BL$2&amp;#REF!&amp;$BN$2,"")</f>
        <v/>
      </c>
      <c r="BO601" s="1" t="str">
        <f>IFERROR($BM$2&amp;VLOOKUP(E603,'Pay Table'!$M$3:$N$18,2,FALSE)&amp;$BL$2&amp;#REF!&amp;$BN$2,"")</f>
        <v/>
      </c>
      <c r="BP601" s="27" t="str">
        <f>IFERROR($BM$2&amp;VLOOKUP(F603,'Pay Table'!$M$3:$N$18,2,FALSE)&amp;$BL$2&amp;#REF!&amp;$BN$2,"")</f>
        <v/>
      </c>
    </row>
    <row r="602" spans="64:68" x14ac:dyDescent="0.15">
      <c r="BL602" s="26" t="str">
        <f>IFERROR($BM$2&amp;VLOOKUP(B604,'Pay Table'!$M$3:$N$18,2,FALSE)&amp;$BL$2&amp;#REF!&amp;$BN$2,"")</f>
        <v/>
      </c>
      <c r="BM602" s="1" t="str">
        <f>IFERROR($BM$2&amp;VLOOKUP(C604,'Pay Table'!$M$3:$N$18,2,FALSE)&amp;$BL$2&amp;#REF!&amp;$BN$2,"")</f>
        <v/>
      </c>
      <c r="BN602" s="1" t="str">
        <f>IFERROR($BM$2&amp;VLOOKUP(D604,'Pay Table'!$M$3:$N$18,2,FALSE)&amp;$BL$2&amp;#REF!&amp;$BN$2,"")</f>
        <v/>
      </c>
      <c r="BO602" s="1" t="str">
        <f>IFERROR($BM$2&amp;VLOOKUP(E604,'Pay Table'!$M$3:$N$18,2,FALSE)&amp;$BL$2&amp;#REF!&amp;$BN$2,"")</f>
        <v/>
      </c>
      <c r="BP602" s="27" t="str">
        <f>IFERROR($BM$2&amp;VLOOKUP(F604,'Pay Table'!$M$3:$N$18,2,FALSE)&amp;$BL$2&amp;#REF!&amp;$BN$2,"")</f>
        <v/>
      </c>
    </row>
    <row r="603" spans="64:68" x14ac:dyDescent="0.15">
      <c r="BL603" s="26" t="str">
        <f>IFERROR($BM$2&amp;VLOOKUP(B605,'Pay Table'!$M$3:$N$18,2,FALSE)&amp;$BL$2&amp;#REF!&amp;$BN$2,"")</f>
        <v/>
      </c>
      <c r="BM603" s="1" t="str">
        <f>IFERROR($BM$2&amp;VLOOKUP(C605,'Pay Table'!$M$3:$N$18,2,FALSE)&amp;$BL$2&amp;#REF!&amp;$BN$2,"")</f>
        <v/>
      </c>
      <c r="BN603" s="1" t="str">
        <f>IFERROR($BM$2&amp;VLOOKUP(D605,'Pay Table'!$M$3:$N$18,2,FALSE)&amp;$BL$2&amp;#REF!&amp;$BN$2,"")</f>
        <v/>
      </c>
      <c r="BO603" s="1" t="str">
        <f>IFERROR($BM$2&amp;VLOOKUP(E605,'Pay Table'!$M$3:$N$18,2,FALSE)&amp;$BL$2&amp;#REF!&amp;$BN$2,"")</f>
        <v/>
      </c>
      <c r="BP603" s="27" t="str">
        <f>IFERROR($BM$2&amp;VLOOKUP(F605,'Pay Table'!$M$3:$N$18,2,FALSE)&amp;$BL$2&amp;#REF!&amp;$BN$2,"")</f>
        <v/>
      </c>
    </row>
    <row r="604" spans="64:68" x14ac:dyDescent="0.15">
      <c r="BL604" s="26" t="str">
        <f>IFERROR($BM$2&amp;VLOOKUP(B606,'Pay Table'!$M$3:$N$18,2,FALSE)&amp;$BL$2&amp;#REF!&amp;$BN$2,"")</f>
        <v/>
      </c>
      <c r="BM604" s="1" t="str">
        <f>IFERROR($BM$2&amp;VLOOKUP(C606,'Pay Table'!$M$3:$N$18,2,FALSE)&amp;$BL$2&amp;#REF!&amp;$BN$2,"")</f>
        <v/>
      </c>
      <c r="BN604" s="1" t="str">
        <f>IFERROR($BM$2&amp;VLOOKUP(D606,'Pay Table'!$M$3:$N$18,2,FALSE)&amp;$BL$2&amp;#REF!&amp;$BN$2,"")</f>
        <v/>
      </c>
      <c r="BO604" s="1" t="str">
        <f>IFERROR($BM$2&amp;VLOOKUP(E606,'Pay Table'!$M$3:$N$18,2,FALSE)&amp;$BL$2&amp;#REF!&amp;$BN$2,"")</f>
        <v/>
      </c>
      <c r="BP604" s="27" t="str">
        <f>IFERROR($BM$2&amp;VLOOKUP(F606,'Pay Table'!$M$3:$N$18,2,FALSE)&amp;$BL$2&amp;#REF!&amp;$BN$2,"")</f>
        <v/>
      </c>
    </row>
    <row r="605" spans="64:68" x14ac:dyDescent="0.15">
      <c r="BL605" s="26" t="str">
        <f>IFERROR($BM$2&amp;VLOOKUP(B607,'Pay Table'!$M$3:$N$18,2,FALSE)&amp;$BL$2&amp;#REF!&amp;$BN$2,"")</f>
        <v/>
      </c>
      <c r="BM605" s="1" t="str">
        <f>IFERROR($BM$2&amp;VLOOKUP(C607,'Pay Table'!$M$3:$N$18,2,FALSE)&amp;$BL$2&amp;#REF!&amp;$BN$2,"")</f>
        <v/>
      </c>
      <c r="BN605" s="1" t="str">
        <f>IFERROR($BM$2&amp;VLOOKUP(D607,'Pay Table'!$M$3:$N$18,2,FALSE)&amp;$BL$2&amp;#REF!&amp;$BN$2,"")</f>
        <v/>
      </c>
      <c r="BO605" s="1" t="str">
        <f>IFERROR($BM$2&amp;VLOOKUP(E607,'Pay Table'!$M$3:$N$18,2,FALSE)&amp;$BL$2&amp;#REF!&amp;$BN$2,"")</f>
        <v/>
      </c>
      <c r="BP605" s="27" t="str">
        <f>IFERROR($BM$2&amp;VLOOKUP(F607,'Pay Table'!$M$3:$N$18,2,FALSE)&amp;$BL$2&amp;#REF!&amp;$BN$2,"")</f>
        <v/>
      </c>
    </row>
    <row r="606" spans="64:68" x14ac:dyDescent="0.15">
      <c r="BL606" s="26" t="str">
        <f>IFERROR($BM$2&amp;VLOOKUP(B608,'Pay Table'!$M$3:$N$18,2,FALSE)&amp;$BL$2&amp;#REF!&amp;$BN$2,"")</f>
        <v/>
      </c>
      <c r="BM606" s="1" t="str">
        <f>IFERROR($BM$2&amp;VLOOKUP(C608,'Pay Table'!$M$3:$N$18,2,FALSE)&amp;$BL$2&amp;#REF!&amp;$BN$2,"")</f>
        <v/>
      </c>
      <c r="BN606" s="1" t="str">
        <f>IFERROR($BM$2&amp;VLOOKUP(D608,'Pay Table'!$M$3:$N$18,2,FALSE)&amp;$BL$2&amp;#REF!&amp;$BN$2,"")</f>
        <v/>
      </c>
      <c r="BO606" s="1" t="str">
        <f>IFERROR($BM$2&amp;VLOOKUP(E608,'Pay Table'!$M$3:$N$18,2,FALSE)&amp;$BL$2&amp;#REF!&amp;$BN$2,"")</f>
        <v/>
      </c>
      <c r="BP606" s="27" t="str">
        <f>IFERROR($BM$2&amp;VLOOKUP(F608,'Pay Table'!$M$3:$N$18,2,FALSE)&amp;$BL$2&amp;#REF!&amp;$BN$2,"")</f>
        <v/>
      </c>
    </row>
    <row r="607" spans="64:68" x14ac:dyDescent="0.15">
      <c r="BL607" s="26" t="str">
        <f>IFERROR($BM$2&amp;VLOOKUP(B609,'Pay Table'!$M$3:$N$18,2,FALSE)&amp;$BL$2&amp;#REF!&amp;$BN$2,"")</f>
        <v/>
      </c>
      <c r="BM607" s="1" t="str">
        <f>IFERROR($BM$2&amp;VLOOKUP(C609,'Pay Table'!$M$3:$N$18,2,FALSE)&amp;$BL$2&amp;#REF!&amp;$BN$2,"")</f>
        <v/>
      </c>
      <c r="BN607" s="1" t="str">
        <f>IFERROR($BM$2&amp;VLOOKUP(D609,'Pay Table'!$M$3:$N$18,2,FALSE)&amp;$BL$2&amp;#REF!&amp;$BN$2,"")</f>
        <v/>
      </c>
      <c r="BO607" s="1" t="str">
        <f>IFERROR($BM$2&amp;VLOOKUP(E609,'Pay Table'!$M$3:$N$18,2,FALSE)&amp;$BL$2&amp;#REF!&amp;$BN$2,"")</f>
        <v/>
      </c>
      <c r="BP607" s="27" t="str">
        <f>IFERROR($BM$2&amp;VLOOKUP(F609,'Pay Table'!$M$3:$N$18,2,FALSE)&amp;$BL$2&amp;#REF!&amp;$BN$2,"")</f>
        <v/>
      </c>
    </row>
    <row r="608" spans="64:68" x14ac:dyDescent="0.15">
      <c r="BL608" s="26" t="str">
        <f>IFERROR($BM$2&amp;VLOOKUP(B610,'Pay Table'!$M$3:$N$18,2,FALSE)&amp;$BL$2&amp;#REF!&amp;$BN$2,"")</f>
        <v/>
      </c>
      <c r="BM608" s="1" t="str">
        <f>IFERROR($BM$2&amp;VLOOKUP(C610,'Pay Table'!$M$3:$N$18,2,FALSE)&amp;$BL$2&amp;#REF!&amp;$BN$2,"")</f>
        <v/>
      </c>
      <c r="BN608" s="1" t="str">
        <f>IFERROR($BM$2&amp;VLOOKUP(D610,'Pay Table'!$M$3:$N$18,2,FALSE)&amp;$BL$2&amp;#REF!&amp;$BN$2,"")</f>
        <v/>
      </c>
      <c r="BO608" s="1" t="str">
        <f>IFERROR($BM$2&amp;VLOOKUP(E610,'Pay Table'!$M$3:$N$18,2,FALSE)&amp;$BL$2&amp;#REF!&amp;$BN$2,"")</f>
        <v/>
      </c>
      <c r="BP608" s="27" t="str">
        <f>IFERROR($BM$2&amp;VLOOKUP(F610,'Pay Table'!$M$3:$N$18,2,FALSE)&amp;$BL$2&amp;#REF!&amp;$BN$2,"")</f>
        <v/>
      </c>
    </row>
    <row r="609" spans="64:68" x14ac:dyDescent="0.15">
      <c r="BL609" s="26" t="str">
        <f>IFERROR($BM$2&amp;VLOOKUP(B611,'Pay Table'!$M$3:$N$18,2,FALSE)&amp;$BL$2&amp;#REF!&amp;$BN$2,"")</f>
        <v/>
      </c>
      <c r="BM609" s="1" t="str">
        <f>IFERROR($BM$2&amp;VLOOKUP(C611,'Pay Table'!$M$3:$N$18,2,FALSE)&amp;$BL$2&amp;#REF!&amp;$BN$2,"")</f>
        <v/>
      </c>
      <c r="BN609" s="1" t="str">
        <f>IFERROR($BM$2&amp;VLOOKUP(D611,'Pay Table'!$M$3:$N$18,2,FALSE)&amp;$BL$2&amp;#REF!&amp;$BN$2,"")</f>
        <v/>
      </c>
      <c r="BO609" s="1" t="str">
        <f>IFERROR($BM$2&amp;VLOOKUP(E611,'Pay Table'!$M$3:$N$18,2,FALSE)&amp;$BL$2&amp;#REF!&amp;$BN$2,"")</f>
        <v/>
      </c>
      <c r="BP609" s="27" t="str">
        <f>IFERROR($BM$2&amp;VLOOKUP(F611,'Pay Table'!$M$3:$N$18,2,FALSE)&amp;$BL$2&amp;#REF!&amp;$BN$2,"")</f>
        <v/>
      </c>
    </row>
    <row r="610" spans="64:68" x14ac:dyDescent="0.15">
      <c r="BL610" s="26" t="str">
        <f>IFERROR($BM$2&amp;VLOOKUP(B612,'Pay Table'!$M$3:$N$18,2,FALSE)&amp;$BL$2&amp;#REF!&amp;$BN$2,"")</f>
        <v/>
      </c>
      <c r="BM610" s="1" t="str">
        <f>IFERROR($BM$2&amp;VLOOKUP(C612,'Pay Table'!$M$3:$N$18,2,FALSE)&amp;$BL$2&amp;#REF!&amp;$BN$2,"")</f>
        <v/>
      </c>
      <c r="BN610" s="1" t="str">
        <f>IFERROR($BM$2&amp;VLOOKUP(D612,'Pay Table'!$M$3:$N$18,2,FALSE)&amp;$BL$2&amp;#REF!&amp;$BN$2,"")</f>
        <v/>
      </c>
      <c r="BO610" s="1" t="str">
        <f>IFERROR($BM$2&amp;VLOOKUP(E612,'Pay Table'!$M$3:$N$18,2,FALSE)&amp;$BL$2&amp;#REF!&amp;$BN$2,"")</f>
        <v/>
      </c>
      <c r="BP610" s="27" t="str">
        <f>IFERROR($BM$2&amp;VLOOKUP(F612,'Pay Table'!$M$3:$N$18,2,FALSE)&amp;$BL$2&amp;#REF!&amp;$BN$2,"")</f>
        <v/>
      </c>
    </row>
    <row r="611" spans="64:68" x14ac:dyDescent="0.15">
      <c r="BL611" s="26" t="str">
        <f>IFERROR($BM$2&amp;VLOOKUP(B613,'Pay Table'!$M$3:$N$18,2,FALSE)&amp;$BL$2&amp;#REF!&amp;$BN$2,"")</f>
        <v/>
      </c>
      <c r="BM611" s="1" t="str">
        <f>IFERROR($BM$2&amp;VLOOKUP(C613,'Pay Table'!$M$3:$N$18,2,FALSE)&amp;$BL$2&amp;#REF!&amp;$BN$2,"")</f>
        <v/>
      </c>
      <c r="BN611" s="1" t="str">
        <f>IFERROR($BM$2&amp;VLOOKUP(D613,'Pay Table'!$M$3:$N$18,2,FALSE)&amp;$BL$2&amp;#REF!&amp;$BN$2,"")</f>
        <v/>
      </c>
      <c r="BO611" s="1" t="str">
        <f>IFERROR($BM$2&amp;VLOOKUP(E613,'Pay Table'!$M$3:$N$18,2,FALSE)&amp;$BL$2&amp;#REF!&amp;$BN$2,"")</f>
        <v/>
      </c>
      <c r="BP611" s="27" t="str">
        <f>IFERROR($BM$2&amp;VLOOKUP(F613,'Pay Table'!$M$3:$N$18,2,FALSE)&amp;$BL$2&amp;#REF!&amp;$BN$2,"")</f>
        <v/>
      </c>
    </row>
    <row r="612" spans="64:68" x14ac:dyDescent="0.15">
      <c r="BL612" s="26" t="str">
        <f>IFERROR($BM$2&amp;VLOOKUP(B614,'Pay Table'!$M$3:$N$18,2,FALSE)&amp;$BL$2&amp;#REF!&amp;$BN$2,"")</f>
        <v/>
      </c>
      <c r="BM612" s="1" t="str">
        <f>IFERROR($BM$2&amp;VLOOKUP(C614,'Pay Table'!$M$3:$N$18,2,FALSE)&amp;$BL$2&amp;#REF!&amp;$BN$2,"")</f>
        <v/>
      </c>
      <c r="BN612" s="1" t="str">
        <f>IFERROR($BM$2&amp;VLOOKUP(D614,'Pay Table'!$M$3:$N$18,2,FALSE)&amp;$BL$2&amp;#REF!&amp;$BN$2,"")</f>
        <v/>
      </c>
      <c r="BO612" s="1" t="str">
        <f>IFERROR($BM$2&amp;VLOOKUP(E614,'Pay Table'!$M$3:$N$18,2,FALSE)&amp;$BL$2&amp;#REF!&amp;$BN$2,"")</f>
        <v/>
      </c>
      <c r="BP612" s="27" t="str">
        <f>IFERROR($BM$2&amp;VLOOKUP(F614,'Pay Table'!$M$3:$N$18,2,FALSE)&amp;$BL$2&amp;#REF!&amp;$BN$2,"")</f>
        <v/>
      </c>
    </row>
    <row r="613" spans="64:68" x14ac:dyDescent="0.15">
      <c r="BL613" s="26" t="str">
        <f>IFERROR($BM$2&amp;VLOOKUP(B615,'Pay Table'!$M$3:$N$18,2,FALSE)&amp;$BL$2&amp;#REF!&amp;$BN$2,"")</f>
        <v/>
      </c>
      <c r="BM613" s="1" t="str">
        <f>IFERROR($BM$2&amp;VLOOKUP(C615,'Pay Table'!$M$3:$N$18,2,FALSE)&amp;$BL$2&amp;#REF!&amp;$BN$2,"")</f>
        <v/>
      </c>
      <c r="BN613" s="1" t="str">
        <f>IFERROR($BM$2&amp;VLOOKUP(D615,'Pay Table'!$M$3:$N$18,2,FALSE)&amp;$BL$2&amp;#REF!&amp;$BN$2,"")</f>
        <v/>
      </c>
      <c r="BO613" s="1" t="str">
        <f>IFERROR($BM$2&amp;VLOOKUP(E615,'Pay Table'!$M$3:$N$18,2,FALSE)&amp;$BL$2&amp;#REF!&amp;$BN$2,"")</f>
        <v/>
      </c>
      <c r="BP613" s="27" t="str">
        <f>IFERROR($BM$2&amp;VLOOKUP(F615,'Pay Table'!$M$3:$N$18,2,FALSE)&amp;$BL$2&amp;#REF!&amp;$BN$2,"")</f>
        <v/>
      </c>
    </row>
    <row r="614" spans="64:68" x14ac:dyDescent="0.15">
      <c r="BL614" s="26" t="str">
        <f>IFERROR($BM$2&amp;VLOOKUP(B616,'Pay Table'!$M$3:$N$18,2,FALSE)&amp;$BL$2&amp;#REF!&amp;$BN$2,"")</f>
        <v/>
      </c>
      <c r="BM614" s="1" t="str">
        <f>IFERROR($BM$2&amp;VLOOKUP(C616,'Pay Table'!$M$3:$N$18,2,FALSE)&amp;$BL$2&amp;#REF!&amp;$BN$2,"")</f>
        <v/>
      </c>
      <c r="BN614" s="1" t="str">
        <f>IFERROR($BM$2&amp;VLOOKUP(D616,'Pay Table'!$M$3:$N$18,2,FALSE)&amp;$BL$2&amp;#REF!&amp;$BN$2,"")</f>
        <v/>
      </c>
      <c r="BO614" s="1" t="str">
        <f>IFERROR($BM$2&amp;VLOOKUP(E616,'Pay Table'!$M$3:$N$18,2,FALSE)&amp;$BL$2&amp;#REF!&amp;$BN$2,"")</f>
        <v/>
      </c>
      <c r="BP614" s="27" t="str">
        <f>IFERROR($BM$2&amp;VLOOKUP(F616,'Pay Table'!$M$3:$N$18,2,FALSE)&amp;$BL$2&amp;#REF!&amp;$BN$2,"")</f>
        <v/>
      </c>
    </row>
    <row r="615" spans="64:68" x14ac:dyDescent="0.15">
      <c r="BL615" s="26" t="str">
        <f>IFERROR($BM$2&amp;VLOOKUP(B617,'Pay Table'!$M$3:$N$18,2,FALSE)&amp;$BL$2&amp;#REF!&amp;$BN$2,"")</f>
        <v/>
      </c>
      <c r="BM615" s="1" t="str">
        <f>IFERROR($BM$2&amp;VLOOKUP(C617,'Pay Table'!$M$3:$N$18,2,FALSE)&amp;$BL$2&amp;#REF!&amp;$BN$2,"")</f>
        <v/>
      </c>
      <c r="BN615" s="1" t="str">
        <f>IFERROR($BM$2&amp;VLOOKUP(D617,'Pay Table'!$M$3:$N$18,2,FALSE)&amp;$BL$2&amp;#REF!&amp;$BN$2,"")</f>
        <v/>
      </c>
      <c r="BO615" s="1" t="str">
        <f>IFERROR($BM$2&amp;VLOOKUP(E617,'Pay Table'!$M$3:$N$18,2,FALSE)&amp;$BL$2&amp;#REF!&amp;$BN$2,"")</f>
        <v/>
      </c>
      <c r="BP615" s="27" t="str">
        <f>IFERROR($BM$2&amp;VLOOKUP(F617,'Pay Table'!$M$3:$N$18,2,FALSE)&amp;$BL$2&amp;#REF!&amp;$BN$2,"")</f>
        <v/>
      </c>
    </row>
    <row r="616" spans="64:68" x14ac:dyDescent="0.15">
      <c r="BL616" s="26" t="str">
        <f>IFERROR($BM$2&amp;VLOOKUP(B618,'Pay Table'!$M$3:$N$18,2,FALSE)&amp;$BL$2&amp;#REF!&amp;$BN$2,"")</f>
        <v/>
      </c>
      <c r="BM616" s="1" t="str">
        <f>IFERROR($BM$2&amp;VLOOKUP(C618,'Pay Table'!$M$3:$N$18,2,FALSE)&amp;$BL$2&amp;#REF!&amp;$BN$2,"")</f>
        <v/>
      </c>
      <c r="BN616" s="1" t="str">
        <f>IFERROR($BM$2&amp;VLOOKUP(D618,'Pay Table'!$M$3:$N$18,2,FALSE)&amp;$BL$2&amp;#REF!&amp;$BN$2,"")</f>
        <v/>
      </c>
      <c r="BO616" s="1" t="str">
        <f>IFERROR($BM$2&amp;VLOOKUP(E618,'Pay Table'!$M$3:$N$18,2,FALSE)&amp;$BL$2&amp;#REF!&amp;$BN$2,"")</f>
        <v/>
      </c>
      <c r="BP616" s="27" t="str">
        <f>IFERROR($BM$2&amp;VLOOKUP(F618,'Pay Table'!$M$3:$N$18,2,FALSE)&amp;$BL$2&amp;#REF!&amp;$BN$2,"")</f>
        <v/>
      </c>
    </row>
    <row r="617" spans="64:68" x14ac:dyDescent="0.15">
      <c r="BL617" s="26" t="str">
        <f>IFERROR($BM$2&amp;VLOOKUP(B619,'Pay Table'!$M$3:$N$18,2,FALSE)&amp;$BL$2&amp;#REF!&amp;$BN$2,"")</f>
        <v/>
      </c>
      <c r="BM617" s="1" t="str">
        <f>IFERROR($BM$2&amp;VLOOKUP(C619,'Pay Table'!$M$3:$N$18,2,FALSE)&amp;$BL$2&amp;#REF!&amp;$BN$2,"")</f>
        <v/>
      </c>
      <c r="BN617" s="1" t="str">
        <f>IFERROR($BM$2&amp;VLOOKUP(D619,'Pay Table'!$M$3:$N$18,2,FALSE)&amp;$BL$2&amp;#REF!&amp;$BN$2,"")</f>
        <v/>
      </c>
      <c r="BO617" s="1" t="str">
        <f>IFERROR($BM$2&amp;VLOOKUP(E619,'Pay Table'!$M$3:$N$18,2,FALSE)&amp;$BL$2&amp;#REF!&amp;$BN$2,"")</f>
        <v/>
      </c>
      <c r="BP617" s="27" t="str">
        <f>IFERROR($BM$2&amp;VLOOKUP(F619,'Pay Table'!$M$3:$N$18,2,FALSE)&amp;$BL$2&amp;#REF!&amp;$BN$2,"")</f>
        <v/>
      </c>
    </row>
    <row r="618" spans="64:68" x14ac:dyDescent="0.15">
      <c r="BL618" s="26" t="str">
        <f>IFERROR($BM$2&amp;VLOOKUP(B620,'Pay Table'!$M$3:$N$18,2,FALSE)&amp;$BL$2&amp;#REF!&amp;$BN$2,"")</f>
        <v/>
      </c>
      <c r="BM618" s="1" t="str">
        <f>IFERROR($BM$2&amp;VLOOKUP(C620,'Pay Table'!$M$3:$N$18,2,FALSE)&amp;$BL$2&amp;#REF!&amp;$BN$2,"")</f>
        <v/>
      </c>
      <c r="BN618" s="1" t="str">
        <f>IFERROR($BM$2&amp;VLOOKUP(D620,'Pay Table'!$M$3:$N$18,2,FALSE)&amp;$BL$2&amp;#REF!&amp;$BN$2,"")</f>
        <v/>
      </c>
      <c r="BO618" s="1" t="str">
        <f>IFERROR($BM$2&amp;VLOOKUP(E620,'Pay Table'!$M$3:$N$18,2,FALSE)&amp;$BL$2&amp;#REF!&amp;$BN$2,"")</f>
        <v/>
      </c>
      <c r="BP618" s="27" t="str">
        <f>IFERROR($BM$2&amp;VLOOKUP(F620,'Pay Table'!$M$3:$N$18,2,FALSE)&amp;$BL$2&amp;#REF!&amp;$BN$2,"")</f>
        <v/>
      </c>
    </row>
    <row r="619" spans="64:68" x14ac:dyDescent="0.15">
      <c r="BL619" s="26" t="str">
        <f>IFERROR($BM$2&amp;VLOOKUP(B621,'Pay Table'!$M$3:$N$18,2,FALSE)&amp;$BL$2&amp;#REF!&amp;$BN$2,"")</f>
        <v/>
      </c>
      <c r="BM619" s="1" t="str">
        <f>IFERROR($BM$2&amp;VLOOKUP(C621,'Pay Table'!$M$3:$N$18,2,FALSE)&amp;$BL$2&amp;#REF!&amp;$BN$2,"")</f>
        <v/>
      </c>
      <c r="BN619" s="1" t="str">
        <f>IFERROR($BM$2&amp;VLOOKUP(D621,'Pay Table'!$M$3:$N$18,2,FALSE)&amp;$BL$2&amp;#REF!&amp;$BN$2,"")</f>
        <v/>
      </c>
      <c r="BO619" s="1" t="str">
        <f>IFERROR($BM$2&amp;VLOOKUP(E621,'Pay Table'!$M$3:$N$18,2,FALSE)&amp;$BL$2&amp;#REF!&amp;$BN$2,"")</f>
        <v/>
      </c>
      <c r="BP619" s="27" t="str">
        <f>IFERROR($BM$2&amp;VLOOKUP(F621,'Pay Table'!$M$3:$N$18,2,FALSE)&amp;$BL$2&amp;#REF!&amp;$BN$2,"")</f>
        <v/>
      </c>
    </row>
    <row r="620" spans="64:68" x14ac:dyDescent="0.15">
      <c r="BL620" s="26" t="str">
        <f>IFERROR($BM$2&amp;VLOOKUP(B622,'Pay Table'!$M$3:$N$18,2,FALSE)&amp;$BL$2&amp;#REF!&amp;$BN$2,"")</f>
        <v/>
      </c>
      <c r="BM620" s="1" t="str">
        <f>IFERROR($BM$2&amp;VLOOKUP(C622,'Pay Table'!$M$3:$N$18,2,FALSE)&amp;$BL$2&amp;#REF!&amp;$BN$2,"")</f>
        <v/>
      </c>
      <c r="BN620" s="1" t="str">
        <f>IFERROR($BM$2&amp;VLOOKUP(D622,'Pay Table'!$M$3:$N$18,2,FALSE)&amp;$BL$2&amp;#REF!&amp;$BN$2,"")</f>
        <v/>
      </c>
      <c r="BO620" s="1" t="str">
        <f>IFERROR($BM$2&amp;VLOOKUP(E622,'Pay Table'!$M$3:$N$18,2,FALSE)&amp;$BL$2&amp;#REF!&amp;$BN$2,"")</f>
        <v/>
      </c>
      <c r="BP620" s="27" t="str">
        <f>IFERROR($BM$2&amp;VLOOKUP(F622,'Pay Table'!$M$3:$N$18,2,FALSE)&amp;$BL$2&amp;#REF!&amp;$BN$2,"")</f>
        <v/>
      </c>
    </row>
    <row r="621" spans="64:68" x14ac:dyDescent="0.15">
      <c r="BL621" s="26" t="str">
        <f>IFERROR($BM$2&amp;VLOOKUP(B623,'Pay Table'!$M$3:$N$18,2,FALSE)&amp;$BL$2&amp;#REF!&amp;$BN$2,"")</f>
        <v/>
      </c>
      <c r="BM621" s="1" t="str">
        <f>IFERROR($BM$2&amp;VLOOKUP(C623,'Pay Table'!$M$3:$N$18,2,FALSE)&amp;$BL$2&amp;#REF!&amp;$BN$2,"")</f>
        <v/>
      </c>
      <c r="BN621" s="1" t="str">
        <f>IFERROR($BM$2&amp;VLOOKUP(D623,'Pay Table'!$M$3:$N$18,2,FALSE)&amp;$BL$2&amp;#REF!&amp;$BN$2,"")</f>
        <v/>
      </c>
      <c r="BO621" s="1" t="str">
        <f>IFERROR($BM$2&amp;VLOOKUP(E623,'Pay Table'!$M$3:$N$18,2,FALSE)&amp;$BL$2&amp;#REF!&amp;$BN$2,"")</f>
        <v/>
      </c>
      <c r="BP621" s="27" t="str">
        <f>IFERROR($BM$2&amp;VLOOKUP(F623,'Pay Table'!$M$3:$N$18,2,FALSE)&amp;$BL$2&amp;#REF!&amp;$BN$2,"")</f>
        <v/>
      </c>
    </row>
    <row r="622" spans="64:68" x14ac:dyDescent="0.15">
      <c r="BL622" s="26" t="str">
        <f>IFERROR($BM$2&amp;VLOOKUP(B624,'Pay Table'!$M$3:$N$18,2,FALSE)&amp;$BL$2&amp;#REF!&amp;$BN$2,"")</f>
        <v/>
      </c>
      <c r="BM622" s="1" t="str">
        <f>IFERROR($BM$2&amp;VLOOKUP(C624,'Pay Table'!$M$3:$N$18,2,FALSE)&amp;$BL$2&amp;#REF!&amp;$BN$2,"")</f>
        <v/>
      </c>
      <c r="BN622" s="1" t="str">
        <f>IFERROR($BM$2&amp;VLOOKUP(D624,'Pay Table'!$M$3:$N$18,2,FALSE)&amp;$BL$2&amp;#REF!&amp;$BN$2,"")</f>
        <v/>
      </c>
      <c r="BO622" s="1" t="str">
        <f>IFERROR($BM$2&amp;VLOOKUP(E624,'Pay Table'!$M$3:$N$18,2,FALSE)&amp;$BL$2&amp;#REF!&amp;$BN$2,"")</f>
        <v/>
      </c>
      <c r="BP622" s="27" t="str">
        <f>IFERROR($BM$2&amp;VLOOKUP(F624,'Pay Table'!$M$3:$N$18,2,FALSE)&amp;$BL$2&amp;#REF!&amp;$BN$2,"")</f>
        <v/>
      </c>
    </row>
    <row r="623" spans="64:68" x14ac:dyDescent="0.15">
      <c r="BL623" s="26" t="str">
        <f>IFERROR($BM$2&amp;VLOOKUP(B625,'Pay Table'!$M$3:$N$18,2,FALSE)&amp;$BL$2&amp;#REF!&amp;$BN$2,"")</f>
        <v/>
      </c>
      <c r="BM623" s="1" t="str">
        <f>IFERROR($BM$2&amp;VLOOKUP(C625,'Pay Table'!$M$3:$N$18,2,FALSE)&amp;$BL$2&amp;#REF!&amp;$BN$2,"")</f>
        <v/>
      </c>
      <c r="BN623" s="1" t="str">
        <f>IFERROR($BM$2&amp;VLOOKUP(D625,'Pay Table'!$M$3:$N$18,2,FALSE)&amp;$BL$2&amp;#REF!&amp;$BN$2,"")</f>
        <v/>
      </c>
      <c r="BO623" s="1" t="str">
        <f>IFERROR($BM$2&amp;VLOOKUP(E625,'Pay Table'!$M$3:$N$18,2,FALSE)&amp;$BL$2&amp;#REF!&amp;$BN$2,"")</f>
        <v/>
      </c>
      <c r="BP623" s="27" t="str">
        <f>IFERROR($BM$2&amp;VLOOKUP(F625,'Pay Table'!$M$3:$N$18,2,FALSE)&amp;$BL$2&amp;#REF!&amp;$BN$2,"")</f>
        <v/>
      </c>
    </row>
    <row r="624" spans="64:68" x14ac:dyDescent="0.15">
      <c r="BL624" s="26" t="str">
        <f>IFERROR($BM$2&amp;VLOOKUP(B626,'Pay Table'!$M$3:$N$18,2,FALSE)&amp;$BL$2&amp;#REF!&amp;$BN$2,"")</f>
        <v/>
      </c>
      <c r="BM624" s="1" t="str">
        <f>IFERROR($BM$2&amp;VLOOKUP(C626,'Pay Table'!$M$3:$N$18,2,FALSE)&amp;$BL$2&amp;#REF!&amp;$BN$2,"")</f>
        <v/>
      </c>
      <c r="BN624" s="1" t="str">
        <f>IFERROR($BM$2&amp;VLOOKUP(D626,'Pay Table'!$M$3:$N$18,2,FALSE)&amp;$BL$2&amp;#REF!&amp;$BN$2,"")</f>
        <v/>
      </c>
      <c r="BO624" s="1" t="str">
        <f>IFERROR($BM$2&amp;VLOOKUP(E626,'Pay Table'!$M$3:$N$18,2,FALSE)&amp;$BL$2&amp;#REF!&amp;$BN$2,"")</f>
        <v/>
      </c>
      <c r="BP624" s="27" t="str">
        <f>IFERROR($BM$2&amp;VLOOKUP(F626,'Pay Table'!$M$3:$N$18,2,FALSE)&amp;$BL$2&amp;#REF!&amp;$BN$2,"")</f>
        <v/>
      </c>
    </row>
    <row r="625" spans="64:68" x14ac:dyDescent="0.15">
      <c r="BL625" s="26" t="str">
        <f>IFERROR($BM$2&amp;VLOOKUP(B627,'Pay Table'!$M$3:$N$18,2,FALSE)&amp;$BL$2&amp;#REF!&amp;$BN$2,"")</f>
        <v/>
      </c>
      <c r="BM625" s="1" t="str">
        <f>IFERROR($BM$2&amp;VLOOKUP(C627,'Pay Table'!$M$3:$N$18,2,FALSE)&amp;$BL$2&amp;#REF!&amp;$BN$2,"")</f>
        <v/>
      </c>
      <c r="BN625" s="1" t="str">
        <f>IFERROR($BM$2&amp;VLOOKUP(D627,'Pay Table'!$M$3:$N$18,2,FALSE)&amp;$BL$2&amp;#REF!&amp;$BN$2,"")</f>
        <v/>
      </c>
      <c r="BO625" s="1" t="str">
        <f>IFERROR($BM$2&amp;VLOOKUP(E627,'Pay Table'!$M$3:$N$18,2,FALSE)&amp;$BL$2&amp;#REF!&amp;$BN$2,"")</f>
        <v/>
      </c>
      <c r="BP625" s="27" t="str">
        <f>IFERROR($BM$2&amp;VLOOKUP(F627,'Pay Table'!$M$3:$N$18,2,FALSE)&amp;$BL$2&amp;#REF!&amp;$BN$2,"")</f>
        <v/>
      </c>
    </row>
    <row r="626" spans="64:68" x14ac:dyDescent="0.15">
      <c r="BL626" s="26" t="str">
        <f>IFERROR($BM$2&amp;VLOOKUP(B628,'Pay Table'!$M$3:$N$18,2,FALSE)&amp;$BL$2&amp;#REF!&amp;$BN$2,"")</f>
        <v/>
      </c>
      <c r="BM626" s="1" t="str">
        <f>IFERROR($BM$2&amp;VLOOKUP(C628,'Pay Table'!$M$3:$N$18,2,FALSE)&amp;$BL$2&amp;#REF!&amp;$BN$2,"")</f>
        <v/>
      </c>
      <c r="BN626" s="1" t="str">
        <f>IFERROR($BM$2&amp;VLOOKUP(D628,'Pay Table'!$M$3:$N$18,2,FALSE)&amp;$BL$2&amp;#REF!&amp;$BN$2,"")</f>
        <v/>
      </c>
      <c r="BO626" s="1" t="str">
        <f>IFERROR($BM$2&amp;VLOOKUP(E628,'Pay Table'!$M$3:$N$18,2,FALSE)&amp;$BL$2&amp;#REF!&amp;$BN$2,"")</f>
        <v/>
      </c>
      <c r="BP626" s="27" t="str">
        <f>IFERROR($BM$2&amp;VLOOKUP(F628,'Pay Table'!$M$3:$N$18,2,FALSE)&amp;$BL$2&amp;#REF!&amp;$BN$2,"")</f>
        <v/>
      </c>
    </row>
    <row r="627" spans="64:68" x14ac:dyDescent="0.15">
      <c r="BL627" s="26" t="str">
        <f>IFERROR($BM$2&amp;VLOOKUP(B629,'Pay Table'!$M$3:$N$18,2,FALSE)&amp;$BL$2&amp;#REF!&amp;$BN$2,"")</f>
        <v/>
      </c>
      <c r="BM627" s="1" t="str">
        <f>IFERROR($BM$2&amp;VLOOKUP(C629,'Pay Table'!$M$3:$N$18,2,FALSE)&amp;$BL$2&amp;#REF!&amp;$BN$2,"")</f>
        <v/>
      </c>
      <c r="BN627" s="1" t="str">
        <f>IFERROR($BM$2&amp;VLOOKUP(D629,'Pay Table'!$M$3:$N$18,2,FALSE)&amp;$BL$2&amp;#REF!&amp;$BN$2,"")</f>
        <v/>
      </c>
      <c r="BO627" s="1" t="str">
        <f>IFERROR($BM$2&amp;VLOOKUP(E629,'Pay Table'!$M$3:$N$18,2,FALSE)&amp;$BL$2&amp;#REF!&amp;$BN$2,"")</f>
        <v/>
      </c>
      <c r="BP627" s="27" t="str">
        <f>IFERROR($BM$2&amp;VLOOKUP(F629,'Pay Table'!$M$3:$N$18,2,FALSE)&amp;$BL$2&amp;#REF!&amp;$BN$2,"")</f>
        <v/>
      </c>
    </row>
    <row r="628" spans="64:68" x14ac:dyDescent="0.15">
      <c r="BL628" s="26" t="str">
        <f>IFERROR($BM$2&amp;VLOOKUP(B630,'Pay Table'!$M$3:$N$18,2,FALSE)&amp;$BL$2&amp;#REF!&amp;$BN$2,"")</f>
        <v/>
      </c>
      <c r="BM628" s="1" t="str">
        <f>IFERROR($BM$2&amp;VLOOKUP(C630,'Pay Table'!$M$3:$N$18,2,FALSE)&amp;$BL$2&amp;#REF!&amp;$BN$2,"")</f>
        <v/>
      </c>
      <c r="BN628" s="1" t="str">
        <f>IFERROR($BM$2&amp;VLOOKUP(D630,'Pay Table'!$M$3:$N$18,2,FALSE)&amp;$BL$2&amp;#REF!&amp;$BN$2,"")</f>
        <v/>
      </c>
      <c r="BO628" s="1" t="str">
        <f>IFERROR($BM$2&amp;VLOOKUP(E630,'Pay Table'!$M$3:$N$18,2,FALSE)&amp;$BL$2&amp;#REF!&amp;$BN$2,"")</f>
        <v/>
      </c>
      <c r="BP628" s="27" t="str">
        <f>IFERROR($BM$2&amp;VLOOKUP(F630,'Pay Table'!$M$3:$N$18,2,FALSE)&amp;$BL$2&amp;#REF!&amp;$BN$2,"")</f>
        <v/>
      </c>
    </row>
    <row r="629" spans="64:68" x14ac:dyDescent="0.15">
      <c r="BL629" s="26" t="str">
        <f>IFERROR($BM$2&amp;VLOOKUP(B631,'Pay Table'!$M$3:$N$18,2,FALSE)&amp;$BL$2&amp;#REF!&amp;$BN$2,"")</f>
        <v/>
      </c>
      <c r="BM629" s="1" t="str">
        <f>IFERROR($BM$2&amp;VLOOKUP(C631,'Pay Table'!$M$3:$N$18,2,FALSE)&amp;$BL$2&amp;#REF!&amp;$BN$2,"")</f>
        <v/>
      </c>
      <c r="BN629" s="1" t="str">
        <f>IFERROR($BM$2&amp;VLOOKUP(D631,'Pay Table'!$M$3:$N$18,2,FALSE)&amp;$BL$2&amp;#REF!&amp;$BN$2,"")</f>
        <v/>
      </c>
      <c r="BO629" s="1" t="str">
        <f>IFERROR($BM$2&amp;VLOOKUP(E631,'Pay Table'!$M$3:$N$18,2,FALSE)&amp;$BL$2&amp;#REF!&amp;$BN$2,"")</f>
        <v/>
      </c>
      <c r="BP629" s="27" t="str">
        <f>IFERROR($BM$2&amp;VLOOKUP(F631,'Pay Table'!$M$3:$N$18,2,FALSE)&amp;$BL$2&amp;#REF!&amp;$BN$2,"")</f>
        <v/>
      </c>
    </row>
    <row r="630" spans="64:68" x14ac:dyDescent="0.15">
      <c r="BL630" s="26" t="str">
        <f>IFERROR($BM$2&amp;VLOOKUP(B632,'Pay Table'!$M$3:$N$18,2,FALSE)&amp;$BL$2&amp;#REF!&amp;$BN$2,"")</f>
        <v/>
      </c>
      <c r="BM630" s="1" t="str">
        <f>IFERROR($BM$2&amp;VLOOKUP(C632,'Pay Table'!$M$3:$N$18,2,FALSE)&amp;$BL$2&amp;#REF!&amp;$BN$2,"")</f>
        <v/>
      </c>
      <c r="BN630" s="1" t="str">
        <f>IFERROR($BM$2&amp;VLOOKUP(D632,'Pay Table'!$M$3:$N$18,2,FALSE)&amp;$BL$2&amp;#REF!&amp;$BN$2,"")</f>
        <v/>
      </c>
      <c r="BO630" s="1" t="str">
        <f>IFERROR($BM$2&amp;VLOOKUP(E632,'Pay Table'!$M$3:$N$18,2,FALSE)&amp;$BL$2&amp;#REF!&amp;$BN$2,"")</f>
        <v/>
      </c>
      <c r="BP630" s="27" t="str">
        <f>IFERROR($BM$2&amp;VLOOKUP(F632,'Pay Table'!$M$3:$N$18,2,FALSE)&amp;$BL$2&amp;#REF!&amp;$BN$2,"")</f>
        <v/>
      </c>
    </row>
    <row r="631" spans="64:68" x14ac:dyDescent="0.15">
      <c r="BL631" s="26" t="str">
        <f>IFERROR($BM$2&amp;VLOOKUP(B633,'Pay Table'!$M$3:$N$18,2,FALSE)&amp;$BL$2&amp;#REF!&amp;$BN$2,"")</f>
        <v/>
      </c>
      <c r="BM631" s="1" t="str">
        <f>IFERROR($BM$2&amp;VLOOKUP(C633,'Pay Table'!$M$3:$N$18,2,FALSE)&amp;$BL$2&amp;#REF!&amp;$BN$2,"")</f>
        <v/>
      </c>
      <c r="BN631" s="1" t="str">
        <f>IFERROR($BM$2&amp;VLOOKUP(D633,'Pay Table'!$M$3:$N$18,2,FALSE)&amp;$BL$2&amp;#REF!&amp;$BN$2,"")</f>
        <v/>
      </c>
      <c r="BO631" s="1" t="str">
        <f>IFERROR($BM$2&amp;VLOOKUP(E633,'Pay Table'!$M$3:$N$18,2,FALSE)&amp;$BL$2&amp;#REF!&amp;$BN$2,"")</f>
        <v/>
      </c>
      <c r="BP631" s="27" t="str">
        <f>IFERROR($BM$2&amp;VLOOKUP(F633,'Pay Table'!$M$3:$N$18,2,FALSE)&amp;$BL$2&amp;#REF!&amp;$BN$2,"")</f>
        <v/>
      </c>
    </row>
    <row r="632" spans="64:68" x14ac:dyDescent="0.15">
      <c r="BL632" s="26" t="str">
        <f>IFERROR($BM$2&amp;VLOOKUP(B634,'Pay Table'!$M$3:$N$18,2,FALSE)&amp;$BL$2&amp;#REF!&amp;$BN$2,"")</f>
        <v/>
      </c>
      <c r="BM632" s="1" t="str">
        <f>IFERROR($BM$2&amp;VLOOKUP(C634,'Pay Table'!$M$3:$N$18,2,FALSE)&amp;$BL$2&amp;#REF!&amp;$BN$2,"")</f>
        <v/>
      </c>
      <c r="BN632" s="1" t="str">
        <f>IFERROR($BM$2&amp;VLOOKUP(D634,'Pay Table'!$M$3:$N$18,2,FALSE)&amp;$BL$2&amp;#REF!&amp;$BN$2,"")</f>
        <v/>
      </c>
      <c r="BO632" s="1" t="str">
        <f>IFERROR($BM$2&amp;VLOOKUP(E634,'Pay Table'!$M$3:$N$18,2,FALSE)&amp;$BL$2&amp;#REF!&amp;$BN$2,"")</f>
        <v/>
      </c>
      <c r="BP632" s="27" t="str">
        <f>IFERROR($BM$2&amp;VLOOKUP(F634,'Pay Table'!$M$3:$N$18,2,FALSE)&amp;$BL$2&amp;#REF!&amp;$BN$2,"")</f>
        <v/>
      </c>
    </row>
    <row r="633" spans="64:68" x14ac:dyDescent="0.15">
      <c r="BL633" s="26" t="str">
        <f>IFERROR($BM$2&amp;VLOOKUP(B635,'Pay Table'!$M$3:$N$18,2,FALSE)&amp;$BL$2&amp;#REF!&amp;$BN$2,"")</f>
        <v/>
      </c>
      <c r="BM633" s="1" t="str">
        <f>IFERROR($BM$2&amp;VLOOKUP(C635,'Pay Table'!$M$3:$N$18,2,FALSE)&amp;$BL$2&amp;#REF!&amp;$BN$2,"")</f>
        <v/>
      </c>
      <c r="BN633" s="1" t="str">
        <f>IFERROR($BM$2&amp;VLOOKUP(D635,'Pay Table'!$M$3:$N$18,2,FALSE)&amp;$BL$2&amp;#REF!&amp;$BN$2,"")</f>
        <v/>
      </c>
      <c r="BO633" s="1" t="str">
        <f>IFERROR($BM$2&amp;VLOOKUP(E635,'Pay Table'!$M$3:$N$18,2,FALSE)&amp;$BL$2&amp;#REF!&amp;$BN$2,"")</f>
        <v/>
      </c>
      <c r="BP633" s="27" t="str">
        <f>IFERROR($BM$2&amp;VLOOKUP(F635,'Pay Table'!$M$3:$N$18,2,FALSE)&amp;$BL$2&amp;#REF!&amp;$BN$2,"")</f>
        <v/>
      </c>
    </row>
    <row r="634" spans="64:68" x14ac:dyDescent="0.15">
      <c r="BL634" s="26" t="str">
        <f>IFERROR($BM$2&amp;VLOOKUP(B636,'Pay Table'!$M$3:$N$18,2,FALSE)&amp;$BL$2&amp;#REF!&amp;$BN$2,"")</f>
        <v/>
      </c>
      <c r="BM634" s="1" t="str">
        <f>IFERROR($BM$2&amp;VLOOKUP(C636,'Pay Table'!$M$3:$N$18,2,FALSE)&amp;$BL$2&amp;#REF!&amp;$BN$2,"")</f>
        <v/>
      </c>
      <c r="BN634" s="1" t="str">
        <f>IFERROR($BM$2&amp;VLOOKUP(D636,'Pay Table'!$M$3:$N$18,2,FALSE)&amp;$BL$2&amp;#REF!&amp;$BN$2,"")</f>
        <v/>
      </c>
      <c r="BO634" s="1" t="str">
        <f>IFERROR($BM$2&amp;VLOOKUP(E636,'Pay Table'!$M$3:$N$18,2,FALSE)&amp;$BL$2&amp;#REF!&amp;$BN$2,"")</f>
        <v/>
      </c>
      <c r="BP634" s="27" t="str">
        <f>IFERROR($BM$2&amp;VLOOKUP(F636,'Pay Table'!$M$3:$N$18,2,FALSE)&amp;$BL$2&amp;#REF!&amp;$BN$2,"")</f>
        <v/>
      </c>
    </row>
    <row r="635" spans="64:68" x14ac:dyDescent="0.15">
      <c r="BL635" s="26" t="str">
        <f>IFERROR($BM$2&amp;VLOOKUP(B637,'Pay Table'!$M$3:$N$18,2,FALSE)&amp;$BL$2&amp;#REF!&amp;$BN$2,"")</f>
        <v/>
      </c>
      <c r="BM635" s="1" t="str">
        <f>IFERROR($BM$2&amp;VLOOKUP(C637,'Pay Table'!$M$3:$N$18,2,FALSE)&amp;$BL$2&amp;#REF!&amp;$BN$2,"")</f>
        <v/>
      </c>
      <c r="BN635" s="1" t="str">
        <f>IFERROR($BM$2&amp;VLOOKUP(D637,'Pay Table'!$M$3:$N$18,2,FALSE)&amp;$BL$2&amp;#REF!&amp;$BN$2,"")</f>
        <v/>
      </c>
      <c r="BO635" s="1" t="str">
        <f>IFERROR($BM$2&amp;VLOOKUP(E637,'Pay Table'!$M$3:$N$18,2,FALSE)&amp;$BL$2&amp;#REF!&amp;$BN$2,"")</f>
        <v/>
      </c>
      <c r="BP635" s="27" t="str">
        <f>IFERROR($BM$2&amp;VLOOKUP(F637,'Pay Table'!$M$3:$N$18,2,FALSE)&amp;$BL$2&amp;#REF!&amp;$BN$2,"")</f>
        <v/>
      </c>
    </row>
    <row r="636" spans="64:68" x14ac:dyDescent="0.15">
      <c r="BL636" s="26" t="str">
        <f>IFERROR($BM$2&amp;VLOOKUP(B638,'Pay Table'!$M$3:$N$18,2,FALSE)&amp;$BL$2&amp;#REF!&amp;$BN$2,"")</f>
        <v/>
      </c>
      <c r="BM636" s="1" t="str">
        <f>IFERROR($BM$2&amp;VLOOKUP(C638,'Pay Table'!$M$3:$N$18,2,FALSE)&amp;$BL$2&amp;#REF!&amp;$BN$2,"")</f>
        <v/>
      </c>
      <c r="BN636" s="1" t="str">
        <f>IFERROR($BM$2&amp;VLOOKUP(D638,'Pay Table'!$M$3:$N$18,2,FALSE)&amp;$BL$2&amp;#REF!&amp;$BN$2,"")</f>
        <v/>
      </c>
      <c r="BO636" s="1" t="str">
        <f>IFERROR($BM$2&amp;VLOOKUP(E638,'Pay Table'!$M$3:$N$18,2,FALSE)&amp;$BL$2&amp;#REF!&amp;$BN$2,"")</f>
        <v/>
      </c>
      <c r="BP636" s="27" t="str">
        <f>IFERROR($BM$2&amp;VLOOKUP(F638,'Pay Table'!$M$3:$N$18,2,FALSE)&amp;$BL$2&amp;#REF!&amp;$BN$2,"")</f>
        <v/>
      </c>
    </row>
    <row r="637" spans="64:68" x14ac:dyDescent="0.15">
      <c r="BL637" s="26" t="str">
        <f>IFERROR($BM$2&amp;VLOOKUP(B639,'Pay Table'!$M$3:$N$18,2,FALSE)&amp;$BL$2&amp;#REF!&amp;$BN$2,"")</f>
        <v/>
      </c>
      <c r="BM637" s="1" t="str">
        <f>IFERROR($BM$2&amp;VLOOKUP(C639,'Pay Table'!$M$3:$N$18,2,FALSE)&amp;$BL$2&amp;#REF!&amp;$BN$2,"")</f>
        <v/>
      </c>
      <c r="BN637" s="1" t="str">
        <f>IFERROR($BM$2&amp;VLOOKUP(D639,'Pay Table'!$M$3:$N$18,2,FALSE)&amp;$BL$2&amp;#REF!&amp;$BN$2,"")</f>
        <v/>
      </c>
      <c r="BO637" s="1" t="str">
        <f>IFERROR($BM$2&amp;VLOOKUP(E639,'Pay Table'!$M$3:$N$18,2,FALSE)&amp;$BL$2&amp;#REF!&amp;$BN$2,"")</f>
        <v/>
      </c>
      <c r="BP637" s="27" t="str">
        <f>IFERROR($BM$2&amp;VLOOKUP(F639,'Pay Table'!$M$3:$N$18,2,FALSE)&amp;$BL$2&amp;#REF!&amp;$BN$2,"")</f>
        <v/>
      </c>
    </row>
    <row r="638" spans="64:68" x14ac:dyDescent="0.15">
      <c r="BL638" s="26" t="str">
        <f>IFERROR($BM$2&amp;VLOOKUP(B640,'Pay Table'!$M$3:$N$18,2,FALSE)&amp;$BL$2&amp;#REF!&amp;$BN$2,"")</f>
        <v/>
      </c>
      <c r="BM638" s="1" t="str">
        <f>IFERROR($BM$2&amp;VLOOKUP(C640,'Pay Table'!$M$3:$N$18,2,FALSE)&amp;$BL$2&amp;#REF!&amp;$BN$2,"")</f>
        <v/>
      </c>
      <c r="BN638" s="1" t="str">
        <f>IFERROR($BM$2&amp;VLOOKUP(D640,'Pay Table'!$M$3:$N$18,2,FALSE)&amp;$BL$2&amp;#REF!&amp;$BN$2,"")</f>
        <v/>
      </c>
      <c r="BO638" s="1" t="str">
        <f>IFERROR($BM$2&amp;VLOOKUP(E640,'Pay Table'!$M$3:$N$18,2,FALSE)&amp;$BL$2&amp;#REF!&amp;$BN$2,"")</f>
        <v/>
      </c>
      <c r="BP638" s="27" t="str">
        <f>IFERROR($BM$2&amp;VLOOKUP(F640,'Pay Table'!$M$3:$N$18,2,FALSE)&amp;$BL$2&amp;#REF!&amp;$BN$2,"")</f>
        <v/>
      </c>
    </row>
    <row r="639" spans="64:68" x14ac:dyDescent="0.15">
      <c r="BL639" s="26" t="str">
        <f>IFERROR($BM$2&amp;VLOOKUP(B641,'Pay Table'!$M$3:$N$18,2,FALSE)&amp;$BL$2&amp;#REF!&amp;$BN$2,"")</f>
        <v/>
      </c>
      <c r="BM639" s="1" t="str">
        <f>IFERROR($BM$2&amp;VLOOKUP(C641,'Pay Table'!$M$3:$N$18,2,FALSE)&amp;$BL$2&amp;#REF!&amp;$BN$2,"")</f>
        <v/>
      </c>
      <c r="BN639" s="1" t="str">
        <f>IFERROR($BM$2&amp;VLOOKUP(D641,'Pay Table'!$M$3:$N$18,2,FALSE)&amp;$BL$2&amp;#REF!&amp;$BN$2,"")</f>
        <v/>
      </c>
      <c r="BO639" s="1" t="str">
        <f>IFERROR($BM$2&amp;VLOOKUP(E641,'Pay Table'!$M$3:$N$18,2,FALSE)&amp;$BL$2&amp;#REF!&amp;$BN$2,"")</f>
        <v/>
      </c>
      <c r="BP639" s="27" t="str">
        <f>IFERROR($BM$2&amp;VLOOKUP(F641,'Pay Table'!$M$3:$N$18,2,FALSE)&amp;$BL$2&amp;#REF!&amp;$BN$2,"")</f>
        <v/>
      </c>
    </row>
    <row r="640" spans="64:68" x14ac:dyDescent="0.15">
      <c r="BL640" s="26" t="str">
        <f>IFERROR($BM$2&amp;VLOOKUP(B642,'Pay Table'!$M$3:$N$18,2,FALSE)&amp;$BL$2&amp;#REF!&amp;$BN$2,"")</f>
        <v/>
      </c>
      <c r="BM640" s="1" t="str">
        <f>IFERROR($BM$2&amp;VLOOKUP(C642,'Pay Table'!$M$3:$N$18,2,FALSE)&amp;$BL$2&amp;#REF!&amp;$BN$2,"")</f>
        <v/>
      </c>
      <c r="BN640" s="1" t="str">
        <f>IFERROR($BM$2&amp;VLOOKUP(D642,'Pay Table'!$M$3:$N$18,2,FALSE)&amp;$BL$2&amp;#REF!&amp;$BN$2,"")</f>
        <v/>
      </c>
      <c r="BO640" s="1" t="str">
        <f>IFERROR($BM$2&amp;VLOOKUP(E642,'Pay Table'!$M$3:$N$18,2,FALSE)&amp;$BL$2&amp;#REF!&amp;$BN$2,"")</f>
        <v/>
      </c>
      <c r="BP640" s="27" t="str">
        <f>IFERROR($BM$2&amp;VLOOKUP(F642,'Pay Table'!$M$3:$N$18,2,FALSE)&amp;$BL$2&amp;#REF!&amp;$BN$2,"")</f>
        <v/>
      </c>
    </row>
    <row r="641" spans="64:68" x14ac:dyDescent="0.15">
      <c r="BL641" s="26" t="str">
        <f>IFERROR($BM$2&amp;VLOOKUP(B643,'Pay Table'!$M$3:$N$18,2,FALSE)&amp;$BL$2&amp;#REF!&amp;$BN$2,"")</f>
        <v/>
      </c>
      <c r="BM641" s="1" t="str">
        <f>IFERROR($BM$2&amp;VLOOKUP(C643,'Pay Table'!$M$3:$N$18,2,FALSE)&amp;$BL$2&amp;#REF!&amp;$BN$2,"")</f>
        <v/>
      </c>
      <c r="BN641" s="1" t="str">
        <f>IFERROR($BM$2&amp;VLOOKUP(D643,'Pay Table'!$M$3:$N$18,2,FALSE)&amp;$BL$2&amp;#REF!&amp;$BN$2,"")</f>
        <v/>
      </c>
      <c r="BO641" s="1" t="str">
        <f>IFERROR($BM$2&amp;VLOOKUP(E643,'Pay Table'!$M$3:$N$18,2,FALSE)&amp;$BL$2&amp;#REF!&amp;$BN$2,"")</f>
        <v/>
      </c>
      <c r="BP641" s="27" t="str">
        <f>IFERROR($BM$2&amp;VLOOKUP(F643,'Pay Table'!$M$3:$N$18,2,FALSE)&amp;$BL$2&amp;#REF!&amp;$BN$2,"")</f>
        <v/>
      </c>
    </row>
    <row r="642" spans="64:68" x14ac:dyDescent="0.15">
      <c r="BL642" s="26" t="str">
        <f>IFERROR($BM$2&amp;VLOOKUP(B644,'Pay Table'!$M$3:$N$18,2,FALSE)&amp;$BL$2&amp;#REF!&amp;$BN$2,"")</f>
        <v/>
      </c>
      <c r="BM642" s="1" t="str">
        <f>IFERROR($BM$2&amp;VLOOKUP(C644,'Pay Table'!$M$3:$N$18,2,FALSE)&amp;$BL$2&amp;#REF!&amp;$BN$2,"")</f>
        <v/>
      </c>
      <c r="BN642" s="1" t="str">
        <f>IFERROR($BM$2&amp;VLOOKUP(D644,'Pay Table'!$M$3:$N$18,2,FALSE)&amp;$BL$2&amp;#REF!&amp;$BN$2,"")</f>
        <v/>
      </c>
      <c r="BO642" s="1" t="str">
        <f>IFERROR($BM$2&amp;VLOOKUP(E644,'Pay Table'!$M$3:$N$18,2,FALSE)&amp;$BL$2&amp;#REF!&amp;$BN$2,"")</f>
        <v/>
      </c>
      <c r="BP642" s="27" t="str">
        <f>IFERROR($BM$2&amp;VLOOKUP(F644,'Pay Table'!$M$3:$N$18,2,FALSE)&amp;$BL$2&amp;#REF!&amp;$BN$2,"")</f>
        <v/>
      </c>
    </row>
    <row r="643" spans="64:68" x14ac:dyDescent="0.15">
      <c r="BL643" s="26" t="str">
        <f>IFERROR($BM$2&amp;VLOOKUP(B645,'Pay Table'!$M$3:$N$18,2,FALSE)&amp;$BL$2&amp;#REF!&amp;$BN$2,"")</f>
        <v/>
      </c>
      <c r="BM643" s="1" t="str">
        <f>IFERROR($BM$2&amp;VLOOKUP(C645,'Pay Table'!$M$3:$N$18,2,FALSE)&amp;$BL$2&amp;#REF!&amp;$BN$2,"")</f>
        <v/>
      </c>
      <c r="BN643" s="1" t="str">
        <f>IFERROR($BM$2&amp;VLOOKUP(D645,'Pay Table'!$M$3:$N$18,2,FALSE)&amp;$BL$2&amp;#REF!&amp;$BN$2,"")</f>
        <v/>
      </c>
      <c r="BO643" s="1" t="str">
        <f>IFERROR($BM$2&amp;VLOOKUP(E645,'Pay Table'!$M$3:$N$18,2,FALSE)&amp;$BL$2&amp;#REF!&amp;$BN$2,"")</f>
        <v/>
      </c>
      <c r="BP643" s="27" t="str">
        <f>IFERROR($BM$2&amp;VLOOKUP(F645,'Pay Table'!$M$3:$N$18,2,FALSE)&amp;$BL$2&amp;#REF!&amp;$BN$2,"")</f>
        <v/>
      </c>
    </row>
    <row r="644" spans="64:68" x14ac:dyDescent="0.15">
      <c r="BL644" s="26" t="str">
        <f>IFERROR($BM$2&amp;VLOOKUP(B646,'Pay Table'!$M$3:$N$18,2,FALSE)&amp;$BL$2&amp;#REF!&amp;$BN$2,"")</f>
        <v/>
      </c>
      <c r="BM644" s="1" t="str">
        <f>IFERROR($BM$2&amp;VLOOKUP(C646,'Pay Table'!$M$3:$N$18,2,FALSE)&amp;$BL$2&amp;#REF!&amp;$BN$2,"")</f>
        <v/>
      </c>
      <c r="BN644" s="1" t="str">
        <f>IFERROR($BM$2&amp;VLOOKUP(D646,'Pay Table'!$M$3:$N$18,2,FALSE)&amp;$BL$2&amp;#REF!&amp;$BN$2,"")</f>
        <v/>
      </c>
      <c r="BO644" s="1" t="str">
        <f>IFERROR($BM$2&amp;VLOOKUP(E646,'Pay Table'!$M$3:$N$18,2,FALSE)&amp;$BL$2&amp;#REF!&amp;$BN$2,"")</f>
        <v/>
      </c>
      <c r="BP644" s="27" t="str">
        <f>IFERROR($BM$2&amp;VLOOKUP(F646,'Pay Table'!$M$3:$N$18,2,FALSE)&amp;$BL$2&amp;#REF!&amp;$BN$2,"")</f>
        <v/>
      </c>
    </row>
    <row r="645" spans="64:68" x14ac:dyDescent="0.15">
      <c r="BL645" s="26" t="str">
        <f>IFERROR($BM$2&amp;VLOOKUP(B647,'Pay Table'!$M$3:$N$18,2,FALSE)&amp;$BL$2&amp;#REF!&amp;$BN$2,"")</f>
        <v/>
      </c>
      <c r="BM645" s="1" t="str">
        <f>IFERROR($BM$2&amp;VLOOKUP(C647,'Pay Table'!$M$3:$N$18,2,FALSE)&amp;$BL$2&amp;#REF!&amp;$BN$2,"")</f>
        <v/>
      </c>
      <c r="BN645" s="1" t="str">
        <f>IFERROR($BM$2&amp;VLOOKUP(D647,'Pay Table'!$M$3:$N$18,2,FALSE)&amp;$BL$2&amp;#REF!&amp;$BN$2,"")</f>
        <v/>
      </c>
      <c r="BO645" s="1" t="str">
        <f>IFERROR($BM$2&amp;VLOOKUP(E647,'Pay Table'!$M$3:$N$18,2,FALSE)&amp;$BL$2&amp;#REF!&amp;$BN$2,"")</f>
        <v/>
      </c>
      <c r="BP645" s="27" t="str">
        <f>IFERROR($BM$2&amp;VLOOKUP(F647,'Pay Table'!$M$3:$N$18,2,FALSE)&amp;$BL$2&amp;#REF!&amp;$BN$2,"")</f>
        <v/>
      </c>
    </row>
    <row r="646" spans="64:68" x14ac:dyDescent="0.15">
      <c r="BL646" s="26" t="str">
        <f>IFERROR($BM$2&amp;VLOOKUP(B648,'Pay Table'!$M$3:$N$18,2,FALSE)&amp;$BL$2&amp;#REF!&amp;$BN$2,"")</f>
        <v/>
      </c>
      <c r="BM646" s="1" t="str">
        <f>IFERROR($BM$2&amp;VLOOKUP(C648,'Pay Table'!$M$3:$N$18,2,FALSE)&amp;$BL$2&amp;#REF!&amp;$BN$2,"")</f>
        <v/>
      </c>
      <c r="BN646" s="1" t="str">
        <f>IFERROR($BM$2&amp;VLOOKUP(D648,'Pay Table'!$M$3:$N$18,2,FALSE)&amp;$BL$2&amp;#REF!&amp;$BN$2,"")</f>
        <v/>
      </c>
      <c r="BO646" s="1" t="str">
        <f>IFERROR($BM$2&amp;VLOOKUP(E648,'Pay Table'!$M$3:$N$18,2,FALSE)&amp;$BL$2&amp;#REF!&amp;$BN$2,"")</f>
        <v/>
      </c>
      <c r="BP646" s="27" t="str">
        <f>IFERROR($BM$2&amp;VLOOKUP(F648,'Pay Table'!$M$3:$N$18,2,FALSE)&amp;$BL$2&amp;#REF!&amp;$BN$2,"")</f>
        <v/>
      </c>
    </row>
    <row r="647" spans="64:68" x14ac:dyDescent="0.15">
      <c r="BL647" s="26" t="str">
        <f>IFERROR($BM$2&amp;VLOOKUP(B649,'Pay Table'!$M$3:$N$18,2,FALSE)&amp;$BL$2&amp;#REF!&amp;$BN$2,"")</f>
        <v/>
      </c>
      <c r="BM647" s="1" t="str">
        <f>IFERROR($BM$2&amp;VLOOKUP(C649,'Pay Table'!$M$3:$N$18,2,FALSE)&amp;$BL$2&amp;#REF!&amp;$BN$2,"")</f>
        <v/>
      </c>
      <c r="BN647" s="1" t="str">
        <f>IFERROR($BM$2&amp;VLOOKUP(D649,'Pay Table'!$M$3:$N$18,2,FALSE)&amp;$BL$2&amp;#REF!&amp;$BN$2,"")</f>
        <v/>
      </c>
      <c r="BO647" s="1" t="str">
        <f>IFERROR($BM$2&amp;VLOOKUP(E649,'Pay Table'!$M$3:$N$18,2,FALSE)&amp;$BL$2&amp;#REF!&amp;$BN$2,"")</f>
        <v/>
      </c>
      <c r="BP647" s="27" t="str">
        <f>IFERROR($BM$2&amp;VLOOKUP(F649,'Pay Table'!$M$3:$N$18,2,FALSE)&amp;$BL$2&amp;#REF!&amp;$BN$2,"")</f>
        <v/>
      </c>
    </row>
    <row r="648" spans="64:68" x14ac:dyDescent="0.15">
      <c r="BL648" s="26" t="str">
        <f>IFERROR($BM$2&amp;VLOOKUP(B650,'Pay Table'!$M$3:$N$18,2,FALSE)&amp;$BL$2&amp;#REF!&amp;$BN$2,"")</f>
        <v/>
      </c>
      <c r="BM648" s="1" t="str">
        <f>IFERROR($BM$2&amp;VLOOKUP(C650,'Pay Table'!$M$3:$N$18,2,FALSE)&amp;$BL$2&amp;#REF!&amp;$BN$2,"")</f>
        <v/>
      </c>
      <c r="BN648" s="1" t="str">
        <f>IFERROR($BM$2&amp;VLOOKUP(D650,'Pay Table'!$M$3:$N$18,2,FALSE)&amp;$BL$2&amp;#REF!&amp;$BN$2,"")</f>
        <v/>
      </c>
      <c r="BO648" s="1" t="str">
        <f>IFERROR($BM$2&amp;VLOOKUP(E650,'Pay Table'!$M$3:$N$18,2,FALSE)&amp;$BL$2&amp;#REF!&amp;$BN$2,"")</f>
        <v/>
      </c>
      <c r="BP648" s="27" t="str">
        <f>IFERROR($BM$2&amp;VLOOKUP(F650,'Pay Table'!$M$3:$N$18,2,FALSE)&amp;$BL$2&amp;#REF!&amp;$BN$2,"")</f>
        <v/>
      </c>
    </row>
    <row r="649" spans="64:68" x14ac:dyDescent="0.15">
      <c r="BL649" s="26" t="str">
        <f>IFERROR($BM$2&amp;VLOOKUP(B651,'Pay Table'!$M$3:$N$18,2,FALSE)&amp;$BL$2&amp;#REF!&amp;$BN$2,"")</f>
        <v/>
      </c>
      <c r="BM649" s="1" t="str">
        <f>IFERROR($BM$2&amp;VLOOKUP(C651,'Pay Table'!$M$3:$N$18,2,FALSE)&amp;$BL$2&amp;#REF!&amp;$BN$2,"")</f>
        <v/>
      </c>
      <c r="BN649" s="1" t="str">
        <f>IFERROR($BM$2&amp;VLOOKUP(D651,'Pay Table'!$M$3:$N$18,2,FALSE)&amp;$BL$2&amp;#REF!&amp;$BN$2,"")</f>
        <v/>
      </c>
      <c r="BO649" s="1" t="str">
        <f>IFERROR($BM$2&amp;VLOOKUP(E651,'Pay Table'!$M$3:$N$18,2,FALSE)&amp;$BL$2&amp;#REF!&amp;$BN$2,"")</f>
        <v/>
      </c>
      <c r="BP649" s="27" t="str">
        <f>IFERROR($BM$2&amp;VLOOKUP(F651,'Pay Table'!$M$3:$N$18,2,FALSE)&amp;$BL$2&amp;#REF!&amp;$BN$2,"")</f>
        <v/>
      </c>
    </row>
    <row r="650" spans="64:68" x14ac:dyDescent="0.15">
      <c r="BL650" s="26" t="str">
        <f>IFERROR($BM$2&amp;VLOOKUP(B652,'Pay Table'!$M$3:$N$18,2,FALSE)&amp;$BL$2&amp;#REF!&amp;$BN$2,"")</f>
        <v/>
      </c>
      <c r="BM650" s="1" t="str">
        <f>IFERROR($BM$2&amp;VLOOKUP(C652,'Pay Table'!$M$3:$N$18,2,FALSE)&amp;$BL$2&amp;#REF!&amp;$BN$2,"")</f>
        <v/>
      </c>
      <c r="BN650" s="1" t="str">
        <f>IFERROR($BM$2&amp;VLOOKUP(D652,'Pay Table'!$M$3:$N$18,2,FALSE)&amp;$BL$2&amp;#REF!&amp;$BN$2,"")</f>
        <v/>
      </c>
      <c r="BO650" s="1" t="str">
        <f>IFERROR($BM$2&amp;VLOOKUP(E652,'Pay Table'!$M$3:$N$18,2,FALSE)&amp;$BL$2&amp;#REF!&amp;$BN$2,"")</f>
        <v/>
      </c>
      <c r="BP650" s="27" t="str">
        <f>IFERROR($BM$2&amp;VLOOKUP(F652,'Pay Table'!$M$3:$N$18,2,FALSE)&amp;$BL$2&amp;#REF!&amp;$BN$2,"")</f>
        <v/>
      </c>
    </row>
    <row r="651" spans="64:68" x14ac:dyDescent="0.15">
      <c r="BL651" s="26" t="str">
        <f>IFERROR($BM$2&amp;VLOOKUP(B653,'Pay Table'!$M$3:$N$18,2,FALSE)&amp;$BL$2&amp;#REF!&amp;$BN$2,"")</f>
        <v/>
      </c>
      <c r="BM651" s="1" t="str">
        <f>IFERROR($BM$2&amp;VLOOKUP(C653,'Pay Table'!$M$3:$N$18,2,FALSE)&amp;$BL$2&amp;#REF!&amp;$BN$2,"")</f>
        <v/>
      </c>
      <c r="BN651" s="1" t="str">
        <f>IFERROR($BM$2&amp;VLOOKUP(D653,'Pay Table'!$M$3:$N$18,2,FALSE)&amp;$BL$2&amp;#REF!&amp;$BN$2,"")</f>
        <v/>
      </c>
      <c r="BO651" s="1" t="str">
        <f>IFERROR($BM$2&amp;VLOOKUP(E653,'Pay Table'!$M$3:$N$18,2,FALSE)&amp;$BL$2&amp;#REF!&amp;$BN$2,"")</f>
        <v/>
      </c>
      <c r="BP651" s="27" t="str">
        <f>IFERROR($BM$2&amp;VLOOKUP(F653,'Pay Table'!$M$3:$N$18,2,FALSE)&amp;$BL$2&amp;#REF!&amp;$BN$2,"")</f>
        <v/>
      </c>
    </row>
    <row r="652" spans="64:68" x14ac:dyDescent="0.15">
      <c r="BL652" s="26" t="str">
        <f>IFERROR($BM$2&amp;VLOOKUP(B654,'Pay Table'!$M$3:$N$18,2,FALSE)&amp;$BL$2&amp;#REF!&amp;$BN$2,"")</f>
        <v/>
      </c>
      <c r="BM652" s="1" t="str">
        <f>IFERROR($BM$2&amp;VLOOKUP(C654,'Pay Table'!$M$3:$N$18,2,FALSE)&amp;$BL$2&amp;#REF!&amp;$BN$2,"")</f>
        <v/>
      </c>
      <c r="BN652" s="1" t="str">
        <f>IFERROR($BM$2&amp;VLOOKUP(D654,'Pay Table'!$M$3:$N$18,2,FALSE)&amp;$BL$2&amp;#REF!&amp;$BN$2,"")</f>
        <v/>
      </c>
      <c r="BO652" s="1" t="str">
        <f>IFERROR($BM$2&amp;VLOOKUP(E654,'Pay Table'!$M$3:$N$18,2,FALSE)&amp;$BL$2&amp;#REF!&amp;$BN$2,"")</f>
        <v/>
      </c>
      <c r="BP652" s="27" t="str">
        <f>IFERROR($BM$2&amp;VLOOKUP(F654,'Pay Table'!$M$3:$N$18,2,FALSE)&amp;$BL$2&amp;#REF!&amp;$BN$2,"")</f>
        <v/>
      </c>
    </row>
    <row r="653" spans="64:68" x14ac:dyDescent="0.15">
      <c r="BL653" s="26" t="str">
        <f>IFERROR($BM$2&amp;VLOOKUP(B655,'Pay Table'!$M$3:$N$18,2,FALSE)&amp;$BL$2&amp;#REF!&amp;$BN$2,"")</f>
        <v/>
      </c>
      <c r="BM653" s="1" t="str">
        <f>IFERROR($BM$2&amp;VLOOKUP(C655,'Pay Table'!$M$3:$N$18,2,FALSE)&amp;$BL$2&amp;#REF!&amp;$BN$2,"")</f>
        <v/>
      </c>
      <c r="BN653" s="1" t="str">
        <f>IFERROR($BM$2&amp;VLOOKUP(D655,'Pay Table'!$M$3:$N$18,2,FALSE)&amp;$BL$2&amp;#REF!&amp;$BN$2,"")</f>
        <v/>
      </c>
      <c r="BO653" s="1" t="str">
        <f>IFERROR($BM$2&amp;VLOOKUP(E655,'Pay Table'!$M$3:$N$18,2,FALSE)&amp;$BL$2&amp;#REF!&amp;$BN$2,"")</f>
        <v/>
      </c>
      <c r="BP653" s="27" t="str">
        <f>IFERROR($BM$2&amp;VLOOKUP(F655,'Pay Table'!$M$3:$N$18,2,FALSE)&amp;$BL$2&amp;#REF!&amp;$BN$2,"")</f>
        <v/>
      </c>
    </row>
    <row r="654" spans="64:68" x14ac:dyDescent="0.15">
      <c r="BL654" s="26" t="str">
        <f>IFERROR($BM$2&amp;VLOOKUP(B656,'Pay Table'!$M$3:$N$18,2,FALSE)&amp;$BL$2&amp;#REF!&amp;$BN$2,"")</f>
        <v/>
      </c>
      <c r="BM654" s="1" t="str">
        <f>IFERROR($BM$2&amp;VLOOKUP(C656,'Pay Table'!$M$3:$N$18,2,FALSE)&amp;$BL$2&amp;#REF!&amp;$BN$2,"")</f>
        <v/>
      </c>
      <c r="BN654" s="1" t="str">
        <f>IFERROR($BM$2&amp;VLOOKUP(D656,'Pay Table'!$M$3:$N$18,2,FALSE)&amp;$BL$2&amp;#REF!&amp;$BN$2,"")</f>
        <v/>
      </c>
      <c r="BO654" s="1" t="str">
        <f>IFERROR($BM$2&amp;VLOOKUP(E656,'Pay Table'!$M$3:$N$18,2,FALSE)&amp;$BL$2&amp;#REF!&amp;$BN$2,"")</f>
        <v/>
      </c>
      <c r="BP654" s="27" t="str">
        <f>IFERROR($BM$2&amp;VLOOKUP(F656,'Pay Table'!$M$3:$N$18,2,FALSE)&amp;$BL$2&amp;#REF!&amp;$BN$2,"")</f>
        <v/>
      </c>
    </row>
    <row r="655" spans="64:68" x14ac:dyDescent="0.15">
      <c r="BL655" s="26" t="str">
        <f>IFERROR($BM$2&amp;VLOOKUP(B657,'Pay Table'!$M$3:$N$18,2,FALSE)&amp;$BL$2&amp;#REF!&amp;$BN$2,"")</f>
        <v/>
      </c>
      <c r="BM655" s="1" t="str">
        <f>IFERROR($BM$2&amp;VLOOKUP(C657,'Pay Table'!$M$3:$N$18,2,FALSE)&amp;$BL$2&amp;#REF!&amp;$BN$2,"")</f>
        <v/>
      </c>
      <c r="BN655" s="1" t="str">
        <f>IFERROR($BM$2&amp;VLOOKUP(D657,'Pay Table'!$M$3:$N$18,2,FALSE)&amp;$BL$2&amp;#REF!&amp;$BN$2,"")</f>
        <v/>
      </c>
      <c r="BO655" s="1" t="str">
        <f>IFERROR($BM$2&amp;VLOOKUP(E657,'Pay Table'!$M$3:$N$18,2,FALSE)&amp;$BL$2&amp;#REF!&amp;$BN$2,"")</f>
        <v/>
      </c>
      <c r="BP655" s="27" t="str">
        <f>IFERROR($BM$2&amp;VLOOKUP(F657,'Pay Table'!$M$3:$N$18,2,FALSE)&amp;$BL$2&amp;#REF!&amp;$BN$2,"")</f>
        <v/>
      </c>
    </row>
    <row r="656" spans="64:68" x14ac:dyDescent="0.15">
      <c r="BL656" s="26" t="str">
        <f>IFERROR($BM$2&amp;VLOOKUP(B658,'Pay Table'!$M$3:$N$18,2,FALSE)&amp;$BL$2&amp;#REF!&amp;$BN$2,"")</f>
        <v/>
      </c>
      <c r="BM656" s="1" t="str">
        <f>IFERROR($BM$2&amp;VLOOKUP(C658,'Pay Table'!$M$3:$N$18,2,FALSE)&amp;$BL$2&amp;#REF!&amp;$BN$2,"")</f>
        <v/>
      </c>
      <c r="BN656" s="1" t="str">
        <f>IFERROR($BM$2&amp;VLOOKUP(D658,'Pay Table'!$M$3:$N$18,2,FALSE)&amp;$BL$2&amp;#REF!&amp;$BN$2,"")</f>
        <v/>
      </c>
      <c r="BO656" s="1" t="str">
        <f>IFERROR($BM$2&amp;VLOOKUP(E658,'Pay Table'!$M$3:$N$18,2,FALSE)&amp;$BL$2&amp;#REF!&amp;$BN$2,"")</f>
        <v/>
      </c>
      <c r="BP656" s="27" t="str">
        <f>IFERROR($BM$2&amp;VLOOKUP(F658,'Pay Table'!$M$3:$N$18,2,FALSE)&amp;$BL$2&amp;#REF!&amp;$BN$2,"")</f>
        <v/>
      </c>
    </row>
    <row r="657" spans="64:68" x14ac:dyDescent="0.15">
      <c r="BL657" s="26" t="str">
        <f>IFERROR($BM$2&amp;VLOOKUP(B659,'Pay Table'!$M$3:$N$18,2,FALSE)&amp;$BL$2&amp;#REF!&amp;$BN$2,"")</f>
        <v/>
      </c>
      <c r="BM657" s="1" t="str">
        <f>IFERROR($BM$2&amp;VLOOKUP(C659,'Pay Table'!$M$3:$N$18,2,FALSE)&amp;$BL$2&amp;#REF!&amp;$BN$2,"")</f>
        <v/>
      </c>
      <c r="BN657" s="1" t="str">
        <f>IFERROR($BM$2&amp;VLOOKUP(D659,'Pay Table'!$M$3:$N$18,2,FALSE)&amp;$BL$2&amp;#REF!&amp;$BN$2,"")</f>
        <v/>
      </c>
      <c r="BO657" s="1" t="str">
        <f>IFERROR($BM$2&amp;VLOOKUP(E659,'Pay Table'!$M$3:$N$18,2,FALSE)&amp;$BL$2&amp;#REF!&amp;$BN$2,"")</f>
        <v/>
      </c>
      <c r="BP657" s="27" t="str">
        <f>IFERROR($BM$2&amp;VLOOKUP(F659,'Pay Table'!$M$3:$N$18,2,FALSE)&amp;$BL$2&amp;#REF!&amp;$BN$2,"")</f>
        <v/>
      </c>
    </row>
    <row r="658" spans="64:68" x14ac:dyDescent="0.15">
      <c r="BL658" s="26" t="str">
        <f>IFERROR($BM$2&amp;VLOOKUP(B660,'Pay Table'!$M$3:$N$18,2,FALSE)&amp;$BL$2&amp;#REF!&amp;$BN$2,"")</f>
        <v/>
      </c>
      <c r="BM658" s="1" t="str">
        <f>IFERROR($BM$2&amp;VLOOKUP(C660,'Pay Table'!$M$3:$N$18,2,FALSE)&amp;$BL$2&amp;#REF!&amp;$BN$2,"")</f>
        <v/>
      </c>
      <c r="BN658" s="1" t="str">
        <f>IFERROR($BM$2&amp;VLOOKUP(D660,'Pay Table'!$M$3:$N$18,2,FALSE)&amp;$BL$2&amp;#REF!&amp;$BN$2,"")</f>
        <v/>
      </c>
      <c r="BO658" s="1" t="str">
        <f>IFERROR($BM$2&amp;VLOOKUP(E660,'Pay Table'!$M$3:$N$18,2,FALSE)&amp;$BL$2&amp;#REF!&amp;$BN$2,"")</f>
        <v/>
      </c>
      <c r="BP658" s="27" t="str">
        <f>IFERROR($BM$2&amp;VLOOKUP(F660,'Pay Table'!$M$3:$N$18,2,FALSE)&amp;$BL$2&amp;#REF!&amp;$BN$2,"")</f>
        <v/>
      </c>
    </row>
    <row r="659" spans="64:68" x14ac:dyDescent="0.15">
      <c r="BL659" s="26" t="str">
        <f>IFERROR($BM$2&amp;VLOOKUP(B661,'Pay Table'!$M$3:$N$18,2,FALSE)&amp;$BL$2&amp;#REF!&amp;$BN$2,"")</f>
        <v/>
      </c>
      <c r="BM659" s="1" t="str">
        <f>IFERROR($BM$2&amp;VLOOKUP(C661,'Pay Table'!$M$3:$N$18,2,FALSE)&amp;$BL$2&amp;#REF!&amp;$BN$2,"")</f>
        <v/>
      </c>
      <c r="BN659" s="1" t="str">
        <f>IFERROR($BM$2&amp;VLOOKUP(D661,'Pay Table'!$M$3:$N$18,2,FALSE)&amp;$BL$2&amp;#REF!&amp;$BN$2,"")</f>
        <v/>
      </c>
      <c r="BO659" s="1" t="str">
        <f>IFERROR($BM$2&amp;VLOOKUP(E661,'Pay Table'!$M$3:$N$18,2,FALSE)&amp;$BL$2&amp;#REF!&amp;$BN$2,"")</f>
        <v/>
      </c>
      <c r="BP659" s="27" t="str">
        <f>IFERROR($BM$2&amp;VLOOKUP(F661,'Pay Table'!$M$3:$N$18,2,FALSE)&amp;$BL$2&amp;#REF!&amp;$BN$2,"")</f>
        <v/>
      </c>
    </row>
    <row r="660" spans="64:68" x14ac:dyDescent="0.15">
      <c r="BL660" s="26" t="str">
        <f>IFERROR($BM$2&amp;VLOOKUP(B662,'Pay Table'!$M$3:$N$18,2,FALSE)&amp;$BL$2&amp;#REF!&amp;$BN$2,"")</f>
        <v/>
      </c>
      <c r="BM660" s="1" t="str">
        <f>IFERROR($BM$2&amp;VLOOKUP(C662,'Pay Table'!$M$3:$N$18,2,FALSE)&amp;$BL$2&amp;#REF!&amp;$BN$2,"")</f>
        <v/>
      </c>
      <c r="BN660" s="1" t="str">
        <f>IFERROR($BM$2&amp;VLOOKUP(D662,'Pay Table'!$M$3:$N$18,2,FALSE)&amp;$BL$2&amp;#REF!&amp;$BN$2,"")</f>
        <v/>
      </c>
      <c r="BO660" s="1" t="str">
        <f>IFERROR($BM$2&amp;VLOOKUP(E662,'Pay Table'!$M$3:$N$18,2,FALSE)&amp;$BL$2&amp;#REF!&amp;$BN$2,"")</f>
        <v/>
      </c>
      <c r="BP660" s="27" t="str">
        <f>IFERROR($BM$2&amp;VLOOKUP(F662,'Pay Table'!$M$3:$N$18,2,FALSE)&amp;$BL$2&amp;#REF!&amp;$BN$2,"")</f>
        <v/>
      </c>
    </row>
    <row r="661" spans="64:68" x14ac:dyDescent="0.15">
      <c r="BL661" s="26" t="str">
        <f>IFERROR($BM$2&amp;VLOOKUP(B663,'Pay Table'!$M$3:$N$18,2,FALSE)&amp;$BL$2&amp;#REF!&amp;$BN$2,"")</f>
        <v/>
      </c>
      <c r="BM661" s="1" t="str">
        <f>IFERROR($BM$2&amp;VLOOKUP(C663,'Pay Table'!$M$3:$N$18,2,FALSE)&amp;$BL$2&amp;#REF!&amp;$BN$2,"")</f>
        <v/>
      </c>
      <c r="BN661" s="1" t="str">
        <f>IFERROR($BM$2&amp;VLOOKUP(D663,'Pay Table'!$M$3:$N$18,2,FALSE)&amp;$BL$2&amp;#REF!&amp;$BN$2,"")</f>
        <v/>
      </c>
      <c r="BO661" s="1" t="str">
        <f>IFERROR($BM$2&amp;VLOOKUP(E663,'Pay Table'!$M$3:$N$18,2,FALSE)&amp;$BL$2&amp;#REF!&amp;$BN$2,"")</f>
        <v/>
      </c>
      <c r="BP661" s="27" t="str">
        <f>IFERROR($BM$2&amp;VLOOKUP(F663,'Pay Table'!$M$3:$N$18,2,FALSE)&amp;$BL$2&amp;#REF!&amp;$BN$2,"")</f>
        <v/>
      </c>
    </row>
    <row r="662" spans="64:68" x14ac:dyDescent="0.15">
      <c r="BL662" s="26" t="str">
        <f>IFERROR($BM$2&amp;VLOOKUP(B664,'Pay Table'!$M$3:$N$18,2,FALSE)&amp;$BL$2&amp;#REF!&amp;$BN$2,"")</f>
        <v/>
      </c>
      <c r="BM662" s="1" t="str">
        <f>IFERROR($BM$2&amp;VLOOKUP(C664,'Pay Table'!$M$3:$N$18,2,FALSE)&amp;$BL$2&amp;#REF!&amp;$BN$2,"")</f>
        <v/>
      </c>
      <c r="BN662" s="1" t="str">
        <f>IFERROR($BM$2&amp;VLOOKUP(D664,'Pay Table'!$M$3:$N$18,2,FALSE)&amp;$BL$2&amp;#REF!&amp;$BN$2,"")</f>
        <v/>
      </c>
      <c r="BO662" s="1" t="str">
        <f>IFERROR($BM$2&amp;VLOOKUP(E664,'Pay Table'!$M$3:$N$18,2,FALSE)&amp;$BL$2&amp;#REF!&amp;$BN$2,"")</f>
        <v/>
      </c>
      <c r="BP662" s="27" t="str">
        <f>IFERROR($BM$2&amp;VLOOKUP(F664,'Pay Table'!$M$3:$N$18,2,FALSE)&amp;$BL$2&amp;#REF!&amp;$BN$2,"")</f>
        <v/>
      </c>
    </row>
    <row r="663" spans="64:68" x14ac:dyDescent="0.15">
      <c r="BL663" s="26" t="str">
        <f>IFERROR($BM$2&amp;VLOOKUP(B665,'Pay Table'!$M$3:$N$18,2,FALSE)&amp;$BL$2&amp;#REF!&amp;$BN$2,"")</f>
        <v/>
      </c>
      <c r="BM663" s="1" t="str">
        <f>IFERROR($BM$2&amp;VLOOKUP(C665,'Pay Table'!$M$3:$N$18,2,FALSE)&amp;$BL$2&amp;#REF!&amp;$BN$2,"")</f>
        <v/>
      </c>
      <c r="BN663" s="1" t="str">
        <f>IFERROR($BM$2&amp;VLOOKUP(D665,'Pay Table'!$M$3:$N$18,2,FALSE)&amp;$BL$2&amp;#REF!&amp;$BN$2,"")</f>
        <v/>
      </c>
      <c r="BO663" s="1" t="str">
        <f>IFERROR($BM$2&amp;VLOOKUP(E665,'Pay Table'!$M$3:$N$18,2,FALSE)&amp;$BL$2&amp;#REF!&amp;$BN$2,"")</f>
        <v/>
      </c>
      <c r="BP663" s="27" t="str">
        <f>IFERROR($BM$2&amp;VLOOKUP(F665,'Pay Table'!$M$3:$N$18,2,FALSE)&amp;$BL$2&amp;#REF!&amp;$BN$2,"")</f>
        <v/>
      </c>
    </row>
    <row r="664" spans="64:68" x14ac:dyDescent="0.15">
      <c r="BL664" s="26" t="str">
        <f>IFERROR($BM$2&amp;VLOOKUP(B666,'Pay Table'!$M$3:$N$18,2,FALSE)&amp;$BL$2&amp;#REF!&amp;$BN$2,"")</f>
        <v/>
      </c>
      <c r="BM664" s="1" t="str">
        <f>IFERROR($BM$2&amp;VLOOKUP(C666,'Pay Table'!$M$3:$N$18,2,FALSE)&amp;$BL$2&amp;#REF!&amp;$BN$2,"")</f>
        <v/>
      </c>
      <c r="BN664" s="1" t="str">
        <f>IFERROR($BM$2&amp;VLOOKUP(D666,'Pay Table'!$M$3:$N$18,2,FALSE)&amp;$BL$2&amp;#REF!&amp;$BN$2,"")</f>
        <v/>
      </c>
      <c r="BO664" s="1" t="str">
        <f>IFERROR($BM$2&amp;VLOOKUP(E666,'Pay Table'!$M$3:$N$18,2,FALSE)&amp;$BL$2&amp;#REF!&amp;$BN$2,"")</f>
        <v/>
      </c>
      <c r="BP664" s="27" t="str">
        <f>IFERROR($BM$2&amp;VLOOKUP(F666,'Pay Table'!$M$3:$N$18,2,FALSE)&amp;$BL$2&amp;#REF!&amp;$BN$2,"")</f>
        <v/>
      </c>
    </row>
    <row r="665" spans="64:68" x14ac:dyDescent="0.15">
      <c r="BL665" s="26" t="str">
        <f>IFERROR($BM$2&amp;VLOOKUP(B667,'Pay Table'!$M$3:$N$18,2,FALSE)&amp;$BL$2&amp;#REF!&amp;$BN$2,"")</f>
        <v/>
      </c>
      <c r="BM665" s="1" t="str">
        <f>IFERROR($BM$2&amp;VLOOKUP(C667,'Pay Table'!$M$3:$N$18,2,FALSE)&amp;$BL$2&amp;#REF!&amp;$BN$2,"")</f>
        <v/>
      </c>
      <c r="BN665" s="1" t="str">
        <f>IFERROR($BM$2&amp;VLOOKUP(D667,'Pay Table'!$M$3:$N$18,2,FALSE)&amp;$BL$2&amp;#REF!&amp;$BN$2,"")</f>
        <v/>
      </c>
      <c r="BO665" s="1" t="str">
        <f>IFERROR($BM$2&amp;VLOOKUP(E667,'Pay Table'!$M$3:$N$18,2,FALSE)&amp;$BL$2&amp;#REF!&amp;$BN$2,"")</f>
        <v/>
      </c>
      <c r="BP665" s="27" t="str">
        <f>IFERROR($BM$2&amp;VLOOKUP(F667,'Pay Table'!$M$3:$N$18,2,FALSE)&amp;$BL$2&amp;#REF!&amp;$BN$2,"")</f>
        <v/>
      </c>
    </row>
    <row r="666" spans="64:68" x14ac:dyDescent="0.15">
      <c r="BL666" s="26" t="str">
        <f>IFERROR($BM$2&amp;VLOOKUP(B668,'Pay Table'!$M$3:$N$18,2,FALSE)&amp;$BL$2&amp;#REF!&amp;$BN$2,"")</f>
        <v/>
      </c>
      <c r="BM666" s="1" t="str">
        <f>IFERROR($BM$2&amp;VLOOKUP(C668,'Pay Table'!$M$3:$N$18,2,FALSE)&amp;$BL$2&amp;#REF!&amp;$BN$2,"")</f>
        <v/>
      </c>
      <c r="BN666" s="1" t="str">
        <f>IFERROR($BM$2&amp;VLOOKUP(D668,'Pay Table'!$M$3:$N$18,2,FALSE)&amp;$BL$2&amp;#REF!&amp;$BN$2,"")</f>
        <v/>
      </c>
      <c r="BO666" s="1" t="str">
        <f>IFERROR($BM$2&amp;VLOOKUP(E668,'Pay Table'!$M$3:$N$18,2,FALSE)&amp;$BL$2&amp;#REF!&amp;$BN$2,"")</f>
        <v/>
      </c>
      <c r="BP666" s="27" t="str">
        <f>IFERROR($BM$2&amp;VLOOKUP(F668,'Pay Table'!$M$3:$N$18,2,FALSE)&amp;$BL$2&amp;#REF!&amp;$BN$2,"")</f>
        <v/>
      </c>
    </row>
    <row r="667" spans="64:68" x14ac:dyDescent="0.15">
      <c r="BL667" s="26" t="str">
        <f>IFERROR($BM$2&amp;VLOOKUP(B669,'Pay Table'!$M$3:$N$18,2,FALSE)&amp;$BL$2&amp;#REF!&amp;$BN$2,"")</f>
        <v/>
      </c>
      <c r="BM667" s="1" t="str">
        <f>IFERROR($BM$2&amp;VLOOKUP(C669,'Pay Table'!$M$3:$N$18,2,FALSE)&amp;$BL$2&amp;#REF!&amp;$BN$2,"")</f>
        <v/>
      </c>
      <c r="BN667" s="1" t="str">
        <f>IFERROR($BM$2&amp;VLOOKUP(D669,'Pay Table'!$M$3:$N$18,2,FALSE)&amp;$BL$2&amp;#REF!&amp;$BN$2,"")</f>
        <v/>
      </c>
      <c r="BO667" s="1" t="str">
        <f>IFERROR($BM$2&amp;VLOOKUP(E669,'Pay Table'!$M$3:$N$18,2,FALSE)&amp;$BL$2&amp;#REF!&amp;$BN$2,"")</f>
        <v/>
      </c>
      <c r="BP667" s="27" t="str">
        <f>IFERROR($BM$2&amp;VLOOKUP(F669,'Pay Table'!$M$3:$N$18,2,FALSE)&amp;$BL$2&amp;#REF!&amp;$BN$2,"")</f>
        <v/>
      </c>
    </row>
    <row r="668" spans="64:68" x14ac:dyDescent="0.15">
      <c r="BL668" s="26" t="str">
        <f>IFERROR($BM$2&amp;VLOOKUP(B670,'Pay Table'!$M$3:$N$18,2,FALSE)&amp;$BL$2&amp;#REF!&amp;$BN$2,"")</f>
        <v/>
      </c>
      <c r="BM668" s="1" t="str">
        <f>IFERROR($BM$2&amp;VLOOKUP(C670,'Pay Table'!$M$3:$N$18,2,FALSE)&amp;$BL$2&amp;#REF!&amp;$BN$2,"")</f>
        <v/>
      </c>
      <c r="BN668" s="1" t="str">
        <f>IFERROR($BM$2&amp;VLOOKUP(D670,'Pay Table'!$M$3:$N$18,2,FALSE)&amp;$BL$2&amp;#REF!&amp;$BN$2,"")</f>
        <v/>
      </c>
      <c r="BO668" s="1" t="str">
        <f>IFERROR($BM$2&amp;VLOOKUP(E670,'Pay Table'!$M$3:$N$18,2,FALSE)&amp;$BL$2&amp;#REF!&amp;$BN$2,"")</f>
        <v/>
      </c>
      <c r="BP668" s="27" t="str">
        <f>IFERROR($BM$2&amp;VLOOKUP(F670,'Pay Table'!$M$3:$N$18,2,FALSE)&amp;$BL$2&amp;#REF!&amp;$BN$2,"")</f>
        <v/>
      </c>
    </row>
    <row r="669" spans="64:68" x14ac:dyDescent="0.15">
      <c r="BL669" s="26" t="str">
        <f>IFERROR($BM$2&amp;VLOOKUP(B671,'Pay Table'!$M$3:$N$18,2,FALSE)&amp;$BL$2&amp;#REF!&amp;$BN$2,"")</f>
        <v/>
      </c>
      <c r="BM669" s="1" t="str">
        <f>IFERROR($BM$2&amp;VLOOKUP(C671,'Pay Table'!$M$3:$N$18,2,FALSE)&amp;$BL$2&amp;#REF!&amp;$BN$2,"")</f>
        <v/>
      </c>
      <c r="BN669" s="1" t="str">
        <f>IFERROR($BM$2&amp;VLOOKUP(D671,'Pay Table'!$M$3:$N$18,2,FALSE)&amp;$BL$2&amp;#REF!&amp;$BN$2,"")</f>
        <v/>
      </c>
      <c r="BO669" s="1" t="str">
        <f>IFERROR($BM$2&amp;VLOOKUP(E671,'Pay Table'!$M$3:$N$18,2,FALSE)&amp;$BL$2&amp;#REF!&amp;$BN$2,"")</f>
        <v/>
      </c>
      <c r="BP669" s="27" t="str">
        <f>IFERROR($BM$2&amp;VLOOKUP(F671,'Pay Table'!$M$3:$N$18,2,FALSE)&amp;$BL$2&amp;#REF!&amp;$BN$2,"")</f>
        <v/>
      </c>
    </row>
    <row r="670" spans="64:68" x14ac:dyDescent="0.15">
      <c r="BL670" s="26" t="str">
        <f>IFERROR($BM$2&amp;VLOOKUP(B672,'Pay Table'!$M$3:$N$18,2,FALSE)&amp;$BL$2&amp;#REF!&amp;$BN$2,"")</f>
        <v/>
      </c>
      <c r="BM670" s="1" t="str">
        <f>IFERROR($BM$2&amp;VLOOKUP(C672,'Pay Table'!$M$3:$N$18,2,FALSE)&amp;$BL$2&amp;#REF!&amp;$BN$2,"")</f>
        <v/>
      </c>
      <c r="BN670" s="1" t="str">
        <f>IFERROR($BM$2&amp;VLOOKUP(D672,'Pay Table'!$M$3:$N$18,2,FALSE)&amp;$BL$2&amp;#REF!&amp;$BN$2,"")</f>
        <v/>
      </c>
      <c r="BO670" s="1" t="str">
        <f>IFERROR($BM$2&amp;VLOOKUP(E672,'Pay Table'!$M$3:$N$18,2,FALSE)&amp;$BL$2&amp;#REF!&amp;$BN$2,"")</f>
        <v/>
      </c>
      <c r="BP670" s="27" t="str">
        <f>IFERROR($BM$2&amp;VLOOKUP(F672,'Pay Table'!$M$3:$N$18,2,FALSE)&amp;$BL$2&amp;#REF!&amp;$BN$2,"")</f>
        <v/>
      </c>
    </row>
    <row r="671" spans="64:68" x14ac:dyDescent="0.15">
      <c r="BL671" s="26" t="str">
        <f>IFERROR($BM$2&amp;VLOOKUP(B673,'Pay Table'!$M$3:$N$18,2,FALSE)&amp;$BL$2&amp;#REF!&amp;$BN$2,"")</f>
        <v/>
      </c>
      <c r="BM671" s="1" t="str">
        <f>IFERROR($BM$2&amp;VLOOKUP(C673,'Pay Table'!$M$3:$N$18,2,FALSE)&amp;$BL$2&amp;#REF!&amp;$BN$2,"")</f>
        <v/>
      </c>
      <c r="BN671" s="1" t="str">
        <f>IFERROR($BM$2&amp;VLOOKUP(D673,'Pay Table'!$M$3:$N$18,2,FALSE)&amp;$BL$2&amp;#REF!&amp;$BN$2,"")</f>
        <v/>
      </c>
      <c r="BO671" s="1" t="str">
        <f>IFERROR($BM$2&amp;VLOOKUP(E673,'Pay Table'!$M$3:$N$18,2,FALSE)&amp;$BL$2&amp;#REF!&amp;$BN$2,"")</f>
        <v/>
      </c>
      <c r="BP671" s="27" t="str">
        <f>IFERROR($BM$2&amp;VLOOKUP(F673,'Pay Table'!$M$3:$N$18,2,FALSE)&amp;$BL$2&amp;#REF!&amp;$BN$2,"")</f>
        <v/>
      </c>
    </row>
    <row r="672" spans="64:68" x14ac:dyDescent="0.15">
      <c r="BL672" s="26" t="str">
        <f>IFERROR($BM$2&amp;VLOOKUP(B674,'Pay Table'!$M$3:$N$18,2,FALSE)&amp;$BL$2&amp;#REF!&amp;$BN$2,"")</f>
        <v/>
      </c>
      <c r="BM672" s="1" t="str">
        <f>IFERROR($BM$2&amp;VLOOKUP(C674,'Pay Table'!$M$3:$N$18,2,FALSE)&amp;$BL$2&amp;#REF!&amp;$BN$2,"")</f>
        <v/>
      </c>
      <c r="BN672" s="1" t="str">
        <f>IFERROR($BM$2&amp;VLOOKUP(D674,'Pay Table'!$M$3:$N$18,2,FALSE)&amp;$BL$2&amp;#REF!&amp;$BN$2,"")</f>
        <v/>
      </c>
      <c r="BO672" s="1" t="str">
        <f>IFERROR($BM$2&amp;VLOOKUP(E674,'Pay Table'!$M$3:$N$18,2,FALSE)&amp;$BL$2&amp;#REF!&amp;$BN$2,"")</f>
        <v/>
      </c>
      <c r="BP672" s="27" t="str">
        <f>IFERROR($BM$2&amp;VLOOKUP(F674,'Pay Table'!$M$3:$N$18,2,FALSE)&amp;$BL$2&amp;#REF!&amp;$BN$2,"")</f>
        <v/>
      </c>
    </row>
    <row r="673" spans="64:68" x14ac:dyDescent="0.15">
      <c r="BL673" s="26" t="str">
        <f>IFERROR($BM$2&amp;VLOOKUP(B675,'Pay Table'!$M$3:$N$18,2,FALSE)&amp;$BL$2&amp;#REF!&amp;$BN$2,"")</f>
        <v/>
      </c>
      <c r="BM673" s="1" t="str">
        <f>IFERROR($BM$2&amp;VLOOKUP(C675,'Pay Table'!$M$3:$N$18,2,FALSE)&amp;$BL$2&amp;#REF!&amp;$BN$2,"")</f>
        <v/>
      </c>
      <c r="BN673" s="1" t="str">
        <f>IFERROR($BM$2&amp;VLOOKUP(D675,'Pay Table'!$M$3:$N$18,2,FALSE)&amp;$BL$2&amp;#REF!&amp;$BN$2,"")</f>
        <v/>
      </c>
      <c r="BO673" s="1" t="str">
        <f>IFERROR($BM$2&amp;VLOOKUP(E675,'Pay Table'!$M$3:$N$18,2,FALSE)&amp;$BL$2&amp;#REF!&amp;$BN$2,"")</f>
        <v/>
      </c>
      <c r="BP673" s="27" t="str">
        <f>IFERROR($BM$2&amp;VLOOKUP(F675,'Pay Table'!$M$3:$N$18,2,FALSE)&amp;$BL$2&amp;#REF!&amp;$BN$2,"")</f>
        <v/>
      </c>
    </row>
    <row r="674" spans="64:68" x14ac:dyDescent="0.15">
      <c r="BL674" s="26" t="str">
        <f>IFERROR($BM$2&amp;VLOOKUP(B676,'Pay Table'!$M$3:$N$18,2,FALSE)&amp;$BL$2&amp;#REF!&amp;$BN$2,"")</f>
        <v/>
      </c>
      <c r="BM674" s="1" t="str">
        <f>IFERROR($BM$2&amp;VLOOKUP(C676,'Pay Table'!$M$3:$N$18,2,FALSE)&amp;$BL$2&amp;#REF!&amp;$BN$2,"")</f>
        <v/>
      </c>
      <c r="BN674" s="1" t="str">
        <f>IFERROR($BM$2&amp;VLOOKUP(D676,'Pay Table'!$M$3:$N$18,2,FALSE)&amp;$BL$2&amp;#REF!&amp;$BN$2,"")</f>
        <v/>
      </c>
      <c r="BO674" s="1" t="str">
        <f>IFERROR($BM$2&amp;VLOOKUP(E676,'Pay Table'!$M$3:$N$18,2,FALSE)&amp;$BL$2&amp;#REF!&amp;$BN$2,"")</f>
        <v/>
      </c>
      <c r="BP674" s="27" t="str">
        <f>IFERROR($BM$2&amp;VLOOKUP(F676,'Pay Table'!$M$3:$N$18,2,FALSE)&amp;$BL$2&amp;#REF!&amp;$BN$2,"")</f>
        <v/>
      </c>
    </row>
    <row r="675" spans="64:68" x14ac:dyDescent="0.15">
      <c r="BL675" s="26" t="str">
        <f>IFERROR($BM$2&amp;VLOOKUP(B677,'Pay Table'!$M$3:$N$18,2,FALSE)&amp;$BL$2&amp;#REF!&amp;$BN$2,"")</f>
        <v/>
      </c>
      <c r="BM675" s="1" t="str">
        <f>IFERROR($BM$2&amp;VLOOKUP(C677,'Pay Table'!$M$3:$N$18,2,FALSE)&amp;$BL$2&amp;#REF!&amp;$BN$2,"")</f>
        <v/>
      </c>
      <c r="BN675" s="1" t="str">
        <f>IFERROR($BM$2&amp;VLOOKUP(D677,'Pay Table'!$M$3:$N$18,2,FALSE)&amp;$BL$2&amp;#REF!&amp;$BN$2,"")</f>
        <v/>
      </c>
      <c r="BO675" s="1" t="str">
        <f>IFERROR($BM$2&amp;VLOOKUP(E677,'Pay Table'!$M$3:$N$18,2,FALSE)&amp;$BL$2&amp;#REF!&amp;$BN$2,"")</f>
        <v/>
      </c>
      <c r="BP675" s="27" t="str">
        <f>IFERROR($BM$2&amp;VLOOKUP(F677,'Pay Table'!$M$3:$N$18,2,FALSE)&amp;$BL$2&amp;#REF!&amp;$BN$2,"")</f>
        <v/>
      </c>
    </row>
    <row r="676" spans="64:68" x14ac:dyDescent="0.15">
      <c r="BL676" s="26" t="str">
        <f>IFERROR($BM$2&amp;VLOOKUP(B678,'Pay Table'!$M$3:$N$18,2,FALSE)&amp;$BL$2&amp;#REF!&amp;$BN$2,"")</f>
        <v/>
      </c>
      <c r="BM676" s="1" t="str">
        <f>IFERROR($BM$2&amp;VLOOKUP(C678,'Pay Table'!$M$3:$N$18,2,FALSE)&amp;$BL$2&amp;#REF!&amp;$BN$2,"")</f>
        <v/>
      </c>
      <c r="BN676" s="1" t="str">
        <f>IFERROR($BM$2&amp;VLOOKUP(D678,'Pay Table'!$M$3:$N$18,2,FALSE)&amp;$BL$2&amp;#REF!&amp;$BN$2,"")</f>
        <v/>
      </c>
      <c r="BO676" s="1" t="str">
        <f>IFERROR($BM$2&amp;VLOOKUP(E678,'Pay Table'!$M$3:$N$18,2,FALSE)&amp;$BL$2&amp;#REF!&amp;$BN$2,"")</f>
        <v/>
      </c>
      <c r="BP676" s="27" t="str">
        <f>IFERROR($BM$2&amp;VLOOKUP(F678,'Pay Table'!$M$3:$N$18,2,FALSE)&amp;$BL$2&amp;#REF!&amp;$BN$2,"")</f>
        <v/>
      </c>
    </row>
    <row r="677" spans="64:68" x14ac:dyDescent="0.15">
      <c r="BL677" s="26" t="str">
        <f>IFERROR($BM$2&amp;VLOOKUP(B679,'Pay Table'!$M$3:$N$18,2,FALSE)&amp;$BL$2&amp;#REF!&amp;$BN$2,"")</f>
        <v/>
      </c>
      <c r="BM677" s="1" t="str">
        <f>IFERROR($BM$2&amp;VLOOKUP(C679,'Pay Table'!$M$3:$N$18,2,FALSE)&amp;$BL$2&amp;#REF!&amp;$BN$2,"")</f>
        <v/>
      </c>
      <c r="BN677" s="1" t="str">
        <f>IFERROR($BM$2&amp;VLOOKUP(D679,'Pay Table'!$M$3:$N$18,2,FALSE)&amp;$BL$2&amp;#REF!&amp;$BN$2,"")</f>
        <v/>
      </c>
      <c r="BO677" s="1" t="str">
        <f>IFERROR($BM$2&amp;VLOOKUP(E679,'Pay Table'!$M$3:$N$18,2,FALSE)&amp;$BL$2&amp;#REF!&amp;$BN$2,"")</f>
        <v/>
      </c>
      <c r="BP677" s="27" t="str">
        <f>IFERROR($BM$2&amp;VLOOKUP(F679,'Pay Table'!$M$3:$N$18,2,FALSE)&amp;$BL$2&amp;#REF!&amp;$BN$2,"")</f>
        <v/>
      </c>
    </row>
    <row r="678" spans="64:68" x14ac:dyDescent="0.15">
      <c r="BL678" s="26" t="str">
        <f>IFERROR($BM$2&amp;VLOOKUP(B680,'Pay Table'!$M$3:$N$18,2,FALSE)&amp;$BL$2&amp;#REF!&amp;$BN$2,"")</f>
        <v/>
      </c>
      <c r="BM678" s="1" t="str">
        <f>IFERROR($BM$2&amp;VLOOKUP(C680,'Pay Table'!$M$3:$N$18,2,FALSE)&amp;$BL$2&amp;#REF!&amp;$BN$2,"")</f>
        <v/>
      </c>
      <c r="BN678" s="1" t="str">
        <f>IFERROR($BM$2&amp;VLOOKUP(D680,'Pay Table'!$M$3:$N$18,2,FALSE)&amp;$BL$2&amp;#REF!&amp;$BN$2,"")</f>
        <v/>
      </c>
      <c r="BO678" s="1" t="str">
        <f>IFERROR($BM$2&amp;VLOOKUP(E680,'Pay Table'!$M$3:$N$18,2,FALSE)&amp;$BL$2&amp;#REF!&amp;$BN$2,"")</f>
        <v/>
      </c>
      <c r="BP678" s="27" t="str">
        <f>IFERROR($BM$2&amp;VLOOKUP(F680,'Pay Table'!$M$3:$N$18,2,FALSE)&amp;$BL$2&amp;#REF!&amp;$BN$2,"")</f>
        <v/>
      </c>
    </row>
    <row r="679" spans="64:68" x14ac:dyDescent="0.15">
      <c r="BL679" s="26" t="str">
        <f>IFERROR($BM$2&amp;VLOOKUP(B681,'Pay Table'!$M$3:$N$18,2,FALSE)&amp;$BL$2&amp;#REF!&amp;$BN$2,"")</f>
        <v/>
      </c>
      <c r="BM679" s="1" t="str">
        <f>IFERROR($BM$2&amp;VLOOKUP(C681,'Pay Table'!$M$3:$N$18,2,FALSE)&amp;$BL$2&amp;#REF!&amp;$BN$2,"")</f>
        <v/>
      </c>
      <c r="BN679" s="1" t="str">
        <f>IFERROR($BM$2&amp;VLOOKUP(D681,'Pay Table'!$M$3:$N$18,2,FALSE)&amp;$BL$2&amp;#REF!&amp;$BN$2,"")</f>
        <v/>
      </c>
      <c r="BO679" s="1" t="str">
        <f>IFERROR($BM$2&amp;VLOOKUP(E681,'Pay Table'!$M$3:$N$18,2,FALSE)&amp;$BL$2&amp;#REF!&amp;$BN$2,"")</f>
        <v/>
      </c>
      <c r="BP679" s="27" t="str">
        <f>IFERROR($BM$2&amp;VLOOKUP(F681,'Pay Table'!$M$3:$N$18,2,FALSE)&amp;$BL$2&amp;#REF!&amp;$BN$2,"")</f>
        <v/>
      </c>
    </row>
    <row r="680" spans="64:68" x14ac:dyDescent="0.15">
      <c r="BL680" s="26" t="str">
        <f>IFERROR($BM$2&amp;VLOOKUP(B682,'Pay Table'!$M$3:$N$18,2,FALSE)&amp;$BL$2&amp;#REF!&amp;$BN$2,"")</f>
        <v/>
      </c>
      <c r="BM680" s="1" t="str">
        <f>IFERROR($BM$2&amp;VLOOKUP(C682,'Pay Table'!$M$3:$N$18,2,FALSE)&amp;$BL$2&amp;#REF!&amp;$BN$2,"")</f>
        <v/>
      </c>
      <c r="BN680" s="1" t="str">
        <f>IFERROR($BM$2&amp;VLOOKUP(D682,'Pay Table'!$M$3:$N$18,2,FALSE)&amp;$BL$2&amp;#REF!&amp;$BN$2,"")</f>
        <v/>
      </c>
      <c r="BO680" s="1" t="str">
        <f>IFERROR($BM$2&amp;VLOOKUP(E682,'Pay Table'!$M$3:$N$18,2,FALSE)&amp;$BL$2&amp;#REF!&amp;$BN$2,"")</f>
        <v/>
      </c>
      <c r="BP680" s="27" t="str">
        <f>IFERROR($BM$2&amp;VLOOKUP(F682,'Pay Table'!$M$3:$N$18,2,FALSE)&amp;$BL$2&amp;#REF!&amp;$BN$2,"")</f>
        <v/>
      </c>
    </row>
    <row r="681" spans="64:68" ht="15.75" thickBot="1" x14ac:dyDescent="0.2">
      <c r="BL681" s="29" t="str">
        <f>IFERROR($BM$2&amp;VLOOKUP(B683,'Pay Table'!$M$3:$N$18,2,FALSE)&amp;$BL$2&amp;#REF!&amp;$BN$2,"")</f>
        <v/>
      </c>
      <c r="BM681" s="34" t="str">
        <f>IFERROR($BM$2&amp;VLOOKUP(C683,'Pay Table'!$M$3:$N$18,2,FALSE)&amp;$BL$2&amp;#REF!&amp;$BN$2,"")</f>
        <v/>
      </c>
      <c r="BN681" s="34" t="str">
        <f>IFERROR($BM$2&amp;VLOOKUP(D683,'Pay Table'!$M$3:$N$18,2,FALSE)&amp;$BL$2&amp;#REF!&amp;$BN$2,"")</f>
        <v/>
      </c>
      <c r="BO681" s="34" t="str">
        <f>IFERROR($BM$2&amp;VLOOKUP(E683,'Pay Table'!$M$3:$N$18,2,FALSE)&amp;$BL$2&amp;#REF!&amp;$BN$2,"")</f>
        <v/>
      </c>
      <c r="BP681" s="28" t="str">
        <f>IFERROR($BM$2&amp;VLOOKUP(F683,'Pay Table'!$M$3:$N$18,2,FALSE)&amp;$BL$2&amp;#REF!&amp;$BN$2,"")</f>
        <v/>
      </c>
    </row>
  </sheetData>
  <mergeCells count="2">
    <mergeCell ref="AF3:AF7"/>
    <mergeCell ref="AF9:AF13"/>
  </mergeCells>
  <phoneticPr fontId="8" type="noConversion"/>
  <conditionalFormatting sqref="A1:Q2 A3:A220 B217:Q220">
    <cfRule type="cellIs" dxfId="169" priority="142" operator="equal">
      <formula>"NONE"</formula>
    </cfRule>
  </conditionalFormatting>
  <conditionalFormatting sqref="A2:R2 A3:A47">
    <cfRule type="cellIs" dxfId="168" priority="141" operator="equal">
      <formula>"COIN"</formula>
    </cfRule>
  </conditionalFormatting>
  <conditionalFormatting sqref="B3:B63">
    <cfRule type="cellIs" dxfId="167" priority="48" operator="equal">
      <formula>"LINK"</formula>
    </cfRule>
    <cfRule type="cellIs" dxfId="166" priority="53" operator="equal">
      <formula>"SCATTER"</formula>
    </cfRule>
    <cfRule type="cellIs" dxfId="165" priority="54" operator="equal">
      <formula>"WILD"</formula>
    </cfRule>
  </conditionalFormatting>
  <conditionalFormatting sqref="B125:C134">
    <cfRule type="cellIs" dxfId="164" priority="108" operator="equal">
      <formula>"pear"</formula>
    </cfRule>
  </conditionalFormatting>
  <conditionalFormatting sqref="B84:D89 H84:J89 F84:G91 L84:M91 N84:O84 N85:Q91 H90:K91 B90:E218 F92:Q218">
    <cfRule type="cellIs" dxfId="163" priority="94" operator="equal">
      <formula>"LINK"</formula>
    </cfRule>
  </conditionalFormatting>
  <conditionalFormatting sqref="B93:D124 E93:Q137">
    <cfRule type="cellIs" dxfId="162" priority="104" operator="equal">
      <formula>"MIGHTCASH"</formula>
    </cfRule>
  </conditionalFormatting>
  <conditionalFormatting sqref="B1:K1 B2:M91 B92:K1048576">
    <cfRule type="cellIs" dxfId="161" priority="37" operator="equal">
      <formula>"M2"</formula>
    </cfRule>
    <cfRule type="cellIs" dxfId="160" priority="38" operator="equal">
      <formula>"M1"</formula>
    </cfRule>
  </conditionalFormatting>
  <conditionalFormatting sqref="B1:L1048576">
    <cfRule type="cellIs" dxfId="159" priority="8" operator="equal">
      <formula>"LINK"</formula>
    </cfRule>
  </conditionalFormatting>
  <conditionalFormatting sqref="B2:M91 B1:Q1 N2:R2 Q3:Q84 N4:P6 N8:P9 N17:P34 N35:O40 N42:O68 N70:O84 N85:Q91 B92:Q1048576 N11:P15">
    <cfRule type="cellIs" dxfId="158" priority="50" operator="equal">
      <formula>"LINK"</formula>
    </cfRule>
  </conditionalFormatting>
  <conditionalFormatting sqref="B90:Q92">
    <cfRule type="cellIs" dxfId="157" priority="96" operator="equal">
      <formula>"SCATTER"</formula>
    </cfRule>
  </conditionalFormatting>
  <conditionalFormatting sqref="B93:Q1048576 B1:Q2">
    <cfRule type="cellIs" dxfId="156" priority="143" operator="equal">
      <formula>"WILD"</formula>
    </cfRule>
  </conditionalFormatting>
  <conditionalFormatting sqref="B138:Q204">
    <cfRule type="cellIs" dxfId="155" priority="110" operator="equal">
      <formula>"link"</formula>
    </cfRule>
    <cfRule type="cellIs" dxfId="154" priority="111" operator="equal">
      <formula>"scatter"</formula>
    </cfRule>
    <cfRule type="cellIs" dxfId="153" priority="112" operator="equal">
      <formula>"scatter"</formula>
    </cfRule>
    <cfRule type="cellIs" dxfId="152" priority="113" operator="equal">
      <formula>"wild"</formula>
    </cfRule>
  </conditionalFormatting>
  <conditionalFormatting sqref="B205:Q207">
    <cfRule type="cellIs" dxfId="151" priority="138" operator="equal">
      <formula>"SCATTER"</formula>
    </cfRule>
  </conditionalFormatting>
  <conditionalFormatting sqref="B205:Q218">
    <cfRule type="cellIs" dxfId="150" priority="134" operator="equal">
      <formula>"WILD"</formula>
    </cfRule>
    <cfRule type="cellIs" dxfId="149" priority="135" operator="equal">
      <formula>"SCATTER"</formula>
    </cfRule>
    <cfRule type="cellIs" dxfId="148" priority="136" operator="equal">
      <formula>"LINK_2"</formula>
    </cfRule>
    <cfRule type="cellIs" dxfId="147" priority="137" operator="equal">
      <formula>"LINK_1"</formula>
    </cfRule>
  </conditionalFormatting>
  <conditionalFormatting sqref="C15:C60">
    <cfRule type="cellIs" dxfId="146" priority="60" operator="equal">
      <formula>"LINK"</formula>
    </cfRule>
    <cfRule type="cellIs" dxfId="145" priority="61" operator="equal">
      <formula>"SCATTER"</formula>
    </cfRule>
  </conditionalFormatting>
  <conditionalFormatting sqref="C61:C62 I61:I62 C63:D63 I63:J63 B64:D82 H64:J82 F74:G82 L74:M82 N74:O83">
    <cfRule type="cellIs" dxfId="144" priority="81" operator="equal">
      <formula>"SCATTER"</formula>
    </cfRule>
  </conditionalFormatting>
  <conditionalFormatting sqref="C61:C62 I61:I62 C63:D63 I63:J63 B64:D82 H64:J82 F74:G82 L74:M82 N74:O84 B84:M91 N85:Q91 B92:Q92">
    <cfRule type="cellIs" dxfId="143" priority="79" operator="equal">
      <formula>"WILD"</formula>
    </cfRule>
  </conditionalFormatting>
  <conditionalFormatting sqref="C61:C64 D63:D82">
    <cfRule type="cellIs" dxfId="142" priority="83" operator="equal">
      <formula>"LINK"</formula>
    </cfRule>
  </conditionalFormatting>
  <conditionalFormatting sqref="D6:D51 D58:D62">
    <cfRule type="cellIs" dxfId="141" priority="57" operator="equal">
      <formula>"BONUS"</formula>
    </cfRule>
    <cfRule type="cellIs" dxfId="140" priority="58" operator="equal">
      <formula>"SCATTER"</formula>
    </cfRule>
  </conditionalFormatting>
  <conditionalFormatting sqref="D13:D51">
    <cfRule type="cellIs" dxfId="139" priority="56" operator="equal">
      <formula>"LINK"</formula>
    </cfRule>
  </conditionalFormatting>
  <conditionalFormatting sqref="D93:D134 B135:Q137">
    <cfRule type="cellIs" dxfId="138" priority="109" operator="equal">
      <formula>"pear"</formula>
    </cfRule>
  </conditionalFormatting>
  <conditionalFormatting sqref="E8">
    <cfRule type="cellIs" dxfId="137" priority="7" operator="equal">
      <formula>"LINK"</formula>
    </cfRule>
  </conditionalFormatting>
  <conditionalFormatting sqref="E24:E31 E53:E59">
    <cfRule type="cellIs" dxfId="136" priority="65" operator="equal">
      <formula>"LINK"</formula>
    </cfRule>
  </conditionalFormatting>
  <conditionalFormatting sqref="E40">
    <cfRule type="cellIs" dxfId="135" priority="6" operator="equal">
      <formula>"LINK"</formula>
    </cfRule>
  </conditionalFormatting>
  <conditionalFormatting sqref="E72:E83">
    <cfRule type="cellIs" dxfId="134" priority="3" operator="equal">
      <formula>"LINK"</formula>
    </cfRule>
  </conditionalFormatting>
  <conditionalFormatting sqref="E74">
    <cfRule type="cellIs" dxfId="133" priority="4" operator="equal">
      <formula>"BONUS"</formula>
    </cfRule>
    <cfRule type="cellIs" dxfId="132" priority="5" operator="equal">
      <formula>"SCATTER"</formula>
    </cfRule>
  </conditionalFormatting>
  <conditionalFormatting sqref="E84:E89">
    <cfRule type="cellIs" dxfId="131" priority="78" operator="equal">
      <formula>"SCATTER"</formula>
    </cfRule>
  </conditionalFormatting>
  <conditionalFormatting sqref="E125:Q134">
    <cfRule type="cellIs" dxfId="130" priority="105" operator="equal">
      <formula>"pear"</formula>
    </cfRule>
  </conditionalFormatting>
  <conditionalFormatting sqref="F3:G73 L3:M73 N11:P15 N17:P34 N35:O40 N42:O68 B59:B61 H59:H61 N70:O73">
    <cfRule type="cellIs" dxfId="129" priority="49" operator="equal">
      <formula>"bonus"</formula>
    </cfRule>
  </conditionalFormatting>
  <conditionalFormatting sqref="F42:G46 L42:O46 B65:C82 H65:I82 F74:G83 L74:M83 B83:D89 H83:J89 E84:G89 K84:M89">
    <cfRule type="cellIs" dxfId="128" priority="88" operator="equal">
      <formula>"LINK"</formula>
    </cfRule>
  </conditionalFormatting>
  <conditionalFormatting sqref="H3:H63">
    <cfRule type="cellIs" dxfId="127" priority="26" operator="equal">
      <formula>"LINK"</formula>
    </cfRule>
    <cfRule type="cellIs" dxfId="126" priority="27" operator="equal">
      <formula>"SCATTER"</formula>
    </cfRule>
    <cfRule type="cellIs" dxfId="125" priority="28" operator="equal">
      <formula>"WILD"</formula>
    </cfRule>
  </conditionalFormatting>
  <conditionalFormatting sqref="I15:I60">
    <cfRule type="cellIs" dxfId="124" priority="32" operator="equal">
      <formula>"LINK"</formula>
    </cfRule>
    <cfRule type="cellIs" dxfId="123" priority="33" operator="equal">
      <formula>"SCATTER"</formula>
    </cfRule>
  </conditionalFormatting>
  <conditionalFormatting sqref="I61:I64 J63:J82">
    <cfRule type="cellIs" dxfId="122" priority="36" operator="equal">
      <formula>"LINK"</formula>
    </cfRule>
  </conditionalFormatting>
  <conditionalFormatting sqref="J6:J51 J58:J62">
    <cfRule type="cellIs" dxfId="121" priority="30" operator="equal">
      <formula>"BONUS"</formula>
    </cfRule>
    <cfRule type="cellIs" dxfId="120" priority="31" operator="equal">
      <formula>"SCATTER"</formula>
    </cfRule>
  </conditionalFormatting>
  <conditionalFormatting sqref="J13:J51">
    <cfRule type="cellIs" dxfId="119" priority="29" operator="equal">
      <formula>"LINK"</formula>
    </cfRule>
  </conditionalFormatting>
  <conditionalFormatting sqref="K24:K31 K53:K59 K72:K83">
    <cfRule type="cellIs" dxfId="118" priority="34" operator="equal">
      <formula>"LINK"</formula>
    </cfRule>
  </conditionalFormatting>
  <conditionalFormatting sqref="K84:K89">
    <cfRule type="cellIs" dxfId="117" priority="35" operator="equal">
      <formula>"SCATTER"</formula>
    </cfRule>
  </conditionalFormatting>
  <conditionalFormatting sqref="N1:O1048576">
    <cfRule type="cellIs" dxfId="116" priority="9" operator="between">
      <formula>50</formula>
      <formula>250</formula>
    </cfRule>
    <cfRule type="cellIs" dxfId="115" priority="10" operator="equal">
      <formula>750</formula>
    </cfRule>
    <cfRule type="cellIs" dxfId="114" priority="11" operator="equal">
      <formula>2500</formula>
    </cfRule>
    <cfRule type="cellIs" dxfId="113" priority="12" operator="equal">
      <formula>5000</formula>
    </cfRule>
    <cfRule type="cellIs" dxfId="112" priority="13" operator="equal">
      <formula>"X5"</formula>
    </cfRule>
    <cfRule type="cellIs" dxfId="111" priority="14" operator="equal">
      <formula>"X8"</formula>
    </cfRule>
    <cfRule type="cellIs" dxfId="110" priority="15" operator="equal">
      <formula>"X7"</formula>
    </cfRule>
    <cfRule type="cellIs" dxfId="109" priority="16" operator="equal">
      <formula>"X10"</formula>
    </cfRule>
    <cfRule type="cellIs" dxfId="108" priority="17" operator="equal">
      <formula>"MAJOR"</formula>
    </cfRule>
  </conditionalFormatting>
  <conditionalFormatting sqref="N80:O80">
    <cfRule type="cellIs" dxfId="107" priority="2" operator="equal">
      <formula>0</formula>
    </cfRule>
  </conditionalFormatting>
  <conditionalFormatting sqref="N81:O83">
    <cfRule type="cellIs" dxfId="106" priority="40" operator="equal">
      <formula>0</formula>
    </cfRule>
  </conditionalFormatting>
  <conditionalFormatting sqref="N84:O84 B84:D89 F84:J89 L84:M89 N85:Q89">
    <cfRule type="cellIs" dxfId="105" priority="90" operator="equal">
      <formula>"MAGIC"</formula>
    </cfRule>
    <cfRule type="cellIs" dxfId="104" priority="93" operator="equal">
      <formula>"SCATTER"</formula>
    </cfRule>
  </conditionalFormatting>
  <conditionalFormatting sqref="N35:O79 N3:P34">
    <cfRule type="cellIs" dxfId="103" priority="41" operator="equal">
      <formula>0</formula>
    </cfRule>
  </conditionalFormatting>
  <conditionalFormatting sqref="N4:P6 N8:P9 N17:P34 N35:O40 N42:O68 N70:O84 B2:M91 B1:Q1 N2:R2 Q3:Q84 N85:Q91 B92:Q1048576 N11:P15">
    <cfRule type="cellIs" dxfId="102" priority="52" operator="equal">
      <formula>"SCATTER"</formula>
    </cfRule>
  </conditionalFormatting>
  <conditionalFormatting sqref="N4:P6 N8:P9 N17:P34 N35:O40 N42:O68 N70:O84 B2:M91 N2:R2 B1:Q1 Q3:Q84 N85:Q91 B92:Q1048576 N11:P15">
    <cfRule type="cellIs" dxfId="101" priority="51" operator="equal">
      <formula>"WILD"</formula>
    </cfRule>
  </conditionalFormatting>
  <conditionalFormatting sqref="P1:P34 P85:P1048576">
    <cfRule type="cellIs" dxfId="100" priority="39" operator="equal">
      <formula>95</formula>
    </cfRule>
  </conditionalFormatting>
  <conditionalFormatting sqref="Q3:Q84 N4:P6 N8:P9">
    <cfRule type="cellIs" dxfId="99" priority="67" operator="equal">
      <formula>"bonus"</formula>
    </cfRule>
  </conditionalFormatting>
  <conditionalFormatting sqref="R2">
    <cfRule type="cellIs" dxfId="98" priority="24" operator="equal">
      <formula>"NONE"</formula>
    </cfRule>
    <cfRule type="cellIs" dxfId="97" priority="25" operator="equal">
      <formula>"WILD"</formula>
    </cfRule>
  </conditionalFormatting>
  <conditionalFormatting sqref="S3:S13">
    <cfRule type="cellIs" dxfId="96" priority="217" operator="equal">
      <formula>$R$5</formula>
    </cfRule>
    <cfRule type="cellIs" dxfId="95" priority="218" operator="equal">
      <formula>$R$4</formula>
    </cfRule>
    <cfRule type="cellIs" dxfId="94" priority="219" operator="equal">
      <formula>$R$3</formula>
    </cfRule>
    <cfRule type="cellIs" dxfId="93" priority="220" operator="equal">
      <formula>#REF!</formula>
    </cfRule>
    <cfRule type="cellIs" dxfId="92" priority="221" operator="equal">
      <formula>#REF!</formula>
    </cfRule>
  </conditionalFormatting>
  <conditionalFormatting sqref="AK1:AL1">
    <cfRule type="cellIs" dxfId="91" priority="18" operator="equal">
      <formula>"LINK"</formula>
    </cfRule>
    <cfRule type="cellIs" dxfId="90" priority="19" operator="equal">
      <formula>"WILD"</formula>
    </cfRule>
    <cfRule type="cellIs" dxfId="89" priority="20" operator="equal">
      <formula>"SCATTER"</formula>
    </cfRule>
    <cfRule type="cellIs" dxfId="88" priority="21" operator="equal">
      <formula>"COIN"</formula>
    </cfRule>
    <cfRule type="cellIs" dxfId="87" priority="22" operator="equal">
      <formula>"NONE"</formula>
    </cfRule>
    <cfRule type="cellIs" dxfId="86" priority="23" operator="equal">
      <formula>"WILD"</formula>
    </cfRule>
  </conditionalFormatting>
  <conditionalFormatting sqref="BL2:BP96 BM97:BP139 BL97:BL149">
    <cfRule type="cellIs" dxfId="85" priority="149" operator="equal">
      <formula>#REF!</formula>
    </cfRule>
    <cfRule type="cellIs" dxfId="84" priority="150" operator="equal">
      <formula>#REF!</formula>
    </cfRule>
    <cfRule type="cellIs" dxfId="83" priority="151" operator="equal">
      <formula>#REF!</formula>
    </cfRule>
    <cfRule type="cellIs" dxfId="82" priority="152" operator="equal">
      <formula>#REF!</formula>
    </cfRule>
    <cfRule type="cellIs" dxfId="81" priority="153" operator="equal">
      <formula>#REF!</formula>
    </cfRule>
  </conditionalFormatting>
  <conditionalFormatting sqref="N11:O11">
    <cfRule type="cellIs" dxfId="0" priority="1" operator="equal">
      <formula>"bonus"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C63A-A1E0-4ED2-82E5-6643A69EEE8C}">
  <dimension ref="A2:BL684"/>
  <sheetViews>
    <sheetView topLeftCell="B1" workbookViewId="0">
      <selection activeCell="Q24" sqref="Q24"/>
    </sheetView>
  </sheetViews>
  <sheetFormatPr defaultColWidth="9" defaultRowHeight="15" x14ac:dyDescent="0.15"/>
  <cols>
    <col min="1" max="1" width="9.125" style="1" customWidth="1"/>
    <col min="2" max="3" width="13.125" style="10" customWidth="1"/>
    <col min="4" max="5" width="12.5" style="10" customWidth="1"/>
    <col min="6" max="7" width="12" style="10" customWidth="1"/>
    <col min="8" max="9" width="12.125" style="10" customWidth="1"/>
    <col min="10" max="10" width="12.5" style="10" customWidth="1"/>
    <col min="11" max="11" width="8.875" style="10" customWidth="1"/>
    <col min="12" max="13" width="9" style="1"/>
    <col min="14" max="14" width="29" style="1" bestFit="1" customWidth="1"/>
    <col min="15" max="19" width="11.625" style="1" customWidth="1"/>
    <col min="20" max="20" width="12.625" style="1" customWidth="1"/>
    <col min="21" max="48" width="11.625" style="1" customWidth="1"/>
    <col min="49" max="49" width="12" style="1" bestFit="1" customWidth="1"/>
    <col min="50" max="16384" width="9" style="1"/>
  </cols>
  <sheetData>
    <row r="2" spans="1:64" ht="17.100000000000001" customHeight="1" x14ac:dyDescent="0.15">
      <c r="A2" s="30" t="s">
        <v>5</v>
      </c>
      <c r="B2" s="11"/>
      <c r="C2" s="11"/>
      <c r="D2" s="11"/>
      <c r="E2" s="11"/>
      <c r="F2" s="11"/>
      <c r="G2" s="11"/>
      <c r="H2" s="11"/>
      <c r="I2" s="11"/>
      <c r="J2" s="11"/>
    </row>
    <row r="3" spans="1:64" ht="17.100000000000001" customHeight="1" thickBot="1" x14ac:dyDescent="0.3">
      <c r="A3" s="30"/>
      <c r="B3" s="12" t="s">
        <v>6</v>
      </c>
      <c r="C3" s="12"/>
      <c r="D3" s="12" t="s">
        <v>7</v>
      </c>
      <c r="E3" s="12"/>
      <c r="F3" s="12" t="s">
        <v>8</v>
      </c>
      <c r="G3" s="12"/>
      <c r="H3" s="12" t="s">
        <v>9</v>
      </c>
      <c r="I3" s="12"/>
      <c r="J3" s="12" t="s">
        <v>10</v>
      </c>
      <c r="K3" s="12"/>
      <c r="N3" s="17" t="s">
        <v>70</v>
      </c>
      <c r="O3" s="18">
        <v>3</v>
      </c>
      <c r="P3" s="18">
        <v>3</v>
      </c>
      <c r="Q3" s="18">
        <v>3</v>
      </c>
      <c r="R3" s="18">
        <v>3</v>
      </c>
      <c r="S3" s="36">
        <v>3</v>
      </c>
      <c r="BB3" s="50" t="s">
        <v>57</v>
      </c>
      <c r="BC3" s="50" t="s">
        <v>53</v>
      </c>
      <c r="BD3" s="50" t="s">
        <v>52</v>
      </c>
      <c r="BE3" s="50"/>
      <c r="BF3" s="54"/>
    </row>
    <row r="4" spans="1:64" ht="17.100000000000001" customHeight="1" x14ac:dyDescent="0.15">
      <c r="A4" s="30"/>
      <c r="B4" s="44" t="str">
        <f>LOOKUP(COUNTA(B$6:B$291)-1,$A$6:$A$291,B$6:B$291)</f>
        <v>Q</v>
      </c>
      <c r="C4" s="45">
        <f t="shared" ref="C4:K4" si="0">LOOKUP(COUNTA(C$6:C$291)-1,$A$6:$A$291,C$6:C$291)</f>
        <v>100</v>
      </c>
      <c r="D4" s="45" t="str">
        <f t="shared" si="0"/>
        <v>M1</v>
      </c>
      <c r="E4" s="45">
        <f t="shared" si="0"/>
        <v>100</v>
      </c>
      <c r="F4" s="45" t="str">
        <f t="shared" si="0"/>
        <v>LINK</v>
      </c>
      <c r="G4" s="45">
        <f t="shared" si="0"/>
        <v>100</v>
      </c>
      <c r="H4" s="45" t="str">
        <f t="shared" si="0"/>
        <v>M1</v>
      </c>
      <c r="I4" s="45">
        <f t="shared" si="0"/>
        <v>100</v>
      </c>
      <c r="J4" s="45" t="str">
        <f t="shared" si="0"/>
        <v>K</v>
      </c>
      <c r="K4" s="46">
        <f t="shared" si="0"/>
        <v>100</v>
      </c>
      <c r="L4" s="31"/>
      <c r="BB4" s="57" t="str">
        <f>IFERROR($BC$3&amp;VLOOKUP(B6,'Pay Table'!$M$3:$N$18,2,FALSE)&amp;$BB$3&amp;C6&amp;$BD$3,"")</f>
        <v>[2,100]</v>
      </c>
      <c r="BC4" s="58" t="str">
        <f>IFERROR($BC$3&amp;VLOOKUP(D6,'Pay Table'!$M$3:$N$18,2,FALSE)&amp;$BB$3&amp;E6&amp;$BD$3,"")</f>
        <v>[1,100]</v>
      </c>
      <c r="BD4" s="58" t="str">
        <f>IFERROR($BC$3&amp;VLOOKUP(F6,'Pay Table'!$M$3:$N$18,2,FALSE)&amp;$BB$3&amp;G6&amp;$BD$3,"")</f>
        <v>[4,100]</v>
      </c>
      <c r="BE4" s="33" t="str">
        <f>IFERROR($BC$3&amp;VLOOKUP(H6,'Pay Table'!$M$3:$N$18,2,FALSE)&amp;$BB$3&amp;I6&amp;$BD$3,"")</f>
        <v>[1,100]</v>
      </c>
      <c r="BF4" s="25" t="str">
        <f>IFERROR($BC$3&amp;VLOOKUP(J6,'Pay Table'!$M$3:$N$18,2,FALSE)&amp;$BB$3&amp;K6&amp;$BD$3,"")</f>
        <v>[3,100]</v>
      </c>
      <c r="BG4" s="1" t="str">
        <f>IFERROR($BC$3&amp;VLOOKUP(G6,'Pay Table'!$M$3:$N$18,2,FALSE)&amp;$BB$3&amp;H6&amp;$BD$3,"")</f>
        <v/>
      </c>
      <c r="BI4" s="1" t="str">
        <f>IFERROR($BC$3&amp;VLOOKUP(I6,'Pay Table'!$M$3:$N$18,2,FALSE)&amp;$BB$3&amp;J6&amp;$BD$3,"")</f>
        <v/>
      </c>
      <c r="BK4" s="1" t="str">
        <f>IFERROR($BC$3&amp;VLOOKUP(K6,'Pay Table'!$M$3:$N$18,2,FALSE)&amp;$BB$3&amp;L6&amp;$BD$3,"")</f>
        <v/>
      </c>
      <c r="BL4" s="1" t="str">
        <f>IFERROR($BC$3&amp;VLOOKUP(L6,'Pay Table'!$M$3:$N$18,2,FALSE)&amp;$BB$3&amp;M6&amp;$BD$3,"")</f>
        <v/>
      </c>
    </row>
    <row r="5" spans="1:64" ht="17.100000000000001" customHeight="1" thickBot="1" x14ac:dyDescent="0.2">
      <c r="A5" s="30"/>
      <c r="B5" s="35" t="str">
        <f>LOOKUP(COUNTA(B$6:B$291),$A$6:$A$291,B$6:B$291)</f>
        <v>M4</v>
      </c>
      <c r="C5" s="41">
        <f t="shared" ref="C5:K5" si="1">LOOKUP(COUNTA(C$6:C$291),$A$6:$A$291,C$6:C$291)</f>
        <v>100</v>
      </c>
      <c r="D5" s="41" t="str">
        <f t="shared" si="1"/>
        <v>J</v>
      </c>
      <c r="E5" s="41">
        <f t="shared" si="1"/>
        <v>100</v>
      </c>
      <c r="F5" s="41" t="str">
        <f t="shared" si="1"/>
        <v>M1</v>
      </c>
      <c r="G5" s="41">
        <f t="shared" si="1"/>
        <v>100</v>
      </c>
      <c r="H5" s="41" t="str">
        <f t="shared" si="1"/>
        <v>A</v>
      </c>
      <c r="I5" s="41">
        <f t="shared" si="1"/>
        <v>100</v>
      </c>
      <c r="J5" s="41" t="str">
        <f t="shared" si="1"/>
        <v>A</v>
      </c>
      <c r="K5" s="42">
        <f t="shared" si="1"/>
        <v>100</v>
      </c>
      <c r="L5" s="31"/>
      <c r="N5" s="17"/>
      <c r="O5" s="18">
        <v>1</v>
      </c>
      <c r="P5" s="18">
        <v>2</v>
      </c>
      <c r="Q5" s="18">
        <v>3</v>
      </c>
      <c r="R5" s="18">
        <v>4</v>
      </c>
      <c r="S5" s="36">
        <v>5</v>
      </c>
      <c r="BB5" s="59" t="str">
        <f>IFERROR($BC$3&amp;VLOOKUP(B7,'Pay Table'!$M$3:$N$18,2,FALSE)&amp;$BB$3&amp;C7&amp;$BD$3,"")</f>
        <v>[5,100]</v>
      </c>
      <c r="BC5" s="49" t="str">
        <f>IFERROR($BC$3&amp;VLOOKUP(D7,'Pay Table'!$M$3:$N$18,2,FALSE)&amp;$BB$3&amp;E7&amp;$BD$3,"")</f>
        <v>[7,100]</v>
      </c>
      <c r="BD5" s="49" t="str">
        <f>IFERROR($BC$3&amp;VLOOKUP(F7,'Pay Table'!$M$3:$N$18,2,FALSE)&amp;$BB$3&amp;G7&amp;$BD$3,"")</f>
        <v>[3,100]</v>
      </c>
      <c r="BE5" s="49" t="str">
        <f>IFERROR($BC$3&amp;VLOOKUP(H7,'Pay Table'!$M$3:$N$18,2,FALSE)&amp;$BB$3&amp;I7&amp;$BD$3,"")</f>
        <v>[0,100]</v>
      </c>
      <c r="BF5" s="60" t="str">
        <f>IFERROR($BC$3&amp;VLOOKUP(J7,'Pay Table'!$M$3:$N$18,2,FALSE)&amp;$BB$3&amp;K7&amp;$BD$3,"")</f>
        <v>[6,100]</v>
      </c>
    </row>
    <row r="6" spans="1:64" ht="17.100000000000001" customHeight="1" x14ac:dyDescent="0.15">
      <c r="A6" s="14">
        <v>1</v>
      </c>
      <c r="B6" s="10" t="s">
        <v>151</v>
      </c>
      <c r="C6" s="10">
        <v>100</v>
      </c>
      <c r="D6" s="10" t="s">
        <v>125</v>
      </c>
      <c r="E6" s="10">
        <v>100</v>
      </c>
      <c r="F6" s="10" t="s">
        <v>128</v>
      </c>
      <c r="G6" s="10">
        <v>100</v>
      </c>
      <c r="H6" s="10" t="s">
        <v>125</v>
      </c>
      <c r="I6" s="10">
        <v>100</v>
      </c>
      <c r="J6" s="10" t="s">
        <v>127</v>
      </c>
      <c r="K6" s="10">
        <v>100</v>
      </c>
      <c r="N6" s="4" t="str">
        <f>'Pay Table'!B17</f>
        <v>LINK</v>
      </c>
      <c r="O6" s="7">
        <f t="array" ref="O6">SUM(IF(B$6:B$289=$N6,1,0)*(C$6:C$289+C$5:C$288+C$4:C$287)/O$3)</f>
        <v>488.33333333333331</v>
      </c>
      <c r="P6" s="21">
        <f t="array" ref="P6">SUM(IF(D$6:D$289=$N6,1,0)*(E$6:E$289+E$5:E$288+E$4:E$287)/P$3)</f>
        <v>468.33333333333331</v>
      </c>
      <c r="Q6" s="21">
        <f t="array" ref="Q6">SUM(IF(F$6:F$289=$N6,1,0)*(G$6:G$289+G$5:G$288+G$4:G$287)/Q$3)</f>
        <v>488.33333333333331</v>
      </c>
      <c r="R6" s="21">
        <f t="array" ref="R6">SUM(IF(H$6:H$289=$N6,1,0)*(I$6:I$289+I$5:I$288+I$4:I$287)/R$3)</f>
        <v>488.33333333333331</v>
      </c>
      <c r="S6" s="20">
        <f t="array" ref="S6">SUM(IF(J$6:J$289=$N6,1,0)*(K$6:K$289+K$5:K$288+K$4:K$287)/S$3)</f>
        <v>488.33333333333331</v>
      </c>
      <c r="BB6" s="59" t="str">
        <f>IFERROR($BC$3&amp;VLOOKUP(B8,'Pay Table'!$M$3:$N$18,2,FALSE)&amp;$BB$3&amp;C8&amp;$BD$3,"")</f>
        <v>[7,100]</v>
      </c>
      <c r="BC6" s="49" t="str">
        <f>IFERROR($BC$3&amp;VLOOKUP(D8,'Pay Table'!$M$3:$N$18,2,FALSE)&amp;$BB$3&amp;E8&amp;$BD$3,"")</f>
        <v>[2,100]</v>
      </c>
      <c r="BD6" s="49" t="str">
        <f>IFERROR($BC$3&amp;VLOOKUP(F8,'Pay Table'!$M$3:$N$18,2,FALSE)&amp;$BB$3&amp;G8&amp;$BD$3,"")</f>
        <v>[5,100]</v>
      </c>
      <c r="BE6" s="49" t="str">
        <f>IFERROR($BC$3&amp;VLOOKUP(H8,'Pay Table'!$M$3:$N$18,2,FALSE)&amp;$BB$3&amp;I8&amp;$BD$3,"")</f>
        <v>[7,100]</v>
      </c>
      <c r="BF6" s="60" t="str">
        <f>IFERROR($BC$3&amp;VLOOKUP(J8,'Pay Table'!$M$3:$N$18,2,FALSE)&amp;$BB$3&amp;K8&amp;$BD$3,"")</f>
        <v>[94,15]</v>
      </c>
    </row>
    <row r="7" spans="1:64" ht="17.100000000000001" customHeight="1" x14ac:dyDescent="0.15">
      <c r="A7" s="14">
        <v>2</v>
      </c>
      <c r="B7" s="10" t="s">
        <v>123</v>
      </c>
      <c r="C7" s="10">
        <v>100</v>
      </c>
      <c r="D7" s="10" t="s">
        <v>119</v>
      </c>
      <c r="E7" s="10">
        <v>100</v>
      </c>
      <c r="F7" s="10" t="s">
        <v>127</v>
      </c>
      <c r="G7" s="10">
        <v>100</v>
      </c>
      <c r="H7" s="10" t="s">
        <v>124</v>
      </c>
      <c r="I7" s="10">
        <v>100</v>
      </c>
      <c r="J7" s="10" t="s">
        <v>121</v>
      </c>
      <c r="K7" s="10">
        <v>100</v>
      </c>
      <c r="L7" s="31"/>
      <c r="N7" s="4" t="str">
        <f>'Pay Table'!B6</f>
        <v>WILD</v>
      </c>
      <c r="O7" s="2">
        <f t="array" ref="O7">SUM(IF(B$6:B$289=$N7,1,0)*(C$6:C$289+C$5:C$288+C$4:C$287)/O$3)</f>
        <v>0</v>
      </c>
      <c r="P7" s="1">
        <f t="array" ref="P7">SUM(IF(D$6:D$289=$N7,1,0)*(E$6:E$289+E$5:E$288+E$4:E$287)/P$3)</f>
        <v>233.33333333333334</v>
      </c>
      <c r="Q7" s="1">
        <f t="array" ref="Q7">SUM(IF(F$6:F$289=$N7,1,0)*(G$6:G$289+G$5:G$288+G$4:G$287)/Q$3)</f>
        <v>200</v>
      </c>
      <c r="R7" s="1">
        <f t="array" ref="R7">SUM(IF(H$6:H$289=$N7,1,0)*(I$6:I$289+I$5:I$288+I$4:I$287)/R$3)</f>
        <v>300</v>
      </c>
      <c r="S7" s="5">
        <f t="array" ref="S7">SUM(IF(J$6:J$289=$N7,1,0)*(K$6:K$289+K$5:K$288+K$4:K$287)/S$3)</f>
        <v>400</v>
      </c>
      <c r="BB7" s="59" t="str">
        <f>IFERROR($BC$3&amp;VLOOKUP(B9,'Pay Table'!$M$3:$N$18,2,FALSE)&amp;$BB$3&amp;C9&amp;$BD$3,"")</f>
        <v>[94,15]</v>
      </c>
      <c r="BC7" s="49" t="str">
        <f>IFERROR($BC$3&amp;VLOOKUP(D9,'Pay Table'!$M$3:$N$18,2,FALSE)&amp;$BB$3&amp;E9&amp;$BD$3,"")</f>
        <v>[5,200]</v>
      </c>
      <c r="BD7" s="49" t="str">
        <f>IFERROR($BC$3&amp;VLOOKUP(F9,'Pay Table'!$M$3:$N$18,2,FALSE)&amp;$BB$3&amp;G9&amp;$BD$3,"")</f>
        <v>[1,100]</v>
      </c>
      <c r="BE7" s="49" t="str">
        <f>IFERROR($BC$3&amp;VLOOKUP(H9,'Pay Table'!$M$3:$N$18,2,FALSE)&amp;$BB$3&amp;I9&amp;$BD$3,"")</f>
        <v>[94,100]</v>
      </c>
      <c r="BF7" s="60" t="str">
        <f>IFERROR($BC$3&amp;VLOOKUP(J9,'Pay Table'!$M$3:$N$18,2,FALSE)&amp;$BB$3&amp;K9&amp;$BD$3,"")</f>
        <v>[94,80]</v>
      </c>
    </row>
    <row r="8" spans="1:64" ht="17.100000000000001" customHeight="1" x14ac:dyDescent="0.15">
      <c r="A8" s="14">
        <v>3</v>
      </c>
      <c r="B8" s="10" t="s">
        <v>119</v>
      </c>
      <c r="C8" s="10">
        <v>100</v>
      </c>
      <c r="D8" s="10" t="s">
        <v>126</v>
      </c>
      <c r="E8" s="10">
        <v>100</v>
      </c>
      <c r="F8" s="10" t="s">
        <v>123</v>
      </c>
      <c r="G8" s="10">
        <v>100</v>
      </c>
      <c r="H8" s="10" t="s">
        <v>119</v>
      </c>
      <c r="I8" s="10">
        <v>100</v>
      </c>
      <c r="J8" s="10" t="s">
        <v>47</v>
      </c>
      <c r="K8" s="10">
        <v>15</v>
      </c>
      <c r="L8" s="31"/>
      <c r="N8" s="4" t="str">
        <f>'Pay Table'!B7</f>
        <v>M1</v>
      </c>
      <c r="O8" s="2">
        <f t="array" ref="O8">SUM(IF(B$6:B$289=$N8,1,0)*(C$6:C$289+C$5:C$288+C$4:C$287)/O$3)</f>
        <v>293.33333333333331</v>
      </c>
      <c r="P8" s="1">
        <f t="array" ref="P8">SUM(IF(D$6:D$289=$N8,1,0)*(E$6:E$289+E$5:E$288+E$4:E$287)/P$3)</f>
        <v>433.33333333333337</v>
      </c>
      <c r="Q8" s="1">
        <f t="array" ref="Q8">SUM(IF(F$6:F$289=$N8,1,0)*(G$6:G$289+G$5:G$288+G$4:G$287)/Q$3)</f>
        <v>426.66666666666669</v>
      </c>
      <c r="R8" s="1">
        <f t="array" ref="R8">SUM(IF(H$6:H$289=$N8,1,0)*(I$6:I$289+I$5:I$288+I$4:I$287)/R$3)</f>
        <v>500</v>
      </c>
      <c r="S8" s="5">
        <f t="array" ref="S8">SUM(IF(J$6:J$289=$N8,1,0)*(K$6:K$289+K$5:K$288+K$4:K$287)/S$3)</f>
        <v>700</v>
      </c>
      <c r="BB8" s="59" t="str">
        <f>IFERROR($BC$3&amp;VLOOKUP(B10,'Pay Table'!$M$3:$N$18,2,FALSE)&amp;$BB$3&amp;C10&amp;$BD$3,"")</f>
        <v>[94,80]</v>
      </c>
      <c r="BC8" s="49" t="str">
        <f>IFERROR($BC$3&amp;VLOOKUP(D10,'Pay Table'!$M$3:$N$18,2,FALSE)&amp;$BB$3&amp;E10&amp;$BD$3,"")</f>
        <v>[90,200]</v>
      </c>
      <c r="BD8" s="49" t="str">
        <f>IFERROR($BC$3&amp;VLOOKUP(F10,'Pay Table'!$M$3:$N$18,2,FALSE)&amp;$BB$3&amp;G10&amp;$BD$3,"")</f>
        <v>[90,200]</v>
      </c>
      <c r="BE8" s="49" t="str">
        <f>IFERROR($BC$3&amp;VLOOKUP(H10,'Pay Table'!$M$3:$N$18,2,FALSE)&amp;$BB$3&amp;I10&amp;$BD$3,"")</f>
        <v>[5,100]</v>
      </c>
      <c r="BF8" s="60" t="str">
        <f>IFERROR($BC$3&amp;VLOOKUP(J10,'Pay Table'!$M$3:$N$18,2,FALSE)&amp;$BB$3&amp;K10&amp;$BD$3,"")</f>
        <v>[94,100]</v>
      </c>
    </row>
    <row r="9" spans="1:64" ht="17.100000000000001" customHeight="1" x14ac:dyDescent="0.15">
      <c r="A9" s="14">
        <v>4</v>
      </c>
      <c r="B9" s="10" t="s">
        <v>47</v>
      </c>
      <c r="C9" s="10">
        <v>15</v>
      </c>
      <c r="D9" s="10" t="s">
        <v>123</v>
      </c>
      <c r="E9" s="10">
        <v>200</v>
      </c>
      <c r="F9" s="10" t="s">
        <v>125</v>
      </c>
      <c r="G9" s="10">
        <v>100</v>
      </c>
      <c r="H9" s="10" t="s">
        <v>47</v>
      </c>
      <c r="I9" s="10">
        <v>100</v>
      </c>
      <c r="J9" s="10" t="s">
        <v>47</v>
      </c>
      <c r="K9" s="10">
        <v>80</v>
      </c>
      <c r="L9" s="31"/>
      <c r="N9" s="4" t="str">
        <f>'Pay Table'!B8</f>
        <v>M2</v>
      </c>
      <c r="O9" s="2">
        <f t="array" ref="O9">SUM(IF(B$6:B$289=$N9,1,0)*(C$6:C$289+C$5:C$288+C$4:C$287)/O$3)</f>
        <v>500</v>
      </c>
      <c r="P9" s="1">
        <f t="array" ref="P9">SUM(IF(D$6:D$289=$N9,1,0)*(E$6:E$289+E$5:E$288+E$4:E$287)/P$3)</f>
        <v>626.66666666666663</v>
      </c>
      <c r="Q9" s="1">
        <f t="array" ref="Q9">SUM(IF(F$6:F$289=$N9,1,0)*(G$6:G$289+G$5:G$288+G$4:G$287)/Q$3)</f>
        <v>666.66666666666663</v>
      </c>
      <c r="R9" s="1">
        <f t="array" ref="R9">SUM(IF(H$6:H$289=$N9,1,0)*(I$6:I$289+I$5:I$288+I$4:I$287)/R$3)</f>
        <v>1210</v>
      </c>
      <c r="S9" s="5">
        <f t="array" ref="S9">SUM(IF(J$6:J$289=$N9,1,0)*(K$6:K$289+K$5:K$288+K$4:K$287)/S$3)</f>
        <v>700</v>
      </c>
      <c r="BB9" s="59" t="str">
        <f>IFERROR($BC$3&amp;VLOOKUP(B11,'Pay Table'!$M$3:$N$18,2,FALSE)&amp;$BB$3&amp;C11&amp;$BD$3,"")</f>
        <v>[94,100]</v>
      </c>
      <c r="BC9" s="49" t="str">
        <f>IFERROR($BC$3&amp;VLOOKUP(D11,'Pay Table'!$M$3:$N$18,2,FALSE)&amp;$BB$3&amp;E11&amp;$BD$3,"")</f>
        <v>[6,100]</v>
      </c>
      <c r="BD9" s="49" t="str">
        <f>IFERROR($BC$3&amp;VLOOKUP(F11,'Pay Table'!$M$3:$N$18,2,FALSE)&amp;$BB$3&amp;G11&amp;$BD$3,"")</f>
        <v>[8,100]</v>
      </c>
      <c r="BE9" s="49" t="str">
        <f>IFERROR($BC$3&amp;VLOOKUP(H11,'Pay Table'!$M$3:$N$18,2,FALSE)&amp;$BB$3&amp;I11&amp;$BD$3,"")</f>
        <v>[3,100]</v>
      </c>
      <c r="BF9" s="60" t="str">
        <f>IFERROR($BC$3&amp;VLOOKUP(J11,'Pay Table'!$M$3:$N$18,2,FALSE)&amp;$BB$3&amp;K11&amp;$BD$3,"")</f>
        <v>[4,100]</v>
      </c>
    </row>
    <row r="10" spans="1:64" ht="17.100000000000001" customHeight="1" x14ac:dyDescent="0.15">
      <c r="A10" s="14">
        <v>5</v>
      </c>
      <c r="B10" s="10" t="s">
        <v>47</v>
      </c>
      <c r="C10" s="10">
        <v>80</v>
      </c>
      <c r="D10" s="10" t="s">
        <v>14</v>
      </c>
      <c r="E10" s="10">
        <v>200</v>
      </c>
      <c r="F10" s="10" t="s">
        <v>14</v>
      </c>
      <c r="G10" s="10">
        <v>200</v>
      </c>
      <c r="H10" s="10" t="s">
        <v>123</v>
      </c>
      <c r="I10" s="10">
        <v>100</v>
      </c>
      <c r="J10" s="10" t="s">
        <v>47</v>
      </c>
      <c r="K10" s="10">
        <v>100</v>
      </c>
      <c r="L10" s="31"/>
      <c r="N10" s="4" t="str">
        <f>'Pay Table'!B9</f>
        <v>M3</v>
      </c>
      <c r="O10" s="2">
        <f t="array" ref="O10">SUM(IF(B$6:B$289=$N10,1,0)*(C$6:C$289+C$5:C$288+C$4:C$287)/O$3)</f>
        <v>500</v>
      </c>
      <c r="P10" s="1">
        <f t="array" ref="P10">SUM(IF(D$6:D$289=$N10,1,0)*(E$6:E$289+E$5:E$288+E$4:E$287)/P$3)</f>
        <v>866.66666666666674</v>
      </c>
      <c r="Q10" s="1">
        <f t="array" ref="Q10">SUM(IF(F$6:F$289=$N10,1,0)*(G$6:G$289+G$5:G$288+G$4:G$287)/Q$3)</f>
        <v>800.00000000000011</v>
      </c>
      <c r="R10" s="1">
        <f t="array" ref="R10">SUM(IF(H$6:H$289=$N10,1,0)*(I$6:I$289+I$5:I$288+I$4:I$287)/R$3)</f>
        <v>800</v>
      </c>
      <c r="S10" s="5">
        <f t="array" ref="S10">SUM(IF(J$6:J$289=$N10,1,0)*(K$6:K$289+K$5:K$288+K$4:K$287)/S$3)</f>
        <v>400</v>
      </c>
      <c r="BB10" s="59" t="str">
        <f>IFERROR($BC$3&amp;VLOOKUP(B12,'Pay Table'!$M$3:$N$18,2,FALSE)&amp;$BB$3&amp;C12&amp;$BD$3,"")</f>
        <v>[6,100]</v>
      </c>
      <c r="BC10" s="49" t="str">
        <f>IFERROR($BC$3&amp;VLOOKUP(D12,'Pay Table'!$M$3:$N$18,2,FALSE)&amp;$BB$3&amp;E12&amp;$BD$3,"")</f>
        <v>[0,100]</v>
      </c>
      <c r="BD10" s="49" t="str">
        <f>IFERROR($BC$3&amp;VLOOKUP(F12,'Pay Table'!$M$3:$N$18,2,FALSE)&amp;$BB$3&amp;G12&amp;$BD$3,"")</f>
        <v>[0,100]</v>
      </c>
      <c r="BE10" s="49" t="str">
        <f>IFERROR($BC$3&amp;VLOOKUP(H12,'Pay Table'!$M$3:$N$18,2,FALSE)&amp;$BB$3&amp;I12&amp;$BD$3,"")</f>
        <v>[1,100]</v>
      </c>
      <c r="BF10" s="60" t="str">
        <f>IFERROR($BC$3&amp;VLOOKUP(J12,'Pay Table'!$M$3:$N$18,2,FALSE)&amp;$BB$3&amp;K12&amp;$BD$3,"")</f>
        <v>[0,100]</v>
      </c>
    </row>
    <row r="11" spans="1:64" ht="17.100000000000001" customHeight="1" x14ac:dyDescent="0.15">
      <c r="A11" s="14">
        <v>6</v>
      </c>
      <c r="B11" s="10" t="s">
        <v>47</v>
      </c>
      <c r="C11" s="10">
        <v>100</v>
      </c>
      <c r="D11" s="10" t="s">
        <v>121</v>
      </c>
      <c r="E11" s="10">
        <v>100</v>
      </c>
      <c r="F11" s="10" t="s">
        <v>120</v>
      </c>
      <c r="G11" s="10">
        <v>100</v>
      </c>
      <c r="H11" s="10" t="s">
        <v>127</v>
      </c>
      <c r="I11" s="10">
        <v>100</v>
      </c>
      <c r="J11" s="10" t="s">
        <v>128</v>
      </c>
      <c r="K11" s="10">
        <v>100</v>
      </c>
      <c r="L11" s="31"/>
      <c r="N11" s="4" t="str">
        <f>'Pay Table'!B10</f>
        <v>M4</v>
      </c>
      <c r="O11" s="2">
        <f t="array" ref="O11">SUM(IF(B$6:B$289=$N11,1,0)*(C$6:C$289+C$5:C$288+C$4:C$287)/O$3)</f>
        <v>600</v>
      </c>
      <c r="P11" s="1">
        <f t="array" ref="P11">SUM(IF(D$6:D$289=$N11,1,0)*(E$6:E$289+E$5:E$288+E$4:E$287)/P$3)</f>
        <v>233.33333333333334</v>
      </c>
      <c r="Q11" s="1">
        <f t="array" ref="Q11">SUM(IF(F$6:F$289=$N11,1,0)*(G$6:G$289+G$5:G$288+G$4:G$287)/Q$3)</f>
        <v>500</v>
      </c>
      <c r="R11" s="1">
        <f t="array" ref="R11">SUM(IF(H$6:H$289=$N11,1,0)*(I$6:I$289+I$5:I$288+I$4:I$287)/R$3)</f>
        <v>533.33333333333337</v>
      </c>
      <c r="S11" s="5">
        <f t="array" ref="S11">SUM(IF(J$6:J$289=$N11,1,0)*(K$6:K$289+K$5:K$288+K$4:K$287)/S$3)</f>
        <v>793.33333333333326</v>
      </c>
      <c r="BB11" s="59" t="str">
        <f>IFERROR($BC$3&amp;VLOOKUP(B13,'Pay Table'!$M$3:$N$18,2,FALSE)&amp;$BB$3&amp;C13&amp;$BD$3,"")</f>
        <v>[7,100]</v>
      </c>
      <c r="BC11" s="49" t="str">
        <f>IFERROR($BC$3&amp;VLOOKUP(D13,'Pay Table'!$M$3:$N$18,2,FALSE)&amp;$BB$3&amp;E13&amp;$BD$3,"")</f>
        <v>[1,100]</v>
      </c>
      <c r="BD11" s="49" t="str">
        <f>IFERROR($BC$3&amp;VLOOKUP(F13,'Pay Table'!$M$3:$N$18,2,FALSE)&amp;$BB$3&amp;G13&amp;$BD$3,"")</f>
        <v>[6,100]</v>
      </c>
      <c r="BE11" s="49" t="str">
        <f>IFERROR($BC$3&amp;VLOOKUP(H13,'Pay Table'!$M$3:$N$18,2,FALSE)&amp;$BB$3&amp;I13&amp;$BD$3,"")</f>
        <v>[5,100]</v>
      </c>
      <c r="BF11" s="60" t="str">
        <f>IFERROR($BC$3&amp;VLOOKUP(J13,'Pay Table'!$M$3:$N$18,2,FALSE)&amp;$BB$3&amp;K13&amp;$BD$3,"")</f>
        <v>[8,100]</v>
      </c>
    </row>
    <row r="12" spans="1:64" ht="17.100000000000001" customHeight="1" x14ac:dyDescent="0.15">
      <c r="A12" s="14">
        <v>7</v>
      </c>
      <c r="B12" s="10" t="s">
        <v>121</v>
      </c>
      <c r="C12" s="10">
        <v>100</v>
      </c>
      <c r="D12" s="10" t="s">
        <v>124</v>
      </c>
      <c r="E12" s="10">
        <v>100</v>
      </c>
      <c r="F12" s="10" t="s">
        <v>124</v>
      </c>
      <c r="G12" s="10">
        <v>100</v>
      </c>
      <c r="H12" s="10" t="s">
        <v>125</v>
      </c>
      <c r="I12" s="10">
        <v>100</v>
      </c>
      <c r="J12" s="10" t="s">
        <v>124</v>
      </c>
      <c r="K12" s="10">
        <v>100</v>
      </c>
      <c r="L12" s="31"/>
      <c r="N12" s="4" t="str">
        <f>'Pay Table'!B11</f>
        <v>M5</v>
      </c>
      <c r="O12" s="2">
        <f t="array" ref="O12">SUM(IF(B$6:B$289=$N12,1,0)*(C$6:C$289+C$5:C$288+C$4:C$287)/O$3)</f>
        <v>500</v>
      </c>
      <c r="P12" s="1">
        <f t="array" ref="P12">SUM(IF(D$6:D$289=$N12,1,0)*(E$6:E$289+E$5:E$288+E$4:E$287)/P$3)</f>
        <v>400</v>
      </c>
      <c r="Q12" s="1">
        <f t="array" ref="Q12">SUM(IF(F$6:F$289=$N12,1,0)*(G$6:G$289+G$5:G$288+G$4:G$287)/Q$3)</f>
        <v>500</v>
      </c>
      <c r="R12" s="1">
        <f t="array" ref="R12">SUM(IF(H$6:H$289=$N12,1,0)*(I$6:I$289+I$5:I$288+I$4:I$287)/R$3)</f>
        <v>633.33333333333337</v>
      </c>
      <c r="S12" s="5">
        <f t="array" ref="S12">SUM(IF(J$6:J$289=$N12,1,0)*(K$6:K$289+K$5:K$288+K$4:K$287)/S$3)</f>
        <v>793.33333333333326</v>
      </c>
      <c r="BB12" s="59" t="str">
        <f>IFERROR($BC$3&amp;VLOOKUP(B14,'Pay Table'!$M$3:$N$18,2,FALSE)&amp;$BB$3&amp;C14&amp;$BD$3,"")</f>
        <v>[1,100]</v>
      </c>
      <c r="BC12" s="49" t="str">
        <f>IFERROR($BC$3&amp;VLOOKUP(D14,'Pay Table'!$M$3:$N$18,2,FALSE)&amp;$BB$3&amp;E14&amp;$BD$3,"")</f>
        <v>[7,100]</v>
      </c>
      <c r="BD12" s="49" t="str">
        <f>IFERROR($BC$3&amp;VLOOKUP(F14,'Pay Table'!$M$3:$N$18,2,FALSE)&amp;$BB$3&amp;G14&amp;$BD$3,"")</f>
        <v>[1,100]</v>
      </c>
      <c r="BE12" s="49" t="str">
        <f>IFERROR($BC$3&amp;VLOOKUP(H14,'Pay Table'!$M$3:$N$18,2,FALSE)&amp;$BB$3&amp;I14&amp;$BD$3,"")</f>
        <v>[92,100]</v>
      </c>
      <c r="BF12" s="60" t="str">
        <f>IFERROR($BC$3&amp;VLOOKUP(J14,'Pay Table'!$M$3:$N$18,2,FALSE)&amp;$BB$3&amp;K14&amp;$BD$3,"")</f>
        <v>[6,100]</v>
      </c>
    </row>
    <row r="13" spans="1:64" ht="17.100000000000001" customHeight="1" x14ac:dyDescent="0.15">
      <c r="A13" s="14">
        <v>8</v>
      </c>
      <c r="B13" s="10" t="s">
        <v>119</v>
      </c>
      <c r="C13" s="10">
        <v>100</v>
      </c>
      <c r="D13" s="10" t="s">
        <v>125</v>
      </c>
      <c r="E13" s="10">
        <v>100</v>
      </c>
      <c r="F13" s="10" t="s">
        <v>121</v>
      </c>
      <c r="G13" s="10">
        <v>100</v>
      </c>
      <c r="H13" s="10" t="s">
        <v>123</v>
      </c>
      <c r="I13" s="10">
        <v>100</v>
      </c>
      <c r="J13" s="10" t="s">
        <v>120</v>
      </c>
      <c r="K13" s="10">
        <v>100</v>
      </c>
      <c r="L13" s="31"/>
      <c r="N13" s="4" t="str">
        <f>'Pay Table'!B12</f>
        <v>A</v>
      </c>
      <c r="O13" s="2">
        <f t="array" ref="O13">SUM(IF(B$6:B$289=$N13,1,0)*(C$6:C$289+C$5:C$288+C$4:C$287)/O$3)</f>
        <v>700</v>
      </c>
      <c r="P13" s="1">
        <f t="array" ref="P13">SUM(IF(D$6:D$289=$N13,1,0)*(E$6:E$289+E$5:E$288+E$4:E$287)/P$3)</f>
        <v>916.66666666666674</v>
      </c>
      <c r="Q13" s="1">
        <f t="array" ref="Q13">SUM(IF(F$6:F$289=$N13,1,0)*(G$6:G$289+G$5:G$288+G$4:G$287)/Q$3)</f>
        <v>400</v>
      </c>
      <c r="R13" s="1">
        <f t="array" ref="R13">SUM(IF(H$6:H$289=$N13,1,0)*(I$6:I$289+I$5:I$288+I$4:I$287)/R$3)</f>
        <v>1050</v>
      </c>
      <c r="S13" s="5">
        <f t="array" ref="S13">SUM(IF(J$6:J$289=$N13,1,0)*(K$6:K$289+K$5:K$288+K$4:K$287)/S$3)</f>
        <v>400</v>
      </c>
      <c r="BB13" s="59" t="str">
        <f>IFERROR($BC$3&amp;VLOOKUP(B15,'Pay Table'!$M$3:$N$18,2,FALSE)&amp;$BB$3&amp;C15&amp;$BD$3,"")</f>
        <v>[3,100]</v>
      </c>
      <c r="BC13" s="49" t="str">
        <f>IFERROR($BC$3&amp;VLOOKUP(D15,'Pay Table'!$M$3:$N$18,2,FALSE)&amp;$BB$3&amp;E15&amp;$BD$3,"")</f>
        <v>[2,100]</v>
      </c>
      <c r="BD13" s="49" t="str">
        <f>IFERROR($BC$3&amp;VLOOKUP(F15,'Pay Table'!$M$3:$N$18,2,FALSE)&amp;$BB$3&amp;G15&amp;$BD$3,"")</f>
        <v>[2,100]</v>
      </c>
      <c r="BE13" s="49" t="str">
        <f>IFERROR($BC$3&amp;VLOOKUP(H15,'Pay Table'!$M$3:$N$18,2,FALSE)&amp;$BB$3&amp;I15&amp;$BD$3,"")</f>
        <v>[5,100]</v>
      </c>
      <c r="BF13" s="60" t="str">
        <f>IFERROR($BC$3&amp;VLOOKUP(J15,'Pay Table'!$M$3:$N$18,2,FALSE)&amp;$BB$3&amp;K15&amp;$BD$3,"")</f>
        <v>[1,100]</v>
      </c>
    </row>
    <row r="14" spans="1:64" ht="17.100000000000001" customHeight="1" x14ac:dyDescent="0.15">
      <c r="A14" s="14">
        <v>9</v>
      </c>
      <c r="B14" s="10" t="s">
        <v>152</v>
      </c>
      <c r="C14" s="10">
        <v>100</v>
      </c>
      <c r="D14" s="10" t="s">
        <v>119</v>
      </c>
      <c r="E14" s="10">
        <v>100</v>
      </c>
      <c r="F14" s="10" t="s">
        <v>125</v>
      </c>
      <c r="G14" s="10">
        <v>100</v>
      </c>
      <c r="H14" s="10" t="s">
        <v>122</v>
      </c>
      <c r="I14" s="10">
        <v>100</v>
      </c>
      <c r="J14" s="10" t="s">
        <v>121</v>
      </c>
      <c r="K14" s="10">
        <v>100</v>
      </c>
      <c r="L14" s="31"/>
      <c r="N14" s="4" t="str">
        <f>'Pay Table'!B13</f>
        <v>K</v>
      </c>
      <c r="O14" s="2">
        <f t="array" ref="O14">SUM(IF(B$6:B$289=$N14,1,0)*(C$6:C$289+C$5:C$288+C$4:C$287)/O$3)</f>
        <v>493.33333333333331</v>
      </c>
      <c r="P14" s="1">
        <f t="array" ref="P14">SUM(IF(D$6:D$289=$N14,1,0)*(E$6:E$289+E$5:E$288+E$4:E$287)/P$3)</f>
        <v>633.33333333333337</v>
      </c>
      <c r="Q14" s="1">
        <f t="array" ref="Q14">SUM(IF(F$6:F$289=$N14,1,0)*(G$6:G$289+G$5:G$288+G$4:G$287)/Q$3)</f>
        <v>400</v>
      </c>
      <c r="R14" s="1">
        <f t="array" ref="R14">SUM(IF(H$6:H$289=$N14,1,0)*(I$6:I$289+I$5:I$288+I$4:I$287)/R$3)</f>
        <v>843.33333333333326</v>
      </c>
      <c r="S14" s="5">
        <f t="array" ref="S14">SUM(IF(J$6:J$289=$N14,1,0)*(K$6:K$289+K$5:K$288+K$4:K$287)/S$3)</f>
        <v>1000</v>
      </c>
      <c r="BB14" s="59" t="str">
        <f>IFERROR($BC$3&amp;VLOOKUP(B16,'Pay Table'!$M$3:$N$18,2,FALSE)&amp;$BB$3&amp;C16&amp;$BD$3,"")</f>
        <v>[4,100]</v>
      </c>
      <c r="BC14" s="49" t="str">
        <f>IFERROR($BC$3&amp;VLOOKUP(D16,'Pay Table'!$M$3:$N$18,2,FALSE)&amp;$BB$3&amp;E16&amp;$BD$3,"")</f>
        <v>[5,100]</v>
      </c>
      <c r="BD14" s="49" t="str">
        <f>IFERROR($BC$3&amp;VLOOKUP(F16,'Pay Table'!$M$3:$N$18,2,FALSE)&amp;$BB$3&amp;G16&amp;$BD$3,"")</f>
        <v>[8,100]</v>
      </c>
      <c r="BE14" s="49" t="str">
        <f>IFERROR($BC$3&amp;VLOOKUP(H16,'Pay Table'!$M$3:$N$18,2,FALSE)&amp;$BB$3&amp;I16&amp;$BD$3,"")</f>
        <v>[8,100]</v>
      </c>
      <c r="BF14" s="60" t="str">
        <f>IFERROR($BC$3&amp;VLOOKUP(J16,'Pay Table'!$M$3:$N$18,2,FALSE)&amp;$BB$3&amp;K16&amp;$BD$3,"")</f>
        <v>[92,100]</v>
      </c>
    </row>
    <row r="15" spans="1:64" ht="17.100000000000001" customHeight="1" x14ac:dyDescent="0.15">
      <c r="A15" s="14">
        <v>10</v>
      </c>
      <c r="B15" s="10" t="s">
        <v>172</v>
      </c>
      <c r="C15" s="10">
        <v>100</v>
      </c>
      <c r="D15" s="10" t="s">
        <v>126</v>
      </c>
      <c r="E15" s="10">
        <v>100</v>
      </c>
      <c r="F15" s="10" t="s">
        <v>126</v>
      </c>
      <c r="G15" s="10">
        <v>100</v>
      </c>
      <c r="H15" s="10" t="s">
        <v>123</v>
      </c>
      <c r="I15" s="10">
        <v>100</v>
      </c>
      <c r="J15" s="10" t="s">
        <v>125</v>
      </c>
      <c r="K15" s="10">
        <v>100</v>
      </c>
      <c r="L15" s="31"/>
      <c r="N15" s="4" t="str">
        <f>'Pay Table'!B14</f>
        <v>Q</v>
      </c>
      <c r="O15" s="2">
        <f t="array" ref="O15">SUM(IF(B$6:B$289=$N15,1,0)*(C$6:C$289+C$5:C$288+C$4:C$287)/O$3)</f>
        <v>1200</v>
      </c>
      <c r="P15" s="1">
        <f t="array" ref="P15">SUM(IF(D$6:D$289=$N15,1,0)*(E$6:E$289+E$5:E$288+E$4:E$287)/P$3)</f>
        <v>800</v>
      </c>
      <c r="Q15" s="1">
        <f t="array" ref="Q15">SUM(IF(F$6:F$289=$N15,1,0)*(G$6:G$289+G$5:G$288+G$4:G$287)/Q$3)</f>
        <v>193.33333333333331</v>
      </c>
      <c r="R15" s="1">
        <f t="array" ref="R15">SUM(IF(H$6:H$289=$N15,1,0)*(I$6:I$289+I$5:I$288+I$4:I$287)/R$3)</f>
        <v>816.66666666666674</v>
      </c>
      <c r="S15" s="5">
        <f t="array" ref="S15">SUM(IF(J$6:J$289=$N15,1,0)*(K$6:K$289+K$5:K$288+K$4:K$287)/S$3)</f>
        <v>500</v>
      </c>
      <c r="BB15" s="59" t="str">
        <f>IFERROR($BC$3&amp;VLOOKUP(B17,'Pay Table'!$M$3:$N$18,2,FALSE)&amp;$BB$3&amp;C17&amp;$BD$3,"")</f>
        <v>[8,100]</v>
      </c>
      <c r="BC15" s="49" t="str">
        <f>IFERROR($BC$3&amp;VLOOKUP(D17,'Pay Table'!$M$3:$N$18,2,FALSE)&amp;$BB$3&amp;E17&amp;$BD$3,"")</f>
        <v>[8,100]</v>
      </c>
      <c r="BD15" s="49" t="str">
        <f>IFERROR($BC$3&amp;VLOOKUP(F17,'Pay Table'!$M$3:$N$18,2,FALSE)&amp;$BB$3&amp;G17&amp;$BD$3,"")</f>
        <v>[3,100]</v>
      </c>
      <c r="BE15" s="49" t="str">
        <f>IFERROR($BC$3&amp;VLOOKUP(H17,'Pay Table'!$M$3:$N$18,2,FALSE)&amp;$BB$3&amp;I17&amp;$BD$3,"")</f>
        <v>[2,100]</v>
      </c>
      <c r="BF15" s="60" t="str">
        <f>IFERROR($BC$3&amp;VLOOKUP(J17,'Pay Table'!$M$3:$N$18,2,FALSE)&amp;$BB$3&amp;K17&amp;$BD$3,"")</f>
        <v>[3,100]</v>
      </c>
    </row>
    <row r="16" spans="1:64" ht="17.100000000000001" customHeight="1" x14ac:dyDescent="0.15">
      <c r="A16" s="14">
        <v>11</v>
      </c>
      <c r="B16" s="10" t="s">
        <v>148</v>
      </c>
      <c r="C16" s="10">
        <v>100</v>
      </c>
      <c r="D16" s="10" t="s">
        <v>123</v>
      </c>
      <c r="E16" s="10">
        <v>100</v>
      </c>
      <c r="F16" s="10" t="s">
        <v>120</v>
      </c>
      <c r="G16" s="10">
        <v>100</v>
      </c>
      <c r="H16" s="10" t="s">
        <v>120</v>
      </c>
      <c r="I16" s="10">
        <v>100</v>
      </c>
      <c r="J16" s="10" t="s">
        <v>122</v>
      </c>
      <c r="K16" s="10">
        <v>100</v>
      </c>
      <c r="L16" s="31"/>
      <c r="N16" s="4" t="str">
        <f>'Pay Table'!B15</f>
        <v>J</v>
      </c>
      <c r="O16" s="2">
        <f t="array" ref="O16">SUM(IF(B$6:B$289=$N16,1,0)*(C$6:C$289+C$5:C$288+C$4:C$287)/O$3)</f>
        <v>700</v>
      </c>
      <c r="P16" s="1">
        <f t="array" ref="P16">SUM(IF(D$6:D$289=$N16,1,0)*(E$6:E$289+E$5:E$288+E$4:E$287)/P$3)</f>
        <v>300</v>
      </c>
      <c r="Q16" s="1">
        <f t="array" ref="Q16">SUM(IF(F$6:F$289=$N16,1,0)*(G$6:G$289+G$5:G$288+G$4:G$287)/Q$3)</f>
        <v>1033.3333333333335</v>
      </c>
      <c r="R16" s="1">
        <f t="array" ref="R16">SUM(IF(H$6:H$289=$N16,1,0)*(I$6:I$289+I$5:I$288+I$4:I$287)/R$3)</f>
        <v>700</v>
      </c>
      <c r="S16" s="5">
        <f t="array" ref="S16">SUM(IF(J$6:J$289=$N16,1,0)*(K$6:K$289+K$5:K$288+K$4:K$287)/S$3)</f>
        <v>800</v>
      </c>
      <c r="BB16" s="59" t="str">
        <f>IFERROR($BC$3&amp;VLOOKUP(B18,'Pay Table'!$M$3:$N$18,2,FALSE)&amp;$BB$3&amp;C18&amp;$BD$3,"")</f>
        <v>[5,100]</v>
      </c>
      <c r="BC16" s="49" t="str">
        <f>IFERROR($BC$3&amp;VLOOKUP(D18,'Pay Table'!$M$3:$N$18,2,FALSE)&amp;$BB$3&amp;E18&amp;$BD$3,"")</f>
        <v>[2,100]</v>
      </c>
      <c r="BD16" s="49" t="str">
        <f>IFERROR($BC$3&amp;VLOOKUP(F18,'Pay Table'!$M$3:$N$18,2,FALSE)&amp;$BB$3&amp;G18&amp;$BD$3,"")</f>
        <v>[94,100]</v>
      </c>
      <c r="BE16" s="49" t="str">
        <f>IFERROR($BC$3&amp;VLOOKUP(H18,'Pay Table'!$M$3:$N$18,2,FALSE)&amp;$BB$3&amp;I18&amp;$BD$3,"")</f>
        <v>[5,100]</v>
      </c>
      <c r="BF16" s="60" t="str">
        <f>IFERROR($BC$3&amp;VLOOKUP(J18,'Pay Table'!$M$3:$N$18,2,FALSE)&amp;$BB$3&amp;K18&amp;$BD$3,"")</f>
        <v>[6,100]</v>
      </c>
    </row>
    <row r="17" spans="1:58" ht="17.100000000000001" customHeight="1" x14ac:dyDescent="0.15">
      <c r="A17" s="14">
        <v>12</v>
      </c>
      <c r="B17" s="10" t="s">
        <v>120</v>
      </c>
      <c r="C17" s="10">
        <v>100</v>
      </c>
      <c r="D17" s="10" t="s">
        <v>120</v>
      </c>
      <c r="E17" s="10">
        <v>100</v>
      </c>
      <c r="F17" s="10" t="s">
        <v>127</v>
      </c>
      <c r="G17" s="10">
        <v>100</v>
      </c>
      <c r="H17" s="10" t="s">
        <v>126</v>
      </c>
      <c r="I17" s="10">
        <v>100</v>
      </c>
      <c r="J17" s="10" t="s">
        <v>127</v>
      </c>
      <c r="K17" s="10">
        <v>100</v>
      </c>
      <c r="N17" s="4" t="str">
        <f>'Pay Table'!B16</f>
        <v>SCATTER</v>
      </c>
      <c r="O17" s="2">
        <f t="array" ref="O17">SUM(IF(B$6:B$289=$N17,1,0)*(C$6:C$289+C$5:C$288+C$4:C$287)/O$3)</f>
        <v>0</v>
      </c>
      <c r="P17" s="1">
        <f t="array" ref="P17">SUM(IF(D$6:D$289=$N17,1,0)*(E$6:E$289+E$5:E$288+E$4:E$287)/P$3)</f>
        <v>533.33333333333337</v>
      </c>
      <c r="Q17" s="1">
        <f t="array" ref="Q17">SUM(IF(F$6:F$289=$N17,1,0)*(G$6:G$289+G$5:G$288+G$4:G$287)/Q$3)</f>
        <v>466.66666666666663</v>
      </c>
      <c r="R17" s="1">
        <f t="array" ref="R17">SUM(IF(H$6:H$289=$N17,1,0)*(I$6:I$289+I$5:I$288+I$4:I$287)/R$3)</f>
        <v>300</v>
      </c>
      <c r="S17" s="5">
        <f t="array" ref="S17">SUM(IF(J$6:J$289=$N17,1,0)*(K$6:K$289+K$5:K$288+K$4:K$287)/S$3)</f>
        <v>0</v>
      </c>
      <c r="BB17" s="59" t="str">
        <f>IFERROR($BC$3&amp;VLOOKUP(B19,'Pay Table'!$M$3:$N$18,2,FALSE)&amp;$BB$3&amp;C19&amp;$BD$3,"")</f>
        <v>[7,100]</v>
      </c>
      <c r="BC17" s="49" t="str">
        <f>IFERROR($BC$3&amp;VLOOKUP(D19,'Pay Table'!$M$3:$N$18,2,FALSE)&amp;$BB$3&amp;E19&amp;$BD$3,"")</f>
        <v>[5,100]</v>
      </c>
      <c r="BD17" s="49" t="str">
        <f>IFERROR($BC$3&amp;VLOOKUP(F19,'Pay Table'!$M$3:$N$18,2,FALSE)&amp;$BB$3&amp;G19&amp;$BD$3,"")</f>
        <v>[8,100]</v>
      </c>
      <c r="BE17" s="49" t="str">
        <f>IFERROR($BC$3&amp;VLOOKUP(H19,'Pay Table'!$M$3:$N$18,2,FALSE)&amp;$BB$3&amp;I19&amp;$BD$3,"")</f>
        <v>[7,100]</v>
      </c>
      <c r="BF17" s="60" t="str">
        <f>IFERROR($BC$3&amp;VLOOKUP(J19,'Pay Table'!$M$3:$N$18,2,FALSE)&amp;$BB$3&amp;K19&amp;$BD$3,"")</f>
        <v>[8,100]</v>
      </c>
    </row>
    <row r="18" spans="1:58" ht="17.100000000000001" customHeight="1" x14ac:dyDescent="0.15">
      <c r="A18" s="14">
        <v>13</v>
      </c>
      <c r="B18" s="10" t="s">
        <v>123</v>
      </c>
      <c r="C18" s="10">
        <v>100</v>
      </c>
      <c r="D18" s="10" t="s">
        <v>126</v>
      </c>
      <c r="E18" s="10">
        <v>100</v>
      </c>
      <c r="F18" s="10" t="s">
        <v>47</v>
      </c>
      <c r="G18" s="10">
        <v>100</v>
      </c>
      <c r="H18" s="10" t="s">
        <v>123</v>
      </c>
      <c r="I18" s="10">
        <v>100</v>
      </c>
      <c r="J18" s="10" t="s">
        <v>121</v>
      </c>
      <c r="K18" s="10">
        <v>100</v>
      </c>
      <c r="N18" s="4"/>
      <c r="O18" s="263"/>
      <c r="P18" s="264"/>
      <c r="Q18" s="264"/>
      <c r="R18" s="264"/>
      <c r="S18" s="265"/>
      <c r="BB18" s="59" t="str">
        <f>IFERROR($BC$3&amp;VLOOKUP(B20,'Pay Table'!$M$3:$N$18,2,FALSE)&amp;$BB$3&amp;C20&amp;$BD$3,"")</f>
        <v>[94,100]</v>
      </c>
      <c r="BC18" s="49" t="str">
        <f>IFERROR($BC$3&amp;VLOOKUP(D20,'Pay Table'!$M$3:$N$18,2,FALSE)&amp;$BB$3&amp;E20&amp;$BD$3,"")</f>
        <v>[94,100]</v>
      </c>
      <c r="BD18" s="49" t="str">
        <f>IFERROR($BC$3&amp;VLOOKUP(F20,'Pay Table'!$M$3:$N$18,2,FALSE)&amp;$BB$3&amp;G20&amp;$BD$3,"")</f>
        <v>[7,100]</v>
      </c>
      <c r="BE18" s="49" t="str">
        <f>IFERROR($BC$3&amp;VLOOKUP(H20,'Pay Table'!$M$3:$N$18,2,FALSE)&amp;$BB$3&amp;I20&amp;$BD$3,"")</f>
        <v>[4,100]</v>
      </c>
      <c r="BF18" s="60" t="str">
        <f>IFERROR($BC$3&amp;VLOOKUP(J20,'Pay Table'!$M$3:$N$18,2,FALSE)&amp;$BB$3&amp;K20&amp;$BD$3,"")</f>
        <v>[7,100]</v>
      </c>
    </row>
    <row r="19" spans="1:58" ht="17.100000000000001" customHeight="1" x14ac:dyDescent="0.15">
      <c r="A19" s="14">
        <v>14</v>
      </c>
      <c r="B19" s="10" t="s">
        <v>119</v>
      </c>
      <c r="C19" s="10">
        <v>100</v>
      </c>
      <c r="D19" s="10" t="s">
        <v>123</v>
      </c>
      <c r="E19" s="10">
        <v>100</v>
      </c>
      <c r="F19" s="10" t="s">
        <v>120</v>
      </c>
      <c r="G19" s="10">
        <v>100</v>
      </c>
      <c r="H19" s="10" t="s">
        <v>119</v>
      </c>
      <c r="I19" s="10">
        <v>100</v>
      </c>
      <c r="J19" s="10" t="s">
        <v>120</v>
      </c>
      <c r="K19" s="10">
        <v>100</v>
      </c>
      <c r="N19" s="4"/>
      <c r="O19" s="263"/>
      <c r="P19" s="264"/>
      <c r="Q19" s="264"/>
      <c r="R19" s="264"/>
      <c r="S19" s="265"/>
      <c r="BB19" s="59" t="str">
        <f>IFERROR($BC$3&amp;VLOOKUP(B21,'Pay Table'!$M$3:$N$18,2,FALSE)&amp;$BB$3&amp;C21&amp;$BD$3,"")</f>
        <v>[6,100]</v>
      </c>
      <c r="BC19" s="49" t="str">
        <f>IFERROR($BC$3&amp;VLOOKUP(D21,'Pay Table'!$M$3:$N$18,2,FALSE)&amp;$BB$3&amp;E21&amp;$BD$3,"")</f>
        <v>[7,100]</v>
      </c>
      <c r="BD19" s="49" t="str">
        <f>IFERROR($BC$3&amp;VLOOKUP(F21,'Pay Table'!$M$3:$N$18,2,FALSE)&amp;$BB$3&amp;G21&amp;$BD$3,"")</f>
        <v>[1,100]</v>
      </c>
      <c r="BE19" s="49" t="str">
        <f>IFERROR($BC$3&amp;VLOOKUP(H21,'Pay Table'!$M$3:$N$18,2,FALSE)&amp;$BB$3&amp;I21&amp;$BD$3,"")</f>
        <v>[0,100]</v>
      </c>
      <c r="BF19" s="60" t="str">
        <f>IFERROR($BC$3&amp;VLOOKUP(J21,'Pay Table'!$M$3:$N$18,2,FALSE)&amp;$BB$3&amp;K21&amp;$BD$3,"")</f>
        <v>[0,100]</v>
      </c>
    </row>
    <row r="20" spans="1:58" ht="17.100000000000001" customHeight="1" x14ac:dyDescent="0.15">
      <c r="A20" s="14">
        <v>15</v>
      </c>
      <c r="B20" s="10" t="s">
        <v>47</v>
      </c>
      <c r="C20" s="10">
        <v>100</v>
      </c>
      <c r="D20" s="10" t="s">
        <v>47</v>
      </c>
      <c r="E20" s="10">
        <v>100</v>
      </c>
      <c r="F20" s="10" t="s">
        <v>119</v>
      </c>
      <c r="G20" s="10">
        <v>100</v>
      </c>
      <c r="H20" s="10" t="s">
        <v>148</v>
      </c>
      <c r="I20" s="10">
        <v>100</v>
      </c>
      <c r="J20" s="10" t="s">
        <v>119</v>
      </c>
      <c r="K20" s="10">
        <v>100</v>
      </c>
      <c r="N20" s="4"/>
      <c r="O20" s="263"/>
      <c r="P20" s="264"/>
      <c r="Q20" s="264"/>
      <c r="R20" s="264"/>
      <c r="S20" s="265"/>
      <c r="BB20" s="59" t="str">
        <f>IFERROR($BC$3&amp;VLOOKUP(B22,'Pay Table'!$M$3:$N$18,2,FALSE)&amp;$BB$3&amp;C22&amp;$BD$3,"")</f>
        <v>[5,100]</v>
      </c>
      <c r="BC20" s="49" t="str">
        <f>IFERROR($BC$3&amp;VLOOKUP(D22,'Pay Table'!$M$3:$N$18,2,FALSE)&amp;$BB$3&amp;E22&amp;$BD$3,"")</f>
        <v>[4,100]</v>
      </c>
      <c r="BD20" s="49" t="str">
        <f>IFERROR($BC$3&amp;VLOOKUP(F22,'Pay Table'!$M$3:$N$18,2,FALSE)&amp;$BB$3&amp;G22&amp;$BD$3,"")</f>
        <v>[2,100]</v>
      </c>
      <c r="BE20" s="49" t="str">
        <f>IFERROR($BC$3&amp;VLOOKUP(H22,'Pay Table'!$M$3:$N$18,2,FALSE)&amp;$BB$3&amp;I22&amp;$BD$3,"")</f>
        <v>[5,100]</v>
      </c>
      <c r="BF20" s="60" t="str">
        <f>IFERROR($BC$3&amp;VLOOKUP(J22,'Pay Table'!$M$3:$N$18,2,FALSE)&amp;$BB$3&amp;K22&amp;$BD$3,"")</f>
        <v>[3,100]</v>
      </c>
    </row>
    <row r="21" spans="1:58" ht="17.100000000000001" customHeight="1" x14ac:dyDescent="0.15">
      <c r="A21" s="14">
        <v>16</v>
      </c>
      <c r="B21" s="10" t="s">
        <v>121</v>
      </c>
      <c r="C21" s="10">
        <v>100</v>
      </c>
      <c r="D21" s="10" t="s">
        <v>119</v>
      </c>
      <c r="E21" s="10">
        <v>100</v>
      </c>
      <c r="F21" s="10" t="s">
        <v>125</v>
      </c>
      <c r="G21" s="10">
        <v>100</v>
      </c>
      <c r="H21" s="10" t="s">
        <v>124</v>
      </c>
      <c r="I21" s="10">
        <v>100</v>
      </c>
      <c r="J21" s="10" t="s">
        <v>124</v>
      </c>
      <c r="K21" s="10">
        <v>100</v>
      </c>
      <c r="N21" s="4"/>
      <c r="O21" s="266"/>
      <c r="P21" s="267"/>
      <c r="Q21" s="267"/>
      <c r="R21" s="267"/>
      <c r="S21" s="268"/>
      <c r="BB21" s="59" t="str">
        <f>IFERROR($BC$3&amp;VLOOKUP(B23,'Pay Table'!$M$3:$N$18,2,FALSE)&amp;$BB$3&amp;C23&amp;$BD$3,"")</f>
        <v>[2,100]</v>
      </c>
      <c r="BC21" s="49" t="str">
        <f>IFERROR($BC$3&amp;VLOOKUP(D23,'Pay Table'!$M$3:$N$18,2,FALSE)&amp;$BB$3&amp;E23&amp;$BD$3,"")</f>
        <v>[6,100]</v>
      </c>
      <c r="BD21" s="49" t="str">
        <f>IFERROR($BC$3&amp;VLOOKUP(F23,'Pay Table'!$M$3:$N$18,2,FALSE)&amp;$BB$3&amp;G23&amp;$BD$3,"")</f>
        <v>[92,100]</v>
      </c>
      <c r="BE21" s="49" t="str">
        <f>IFERROR($BC$3&amp;VLOOKUP(H23,'Pay Table'!$M$3:$N$18,2,FALSE)&amp;$BB$3&amp;I23&amp;$BD$3,"")</f>
        <v>[4,100]</v>
      </c>
      <c r="BF21" s="60" t="str">
        <f>IFERROR($BC$3&amp;VLOOKUP(J23,'Pay Table'!$M$3:$N$18,2,FALSE)&amp;$BB$3&amp;K23&amp;$BD$3,"")</f>
        <v>[7,100]</v>
      </c>
    </row>
    <row r="22" spans="1:58" ht="17.100000000000001" customHeight="1" x14ac:dyDescent="0.15">
      <c r="A22" s="14">
        <v>17</v>
      </c>
      <c r="B22" s="10" t="s">
        <v>131</v>
      </c>
      <c r="C22" s="10">
        <v>100</v>
      </c>
      <c r="D22" s="10" t="s">
        <v>128</v>
      </c>
      <c r="E22" s="10">
        <v>100</v>
      </c>
      <c r="F22" s="10" t="s">
        <v>126</v>
      </c>
      <c r="G22" s="10">
        <v>100</v>
      </c>
      <c r="H22" s="10" t="s">
        <v>123</v>
      </c>
      <c r="I22" s="10">
        <v>100</v>
      </c>
      <c r="J22" s="10" t="s">
        <v>127</v>
      </c>
      <c r="K22" s="10">
        <v>100</v>
      </c>
      <c r="N22" s="6" t="s">
        <v>15</v>
      </c>
      <c r="O22" s="18">
        <f>SUM(O6:O21)</f>
        <v>5975</v>
      </c>
      <c r="P22" s="18">
        <f>SUM(P6:P21)</f>
        <v>6444.9999999999991</v>
      </c>
      <c r="Q22" s="18">
        <f>SUM(Q6:Q21)</f>
        <v>6074.9999999999991</v>
      </c>
      <c r="R22" s="18">
        <f>SUM(R6:R21)</f>
        <v>8175</v>
      </c>
      <c r="S22" s="36">
        <f>SUM(S6:S21)</f>
        <v>6974.9999999999991</v>
      </c>
      <c r="BB22" s="59" t="str">
        <f>IFERROR($BC$3&amp;VLOOKUP(B24,'Pay Table'!$M$3:$N$18,2,FALSE)&amp;$BB$3&amp;C24&amp;$BD$3,"")</f>
        <v>[7,100]</v>
      </c>
      <c r="BC22" s="49" t="str">
        <f>IFERROR($BC$3&amp;VLOOKUP(D24,'Pay Table'!$M$3:$N$18,2,FALSE)&amp;$BB$3&amp;E24&amp;$BD$3,"")</f>
        <v>[92,100]</v>
      </c>
      <c r="BD22" s="49" t="str">
        <f>IFERROR($BC$3&amp;VLOOKUP(F24,'Pay Table'!$M$3:$N$18,2,FALSE)&amp;$BB$3&amp;G24&amp;$BD$3,"")</f>
        <v>[4,100]</v>
      </c>
      <c r="BE22" s="49" t="str">
        <f>IFERROR($BC$3&amp;VLOOKUP(H24,'Pay Table'!$M$3:$N$18,2,FALSE)&amp;$BB$3&amp;I24&amp;$BD$3,"")</f>
        <v>[2,100]</v>
      </c>
      <c r="BF22" s="60" t="str">
        <f>IFERROR($BC$3&amp;VLOOKUP(J24,'Pay Table'!$M$3:$N$18,2,FALSE)&amp;$BB$3&amp;K24&amp;$BD$3,"")</f>
        <v>[6,100]</v>
      </c>
    </row>
    <row r="23" spans="1:58" ht="17.100000000000001" customHeight="1" x14ac:dyDescent="0.15">
      <c r="A23" s="14">
        <v>18</v>
      </c>
      <c r="B23" s="10" t="s">
        <v>151</v>
      </c>
      <c r="C23" s="10">
        <v>100</v>
      </c>
      <c r="D23" s="10" t="s">
        <v>121</v>
      </c>
      <c r="E23" s="10">
        <v>100</v>
      </c>
      <c r="F23" s="10" t="s">
        <v>122</v>
      </c>
      <c r="G23" s="10">
        <v>100</v>
      </c>
      <c r="H23" s="10" t="s">
        <v>137</v>
      </c>
      <c r="I23" s="10">
        <v>100</v>
      </c>
      <c r="J23" s="10" t="s">
        <v>119</v>
      </c>
      <c r="K23" s="10">
        <v>100</v>
      </c>
      <c r="N23" s="1" t="s">
        <v>11</v>
      </c>
      <c r="O23" s="1">
        <f>O22*P22*Q22*R22*S22</f>
        <v>1.3339485732322259E+19</v>
      </c>
      <c r="BB23" s="59" t="str">
        <f>IFERROR($BC$3&amp;VLOOKUP(B25,'Pay Table'!$M$3:$N$18,2,FALSE)&amp;$BB$3&amp;C25&amp;$BD$3,"")</f>
        <v>[8,100]</v>
      </c>
      <c r="BC23" s="49" t="str">
        <f>IFERROR($BC$3&amp;VLOOKUP(D25,'Pay Table'!$M$3:$N$18,2,FALSE)&amp;$BB$3&amp;E25&amp;$BD$3,"")</f>
        <v>[7,100]</v>
      </c>
      <c r="BD23" s="49" t="str">
        <f>IFERROR($BC$3&amp;VLOOKUP(F25,'Pay Table'!$M$3:$N$18,2,FALSE)&amp;$BB$3&amp;G25&amp;$BD$3,"")</f>
        <v>[8,100]</v>
      </c>
      <c r="BE23" s="49" t="str">
        <f>IFERROR($BC$3&amp;VLOOKUP(H25,'Pay Table'!$M$3:$N$18,2,FALSE)&amp;$BB$3&amp;I25&amp;$BD$3,"")</f>
        <v>[1,100]</v>
      </c>
      <c r="BF23" s="60" t="str">
        <f>IFERROR($BC$3&amp;VLOOKUP(J25,'Pay Table'!$M$3:$N$18,2,FALSE)&amp;$BB$3&amp;K25&amp;$BD$3,"")</f>
        <v>[1,100]</v>
      </c>
    </row>
    <row r="24" spans="1:58" ht="17.100000000000001" customHeight="1" x14ac:dyDescent="0.15">
      <c r="A24" s="14">
        <v>19</v>
      </c>
      <c r="B24" s="10" t="s">
        <v>119</v>
      </c>
      <c r="C24" s="10">
        <v>100</v>
      </c>
      <c r="D24" s="10" t="s">
        <v>122</v>
      </c>
      <c r="E24" s="10">
        <v>100</v>
      </c>
      <c r="F24" s="10" t="s">
        <v>128</v>
      </c>
      <c r="G24" s="10">
        <v>100</v>
      </c>
      <c r="H24" s="10" t="s">
        <v>126</v>
      </c>
      <c r="I24" s="10">
        <v>100</v>
      </c>
      <c r="J24" s="10" t="s">
        <v>121</v>
      </c>
      <c r="K24" s="10">
        <v>100</v>
      </c>
      <c r="BB24" s="59" t="str">
        <f>IFERROR($BC$3&amp;VLOOKUP(B26,'Pay Table'!$M$3:$N$18,2,FALSE)&amp;$BB$3&amp;C26&amp;$BD$3,"")</f>
        <v>[1,100]</v>
      </c>
      <c r="BC24" s="49" t="str">
        <f>IFERROR($BC$3&amp;VLOOKUP(D26,'Pay Table'!$M$3:$N$18,2,FALSE)&amp;$BB$3&amp;E26&amp;$BD$3,"")</f>
        <v>[4,100]</v>
      </c>
      <c r="BD24" s="49" t="str">
        <f>IFERROR($BC$3&amp;VLOOKUP(F26,'Pay Table'!$M$3:$N$18,2,FALSE)&amp;$BB$3&amp;G26&amp;$BD$3,"")</f>
        <v>[5,100]</v>
      </c>
      <c r="BE24" s="49" t="str">
        <f>IFERROR($BC$3&amp;VLOOKUP(H26,'Pay Table'!$M$3:$N$18,2,FALSE)&amp;$BB$3&amp;I26&amp;$BD$3,"")</f>
        <v>[0,100]</v>
      </c>
      <c r="BF24" s="60" t="str">
        <f>IFERROR($BC$3&amp;VLOOKUP(J26,'Pay Table'!$M$3:$N$18,2,FALSE)&amp;$BB$3&amp;K26&amp;$BD$3,"")</f>
        <v>[94,80]</v>
      </c>
    </row>
    <row r="25" spans="1:58" ht="17.100000000000001" customHeight="1" x14ac:dyDescent="0.15">
      <c r="A25" s="14">
        <v>20</v>
      </c>
      <c r="B25" s="10" t="s">
        <v>120</v>
      </c>
      <c r="C25" s="10">
        <v>100</v>
      </c>
      <c r="D25" s="10" t="s">
        <v>119</v>
      </c>
      <c r="E25" s="10">
        <v>100</v>
      </c>
      <c r="F25" s="10" t="s">
        <v>120</v>
      </c>
      <c r="G25" s="10">
        <v>100</v>
      </c>
      <c r="H25" s="10" t="s">
        <v>125</v>
      </c>
      <c r="I25" s="10">
        <v>100</v>
      </c>
      <c r="J25" s="10" t="s">
        <v>125</v>
      </c>
      <c r="K25" s="10">
        <v>100</v>
      </c>
      <c r="N25" s="37"/>
      <c r="O25" s="1" t="s">
        <v>27</v>
      </c>
      <c r="T25" s="1" t="s">
        <v>28</v>
      </c>
      <c r="AA25" s="1" t="s">
        <v>28</v>
      </c>
      <c r="AB25" s="1" t="s">
        <v>41</v>
      </c>
      <c r="AG25" s="1" t="s">
        <v>28</v>
      </c>
      <c r="AH25" s="1" t="s">
        <v>42</v>
      </c>
      <c r="AM25" s="1" t="s">
        <v>28</v>
      </c>
      <c r="AN25" s="1" t="s">
        <v>43</v>
      </c>
      <c r="AR25" s="1" t="s">
        <v>28</v>
      </c>
      <c r="AS25" s="1" t="s">
        <v>44</v>
      </c>
      <c r="AV25" s="1" t="s">
        <v>28</v>
      </c>
      <c r="AW25" s="1" t="s">
        <v>113</v>
      </c>
      <c r="BB25" s="59" t="str">
        <f>IFERROR($BC$3&amp;VLOOKUP(B27,'Pay Table'!$M$3:$N$18,2,FALSE)&amp;$BB$3&amp;C27&amp;$BD$3,"")</f>
        <v>[3,100]</v>
      </c>
      <c r="BC25" s="49" t="str">
        <f>IFERROR($BC$3&amp;VLOOKUP(D27,'Pay Table'!$M$3:$N$18,2,FALSE)&amp;$BB$3&amp;E27&amp;$BD$3,"")</f>
        <v>[5,100]</v>
      </c>
      <c r="BD25" s="49" t="str">
        <f>IFERROR($BC$3&amp;VLOOKUP(F27,'Pay Table'!$M$3:$N$18,2,FALSE)&amp;$BB$3&amp;G27&amp;$BD$3,"")</f>
        <v>[1,100]</v>
      </c>
      <c r="BE25" s="49" t="str">
        <f>IFERROR($BC$3&amp;VLOOKUP(H27,'Pay Table'!$M$3:$N$18,2,FALSE)&amp;$BB$3&amp;I27&amp;$BD$3,"")</f>
        <v>[5,100]</v>
      </c>
      <c r="BF25" s="60" t="str">
        <f>IFERROR($BC$3&amp;VLOOKUP(J27,'Pay Table'!$M$3:$N$18,2,FALSE)&amp;$BB$3&amp;K27&amp;$BD$3,"")</f>
        <v>[3,100]</v>
      </c>
    </row>
    <row r="26" spans="1:58" ht="17.100000000000001" customHeight="1" x14ac:dyDescent="0.15">
      <c r="A26" s="14">
        <v>21</v>
      </c>
      <c r="B26" s="10" t="s">
        <v>125</v>
      </c>
      <c r="C26" s="10">
        <v>100</v>
      </c>
      <c r="D26" s="10" t="s">
        <v>128</v>
      </c>
      <c r="E26" s="10">
        <v>100</v>
      </c>
      <c r="F26" s="10" t="s">
        <v>123</v>
      </c>
      <c r="G26" s="10">
        <v>100</v>
      </c>
      <c r="H26" s="10" t="s">
        <v>124</v>
      </c>
      <c r="I26" s="10">
        <v>100</v>
      </c>
      <c r="J26" s="10" t="s">
        <v>47</v>
      </c>
      <c r="K26" s="10">
        <v>80</v>
      </c>
      <c r="N26" s="6" t="s">
        <v>4</v>
      </c>
      <c r="O26" s="18">
        <v>2</v>
      </c>
      <c r="P26" s="18">
        <v>3</v>
      </c>
      <c r="Q26" s="18">
        <v>4</v>
      </c>
      <c r="R26" s="36">
        <v>5</v>
      </c>
      <c r="T26" s="17" t="str">
        <f t="shared" ref="T26:U41" si="2">N26</f>
        <v>Symbol</v>
      </c>
      <c r="U26" s="18">
        <f>O26</f>
        <v>2</v>
      </c>
      <c r="V26" s="18">
        <f>P26</f>
        <v>3</v>
      </c>
      <c r="W26" s="18">
        <f>Q26</f>
        <v>4</v>
      </c>
      <c r="X26" s="36">
        <f>R26</f>
        <v>5</v>
      </c>
      <c r="Y26" s="1" t="s">
        <v>12</v>
      </c>
      <c r="AA26" s="6" t="s">
        <v>4</v>
      </c>
      <c r="AB26" s="18">
        <v>2</v>
      </c>
      <c r="AC26" s="18">
        <v>3</v>
      </c>
      <c r="AD26" s="18">
        <v>4</v>
      </c>
      <c r="AE26" s="36">
        <v>5</v>
      </c>
      <c r="AG26" s="6" t="s">
        <v>4</v>
      </c>
      <c r="AH26" s="18">
        <v>2</v>
      </c>
      <c r="AI26" s="18">
        <v>3</v>
      </c>
      <c r="AJ26" s="18">
        <v>4</v>
      </c>
      <c r="AK26" s="36">
        <v>5</v>
      </c>
      <c r="AM26" s="6" t="s">
        <v>4</v>
      </c>
      <c r="AN26" s="18">
        <v>3</v>
      </c>
      <c r="AO26" s="18">
        <v>4</v>
      </c>
      <c r="AP26" s="36">
        <v>5</v>
      </c>
      <c r="AR26" s="6" t="s">
        <v>4</v>
      </c>
      <c r="AS26" s="18">
        <v>4</v>
      </c>
      <c r="AT26" s="36">
        <v>5</v>
      </c>
      <c r="AV26" s="6" t="s">
        <v>4</v>
      </c>
      <c r="AW26" s="36">
        <v>5</v>
      </c>
      <c r="BB26" s="59" t="str">
        <f>IFERROR($BC$3&amp;VLOOKUP(B28,'Pay Table'!$M$3:$N$18,2,FALSE)&amp;$BB$3&amp;C28&amp;$BD$3,"")</f>
        <v>[4,100]</v>
      </c>
      <c r="BC26" s="49" t="str">
        <f>IFERROR($BC$3&amp;VLOOKUP(D28,'Pay Table'!$M$3:$N$18,2,FALSE)&amp;$BB$3&amp;E28&amp;$BD$3,"")</f>
        <v>[8,100]</v>
      </c>
      <c r="BD26" s="49" t="str">
        <f>IFERROR($BC$3&amp;VLOOKUP(F28,'Pay Table'!$M$3:$N$18,2,FALSE)&amp;$BB$3&amp;G28&amp;$BD$3,"")</f>
        <v>[2,100]</v>
      </c>
      <c r="BE26" s="49" t="str">
        <f>IFERROR($BC$3&amp;VLOOKUP(H28,'Pay Table'!$M$3:$N$18,2,FALSE)&amp;$BB$3&amp;I28&amp;$BD$3,"")</f>
        <v>[1,100]</v>
      </c>
      <c r="BF26" s="60" t="str">
        <f>IFERROR($BC$3&amp;VLOOKUP(J28,'Pay Table'!$M$3:$N$18,2,FALSE)&amp;$BB$3&amp;K28&amp;$BD$3,"")</f>
        <v>[94,100]</v>
      </c>
    </row>
    <row r="27" spans="1:58" ht="17.100000000000001" customHeight="1" x14ac:dyDescent="0.15">
      <c r="A27" s="14">
        <v>22</v>
      </c>
      <c r="B27" s="10" t="s">
        <v>172</v>
      </c>
      <c r="C27" s="10">
        <v>100</v>
      </c>
      <c r="D27" s="10" t="s">
        <v>123</v>
      </c>
      <c r="E27" s="10">
        <v>100</v>
      </c>
      <c r="F27" s="10" t="s">
        <v>125</v>
      </c>
      <c r="G27" s="10">
        <v>100</v>
      </c>
      <c r="H27" s="10" t="s">
        <v>123</v>
      </c>
      <c r="I27" s="10">
        <v>100</v>
      </c>
      <c r="J27" s="10" t="s">
        <v>127</v>
      </c>
      <c r="K27" s="10">
        <v>100</v>
      </c>
      <c r="N27" s="3" t="str">
        <f t="shared" ref="N27:N42" si="3">N6</f>
        <v>LINK</v>
      </c>
      <c r="O27" s="21"/>
      <c r="P27" s="21"/>
      <c r="Q27" s="21"/>
      <c r="R27" s="20"/>
      <c r="T27" s="7" t="str">
        <f t="shared" si="2"/>
        <v>LINK</v>
      </c>
      <c r="U27" s="21"/>
      <c r="V27" s="21"/>
      <c r="W27" s="21"/>
      <c r="X27" s="20"/>
      <c r="AA27" s="3" t="str">
        <f t="shared" ref="AA27:AA42" si="4">N6</f>
        <v>LINK</v>
      </c>
      <c r="AB27" s="7"/>
      <c r="AC27" s="21"/>
      <c r="AD27" s="21"/>
      <c r="AE27" s="20"/>
      <c r="AG27" s="3" t="str">
        <f>AA27</f>
        <v>LINK</v>
      </c>
      <c r="AH27" s="7"/>
      <c r="AI27" s="21"/>
      <c r="AJ27" s="21"/>
      <c r="AK27" s="20"/>
      <c r="AM27" s="3" t="str">
        <f>AG27</f>
        <v>LINK</v>
      </c>
      <c r="AN27" s="21"/>
      <c r="AO27" s="21"/>
      <c r="AP27" s="20"/>
      <c r="AR27" s="3" t="str">
        <f t="shared" ref="AR27:AR42" si="5">AM27</f>
        <v>LINK</v>
      </c>
      <c r="AS27" s="21"/>
      <c r="AT27" s="20"/>
      <c r="AV27" s="3" t="str">
        <f>AR27</f>
        <v>LINK</v>
      </c>
      <c r="AW27" s="20"/>
      <c r="BB27" s="59" t="str">
        <f>IFERROR($BC$3&amp;VLOOKUP(B29,'Pay Table'!$M$3:$N$18,2,FALSE)&amp;$BB$3&amp;C29&amp;$BD$3,"")</f>
        <v>[7,100]</v>
      </c>
      <c r="BC27" s="49" t="str">
        <f>IFERROR($BC$3&amp;VLOOKUP(D29,'Pay Table'!$M$3:$N$18,2,FALSE)&amp;$BB$3&amp;E29&amp;$BD$3,"")</f>
        <v>[6,100]</v>
      </c>
      <c r="BD27" s="49" t="str">
        <f>IFERROR($BC$3&amp;VLOOKUP(F29,'Pay Table'!$M$3:$N$18,2,FALSE)&amp;$BB$3&amp;G29&amp;$BD$3,"")</f>
        <v>[8,100]</v>
      </c>
      <c r="BE27" s="49" t="str">
        <f>IFERROR($BC$3&amp;VLOOKUP(H29,'Pay Table'!$M$3:$N$18,2,FALSE)&amp;$BB$3&amp;I29&amp;$BD$3,"")</f>
        <v>[2,100]</v>
      </c>
      <c r="BF27" s="60" t="str">
        <f>IFERROR($BC$3&amp;VLOOKUP(J29,'Pay Table'!$M$3:$N$18,2,FALSE)&amp;$BB$3&amp;K29&amp;$BD$3,"")</f>
        <v>[8,100]</v>
      </c>
    </row>
    <row r="28" spans="1:58" ht="17.100000000000001" customHeight="1" x14ac:dyDescent="0.15">
      <c r="A28" s="14">
        <v>23</v>
      </c>
      <c r="B28" s="10" t="s">
        <v>148</v>
      </c>
      <c r="C28" s="10">
        <v>100</v>
      </c>
      <c r="D28" s="10" t="s">
        <v>120</v>
      </c>
      <c r="E28" s="10">
        <v>100</v>
      </c>
      <c r="F28" s="10" t="s">
        <v>151</v>
      </c>
      <c r="G28" s="10">
        <v>100</v>
      </c>
      <c r="H28" s="10" t="s">
        <v>125</v>
      </c>
      <c r="I28" s="10">
        <v>100</v>
      </c>
      <c r="J28" s="10" t="s">
        <v>47</v>
      </c>
      <c r="K28" s="10">
        <v>100</v>
      </c>
      <c r="N28" s="4" t="str">
        <f t="shared" si="3"/>
        <v>WILD</v>
      </c>
      <c r="R28" s="5"/>
      <c r="T28" s="2" t="str">
        <f t="shared" si="2"/>
        <v>WILD</v>
      </c>
      <c r="V28" s="1">
        <f t="shared" ref="V28:X41" si="6">P28</f>
        <v>0</v>
      </c>
      <c r="W28" s="1">
        <f t="shared" si="6"/>
        <v>0</v>
      </c>
      <c r="X28" s="5">
        <f t="shared" si="6"/>
        <v>0</v>
      </c>
      <c r="Y28" s="1">
        <f>SUM(U28:X28)</f>
        <v>0</v>
      </c>
      <c r="AA28" s="4" t="str">
        <f t="shared" si="4"/>
        <v>WILD</v>
      </c>
      <c r="AB28" s="2"/>
      <c r="AE28" s="5"/>
      <c r="AG28" s="4" t="str">
        <f t="shared" ref="AG28:AG42" si="7">AA28</f>
        <v>WILD</v>
      </c>
      <c r="AH28" s="2"/>
      <c r="AK28" s="5"/>
      <c r="AM28" s="4" t="str">
        <f t="shared" ref="AM28:AM42" si="8">AG28</f>
        <v>WILD</v>
      </c>
      <c r="AP28" s="5"/>
      <c r="AR28" s="4" t="str">
        <f t="shared" si="5"/>
        <v>WILD</v>
      </c>
      <c r="AT28" s="5"/>
      <c r="AV28" s="4" t="str">
        <f t="shared" ref="AV28:AV42" si="9">AR28</f>
        <v>WILD</v>
      </c>
      <c r="AW28" s="5"/>
      <c r="BB28" s="59" t="str">
        <f>IFERROR($BC$3&amp;VLOOKUP(B30,'Pay Table'!$M$3:$N$18,2,FALSE)&amp;$BB$3&amp;C30&amp;$BD$3,"")</f>
        <v>[6,100]</v>
      </c>
      <c r="BC28" s="49" t="str">
        <f>IFERROR($BC$3&amp;VLOOKUP(D30,'Pay Table'!$M$3:$N$18,2,FALSE)&amp;$BB$3&amp;E30&amp;$BD$3,"")</f>
        <v>[0,100]</v>
      </c>
      <c r="BD28" s="49" t="str">
        <f>IFERROR($BC$3&amp;VLOOKUP(F30,'Pay Table'!$M$3:$N$18,2,FALSE)&amp;$BB$3&amp;G30&amp;$BD$3,"")</f>
        <v>[2,200]</v>
      </c>
      <c r="BE28" s="49" t="str">
        <f>IFERROR($BC$3&amp;VLOOKUP(H30,'Pay Table'!$M$3:$N$18,2,FALSE)&amp;$BB$3&amp;I30&amp;$BD$3,"")</f>
        <v>[4,100]</v>
      </c>
      <c r="BF28" s="60" t="str">
        <f>IFERROR($BC$3&amp;VLOOKUP(J30,'Pay Table'!$M$3:$N$18,2,FALSE)&amp;$BB$3&amp;K30&amp;$BD$3,"")</f>
        <v>[7,100]</v>
      </c>
    </row>
    <row r="29" spans="1:58" ht="17.100000000000001" customHeight="1" x14ac:dyDescent="0.15">
      <c r="A29" s="14">
        <v>24</v>
      </c>
      <c r="B29" s="10" t="s">
        <v>119</v>
      </c>
      <c r="C29" s="10">
        <v>100</v>
      </c>
      <c r="D29" s="10" t="s">
        <v>121</v>
      </c>
      <c r="E29" s="10">
        <v>100</v>
      </c>
      <c r="F29" s="10" t="s">
        <v>120</v>
      </c>
      <c r="G29" s="10">
        <v>100</v>
      </c>
      <c r="H29" s="10" t="s">
        <v>126</v>
      </c>
      <c r="I29" s="10">
        <v>100</v>
      </c>
      <c r="J29" s="10" t="s">
        <v>120</v>
      </c>
      <c r="K29" s="10">
        <v>100</v>
      </c>
      <c r="N29" s="4" t="str">
        <f t="shared" si="3"/>
        <v>M1</v>
      </c>
      <c r="O29" s="1">
        <f>O8*($P$7+P8)*($Q$22-Q8-$Q$7)*$R$22*$S$22</f>
        <v>6.0752730499999984E+16</v>
      </c>
      <c r="P29" s="1">
        <f>O8*($P$7+P8)*($Q$7+Q8)*($R$22-R8-$R$7)*$S$22</f>
        <v>6303953333333333</v>
      </c>
      <c r="Q29" s="1">
        <f>O8*($P$7+P8)*($Q$7+Q8)*($R$7+R8)*($S$22-S8-$S$7)</f>
        <v>575976296296296.25</v>
      </c>
      <c r="R29" s="5">
        <f>O8*($P$7+P8)*($Q$7+Q8)*($R$7+R8)*($S$7+S8)</f>
        <v>107842370370370.38</v>
      </c>
      <c r="S29" s="1">
        <f>SUM(O29:R29)</f>
        <v>6.7740502499999984E+16</v>
      </c>
      <c r="T29" s="2" t="str">
        <f t="shared" si="2"/>
        <v>M1</v>
      </c>
      <c r="U29" s="1">
        <f>O29</f>
        <v>6.0752730499999984E+16</v>
      </c>
      <c r="V29" s="1">
        <f t="shared" si="6"/>
        <v>6303953333333333</v>
      </c>
      <c r="W29" s="1">
        <f t="shared" si="6"/>
        <v>575976296296296.25</v>
      </c>
      <c r="X29" s="5">
        <f t="shared" si="6"/>
        <v>107842370370370.38</v>
      </c>
      <c r="Y29" s="1">
        <f t="shared" ref="Y29:Y39" si="10">SUM(U29:X29)</f>
        <v>6.7740502499999984E+16</v>
      </c>
      <c r="AA29" s="4" t="str">
        <f t="shared" si="4"/>
        <v>M1</v>
      </c>
      <c r="AB29" s="2">
        <f t="shared" ref="AB29:AB41" si="11">O8*P8*($Q$22-Q8-$Q$7)*$R$22*$S$22</f>
        <v>3.9489274824999984E+16</v>
      </c>
      <c r="AC29" s="1">
        <f t="shared" ref="AC29:AC41" si="12">O8*P8*Q8*($R$22-R8-$R$7)*$S$22</f>
        <v>2789834666666666.5</v>
      </c>
      <c r="AD29" s="1">
        <f t="shared" ref="AD29:AD41" si="13">O8*P8*Q8*R8*($S$22-S8-$S$7)</f>
        <v>159312592592592.56</v>
      </c>
      <c r="AE29" s="5">
        <f>O8*P8*Q8*R8*S8</f>
        <v>18981925925925.926</v>
      </c>
      <c r="AG29" s="4" t="str">
        <f t="shared" si="7"/>
        <v>M1</v>
      </c>
      <c r="AH29" s="2">
        <f t="shared" ref="AH29:AH41" si="14">O8*$P$7*($Q$22-Q8-$Q$7)*$R$22*$S$22</f>
        <v>2.1263455674999988E+16</v>
      </c>
      <c r="AI29" s="1">
        <f t="shared" ref="AI29:AI41" si="15">O8*$P$7*Q8*($R$22-R8-$R$7)*$S$22+
O8*P8*$Q$7*($R$22-R8-$R$7)*$S$22</f>
        <v>2809953666666666</v>
      </c>
      <c r="AJ29" s="1">
        <f t="shared" ref="AJ29:AJ41" si="16">O8*$P$7*Q8*R8*($S$22-S8-$S$7)+
O8*P8*$Q$7*R8*($S$22-S8-$S$7)+
O8*P8*Q8*$R$7*($S$22-S8-$S$7)</f>
        <v>256049037037037</v>
      </c>
      <c r="AK29" s="5">
        <f t="array" ref="AK29">O8*$P$7*Q8*R8*S8+
O8*P8*$Q$7*R8*S8+
O8*P8*Q8*$R$7*S8+
O8*P8*Q8*R8*$S$7</f>
        <v>41354785185185.18</v>
      </c>
      <c r="AM29" s="4" t="str">
        <f t="shared" si="8"/>
        <v>M1</v>
      </c>
      <c r="AN29" s="1">
        <f t="shared" ref="AN29:AN41" si="17">O8*$P$7*$Q$7*($R$22-R8-$R$7)*$S$22</f>
        <v>704164999999999.88</v>
      </c>
      <c r="AO29" s="1">
        <f t="shared" ref="AO29:AO41" si="18">O8*$P$7*$Q$7*R8*($S$22-S8-$S$7)+
O8*$P$7*Q8*$R$7*($S$22-S8-$S$7)+
O8*P8*$Q$7*$R$7*($S$22-S8-$S$7)</f>
        <v>136487999999999.97</v>
      </c>
      <c r="AP29" s="5">
        <f t="array" ref="AP29">O8*$P$7*$Q$7*R8*S8+
O8*$P$7*Q8*$R$7*S8+
O8*P8*$Q$7*$R$7*S8+
O8*P8*$Q$7*R8*$S$7+
O8*P8*Q8*$R$7*$S$7+
O8*$P$7*Q8*R8*$S$7</f>
        <v>33695525925925.926</v>
      </c>
      <c r="AR29" s="4" t="str">
        <f t="shared" si="5"/>
        <v>M1</v>
      </c>
      <c r="AS29" s="1">
        <f t="shared" ref="AS29:AS42" si="19">O8*$P$7*$Q$7*$R$7*($S$22-S8-$S$7)</f>
        <v>24126666666666.66</v>
      </c>
      <c r="AT29" s="5">
        <f>O8*$P$7*$Q$7*$R$7*S8+
O8*$P$7*$Q$7*R8*$S$7+
O8*$P$7*Q8*$R$7*$S$7+
O8*P8*$Q$7*$R$7*$S$7</f>
        <v>12167466666666.666</v>
      </c>
      <c r="AV29" s="4" t="str">
        <f t="shared" si="9"/>
        <v>M1</v>
      </c>
      <c r="AW29" s="5">
        <f>O8*$P$7*$Q$7*$R$7*$S$7</f>
        <v>1642666666666.6665</v>
      </c>
      <c r="BB29" s="59" t="str">
        <f>IFERROR($BC$3&amp;VLOOKUP(B31,'Pay Table'!$M$3:$N$18,2,FALSE)&amp;$BB$3&amp;C31&amp;$BD$3,"")</f>
        <v>[0,100]</v>
      </c>
      <c r="BC29" s="49" t="str">
        <f>IFERROR($BC$3&amp;VLOOKUP(D31,'Pay Table'!$M$3:$N$18,2,FALSE)&amp;$BB$3&amp;E31&amp;$BD$3,"")</f>
        <v>[4,100]</v>
      </c>
      <c r="BD29" s="49" t="str">
        <f>IFERROR($BC$3&amp;VLOOKUP(F31,'Pay Table'!$M$3:$N$18,2,FALSE)&amp;$BB$3&amp;G31&amp;$BD$3,"")</f>
        <v>[90,200]</v>
      </c>
      <c r="BE29" s="49" t="str">
        <f>IFERROR($BC$3&amp;VLOOKUP(H31,'Pay Table'!$M$3:$N$18,2,FALSE)&amp;$BB$3&amp;I31&amp;$BD$3,"")</f>
        <v>[1,150]</v>
      </c>
      <c r="BF29" s="60" t="str">
        <f>IFERROR($BC$3&amp;VLOOKUP(J31,'Pay Table'!$M$3:$N$18,2,FALSE)&amp;$BB$3&amp;K31&amp;$BD$3,"")</f>
        <v>[1,100]</v>
      </c>
    </row>
    <row r="30" spans="1:58" ht="17.100000000000001" customHeight="1" x14ac:dyDescent="0.15">
      <c r="A30" s="14">
        <v>25</v>
      </c>
      <c r="B30" s="10" t="s">
        <v>121</v>
      </c>
      <c r="C30" s="10">
        <v>100</v>
      </c>
      <c r="D30" s="10" t="s">
        <v>124</v>
      </c>
      <c r="E30" s="10">
        <v>100</v>
      </c>
      <c r="F30" s="10" t="s">
        <v>151</v>
      </c>
      <c r="G30" s="10">
        <v>200</v>
      </c>
      <c r="H30" s="10" t="s">
        <v>128</v>
      </c>
      <c r="I30" s="10">
        <v>100</v>
      </c>
      <c r="J30" s="10" t="s">
        <v>119</v>
      </c>
      <c r="K30" s="10">
        <v>100</v>
      </c>
      <c r="N30" s="4" t="str">
        <f t="shared" si="3"/>
        <v>M2</v>
      </c>
      <c r="O30" s="1">
        <f t="shared" ref="O30:O41" si="20">O9*($P$7+P9)*($Q$22-Q9-$Q$7)*$R$22*$S$22</f>
        <v>1.2770244140624995E+17</v>
      </c>
      <c r="P30" s="1">
        <f t="shared" ref="P30:P41" si="21">O9*($P$7+P9)*($Q$7+Q9)*($R$22-R9-$R$7)*$S$22</f>
        <v>1.7324667749999996E+16</v>
      </c>
      <c r="Q30" s="1">
        <f t="shared" ref="Q30:Q41" si="22">O9*($P$7+P9)*($Q$7+Q9)*($R$7+R9)*($S$22-S9-$S$7)</f>
        <v>3306019166666666</v>
      </c>
      <c r="R30" s="5">
        <f t="shared" ref="R30:R41" si="23">O9*($P$7+P9)*($Q$7+Q9)*($R$7+R9)*($S$7+S9)</f>
        <v>618999333333333.25</v>
      </c>
      <c r="S30" s="1">
        <f t="shared" ref="S30:S37" si="24">SUM(O30:R30)</f>
        <v>1.4895212765624995E+17</v>
      </c>
      <c r="T30" s="2" t="str">
        <f t="shared" si="2"/>
        <v>M2</v>
      </c>
      <c r="U30" s="1">
        <f t="shared" si="2"/>
        <v>1.2770244140624995E+17</v>
      </c>
      <c r="V30" s="1">
        <f t="shared" si="6"/>
        <v>1.7324667749999996E+16</v>
      </c>
      <c r="W30" s="1">
        <f t="shared" si="6"/>
        <v>3306019166666666</v>
      </c>
      <c r="X30" s="5">
        <f t="shared" si="6"/>
        <v>618999333333333.25</v>
      </c>
      <c r="Y30" s="1">
        <f t="shared" si="10"/>
        <v>1.4895212765624995E+17</v>
      </c>
      <c r="AA30" s="4" t="str">
        <f t="shared" si="4"/>
        <v>M2</v>
      </c>
      <c r="AB30" s="2">
        <f t="shared" si="11"/>
        <v>9.3054492187499968E+16</v>
      </c>
      <c r="AC30" s="1">
        <f t="shared" si="12"/>
        <v>9710904999999998</v>
      </c>
      <c r="AD30" s="1">
        <f t="shared" si="13"/>
        <v>1484938888888888.5</v>
      </c>
      <c r="AE30" s="5">
        <f t="shared" ref="AE30:AE41" si="25">O9*P9*Q9*R9*S9</f>
        <v>176928888888888.88</v>
      </c>
      <c r="AG30" s="4" t="str">
        <f t="shared" si="7"/>
        <v>M2</v>
      </c>
      <c r="AH30" s="2">
        <f t="shared" si="14"/>
        <v>3.4647949218749984E+16</v>
      </c>
      <c r="AI30" s="1">
        <f t="shared" si="15"/>
        <v>6529033999999999</v>
      </c>
      <c r="AJ30" s="1">
        <f t="shared" si="16"/>
        <v>1366551111111110.8</v>
      </c>
      <c r="AK30" s="5">
        <f t="array" ref="AK30">O9*$P$7*Q9*R9*S9+
O9*P9*$Q$7*R9*S9+
O9*P9*Q9*$R$7*S9+
O9*P9*Q9*R9*$S$7</f>
        <v>263925333333333.31</v>
      </c>
      <c r="AM30" s="4" t="str">
        <f t="shared" si="8"/>
        <v>M2</v>
      </c>
      <c r="AN30" s="1">
        <f t="shared" si="17"/>
        <v>1084728750000000</v>
      </c>
      <c r="AO30" s="1">
        <f t="shared" si="18"/>
        <v>413404166666666.63</v>
      </c>
      <c r="AP30" s="5">
        <f t="array" ref="AP30">O9*$P$7*$Q$7*R9*S9+
O9*$P$7*Q9*$R$7*S9+
O9*P9*$Q$7*$R$7*S9+
O9*P9*$Q$7*R9*$S$7+
O9*P9*Q9*$R$7*$S$7+
O9*$P$7*Q9*R9*$S$7</f>
        <v>142298444444444.44</v>
      </c>
      <c r="AR30" s="4" t="str">
        <f t="shared" si="5"/>
        <v>M2</v>
      </c>
      <c r="AS30" s="1">
        <f t="shared" si="19"/>
        <v>41125000000000</v>
      </c>
      <c r="AT30" s="5">
        <f t="array" ref="AT30">O9*$P$7*$Q$7*$R$7*S9+
O9*$P$7*$Q$7*R9*$S$7+
O9*$P$7*Q9*$R$7*$S$7+
O9*P9*$Q$7*$R$7*$S$7</f>
        <v>33046666666666.668</v>
      </c>
      <c r="AV30" s="4" t="str">
        <f t="shared" si="9"/>
        <v>M2</v>
      </c>
      <c r="AW30" s="5">
        <f t="shared" ref="AW30:AW42" si="26">O9*$P$7*$Q$7*$R$7*$S$7</f>
        <v>2800000000000.0005</v>
      </c>
      <c r="BB30" s="59" t="str">
        <f>IFERROR($BC$3&amp;VLOOKUP(B32,'Pay Table'!$M$3:$N$18,2,FALSE)&amp;$BB$3&amp;C32&amp;$BD$3,"")</f>
        <v>[7,100]</v>
      </c>
      <c r="BC30" s="49" t="str">
        <f>IFERROR($BC$3&amp;VLOOKUP(D32,'Pay Table'!$M$3:$N$18,2,FALSE)&amp;$BB$3&amp;E32&amp;$BD$3,"")</f>
        <v>[3,200]</v>
      </c>
      <c r="BD30" s="49" t="str">
        <f>IFERROR($BC$3&amp;VLOOKUP(F32,'Pay Table'!$M$3:$N$18,2,FALSE)&amp;$BB$3&amp;G32&amp;$BD$3,"")</f>
        <v>[1,100]</v>
      </c>
      <c r="BE30" s="49" t="str">
        <f>IFERROR($BC$3&amp;VLOOKUP(H32,'Pay Table'!$M$3:$N$18,2,FALSE)&amp;$BB$3&amp;I32&amp;$BD$3,"")</f>
        <v>[90,200]</v>
      </c>
      <c r="BF30" s="60" t="str">
        <f>IFERROR($BC$3&amp;VLOOKUP(J32,'Pay Table'!$M$3:$N$18,2,FALSE)&amp;$BB$3&amp;K32&amp;$BD$3,"")</f>
        <v>[3,100]</v>
      </c>
    </row>
    <row r="31" spans="1:58" ht="17.100000000000001" customHeight="1" x14ac:dyDescent="0.15">
      <c r="A31" s="14">
        <v>26</v>
      </c>
      <c r="B31" s="10" t="s">
        <v>124</v>
      </c>
      <c r="C31" s="10">
        <v>100</v>
      </c>
      <c r="D31" s="10" t="s">
        <v>128</v>
      </c>
      <c r="E31" s="10">
        <v>100</v>
      </c>
      <c r="F31" s="10" t="s">
        <v>14</v>
      </c>
      <c r="G31" s="10">
        <v>200</v>
      </c>
      <c r="H31" s="10" t="s">
        <v>125</v>
      </c>
      <c r="I31" s="10">
        <v>150</v>
      </c>
      <c r="J31" s="10" t="s">
        <v>125</v>
      </c>
      <c r="K31" s="10">
        <v>100</v>
      </c>
      <c r="N31" s="4" t="str">
        <f t="shared" si="3"/>
        <v>M3</v>
      </c>
      <c r="O31" s="1">
        <f t="shared" si="20"/>
        <v>1.5915881953124995E+17</v>
      </c>
      <c r="P31" s="1">
        <f t="shared" si="21"/>
        <v>2.7141468750000004E+16</v>
      </c>
      <c r="Q31" s="1">
        <f t="shared" si="22"/>
        <v>3735875000000000</v>
      </c>
      <c r="R31" s="5">
        <f t="shared" si="23"/>
        <v>484000000000000.13</v>
      </c>
      <c r="S31" s="1">
        <f t="shared" si="24"/>
        <v>1.9052016328124995E+17</v>
      </c>
      <c r="T31" s="2" t="str">
        <f t="shared" si="2"/>
        <v>M3</v>
      </c>
      <c r="U31" s="1">
        <f t="shared" si="2"/>
        <v>1.5915881953124995E+17</v>
      </c>
      <c r="V31" s="1">
        <f t="shared" si="6"/>
        <v>2.7141468750000004E+16</v>
      </c>
      <c r="W31" s="1">
        <f t="shared" si="6"/>
        <v>3735875000000000</v>
      </c>
      <c r="X31" s="5">
        <f t="shared" si="6"/>
        <v>484000000000000.13</v>
      </c>
      <c r="Y31" s="1">
        <f t="shared" si="10"/>
        <v>1.9052016328124995E+17</v>
      </c>
      <c r="AA31" s="4" t="str">
        <f t="shared" si="4"/>
        <v>M3</v>
      </c>
      <c r="AB31" s="2">
        <f t="shared" si="11"/>
        <v>1.2539785781249998E+17</v>
      </c>
      <c r="AC31" s="1">
        <f t="shared" si="12"/>
        <v>1.710735E+16</v>
      </c>
      <c r="AD31" s="1">
        <f t="shared" si="13"/>
        <v>1712533333333333.3</v>
      </c>
      <c r="AE31" s="5">
        <f t="shared" si="25"/>
        <v>110933333333333.34</v>
      </c>
      <c r="AG31" s="4" t="str">
        <f t="shared" si="7"/>
        <v>M3</v>
      </c>
      <c r="AH31" s="2">
        <f t="shared" si="14"/>
        <v>3.3760961718749988E+16</v>
      </c>
      <c r="AI31" s="1">
        <f t="shared" si="15"/>
        <v>8882662500000000</v>
      </c>
      <c r="AJ31" s="1">
        <f t="shared" si="16"/>
        <v>1531400000000000</v>
      </c>
      <c r="AK31" s="5">
        <f t="array" ref="AK31">O10*$P$7*Q10*R10*S10+
O10*P10*$Q$7*R10*S10+
O10*P10*Q10*$R$7*S10+
O10*P10*Q10*R10*$S$7</f>
        <v>210133333333333.38</v>
      </c>
      <c r="AM31" s="4" t="str">
        <f t="shared" si="8"/>
        <v>M3</v>
      </c>
      <c r="AN31" s="1">
        <f t="shared" si="17"/>
        <v>1151456250000000</v>
      </c>
      <c r="AO31" s="1">
        <f t="shared" si="18"/>
        <v>448716666666666.63</v>
      </c>
      <c r="AP31" s="5">
        <f t="array" ref="AP31">O10*$P$7*$Q$7*R10*S10+
O10*$P$7*Q10*$R$7*S10+
O10*P10*$Q$7*$R$7*S10+
O10*P10*$Q$7*R10*$S$7+
O10*P10*Q10*$R$7*$S$7+
O10*$P$7*Q10*R10*$S$7</f>
        <v>128266666666666.69</v>
      </c>
      <c r="AR31" s="4" t="str">
        <f t="shared" si="5"/>
        <v>M3</v>
      </c>
      <c r="AS31" s="1">
        <f t="shared" si="19"/>
        <v>43225000000000</v>
      </c>
      <c r="AT31" s="5">
        <f t="array" ref="AT31">O10*$P$7*$Q$7*$R$7*S10+
O10*$P$7*$Q$7*R10*$S$7+
O10*$P$7*Q10*$R$7*$S$7+
O10*P10*$Q$7*$R$7*$S$7</f>
        <v>31866666666666.672</v>
      </c>
      <c r="AV31" s="4" t="str">
        <f t="shared" si="9"/>
        <v>M3</v>
      </c>
      <c r="AW31" s="5">
        <f t="shared" si="26"/>
        <v>2800000000000.0005</v>
      </c>
      <c r="BB31" s="59" t="str">
        <f>IFERROR($BC$3&amp;VLOOKUP(B33,'Pay Table'!$M$3:$N$18,2,FALSE)&amp;$BB$3&amp;C33&amp;$BD$3,"")</f>
        <v>[6,100]</v>
      </c>
      <c r="BC31" s="49" t="str">
        <f>IFERROR($BC$3&amp;VLOOKUP(D33,'Pay Table'!$M$3:$N$18,2,FALSE)&amp;$BB$3&amp;E33&amp;$BD$3,"")</f>
        <v>[5,150]</v>
      </c>
      <c r="BD31" s="49" t="str">
        <f>IFERROR($BC$3&amp;VLOOKUP(F33,'Pay Table'!$M$3:$N$18,2,FALSE)&amp;$BB$3&amp;G33&amp;$BD$3,"")</f>
        <v>[2,100]</v>
      </c>
      <c r="BE31" s="49" t="str">
        <f>IFERROR($BC$3&amp;VLOOKUP(H33,'Pay Table'!$M$3:$N$18,2,FALSE)&amp;$BB$3&amp;I33&amp;$BD$3,"")</f>
        <v>[5,100]</v>
      </c>
      <c r="BF31" s="60" t="str">
        <f>IFERROR($BC$3&amp;VLOOKUP(J33,'Pay Table'!$M$3:$N$18,2,FALSE)&amp;$BB$3&amp;K33&amp;$BD$3,"")</f>
        <v>[92,100]</v>
      </c>
    </row>
    <row r="32" spans="1:58" ht="17.100000000000001" customHeight="1" x14ac:dyDescent="0.15">
      <c r="A32" s="14">
        <v>27</v>
      </c>
      <c r="B32" s="10" t="s">
        <v>119</v>
      </c>
      <c r="C32" s="10">
        <v>100</v>
      </c>
      <c r="D32" s="10" t="s">
        <v>127</v>
      </c>
      <c r="E32" s="10">
        <v>200</v>
      </c>
      <c r="F32" s="10" t="s">
        <v>125</v>
      </c>
      <c r="G32" s="10">
        <v>100</v>
      </c>
      <c r="H32" s="10" t="s">
        <v>14</v>
      </c>
      <c r="I32" s="10">
        <v>200</v>
      </c>
      <c r="J32" s="10" t="s">
        <v>127</v>
      </c>
      <c r="K32" s="10">
        <v>100</v>
      </c>
      <c r="N32" s="4" t="str">
        <f t="shared" si="3"/>
        <v>M4</v>
      </c>
      <c r="O32" s="1">
        <f t="shared" si="20"/>
        <v>8.5816040624999968E+16</v>
      </c>
      <c r="P32" s="1">
        <f t="shared" si="21"/>
        <v>1.00367925E+16</v>
      </c>
      <c r="Q32" s="1">
        <f t="shared" si="22"/>
        <v>944338888888888.88</v>
      </c>
      <c r="R32" s="5">
        <f t="shared" si="23"/>
        <v>194911111111111.13</v>
      </c>
      <c r="S32" s="1">
        <f t="shared" si="24"/>
        <v>9.6992083124999968E+16</v>
      </c>
      <c r="T32" s="2" t="str">
        <f t="shared" si="2"/>
        <v>M4</v>
      </c>
      <c r="U32" s="1">
        <f t="shared" si="2"/>
        <v>8.5816040624999968E+16</v>
      </c>
      <c r="V32" s="1">
        <f t="shared" si="6"/>
        <v>1.00367925E+16</v>
      </c>
      <c r="W32" s="1">
        <f t="shared" si="6"/>
        <v>944338888888888.88</v>
      </c>
      <c r="X32" s="5">
        <f t="shared" si="6"/>
        <v>194911111111111.13</v>
      </c>
      <c r="Y32" s="1">
        <f t="shared" si="10"/>
        <v>9.6992083124999968E+16</v>
      </c>
      <c r="AA32" s="4" t="str">
        <f t="shared" si="4"/>
        <v>M4</v>
      </c>
      <c r="AB32" s="2">
        <f t="shared" si="11"/>
        <v>4.2908020312499984E+16</v>
      </c>
      <c r="AC32" s="1">
        <f t="shared" si="12"/>
        <v>3584568749999999.5</v>
      </c>
      <c r="AD32" s="1">
        <f t="shared" si="13"/>
        <v>215848888888888.88</v>
      </c>
      <c r="AE32" s="5">
        <f t="shared" si="25"/>
        <v>29617777777777.777</v>
      </c>
      <c r="AG32" s="4" t="str">
        <f t="shared" si="7"/>
        <v>M4</v>
      </c>
      <c r="AH32" s="2">
        <f t="shared" si="14"/>
        <v>4.2908020312499984E+16</v>
      </c>
      <c r="AI32" s="1">
        <f t="shared" si="15"/>
        <v>5018396250000000</v>
      </c>
      <c r="AJ32" s="1">
        <f t="shared" si="16"/>
        <v>423603444444444.44</v>
      </c>
      <c r="AK32" s="5">
        <f t="array" ref="AK32">O11*$P$7*Q11*R11*S11+
O11*P11*$Q$7*R11*S11+
O11*P11*Q11*$R$7*S11+
O11*P11*Q11*R11*$S$7</f>
        <v>73058222222222.219</v>
      </c>
      <c r="AM32" s="4" t="str">
        <f t="shared" si="8"/>
        <v>M4</v>
      </c>
      <c r="AN32" s="1">
        <f t="shared" si="17"/>
        <v>1433827500000000</v>
      </c>
      <c r="AO32" s="1">
        <f t="shared" si="18"/>
        <v>256320555555555.53</v>
      </c>
      <c r="AP32" s="5">
        <f t="array" ref="AP32">O11*$P$7*$Q$7*R11*S11+
O11*$P$7*Q11*$R$7*S11+
O11*P11*$Q$7*$R$7*S11+
O11*P11*$Q$7*R11*$S$7+
O11*P11*Q11*$R$7*$S$7+
O11*$P$7*Q11*R11*$S$7</f>
        <v>64477777777777.781</v>
      </c>
      <c r="AR32" s="4" t="str">
        <f t="shared" si="5"/>
        <v>M4</v>
      </c>
      <c r="AS32" s="1">
        <f t="shared" si="19"/>
        <v>48565999999999.992</v>
      </c>
      <c r="AT32" s="5">
        <f t="array" ref="AT32">O11*$P$7*$Q$7*$R$7*S11+
O11*$P$7*$Q$7*R11*$S$7+
O11*$P$7*Q11*$R$7*$S$7+
O11*P11*$Q$7*$R$7*$S$7</f>
        <v>24397333333333.332</v>
      </c>
      <c r="AV32" s="4" t="str">
        <f t="shared" si="9"/>
        <v>M4</v>
      </c>
      <c r="AW32" s="5">
        <f t="shared" si="26"/>
        <v>3360000000000</v>
      </c>
      <c r="BB32" s="59" t="str">
        <f>IFERROR($BC$3&amp;VLOOKUP(B34,'Pay Table'!$M$3:$N$18,2,FALSE)&amp;$BB$3&amp;C34&amp;$BD$3,"")</f>
        <v>[4,100]</v>
      </c>
      <c r="BC32" s="49" t="str">
        <f>IFERROR($BC$3&amp;VLOOKUP(D34,'Pay Table'!$M$3:$N$18,2,FALSE)&amp;$BB$3&amp;E34&amp;$BD$3,"")</f>
        <v>[90,200]</v>
      </c>
      <c r="BD32" s="49" t="str">
        <f>IFERROR($BC$3&amp;VLOOKUP(F34,'Pay Table'!$M$3:$N$18,2,FALSE)&amp;$BB$3&amp;G34&amp;$BD$3,"")</f>
        <v>[92,100]</v>
      </c>
      <c r="BE32" s="49" t="str">
        <f>IFERROR($BC$3&amp;VLOOKUP(H34,'Pay Table'!$M$3:$N$18,2,FALSE)&amp;$BB$3&amp;I34&amp;$BD$3,"")</f>
        <v>[4,100]</v>
      </c>
      <c r="BF32" s="60" t="str">
        <f>IFERROR($BC$3&amp;VLOOKUP(J34,'Pay Table'!$M$3:$N$18,2,FALSE)&amp;$BB$3&amp;K34&amp;$BD$3,"")</f>
        <v>[2,100]</v>
      </c>
    </row>
    <row r="33" spans="1:58" ht="17.100000000000001" customHeight="1" x14ac:dyDescent="0.15">
      <c r="A33" s="14">
        <v>28</v>
      </c>
      <c r="B33" s="10" t="s">
        <v>121</v>
      </c>
      <c r="C33" s="10">
        <v>100</v>
      </c>
      <c r="D33" s="10" t="s">
        <v>123</v>
      </c>
      <c r="E33" s="10">
        <v>150</v>
      </c>
      <c r="F33" s="10" t="s">
        <v>126</v>
      </c>
      <c r="G33" s="10">
        <v>100</v>
      </c>
      <c r="H33" s="10" t="s">
        <v>123</v>
      </c>
      <c r="I33" s="10">
        <v>100</v>
      </c>
      <c r="J33" s="10" t="s">
        <v>122</v>
      </c>
      <c r="K33" s="10">
        <v>100</v>
      </c>
      <c r="N33" s="4" t="str">
        <f t="shared" si="3"/>
        <v>M5</v>
      </c>
      <c r="O33" s="1">
        <f t="shared" si="20"/>
        <v>9.7053855468749984E+16</v>
      </c>
      <c r="P33" s="1">
        <f t="shared" si="21"/>
        <v>1.1196521875E+16</v>
      </c>
      <c r="Q33" s="1">
        <f t="shared" si="22"/>
        <v>1196162592592592.5</v>
      </c>
      <c r="R33" s="5">
        <f t="shared" si="23"/>
        <v>246887407407407.44</v>
      </c>
      <c r="S33" s="1">
        <f t="shared" si="24"/>
        <v>1.0969342734374998E+17</v>
      </c>
      <c r="T33" s="2" t="str">
        <f t="shared" si="2"/>
        <v>M5</v>
      </c>
      <c r="U33" s="1">
        <f t="shared" si="2"/>
        <v>9.7053855468749984E+16</v>
      </c>
      <c r="V33" s="1">
        <f t="shared" si="6"/>
        <v>1.1196521875E+16</v>
      </c>
      <c r="W33" s="1">
        <f t="shared" si="6"/>
        <v>1196162592592592.5</v>
      </c>
      <c r="X33" s="5">
        <f t="shared" si="6"/>
        <v>246887407407407.44</v>
      </c>
      <c r="Y33" s="1">
        <f t="shared" si="10"/>
        <v>1.0969342734374998E+17</v>
      </c>
      <c r="AA33" s="4" t="str">
        <f t="shared" si="4"/>
        <v>M5</v>
      </c>
      <c r="AB33" s="2">
        <f t="shared" si="11"/>
        <v>6.1297171874999976E+16</v>
      </c>
      <c r="AC33" s="1">
        <f t="shared" si="12"/>
        <v>5051062500000000</v>
      </c>
      <c r="AD33" s="1">
        <f t="shared" si="13"/>
        <v>366172222222222.19</v>
      </c>
      <c r="AE33" s="5">
        <f t="shared" si="25"/>
        <v>50244444444444.445</v>
      </c>
      <c r="AG33" s="4" t="str">
        <f t="shared" si="7"/>
        <v>M5</v>
      </c>
      <c r="AH33" s="2">
        <f t="shared" si="14"/>
        <v>3.5756683593749988E+16</v>
      </c>
      <c r="AI33" s="1">
        <f t="shared" si="15"/>
        <v>4966878125000000</v>
      </c>
      <c r="AJ33" s="1">
        <f t="shared" si="16"/>
        <v>533519351851851.88</v>
      </c>
      <c r="AK33" s="5">
        <f t="array" ref="AK33">O12*$P$7*Q12*R12*S12+
O12*P12*$Q$7*R12*S12+
O12*P12*Q12*$R$7*S12+
O12*P12*Q12*R12*$S$7</f>
        <v>98540370370370.375</v>
      </c>
      <c r="AM33" s="4" t="str">
        <f t="shared" si="8"/>
        <v>M5</v>
      </c>
      <c r="AN33" s="1">
        <f t="shared" si="17"/>
        <v>1178581250000000</v>
      </c>
      <c r="AO33" s="1">
        <f t="shared" si="18"/>
        <v>255999351851851.84</v>
      </c>
      <c r="AP33" s="5">
        <f t="array" ref="AP33">O12*$P$7*$Q$7*R12*S12+
O12*$P$7*Q12*$R$7*S12+
O12*P12*$Q$7*$R$7*S12+
O12*P12*$Q$7*R12*$S$7+
O12*P12*Q12*$R$7*$S$7+
O12*$P$7*Q12*R12*$S$7</f>
        <v>72038148148148.156</v>
      </c>
      <c r="AR33" s="4" t="str">
        <f t="shared" si="5"/>
        <v>M5</v>
      </c>
      <c r="AS33" s="1">
        <f t="shared" si="19"/>
        <v>40471666666666.664</v>
      </c>
      <c r="AT33" s="5">
        <f t="array" ref="AT33">O12*$P$7*$Q$7*$R$7*S12+
O12*$P$7*$Q$7*R12*$S$7+
O12*$P$7*Q12*$R$7*$S$7+
O12*P12*$Q$7*$R$7*$S$7</f>
        <v>23264444444444.445</v>
      </c>
      <c r="AV33" s="4" t="str">
        <f t="shared" si="9"/>
        <v>M5</v>
      </c>
      <c r="AW33" s="5">
        <f t="shared" si="26"/>
        <v>2800000000000.0005</v>
      </c>
      <c r="BB33" s="59" t="str">
        <f>IFERROR($BC$3&amp;VLOOKUP(B35,'Pay Table'!$M$3:$N$18,2,FALSE)&amp;$BB$3&amp;C35&amp;$BD$3,"")</f>
        <v>[1,100]</v>
      </c>
      <c r="BC33" s="49" t="str">
        <f>IFERROR($BC$3&amp;VLOOKUP(D35,'Pay Table'!$M$3:$N$18,2,FALSE)&amp;$BB$3&amp;E35&amp;$BD$3,"")</f>
        <v>[2,100]</v>
      </c>
      <c r="BD33" s="49" t="str">
        <f>IFERROR($BC$3&amp;VLOOKUP(F35,'Pay Table'!$M$3:$N$18,2,FALSE)&amp;$BB$3&amp;G35&amp;$BD$3,"")</f>
        <v>[0,100]</v>
      </c>
      <c r="BE33" s="49" t="str">
        <f>IFERROR($BC$3&amp;VLOOKUP(H35,'Pay Table'!$M$3:$N$18,2,FALSE)&amp;$BB$3&amp;I35&amp;$BD$3,"")</f>
        <v>[2,100]</v>
      </c>
      <c r="BF33" s="60" t="str">
        <f>IFERROR($BC$3&amp;VLOOKUP(J35,'Pay Table'!$M$3:$N$18,2,FALSE)&amp;$BB$3&amp;K35&amp;$BD$3,"")</f>
        <v>[4,100]</v>
      </c>
    </row>
    <row r="34" spans="1:58" ht="17.100000000000001" customHeight="1" x14ac:dyDescent="0.15">
      <c r="A34" s="14">
        <v>29</v>
      </c>
      <c r="B34" s="10" t="s">
        <v>148</v>
      </c>
      <c r="C34" s="10">
        <v>100</v>
      </c>
      <c r="D34" s="10" t="s">
        <v>14</v>
      </c>
      <c r="E34" s="10">
        <v>200</v>
      </c>
      <c r="F34" s="10" t="s">
        <v>122</v>
      </c>
      <c r="G34" s="10">
        <v>100</v>
      </c>
      <c r="H34" s="10" t="s">
        <v>128</v>
      </c>
      <c r="I34" s="10">
        <v>100</v>
      </c>
      <c r="J34" s="10" t="s">
        <v>126</v>
      </c>
      <c r="K34" s="10">
        <v>100</v>
      </c>
      <c r="N34" s="4" t="str">
        <f t="shared" si="3"/>
        <v>A</v>
      </c>
      <c r="O34" s="1">
        <f t="shared" si="20"/>
        <v>2.5131127710937491E+17</v>
      </c>
      <c r="P34" s="1">
        <f t="shared" si="21"/>
        <v>2.2992913124999996E+16</v>
      </c>
      <c r="Q34" s="1">
        <f t="shared" si="22"/>
        <v>4026408749999999.5</v>
      </c>
      <c r="R34" s="5">
        <f t="shared" si="23"/>
        <v>521640000000000</v>
      </c>
      <c r="S34" s="1">
        <f t="shared" si="24"/>
        <v>2.7885223898437491E+17</v>
      </c>
      <c r="T34" s="2" t="str">
        <f t="shared" si="2"/>
        <v>A</v>
      </c>
      <c r="U34" s="1">
        <f t="shared" si="2"/>
        <v>2.5131127710937491E+17</v>
      </c>
      <c r="V34" s="1">
        <f t="shared" si="6"/>
        <v>2.2992913124999996E+16</v>
      </c>
      <c r="W34" s="1">
        <f t="shared" si="6"/>
        <v>4026408749999999.5</v>
      </c>
      <c r="X34" s="5">
        <f t="shared" si="6"/>
        <v>521640000000000</v>
      </c>
      <c r="Y34" s="1">
        <f t="shared" si="10"/>
        <v>2.7885223898437491E+17</v>
      </c>
      <c r="AA34" s="4" t="str">
        <f t="shared" si="4"/>
        <v>A</v>
      </c>
      <c r="AB34" s="2">
        <f t="shared" si="11"/>
        <v>2.0032058320312496E+17</v>
      </c>
      <c r="AC34" s="1">
        <f t="shared" si="12"/>
        <v>1.221845625E+16</v>
      </c>
      <c r="AD34" s="1">
        <f t="shared" si="13"/>
        <v>1664162500000000</v>
      </c>
      <c r="AE34" s="5">
        <f t="shared" si="25"/>
        <v>107800000000000.02</v>
      </c>
      <c r="AG34" s="4" t="str">
        <f t="shared" si="7"/>
        <v>A</v>
      </c>
      <c r="AH34" s="2">
        <f t="shared" si="14"/>
        <v>5.0990693906249984E+16</v>
      </c>
      <c r="AI34" s="1">
        <f t="shared" si="15"/>
        <v>9219380625000000</v>
      </c>
      <c r="AJ34" s="1">
        <f t="shared" si="16"/>
        <v>1731161250000000</v>
      </c>
      <c r="AK34" s="5">
        <f t="array" ref="AK34">O13*$P$7*Q13*R13*S13+
O13*P13*$Q$7*R13*S13+
O13*P13*Q13*$R$7*S13+
O13*P13*Q13*R13*$S$7</f>
        <v>219940000000000</v>
      </c>
      <c r="AM34" s="4" t="str">
        <f t="shared" si="8"/>
        <v>A</v>
      </c>
      <c r="AN34" s="1">
        <f t="shared" si="17"/>
        <v>1555076249999999.8</v>
      </c>
      <c r="AO34" s="1">
        <f t="shared" si="18"/>
        <v>570569999999999.88</v>
      </c>
      <c r="AP34" s="5">
        <f t="array" ref="AP34">O13*$P$7*$Q$7*R13*S13+
O13*$P$7*Q13*$R$7*S13+
O13*P13*$Q$7*$R$7*S13+
O13*P13*$Q$7*R13*$S$7+
O13*P13*Q13*$R$7*$S$7+
O13*$P$7*Q13*R13*$S$7</f>
        <v>149100000000000</v>
      </c>
      <c r="AR34" s="4" t="str">
        <f t="shared" si="5"/>
        <v>A</v>
      </c>
      <c r="AS34" s="1">
        <f t="shared" si="19"/>
        <v>60514999999999.992</v>
      </c>
      <c r="AT34" s="5">
        <f t="array" ref="AT34">O13*$P$7*$Q$7*$R$7*S13+
O13*$P$7*$Q$7*R13*$S$7+
O13*$P$7*Q13*$R$7*$S$7+
O13*P13*$Q$7*$R$7*$S$7</f>
        <v>40880000000000</v>
      </c>
      <c r="AV34" s="4" t="str">
        <f t="shared" si="9"/>
        <v>A</v>
      </c>
      <c r="AW34" s="5">
        <f t="shared" si="26"/>
        <v>3920000000000</v>
      </c>
      <c r="BB34" s="59" t="str">
        <f>IFERROR($BC$3&amp;VLOOKUP(B36,'Pay Table'!$M$3:$N$18,2,FALSE)&amp;$BB$3&amp;C36&amp;$BD$3,"")</f>
        <v>[7,100]</v>
      </c>
      <c r="BC34" s="49" t="str">
        <f>IFERROR($BC$3&amp;VLOOKUP(D36,'Pay Table'!$M$3:$N$18,2,FALSE)&amp;$BB$3&amp;E36&amp;$BD$3,"")</f>
        <v>[6,100]</v>
      </c>
      <c r="BD34" s="49" t="str">
        <f>IFERROR($BC$3&amp;VLOOKUP(F36,'Pay Table'!$M$3:$N$18,2,FALSE)&amp;$BB$3&amp;G36&amp;$BD$3,"")</f>
        <v>[6,100]</v>
      </c>
      <c r="BE34" s="49" t="str">
        <f>IFERROR($BC$3&amp;VLOOKUP(H36,'Pay Table'!$M$3:$N$18,2,FALSE)&amp;$BB$3&amp;I36&amp;$BD$3,"")</f>
        <v>[8,100]</v>
      </c>
      <c r="BF34" s="60" t="str">
        <f>IFERROR($BC$3&amp;VLOOKUP(J36,'Pay Table'!$M$3:$N$18,2,FALSE)&amp;$BB$3&amp;K36&amp;$BD$3,"")</f>
        <v>[5,100]</v>
      </c>
    </row>
    <row r="35" spans="1:58" ht="17.100000000000001" customHeight="1" x14ac:dyDescent="0.15">
      <c r="A35" s="14">
        <v>30</v>
      </c>
      <c r="B35" s="10" t="s">
        <v>152</v>
      </c>
      <c r="C35" s="10">
        <v>100</v>
      </c>
      <c r="D35" s="10" t="s">
        <v>126</v>
      </c>
      <c r="E35" s="10">
        <v>100</v>
      </c>
      <c r="F35" s="10" t="s">
        <v>124</v>
      </c>
      <c r="G35" s="10">
        <v>100</v>
      </c>
      <c r="H35" s="10" t="s">
        <v>126</v>
      </c>
      <c r="I35" s="10">
        <v>100</v>
      </c>
      <c r="J35" s="10" t="s">
        <v>128</v>
      </c>
      <c r="K35" s="10">
        <v>100</v>
      </c>
      <c r="N35" s="4" t="str">
        <f t="shared" si="3"/>
        <v>K</v>
      </c>
      <c r="O35" s="1">
        <f t="shared" si="20"/>
        <v>1.3347768037499998E+17</v>
      </c>
      <c r="P35" s="1">
        <f t="shared" si="21"/>
        <v>1.2581901799999998E+16</v>
      </c>
      <c r="Q35" s="1">
        <f t="shared" si="22"/>
        <v>1635164844444444</v>
      </c>
      <c r="R35" s="5">
        <f t="shared" si="23"/>
        <v>410624355555555.5</v>
      </c>
      <c r="S35" s="1">
        <f t="shared" si="24"/>
        <v>1.4810537137499997E+17</v>
      </c>
      <c r="T35" s="2" t="str">
        <f t="shared" si="2"/>
        <v>K</v>
      </c>
      <c r="U35" s="1">
        <f t="shared" si="2"/>
        <v>1.3347768037499998E+17</v>
      </c>
      <c r="V35" s="1">
        <f t="shared" si="6"/>
        <v>1.2581901799999998E+16</v>
      </c>
      <c r="W35" s="1">
        <f t="shared" si="6"/>
        <v>1635164844444444</v>
      </c>
      <c r="X35" s="5">
        <f t="shared" si="6"/>
        <v>410624355555555.5</v>
      </c>
      <c r="Y35" s="1">
        <f t="shared" si="10"/>
        <v>1.4810537137499997E+17</v>
      </c>
      <c r="AA35" s="4" t="str">
        <f t="shared" si="4"/>
        <v>K</v>
      </c>
      <c r="AB35" s="2">
        <f t="shared" si="11"/>
        <v>9.7541381812499968E+16</v>
      </c>
      <c r="AC35" s="1">
        <f t="shared" si="12"/>
        <v>6129644466666666</v>
      </c>
      <c r="AD35" s="1">
        <f t="shared" si="13"/>
        <v>587593437037036.88</v>
      </c>
      <c r="AE35" s="5">
        <f t="shared" si="25"/>
        <v>105397925925925.92</v>
      </c>
      <c r="AG35" s="4" t="str">
        <f t="shared" si="7"/>
        <v>K</v>
      </c>
      <c r="AH35" s="2">
        <f t="shared" si="14"/>
        <v>3.5936298562499988E+16</v>
      </c>
      <c r="AI35" s="1">
        <f t="shared" si="15"/>
        <v>5323112300000000</v>
      </c>
      <c r="AJ35" s="1">
        <f t="shared" si="16"/>
        <v>719303844444444.25</v>
      </c>
      <c r="AK35" s="5">
        <f t="array" ref="AK35">O14*$P$7*Q14*R14*S14+
O14*P14*$Q$7*R14*S14+
O14*P14*Q14*$R$7*S14+
O14*P14*Q14*R14*$S$7</f>
        <v>171182281481481.47</v>
      </c>
      <c r="AM35" s="4" t="str">
        <f t="shared" si="8"/>
        <v>K</v>
      </c>
      <c r="AN35" s="1">
        <f t="shared" si="17"/>
        <v>1129145033333333.3</v>
      </c>
      <c r="AO35" s="1">
        <f t="shared" si="18"/>
        <v>289762896296296.25</v>
      </c>
      <c r="AP35" s="5">
        <f t="array" ref="AP35">O14*$P$7*$Q$7*R14*S14+
O14*$P$7*Q14*$R$7*S14+
O14*P14*$Q$7*$R$7*S14+
O14*P14*$Q$7*R14*$S$7+
O14*P14*Q14*$R$7*$S$7+
O14*$P$7*Q14*R14*$S$7</f>
        <v>103584651851851.84</v>
      </c>
      <c r="AR35" s="4" t="str">
        <f t="shared" si="5"/>
        <v>K</v>
      </c>
      <c r="AS35" s="1">
        <f t="shared" si="19"/>
        <v>38504666666666.656</v>
      </c>
      <c r="AT35" s="5">
        <f t="array" ref="AT35">O14*$P$7*$Q$7*$R$7*S14+
O14*$P$7*$Q$7*R14*$S$7+
O14*$P$7*Q14*$R$7*$S$7+
O14*P14*$Q$7*$R$7*$S$7</f>
        <v>27696829629629.629</v>
      </c>
      <c r="AV35" s="4" t="str">
        <f t="shared" si="9"/>
        <v>K</v>
      </c>
      <c r="AW35" s="5">
        <f t="shared" si="26"/>
        <v>2762666666666.6665</v>
      </c>
      <c r="BB35" s="59" t="str">
        <f>IFERROR($BC$3&amp;VLOOKUP(B37,'Pay Table'!$M$3:$N$18,2,FALSE)&amp;$BB$3&amp;C37&amp;$BD$3,"")</f>
        <v>[5,100]</v>
      </c>
      <c r="BC35" s="49" t="str">
        <f>IFERROR($BC$3&amp;VLOOKUP(D37,'Pay Table'!$M$3:$N$18,2,FALSE)&amp;$BB$3&amp;E37&amp;$BD$3,"")</f>
        <v>[1,100]</v>
      </c>
      <c r="BD35" s="49" t="str">
        <f>IFERROR($BC$3&amp;VLOOKUP(F37,'Pay Table'!$M$3:$N$18,2,FALSE)&amp;$BB$3&amp;G37&amp;$BD$3,"")</f>
        <v>[5,100]</v>
      </c>
      <c r="BE35" s="49" t="str">
        <f>IFERROR($BC$3&amp;VLOOKUP(H37,'Pay Table'!$M$3:$N$18,2,FALSE)&amp;$BB$3&amp;I37&amp;$BD$3,"")</f>
        <v>[3,100]</v>
      </c>
      <c r="BF35" s="60" t="str">
        <f>IFERROR($BC$3&amp;VLOOKUP(J37,'Pay Table'!$M$3:$N$18,2,FALSE)&amp;$BB$3&amp;K37&amp;$BD$3,"")</f>
        <v>[1,100]</v>
      </c>
    </row>
    <row r="36" spans="1:58" ht="17.100000000000001" customHeight="1" x14ac:dyDescent="0.15">
      <c r="A36" s="14">
        <v>31</v>
      </c>
      <c r="B36" s="10" t="s">
        <v>119</v>
      </c>
      <c r="C36" s="10">
        <v>100</v>
      </c>
      <c r="D36" s="10" t="s">
        <v>121</v>
      </c>
      <c r="E36" s="10">
        <v>100</v>
      </c>
      <c r="F36" s="10" t="s">
        <v>121</v>
      </c>
      <c r="G36" s="10">
        <v>100</v>
      </c>
      <c r="H36" s="10" t="s">
        <v>120</v>
      </c>
      <c r="I36" s="10">
        <v>100</v>
      </c>
      <c r="J36" s="10" t="s">
        <v>123</v>
      </c>
      <c r="K36" s="10">
        <v>100</v>
      </c>
      <c r="N36" s="4" t="str">
        <f t="shared" si="3"/>
        <v>Q</v>
      </c>
      <c r="O36" s="1">
        <f t="shared" si="20"/>
        <v>4.0172550862499987E+17</v>
      </c>
      <c r="P36" s="1">
        <f t="shared" si="21"/>
        <v>2.4012026499999996E+16</v>
      </c>
      <c r="Q36" s="1">
        <f t="shared" si="22"/>
        <v>3308660999999999.5</v>
      </c>
      <c r="R36" s="5">
        <f t="shared" si="23"/>
        <v>490172000000000</v>
      </c>
      <c r="S36" s="1">
        <f t="shared" si="24"/>
        <v>4.2953636812499987E+17</v>
      </c>
      <c r="T36" s="2" t="str">
        <f t="shared" si="2"/>
        <v>Q</v>
      </c>
      <c r="U36" s="1">
        <f t="shared" si="2"/>
        <v>4.0172550862499987E+17</v>
      </c>
      <c r="V36" s="1">
        <f t="shared" si="6"/>
        <v>2.4012026499999996E+16</v>
      </c>
      <c r="W36" s="1">
        <f t="shared" si="6"/>
        <v>3308660999999999.5</v>
      </c>
      <c r="X36" s="5">
        <f t="shared" si="6"/>
        <v>490172000000000</v>
      </c>
      <c r="Y36" s="1">
        <f t="shared" si="10"/>
        <v>4.2953636812499987E+17</v>
      </c>
      <c r="AA36" s="4" t="str">
        <f t="shared" si="4"/>
        <v>Q</v>
      </c>
      <c r="AB36" s="2">
        <f t="shared" si="11"/>
        <v>3.1101329699999994E+17</v>
      </c>
      <c r="AC36" s="1">
        <f t="shared" si="12"/>
        <v>9137435999999998</v>
      </c>
      <c r="AD36" s="1">
        <f t="shared" si="13"/>
        <v>920807999999999.75</v>
      </c>
      <c r="AE36" s="5">
        <f t="shared" si="25"/>
        <v>75786666666666.656</v>
      </c>
      <c r="AG36" s="4" t="str">
        <f t="shared" si="7"/>
        <v>Q</v>
      </c>
      <c r="AH36" s="2">
        <f t="shared" si="14"/>
        <v>9.0712211624999968E+16</v>
      </c>
      <c r="AI36" s="1">
        <f t="shared" si="15"/>
        <v>1.2117605499999998E+16</v>
      </c>
      <c r="AJ36" s="1">
        <f t="shared" si="16"/>
        <v>1559384999999999.5</v>
      </c>
      <c r="AK36" s="5">
        <f t="array" ref="AK36">O15*$P$7*Q15*R15*S15+
O15*P15*$Q$7*R15*S15+
O15*P15*Q15*$R$7*S15+
O15*P15*Q15*R15*$S$7</f>
        <v>188973777777777.75</v>
      </c>
      <c r="AM36" s="4" t="str">
        <f t="shared" si="8"/>
        <v>Q</v>
      </c>
      <c r="AN36" s="1">
        <f t="shared" si="17"/>
        <v>2756984999999999.5</v>
      </c>
      <c r="AO36" s="1">
        <f t="shared" si="18"/>
        <v>726407999999999.88</v>
      </c>
      <c r="AP36" s="5">
        <f t="array" ref="AP36">O15*$P$7*$Q$7*R15*S15+
O15*$P$7*Q15*$R$7*S15+
O15*P15*$Q$7*$R$7*S15+
O15*P15*$Q$7*R15*$S$7+
O15*P15*Q15*$R$7*$S$7+
O15*$P$7*Q15*R15*$S$7</f>
        <v>162462222222222.22</v>
      </c>
      <c r="AR36" s="4" t="str">
        <f t="shared" si="5"/>
        <v>Q</v>
      </c>
      <c r="AS36" s="1">
        <f t="shared" si="19"/>
        <v>102059999999999.98</v>
      </c>
      <c r="AT36" s="5">
        <f t="array" ref="AT36">O15*$P$7*$Q$7*$R$7*S15+
O15*$P$7*$Q$7*R15*$S$7+
O15*$P$7*Q15*$R$7*$S$7+
O15*P15*$Q$7*$R$7*$S$7</f>
        <v>56229333333333.336</v>
      </c>
      <c r="AV36" s="4" t="str">
        <f t="shared" si="9"/>
        <v>Q</v>
      </c>
      <c r="AW36" s="5">
        <f t="shared" si="26"/>
        <v>6720000000000</v>
      </c>
      <c r="BB36" s="59" t="str">
        <f>IFERROR($BC$3&amp;VLOOKUP(B38,'Pay Table'!$M$3:$N$18,2,FALSE)&amp;$BB$3&amp;C38&amp;$BD$3,"")</f>
        <v>[2,100]</v>
      </c>
      <c r="BC36" s="49" t="str">
        <f>IFERROR($BC$3&amp;VLOOKUP(D38,'Pay Table'!$M$3:$N$18,2,FALSE)&amp;$BB$3&amp;E38&amp;$BD$3,"")</f>
        <v>[3,100]</v>
      </c>
      <c r="BD36" s="49" t="str">
        <f>IFERROR($BC$3&amp;VLOOKUP(F38,'Pay Table'!$M$3:$N$18,2,FALSE)&amp;$BB$3&amp;G38&amp;$BD$3,"")</f>
        <v>[94,80]</v>
      </c>
      <c r="BE36" s="49" t="str">
        <f>IFERROR($BC$3&amp;VLOOKUP(H38,'Pay Table'!$M$3:$N$18,2,FALSE)&amp;$BB$3&amp;I38&amp;$BD$3,"")</f>
        <v>[7,100]</v>
      </c>
      <c r="BF36" s="60" t="str">
        <f>IFERROR($BC$3&amp;VLOOKUP(J38,'Pay Table'!$M$3:$N$18,2,FALSE)&amp;$BB$3&amp;K38&amp;$BD$3,"")</f>
        <v>[6,100]</v>
      </c>
    </row>
    <row r="37" spans="1:58" ht="17.100000000000001" customHeight="1" x14ac:dyDescent="0.15">
      <c r="A37" s="14">
        <v>32</v>
      </c>
      <c r="B37" s="10" t="s">
        <v>123</v>
      </c>
      <c r="C37" s="10">
        <v>100</v>
      </c>
      <c r="D37" s="10" t="s">
        <v>125</v>
      </c>
      <c r="E37" s="10">
        <v>100</v>
      </c>
      <c r="F37" s="10" t="s">
        <v>123</v>
      </c>
      <c r="G37" s="10">
        <v>100</v>
      </c>
      <c r="H37" s="10" t="s">
        <v>127</v>
      </c>
      <c r="I37" s="10">
        <v>100</v>
      </c>
      <c r="J37" s="10" t="s">
        <v>125</v>
      </c>
      <c r="K37" s="10">
        <v>100</v>
      </c>
      <c r="N37" s="4" t="str">
        <f t="shared" si="3"/>
        <v>J</v>
      </c>
      <c r="O37" s="1">
        <f t="shared" si="20"/>
        <v>1.0306794749999998E+17</v>
      </c>
      <c r="P37" s="1">
        <f t="shared" si="21"/>
        <v>2.3043230000000004E+16</v>
      </c>
      <c r="Q37" s="1">
        <f t="shared" si="22"/>
        <v>2659066666666666.5</v>
      </c>
      <c r="R37" s="5">
        <f t="shared" si="23"/>
        <v>552533333333333.44</v>
      </c>
      <c r="S37" s="1">
        <f t="shared" si="24"/>
        <v>1.2932277749999998E+17</v>
      </c>
      <c r="T37" s="2" t="str">
        <f t="shared" si="2"/>
        <v>J</v>
      </c>
      <c r="U37" s="1">
        <f t="shared" si="2"/>
        <v>1.0306794749999998E+17</v>
      </c>
      <c r="V37" s="1">
        <f t="shared" si="6"/>
        <v>2.3043230000000004E+16</v>
      </c>
      <c r="W37" s="1">
        <f t="shared" si="6"/>
        <v>2659066666666666.5</v>
      </c>
      <c r="X37" s="5">
        <f t="shared" si="6"/>
        <v>552533333333333.44</v>
      </c>
      <c r="Y37" s="1">
        <f t="shared" si="10"/>
        <v>1.2932277749999998E+17</v>
      </c>
      <c r="AA37" s="4" t="str">
        <f t="shared" si="4"/>
        <v>J</v>
      </c>
      <c r="AB37" s="2">
        <f t="shared" si="11"/>
        <v>5.7975720468749984E+16</v>
      </c>
      <c r="AC37" s="1">
        <f t="shared" si="12"/>
        <v>1.0859900625E+16</v>
      </c>
      <c r="AD37" s="1">
        <f t="shared" si="13"/>
        <v>877222500000000</v>
      </c>
      <c r="AE37" s="5">
        <f t="shared" si="25"/>
        <v>121520000000000.03</v>
      </c>
      <c r="AG37" s="4" t="str">
        <f t="shared" si="7"/>
        <v>J</v>
      </c>
      <c r="AH37" s="2">
        <f t="shared" si="14"/>
        <v>4.5092227031249992E+16</v>
      </c>
      <c r="AI37" s="1">
        <f t="shared" si="15"/>
        <v>1.0548505625E+16</v>
      </c>
      <c r="AJ37" s="1">
        <f t="shared" si="16"/>
        <v>1228021666666666.8</v>
      </c>
      <c r="AK37" s="5">
        <f t="array" ref="AK37">O16*$P$7*Q16*R16*S16+
O16*P16*$Q$7*R16*S16+
O16*P16*Q16*$R$7*S16+
O16*P16*Q16*R16*$S$7</f>
        <v>230875555555555.63</v>
      </c>
      <c r="AM37" s="4" t="str">
        <f t="shared" si="8"/>
        <v>J</v>
      </c>
      <c r="AN37" s="1">
        <f t="shared" si="17"/>
        <v>1634823749999999.8</v>
      </c>
      <c r="AO37" s="1">
        <f t="shared" si="18"/>
        <v>497227500000000</v>
      </c>
      <c r="AP37" s="5">
        <f t="array" ref="AP37">O16*$P$7*$Q$7*R16*S16+
O16*$P$7*Q16*$R$7*S16+
O16*P16*$Q$7*$R$7*S16+
O16*P16*$Q$7*R16*$S$7+
O16*P16*Q16*$R$7*$S$7+
O16*$P$7*Q16*R16*$S$7</f>
        <v>153937777777777.78</v>
      </c>
      <c r="AR37" s="4" t="str">
        <f t="shared" si="5"/>
        <v>J</v>
      </c>
      <c r="AS37" s="1">
        <f t="shared" si="19"/>
        <v>56594999999999.992</v>
      </c>
      <c r="AT37" s="5">
        <f t="array" ref="AT37">O16*$P$7*$Q$7*$R$7*S16+
O16*$P$7*$Q$7*R16*$S$7+
O16*$P$7*Q16*$R$7*$S$7+
O16*P16*$Q$7*$R$7*$S$7</f>
        <v>42280000000000</v>
      </c>
      <c r="AV37" s="4" t="str">
        <f t="shared" si="9"/>
        <v>J</v>
      </c>
      <c r="AW37" s="5">
        <f t="shared" si="26"/>
        <v>3920000000000</v>
      </c>
      <c r="BB37" s="59" t="str">
        <f>IFERROR($BC$3&amp;VLOOKUP(B39,'Pay Table'!$M$3:$N$18,2,FALSE)&amp;$BB$3&amp;C39&amp;$BD$3,"")</f>
        <v>[1,100]</v>
      </c>
      <c r="BC37" s="49" t="str">
        <f>IFERROR($BC$3&amp;VLOOKUP(D39,'Pay Table'!$M$3:$N$18,2,FALSE)&amp;$BB$3&amp;E39&amp;$BD$3,"")</f>
        <v>[0,100]</v>
      </c>
      <c r="BD37" s="49" t="str">
        <f>IFERROR($BC$3&amp;VLOOKUP(F39,'Pay Table'!$M$3:$N$18,2,FALSE)&amp;$BB$3&amp;G39&amp;$BD$3,"")</f>
        <v>[7,100]</v>
      </c>
      <c r="BE37" s="49" t="str">
        <f>IFERROR($BC$3&amp;VLOOKUP(H39,'Pay Table'!$M$3:$N$18,2,FALSE)&amp;$BB$3&amp;I39&amp;$BD$3,"")</f>
        <v>[6,100]</v>
      </c>
      <c r="BF37" s="60" t="str">
        <f>IFERROR($BC$3&amp;VLOOKUP(J39,'Pay Table'!$M$3:$N$18,2,FALSE)&amp;$BB$3&amp;K39&amp;$BD$3,"")</f>
        <v>[8,100]</v>
      </c>
    </row>
    <row r="38" spans="1:58" ht="17.100000000000001" customHeight="1" x14ac:dyDescent="0.15">
      <c r="A38" s="14">
        <v>33</v>
      </c>
      <c r="B38" s="10" t="s">
        <v>126</v>
      </c>
      <c r="C38" s="10">
        <v>100</v>
      </c>
      <c r="D38" s="10" t="s">
        <v>127</v>
      </c>
      <c r="E38" s="10">
        <v>100</v>
      </c>
      <c r="F38" s="10" t="s">
        <v>47</v>
      </c>
      <c r="G38" s="10">
        <v>80</v>
      </c>
      <c r="H38" s="10" t="s">
        <v>119</v>
      </c>
      <c r="I38" s="10">
        <v>100</v>
      </c>
      <c r="J38" s="10" t="s">
        <v>121</v>
      </c>
      <c r="K38" s="10">
        <v>100</v>
      </c>
      <c r="N38" s="4" t="str">
        <f t="shared" si="3"/>
        <v>SCATTER</v>
      </c>
      <c r="O38" s="1">
        <f t="shared" si="20"/>
        <v>0</v>
      </c>
      <c r="P38" s="1">
        <f t="shared" si="21"/>
        <v>0</v>
      </c>
      <c r="Q38" s="1">
        <f t="shared" si="22"/>
        <v>0</v>
      </c>
      <c r="R38" s="5">
        <f t="shared" si="23"/>
        <v>0</v>
      </c>
      <c r="T38" s="2" t="str">
        <f t="shared" si="2"/>
        <v>SCATTER</v>
      </c>
      <c r="U38" s="1">
        <f t="shared" si="2"/>
        <v>0</v>
      </c>
      <c r="V38" s="1">
        <f t="shared" si="6"/>
        <v>0</v>
      </c>
      <c r="W38" s="1">
        <f t="shared" si="6"/>
        <v>0</v>
      </c>
      <c r="X38" s="5">
        <f t="shared" si="6"/>
        <v>0</v>
      </c>
      <c r="Y38" s="1">
        <f t="shared" si="10"/>
        <v>0</v>
      </c>
      <c r="AA38" s="4" t="str">
        <f t="shared" si="4"/>
        <v>SCATTER</v>
      </c>
      <c r="AB38" s="2">
        <f t="shared" si="11"/>
        <v>0</v>
      </c>
      <c r="AC38" s="1">
        <f t="shared" si="12"/>
        <v>0</v>
      </c>
      <c r="AD38" s="1">
        <f t="shared" si="13"/>
        <v>0</v>
      </c>
      <c r="AE38" s="5">
        <f t="shared" si="25"/>
        <v>0</v>
      </c>
      <c r="AG38" s="4" t="str">
        <f t="shared" si="7"/>
        <v>SCATTER</v>
      </c>
      <c r="AH38" s="2">
        <f t="shared" si="14"/>
        <v>0</v>
      </c>
      <c r="AI38" s="1">
        <f t="shared" si="15"/>
        <v>0</v>
      </c>
      <c r="AJ38" s="1">
        <f t="shared" si="16"/>
        <v>0</v>
      </c>
      <c r="AK38" s="5">
        <f t="array" ref="AK38">O17*$P$7*Q17*R17*S17+
O17*P17*$Q$7*R17*S17+
O17*P17*Q17*$R$7*S17+
O17*P17*Q17*R17*$S$7</f>
        <v>0</v>
      </c>
      <c r="AM38" s="4" t="str">
        <f t="shared" si="8"/>
        <v>SCATTER</v>
      </c>
      <c r="AN38" s="1">
        <f t="shared" si="17"/>
        <v>0</v>
      </c>
      <c r="AO38" s="1">
        <f t="shared" si="18"/>
        <v>0</v>
      </c>
      <c r="AP38" s="5">
        <f t="array" ref="AP38">O17*$P$7*$Q$7*R17*S17+
O17*$P$7*Q17*$R$7*S17+
O17*P17*$Q$7*$R$7*S17+
O17*P17*$Q$7*R17*$S$7+
O17*P17*Q17*$R$7*$S$7+
O17*$P$7*Q17*R17*$S$7</f>
        <v>0</v>
      </c>
      <c r="AR38" s="4" t="str">
        <f t="shared" si="5"/>
        <v>SCATTER</v>
      </c>
      <c r="AS38" s="1">
        <f t="shared" si="19"/>
        <v>0</v>
      </c>
      <c r="AT38" s="5">
        <f t="array" ref="AT38">O17*$P$7*$Q$7*$R$7*S17+
O17*$P$7*$Q$7*R17*$S$7+
O17*$P$7*Q17*$R$7*$S$7+
O17*P17*$Q$7*$R$7*$S$7</f>
        <v>0</v>
      </c>
      <c r="AV38" s="4" t="str">
        <f t="shared" si="9"/>
        <v>SCATTER</v>
      </c>
      <c r="AW38" s="5">
        <f t="shared" si="26"/>
        <v>0</v>
      </c>
      <c r="BB38" s="59" t="str">
        <f>IFERROR($BC$3&amp;VLOOKUP(B40,'Pay Table'!$M$3:$N$18,2,FALSE)&amp;$BB$3&amp;C40&amp;$BD$3,"")</f>
        <v>[4,100]</v>
      </c>
      <c r="BC38" s="49" t="str">
        <f>IFERROR($BC$3&amp;VLOOKUP(D40,'Pay Table'!$M$3:$N$18,2,FALSE)&amp;$BB$3&amp;E40&amp;$BD$3,"")</f>
        <v>[94,15]</v>
      </c>
      <c r="BD38" s="49" t="str">
        <f>IFERROR($BC$3&amp;VLOOKUP(F40,'Pay Table'!$M$3:$N$18,2,FALSE)&amp;$BB$3&amp;G40&amp;$BD$3,"")</f>
        <v>[94,100]</v>
      </c>
      <c r="BE38" s="49" t="str">
        <f>IFERROR($BC$3&amp;VLOOKUP(H40,'Pay Table'!$M$3:$N$18,2,FALSE)&amp;$BB$3&amp;I40&amp;$BD$3,"")</f>
        <v>[1,100]</v>
      </c>
      <c r="BF38" s="60" t="str">
        <f>IFERROR($BC$3&amp;VLOOKUP(J40,'Pay Table'!$M$3:$N$18,2,FALSE)&amp;$BB$3&amp;K40&amp;$BD$3,"")</f>
        <v>[0,100]</v>
      </c>
    </row>
    <row r="39" spans="1:58" ht="17.100000000000001" customHeight="1" x14ac:dyDescent="0.15">
      <c r="A39" s="14">
        <v>34</v>
      </c>
      <c r="B39" s="10" t="s">
        <v>152</v>
      </c>
      <c r="C39" s="10">
        <v>100</v>
      </c>
      <c r="D39" s="10" t="s">
        <v>124</v>
      </c>
      <c r="E39" s="10">
        <v>100</v>
      </c>
      <c r="F39" s="10" t="s">
        <v>119</v>
      </c>
      <c r="G39" s="10">
        <v>100</v>
      </c>
      <c r="H39" s="10" t="s">
        <v>121</v>
      </c>
      <c r="I39" s="10">
        <v>100</v>
      </c>
      <c r="J39" s="10" t="s">
        <v>120</v>
      </c>
      <c r="K39" s="10">
        <v>100</v>
      </c>
      <c r="N39" s="4">
        <f t="shared" si="3"/>
        <v>0</v>
      </c>
      <c r="O39" s="1">
        <f t="shared" si="20"/>
        <v>0</v>
      </c>
      <c r="P39" s="1">
        <f t="shared" si="21"/>
        <v>0</v>
      </c>
      <c r="Q39" s="1">
        <f t="shared" si="22"/>
        <v>0</v>
      </c>
      <c r="R39" s="5">
        <f t="shared" si="23"/>
        <v>0</v>
      </c>
      <c r="T39" s="2">
        <f t="shared" si="2"/>
        <v>0</v>
      </c>
      <c r="U39" s="1">
        <f t="shared" si="2"/>
        <v>0</v>
      </c>
      <c r="V39" s="1">
        <f t="shared" si="6"/>
        <v>0</v>
      </c>
      <c r="W39" s="1">
        <f t="shared" si="6"/>
        <v>0</v>
      </c>
      <c r="X39" s="5">
        <f t="shared" si="6"/>
        <v>0</v>
      </c>
      <c r="Y39" s="1">
        <f t="shared" si="10"/>
        <v>0</v>
      </c>
      <c r="AA39" s="4">
        <f t="shared" si="4"/>
        <v>0</v>
      </c>
      <c r="AB39" s="2">
        <f t="shared" si="11"/>
        <v>0</v>
      </c>
      <c r="AC39" s="40">
        <f t="shared" si="12"/>
        <v>0</v>
      </c>
      <c r="AD39" s="1">
        <f t="shared" si="13"/>
        <v>0</v>
      </c>
      <c r="AE39" s="5">
        <f t="shared" si="25"/>
        <v>0</v>
      </c>
      <c r="AG39" s="4">
        <f t="shared" si="7"/>
        <v>0</v>
      </c>
      <c r="AH39" s="2">
        <f t="shared" si="14"/>
        <v>0</v>
      </c>
      <c r="AI39" s="40">
        <f t="shared" si="15"/>
        <v>0</v>
      </c>
      <c r="AJ39" s="1">
        <f t="shared" si="16"/>
        <v>0</v>
      </c>
      <c r="AK39" s="5">
        <f t="array" ref="AK39">O18*$P$7*Q18*R18*S18+
O18*P18*$Q$7*R18*S18+
O18*P18*Q18*$R$7*S18+
O18*P18*Q18*R18*$S$7</f>
        <v>0</v>
      </c>
      <c r="AM39" s="4">
        <f t="shared" si="8"/>
        <v>0</v>
      </c>
      <c r="AN39" s="40">
        <f t="shared" si="17"/>
        <v>0</v>
      </c>
      <c r="AO39" s="1">
        <f t="shared" si="18"/>
        <v>0</v>
      </c>
      <c r="AP39" s="5">
        <f t="array" ref="AP39">O18*$P$7*$Q$7*R18*S18+
O18*$P$7*Q18*$R$7*S18+
O18*P18*$Q$7*$R$7*S18+
O18*P18*$Q$7*R18*$S$7+
O18*P18*Q18*$R$7*$S$7+
O18*$P$7*Q18*R18*$S$7</f>
        <v>0</v>
      </c>
      <c r="AR39" s="4">
        <f t="shared" si="5"/>
        <v>0</v>
      </c>
      <c r="AS39" s="1">
        <f t="shared" si="19"/>
        <v>0</v>
      </c>
      <c r="AT39" s="5">
        <f t="array" ref="AT39">O18*$P$7*$Q$7*$R$7*S18+
O18*$P$7*$Q$7*R18*$S$7+
O18*$P$7*Q18*$R$7*$S$7+
O18*P18*$Q$7*$R$7*$S$7</f>
        <v>0</v>
      </c>
      <c r="AV39" s="4">
        <f t="shared" si="9"/>
        <v>0</v>
      </c>
      <c r="AW39" s="5">
        <f t="shared" si="26"/>
        <v>0</v>
      </c>
      <c r="BB39" s="59" t="str">
        <f>IFERROR($BC$3&amp;VLOOKUP(B41,'Pay Table'!$M$3:$N$18,2,FALSE)&amp;$BB$3&amp;C41&amp;$BD$3,"")</f>
        <v>[8,100]</v>
      </c>
      <c r="BC39" s="49" t="str">
        <f>IFERROR($BC$3&amp;VLOOKUP(D41,'Pay Table'!$M$3:$N$18,2,FALSE)&amp;$BB$3&amp;E41&amp;$BD$3,"")</f>
        <v>[94,80]</v>
      </c>
      <c r="BD39" s="49" t="str">
        <f>IFERROR($BC$3&amp;VLOOKUP(F41,'Pay Table'!$M$3:$N$18,2,FALSE)&amp;$BB$3&amp;G41&amp;$BD$3,"")</f>
        <v>[6,100]</v>
      </c>
      <c r="BE39" s="49" t="str">
        <f>IFERROR($BC$3&amp;VLOOKUP(H41,'Pay Table'!$M$3:$N$18,2,FALSE)&amp;$BB$3&amp;I41&amp;$BD$3,"")</f>
        <v>[3,100]</v>
      </c>
      <c r="BF39" s="60" t="str">
        <f>IFERROR($BC$3&amp;VLOOKUP(J41,'Pay Table'!$M$3:$N$18,2,FALSE)&amp;$BB$3&amp;K41&amp;$BD$3,"")</f>
        <v>[6,100]</v>
      </c>
    </row>
    <row r="40" spans="1:58" ht="17.100000000000001" customHeight="1" x14ac:dyDescent="0.15">
      <c r="A40" s="14">
        <v>35</v>
      </c>
      <c r="B40" s="10" t="s">
        <v>148</v>
      </c>
      <c r="C40" s="10">
        <v>100</v>
      </c>
      <c r="D40" s="10" t="s">
        <v>47</v>
      </c>
      <c r="E40" s="10">
        <v>15</v>
      </c>
      <c r="F40" s="10" t="s">
        <v>47</v>
      </c>
      <c r="G40" s="10">
        <v>100</v>
      </c>
      <c r="H40" s="10" t="s">
        <v>125</v>
      </c>
      <c r="I40" s="10">
        <v>100</v>
      </c>
      <c r="J40" s="10" t="s">
        <v>124</v>
      </c>
      <c r="K40" s="10">
        <v>100</v>
      </c>
      <c r="N40" s="4">
        <f t="shared" si="3"/>
        <v>0</v>
      </c>
      <c r="O40" s="1">
        <f t="shared" si="20"/>
        <v>0</v>
      </c>
      <c r="P40" s="1">
        <f t="shared" si="21"/>
        <v>0</v>
      </c>
      <c r="Q40" s="1">
        <f t="shared" si="22"/>
        <v>0</v>
      </c>
      <c r="R40" s="5">
        <f t="shared" si="23"/>
        <v>0</v>
      </c>
      <c r="T40" s="2">
        <f t="shared" si="2"/>
        <v>0</v>
      </c>
      <c r="U40" s="1">
        <f t="shared" si="2"/>
        <v>0</v>
      </c>
      <c r="V40" s="1">
        <f t="shared" si="6"/>
        <v>0</v>
      </c>
      <c r="W40" s="1">
        <f t="shared" si="6"/>
        <v>0</v>
      </c>
      <c r="X40" s="5">
        <f t="shared" si="6"/>
        <v>0</v>
      </c>
      <c r="Y40" s="1">
        <f>SUM(U40:X40)</f>
        <v>0</v>
      </c>
      <c r="AA40" s="4">
        <f t="shared" si="4"/>
        <v>0</v>
      </c>
      <c r="AB40" s="2">
        <f t="shared" si="11"/>
        <v>0</v>
      </c>
      <c r="AC40" s="40">
        <f t="shared" si="12"/>
        <v>0</v>
      </c>
      <c r="AD40" s="1">
        <f t="shared" si="13"/>
        <v>0</v>
      </c>
      <c r="AE40" s="5">
        <f t="shared" si="25"/>
        <v>0</v>
      </c>
      <c r="AG40" s="4">
        <f t="shared" si="7"/>
        <v>0</v>
      </c>
      <c r="AH40" s="2">
        <f t="shared" si="14"/>
        <v>0</v>
      </c>
      <c r="AI40" s="1">
        <f t="shared" si="15"/>
        <v>0</v>
      </c>
      <c r="AJ40" s="1">
        <f t="shared" si="16"/>
        <v>0</v>
      </c>
      <c r="AK40" s="5">
        <f t="array" ref="AK40">O19*$P$7*Q19*R19*S19+
O19*P19*$Q$7*R19*S19+
O19*P19*Q19*$R$7*S19+
O19*P19*Q19*R19*$S$7</f>
        <v>0</v>
      </c>
      <c r="AM40" s="4">
        <f t="shared" si="8"/>
        <v>0</v>
      </c>
      <c r="AN40" s="1">
        <f t="shared" si="17"/>
        <v>0</v>
      </c>
      <c r="AO40" s="1">
        <f t="shared" si="18"/>
        <v>0</v>
      </c>
      <c r="AP40" s="5">
        <f t="array" ref="AP40">O19*$P$7*$Q$7*R19*S19+
O19*$P$7*Q19*$R$7*S19+
O19*P19*$Q$7*$R$7*S19+
O19*P19*$Q$7*R19*$S$7+
O19*P19*Q19*$R$7*$S$7+
O19*$P$7*Q19*R19*$S$7</f>
        <v>0</v>
      </c>
      <c r="AR40" s="4">
        <f t="shared" si="5"/>
        <v>0</v>
      </c>
      <c r="AS40" s="1">
        <f t="shared" si="19"/>
        <v>0</v>
      </c>
      <c r="AT40" s="5">
        <f t="array" ref="AT40">O19*$P$7*$Q$7*$R$7*S19+
O19*$P$7*$Q$7*R19*$S$7+
O19*$P$7*Q19*$R$7*$S$7+
O19*P19*$Q$7*$R$7*$S$7</f>
        <v>0</v>
      </c>
      <c r="AV40" s="4">
        <f t="shared" si="9"/>
        <v>0</v>
      </c>
      <c r="AW40" s="5">
        <f t="shared" si="26"/>
        <v>0</v>
      </c>
      <c r="BB40" s="59" t="str">
        <f>IFERROR($BC$3&amp;VLOOKUP(B42,'Pay Table'!$M$3:$N$18,2,FALSE)&amp;$BB$3&amp;C42&amp;$BD$3,"")</f>
        <v>[7,100]</v>
      </c>
      <c r="BC40" s="49" t="str">
        <f>IFERROR($BC$3&amp;VLOOKUP(D42,'Pay Table'!$M$3:$N$18,2,FALSE)&amp;$BB$3&amp;E42&amp;$BD$3,"")</f>
        <v>[94,100]</v>
      </c>
      <c r="BD40" s="49" t="str">
        <f>IFERROR($BC$3&amp;VLOOKUP(F42,'Pay Table'!$M$3:$N$18,2,FALSE)&amp;$BB$3&amp;G42&amp;$BD$3,"")</f>
        <v>[3,100]</v>
      </c>
      <c r="BE40" s="49" t="str">
        <f>IFERROR($BC$3&amp;VLOOKUP(H42,'Pay Table'!$M$3:$N$18,2,FALSE)&amp;$BB$3&amp;I42&amp;$BD$3,"")</f>
        <v>[8,100]</v>
      </c>
      <c r="BF40" s="60" t="str">
        <f>IFERROR($BC$3&amp;VLOOKUP(J42,'Pay Table'!$M$3:$N$18,2,FALSE)&amp;$BB$3&amp;K42&amp;$BD$3,"")</f>
        <v>[4,100]</v>
      </c>
    </row>
    <row r="41" spans="1:58" ht="17.100000000000001" customHeight="1" x14ac:dyDescent="0.15">
      <c r="A41" s="14">
        <v>36</v>
      </c>
      <c r="B41" s="10" t="s">
        <v>120</v>
      </c>
      <c r="C41" s="10">
        <v>100</v>
      </c>
      <c r="D41" s="10" t="s">
        <v>47</v>
      </c>
      <c r="E41" s="10">
        <v>80</v>
      </c>
      <c r="F41" s="10" t="s">
        <v>121</v>
      </c>
      <c r="G41" s="10">
        <v>100</v>
      </c>
      <c r="H41" s="10" t="s">
        <v>127</v>
      </c>
      <c r="I41" s="10">
        <v>100</v>
      </c>
      <c r="J41" s="10" t="s">
        <v>121</v>
      </c>
      <c r="K41" s="10">
        <v>100</v>
      </c>
      <c r="N41" s="4">
        <f t="shared" si="3"/>
        <v>0</v>
      </c>
      <c r="O41" s="1">
        <f t="shared" si="20"/>
        <v>0</v>
      </c>
      <c r="P41" s="1">
        <f t="shared" si="21"/>
        <v>0</v>
      </c>
      <c r="Q41" s="1">
        <f t="shared" si="22"/>
        <v>0</v>
      </c>
      <c r="R41" s="5">
        <f t="shared" si="23"/>
        <v>0</v>
      </c>
      <c r="S41" s="22"/>
      <c r="T41" s="2">
        <f t="shared" si="2"/>
        <v>0</v>
      </c>
      <c r="U41" s="1">
        <f t="shared" si="2"/>
        <v>0</v>
      </c>
      <c r="V41" s="40">
        <f t="shared" si="6"/>
        <v>0</v>
      </c>
      <c r="W41" s="1">
        <f t="shared" si="6"/>
        <v>0</v>
      </c>
      <c r="X41" s="5">
        <f t="shared" si="6"/>
        <v>0</v>
      </c>
      <c r="Y41" s="1">
        <f>SUM(U41:X41)</f>
        <v>0</v>
      </c>
      <c r="AA41" s="4">
        <f t="shared" si="4"/>
        <v>0</v>
      </c>
      <c r="AB41" s="2">
        <f t="shared" si="11"/>
        <v>0</v>
      </c>
      <c r="AC41" s="40">
        <f t="shared" si="12"/>
        <v>0</v>
      </c>
      <c r="AD41" s="1">
        <f t="shared" si="13"/>
        <v>0</v>
      </c>
      <c r="AE41" s="5">
        <f t="shared" si="25"/>
        <v>0</v>
      </c>
      <c r="AG41" s="4">
        <f t="shared" si="7"/>
        <v>0</v>
      </c>
      <c r="AH41" s="2">
        <f t="shared" si="14"/>
        <v>0</v>
      </c>
      <c r="AI41" s="1">
        <f t="shared" si="15"/>
        <v>0</v>
      </c>
      <c r="AJ41" s="1">
        <f t="shared" si="16"/>
        <v>0</v>
      </c>
      <c r="AK41" s="5">
        <f>O20*$P$7*Q20*R20*S20+
O20*P20*$Q$7*R20*S20+
O20*P20*Q20*$R$7*S20</f>
        <v>0</v>
      </c>
      <c r="AM41" s="4">
        <f t="shared" si="8"/>
        <v>0</v>
      </c>
      <c r="AN41" s="1">
        <f t="shared" si="17"/>
        <v>0</v>
      </c>
      <c r="AO41" s="1">
        <f t="shared" si="18"/>
        <v>0</v>
      </c>
      <c r="AP41" s="5">
        <f t="array" ref="AP41">O20*$P$7*$Q$7*R20*S20+
O20*$P$7*Q20*$R$7*S20+
O20*P20*$Q$7*$R$7*S20+
O20*P20*$Q$7*R20*$S$7+
O20*P20*Q20*$R$7*$S$7+
O20*$P$7*Q20*R20*$S$7</f>
        <v>0</v>
      </c>
      <c r="AR41" s="4">
        <f t="shared" si="5"/>
        <v>0</v>
      </c>
      <c r="AS41" s="1">
        <f t="shared" si="19"/>
        <v>0</v>
      </c>
      <c r="AT41" s="5">
        <f t="array" ref="AT41">O20*$P$7*$Q$7*$R$7*S20+
O20*$P$7*$Q$7*R20*$S$7+
O20*$P$7*Q20*$R$7*$S$7+
O20*P20*$Q$7*$R$7*$S$7</f>
        <v>0</v>
      </c>
      <c r="AV41" s="4">
        <f t="shared" si="9"/>
        <v>0</v>
      </c>
      <c r="AW41" s="5">
        <f t="shared" si="26"/>
        <v>0</v>
      </c>
      <c r="BB41" s="59" t="str">
        <f>IFERROR($BC$3&amp;VLOOKUP(B43,'Pay Table'!$M$3:$N$18,2,FALSE)&amp;$BB$3&amp;C43&amp;$BD$3,"")</f>
        <v>[1,100]</v>
      </c>
      <c r="BC41" s="49" t="str">
        <f>IFERROR($BC$3&amp;VLOOKUP(D43,'Pay Table'!$M$3:$N$18,2,FALSE)&amp;$BB$3&amp;E43&amp;$BD$3,"")</f>
        <v>[1,100]</v>
      </c>
      <c r="BD41" s="49" t="str">
        <f>IFERROR($BC$3&amp;VLOOKUP(F43,'Pay Table'!$M$3:$N$18,2,FALSE)&amp;$BB$3&amp;G43&amp;$BD$3,"")</f>
        <v>[8,100]</v>
      </c>
      <c r="BE41" s="49" t="str">
        <f>IFERROR($BC$3&amp;VLOOKUP(H43,'Pay Table'!$M$3:$N$18,2,FALSE)&amp;$BB$3&amp;I43&amp;$BD$3,"")</f>
        <v>[94,80]</v>
      </c>
      <c r="BF41" s="60" t="str">
        <f>IFERROR($BC$3&amp;VLOOKUP(J43,'Pay Table'!$M$3:$N$18,2,FALSE)&amp;$BB$3&amp;K43&amp;$BD$3,"")</f>
        <v>[1,100]</v>
      </c>
    </row>
    <row r="42" spans="1:58" ht="17.100000000000001" customHeight="1" x14ac:dyDescent="0.15">
      <c r="A42" s="14">
        <v>37</v>
      </c>
      <c r="B42" s="10" t="s">
        <v>119</v>
      </c>
      <c r="C42" s="10">
        <v>100</v>
      </c>
      <c r="D42" s="10" t="s">
        <v>47</v>
      </c>
      <c r="E42" s="10">
        <v>100</v>
      </c>
      <c r="F42" s="10" t="s">
        <v>127</v>
      </c>
      <c r="G42" s="10">
        <v>100</v>
      </c>
      <c r="H42" s="10" t="s">
        <v>120</v>
      </c>
      <c r="I42" s="10">
        <v>100</v>
      </c>
      <c r="J42" s="10" t="s">
        <v>128</v>
      </c>
      <c r="K42" s="10">
        <v>100</v>
      </c>
      <c r="N42" s="19">
        <f t="shared" si="3"/>
        <v>0</v>
      </c>
      <c r="O42" s="15"/>
      <c r="P42" s="15"/>
      <c r="Q42" s="15"/>
      <c r="R42" s="16"/>
      <c r="T42" s="8">
        <f>N42</f>
        <v>0</v>
      </c>
      <c r="U42" s="15"/>
      <c r="V42" s="15"/>
      <c r="W42" s="15"/>
      <c r="X42" s="16"/>
      <c r="AA42" s="19">
        <f t="shared" si="4"/>
        <v>0</v>
      </c>
      <c r="AB42" s="8"/>
      <c r="AC42" s="38"/>
      <c r="AD42" s="15"/>
      <c r="AE42" s="16"/>
      <c r="AG42" s="19">
        <f t="shared" si="7"/>
        <v>0</v>
      </c>
      <c r="AH42" s="8"/>
      <c r="AI42" s="15"/>
      <c r="AJ42" s="15"/>
      <c r="AK42" s="16"/>
      <c r="AM42" s="19">
        <f t="shared" si="8"/>
        <v>0</v>
      </c>
      <c r="AN42" s="15"/>
      <c r="AO42" s="15"/>
      <c r="AP42" s="16"/>
      <c r="AR42" s="19">
        <f t="shared" si="5"/>
        <v>0</v>
      </c>
      <c r="AS42" s="15">
        <f t="shared" si="19"/>
        <v>0</v>
      </c>
      <c r="AT42" s="16">
        <f t="array" ref="AT42">O21*$P$7*$Q$7*$R$7*S21+
O21*$P$7*$Q$7*R21*$S$7+
O21*$P$7*Q21*$R$7*$S$7+
O21*P21*$Q$7*$R$7*$S$7</f>
        <v>0</v>
      </c>
      <c r="AV42" s="19">
        <f t="shared" si="9"/>
        <v>0</v>
      </c>
      <c r="AW42" s="16">
        <f t="shared" si="26"/>
        <v>0</v>
      </c>
      <c r="BB42" s="59" t="str">
        <f>IFERROR($BC$3&amp;VLOOKUP(B44,'Pay Table'!$M$3:$N$18,2,FALSE)&amp;$BB$3&amp;C44&amp;$BD$3,"")</f>
        <v>[5,100]</v>
      </c>
      <c r="BC42" s="49" t="str">
        <f>IFERROR($BC$3&amp;VLOOKUP(D44,'Pay Table'!$M$3:$N$18,2,FALSE)&amp;$BB$3&amp;E44&amp;$BD$3,"")</f>
        <v>[2,200]</v>
      </c>
      <c r="BD42" s="49" t="str">
        <f>IFERROR($BC$3&amp;VLOOKUP(F44,'Pay Table'!$M$3:$N$18,2,FALSE)&amp;$BB$3&amp;G44&amp;$BD$3,"")</f>
        <v>[4,100]</v>
      </c>
      <c r="BE42" s="49" t="str">
        <f>IFERROR($BC$3&amp;VLOOKUP(H44,'Pay Table'!$M$3:$N$18,2,FALSE)&amp;$BB$3&amp;I44&amp;$BD$3,"")</f>
        <v>[6,100]</v>
      </c>
      <c r="BF42" s="60" t="str">
        <f>IFERROR($BC$3&amp;VLOOKUP(J44,'Pay Table'!$M$3:$N$18,2,FALSE)&amp;$BB$3&amp;K44&amp;$BD$3,"")</f>
        <v>[8,100]</v>
      </c>
    </row>
    <row r="43" spans="1:58" ht="17.100000000000001" customHeight="1" x14ac:dyDescent="0.15">
      <c r="A43" s="14">
        <v>38</v>
      </c>
      <c r="B43" s="10" t="s">
        <v>125</v>
      </c>
      <c r="C43" s="10">
        <v>100</v>
      </c>
      <c r="D43" s="10" t="s">
        <v>125</v>
      </c>
      <c r="E43" s="10">
        <v>100</v>
      </c>
      <c r="F43" s="10" t="s">
        <v>120</v>
      </c>
      <c r="G43" s="10">
        <v>100</v>
      </c>
      <c r="H43" s="10" t="s">
        <v>47</v>
      </c>
      <c r="I43" s="10">
        <v>80</v>
      </c>
      <c r="J43" s="10" t="s">
        <v>125</v>
      </c>
      <c r="K43" s="10">
        <v>100</v>
      </c>
      <c r="BB43" s="59" t="str">
        <f>IFERROR($BC$3&amp;VLOOKUP(B45,'Pay Table'!$M$3:$N$18,2,FALSE)&amp;$BB$3&amp;C45&amp;$BD$3,"")</f>
        <v>[6,100]</v>
      </c>
      <c r="BC43" s="49" t="str">
        <f>IFERROR($BC$3&amp;VLOOKUP(D45,'Pay Table'!$M$3:$N$18,2,FALSE)&amp;$BB$3&amp;E45&amp;$BD$3,"")</f>
        <v>[7,150]</v>
      </c>
      <c r="BD43" s="49" t="str">
        <f>IFERROR($BC$3&amp;VLOOKUP(F45,'Pay Table'!$M$3:$N$18,2,FALSE)&amp;$BB$3&amp;G45&amp;$BD$3,"")</f>
        <v>[4,100]</v>
      </c>
      <c r="BE43" s="49" t="str">
        <f>IFERROR($BC$3&amp;VLOOKUP(H45,'Pay Table'!$M$3:$N$18,2,FALSE)&amp;$BB$3&amp;I45&amp;$BD$3,"")</f>
        <v>[94,100]</v>
      </c>
      <c r="BF43" s="60" t="str">
        <f>IFERROR($BC$3&amp;VLOOKUP(J45,'Pay Table'!$M$3:$N$18,2,FALSE)&amp;$BB$3&amp;K45&amp;$BD$3,"")</f>
        <v>[94,100]</v>
      </c>
    </row>
    <row r="44" spans="1:58" ht="17.100000000000001" customHeight="1" x14ac:dyDescent="0.15">
      <c r="A44" s="14">
        <v>39</v>
      </c>
      <c r="B44" s="10" t="s">
        <v>123</v>
      </c>
      <c r="C44" s="10">
        <v>100</v>
      </c>
      <c r="D44" s="10" t="s">
        <v>126</v>
      </c>
      <c r="E44" s="10">
        <v>200</v>
      </c>
      <c r="F44" s="10" t="s">
        <v>128</v>
      </c>
      <c r="G44" s="10">
        <v>100</v>
      </c>
      <c r="H44" s="10" t="s">
        <v>121</v>
      </c>
      <c r="I44" s="10">
        <v>100</v>
      </c>
      <c r="J44" s="10" t="s">
        <v>120</v>
      </c>
      <c r="K44" s="10">
        <v>100</v>
      </c>
      <c r="N44" s="37"/>
      <c r="O44" s="1" t="s">
        <v>29</v>
      </c>
      <c r="S44" s="1" t="s">
        <v>30</v>
      </c>
      <c r="W44" s="1" t="s">
        <v>31</v>
      </c>
      <c r="Z44" s="1" t="s">
        <v>32</v>
      </c>
      <c r="AB44" s="1" t="s">
        <v>33</v>
      </c>
      <c r="AD44" s="1" t="s">
        <v>28</v>
      </c>
      <c r="BB44" s="59" t="str">
        <f>IFERROR($BC$3&amp;VLOOKUP(B46,'Pay Table'!$M$3:$N$18,2,FALSE)&amp;$BB$3&amp;C46&amp;$BD$3,"")</f>
        <v>[94,80]</v>
      </c>
      <c r="BC44" s="49" t="str">
        <f>IFERROR($BC$3&amp;VLOOKUP(D46,'Pay Table'!$M$3:$N$18,2,FALSE)&amp;$BB$3&amp;E46&amp;$BD$3,"")</f>
        <v>[90,200]</v>
      </c>
      <c r="BD44" s="49" t="str">
        <f>IFERROR($BC$3&amp;VLOOKUP(F46,'Pay Table'!$M$3:$N$18,2,FALSE)&amp;$BB$3&amp;G46&amp;$BD$3,"")</f>
        <v>[1,100]</v>
      </c>
      <c r="BE44" s="49" t="str">
        <f>IFERROR($BC$3&amp;VLOOKUP(H46,'Pay Table'!$M$3:$N$18,2,FALSE)&amp;$BB$3&amp;I46&amp;$BD$3,"")</f>
        <v>[6,100]</v>
      </c>
      <c r="BF44" s="60" t="str">
        <f>IFERROR($BC$3&amp;VLOOKUP(J46,'Pay Table'!$M$3:$N$18,2,FALSE)&amp;$BB$3&amp;K46&amp;$BD$3,"")</f>
        <v>[6,100]</v>
      </c>
    </row>
    <row r="45" spans="1:58" ht="17.100000000000001" customHeight="1" x14ac:dyDescent="0.15">
      <c r="A45" s="14">
        <v>40</v>
      </c>
      <c r="B45" s="10" t="s">
        <v>121</v>
      </c>
      <c r="C45" s="10">
        <v>100</v>
      </c>
      <c r="D45" s="10" t="s">
        <v>119</v>
      </c>
      <c r="E45" s="10">
        <v>150</v>
      </c>
      <c r="F45" s="10" t="s">
        <v>128</v>
      </c>
      <c r="G45" s="10">
        <v>100</v>
      </c>
      <c r="H45" s="10" t="s">
        <v>47</v>
      </c>
      <c r="I45" s="10">
        <v>100</v>
      </c>
      <c r="J45" s="10" t="s">
        <v>47</v>
      </c>
      <c r="K45" s="10">
        <v>100</v>
      </c>
      <c r="N45" s="6" t="s">
        <v>4</v>
      </c>
      <c r="O45" s="18">
        <v>2</v>
      </c>
      <c r="P45" s="18">
        <v>3</v>
      </c>
      <c r="Q45" s="18">
        <v>4</v>
      </c>
      <c r="R45" s="36">
        <v>5</v>
      </c>
      <c r="S45" s="18">
        <v>2</v>
      </c>
      <c r="T45" s="18">
        <v>3</v>
      </c>
      <c r="U45" s="18">
        <v>4</v>
      </c>
      <c r="V45" s="36">
        <v>5</v>
      </c>
      <c r="W45" s="18">
        <v>3</v>
      </c>
      <c r="X45" s="18">
        <v>4</v>
      </c>
      <c r="Y45" s="36">
        <v>5</v>
      </c>
      <c r="Z45" s="18">
        <v>4</v>
      </c>
      <c r="AA45" s="36">
        <v>5</v>
      </c>
      <c r="AB45" s="6">
        <v>5</v>
      </c>
      <c r="AD45" s="17" t="str">
        <f t="shared" ref="AD45:AD61" si="27">N26</f>
        <v>Symbol</v>
      </c>
      <c r="AE45" s="18">
        <v>2</v>
      </c>
      <c r="AF45" s="18">
        <f>P26</f>
        <v>3</v>
      </c>
      <c r="AG45" s="18">
        <f>Q26</f>
        <v>4</v>
      </c>
      <c r="AH45" s="36">
        <f>R26</f>
        <v>5</v>
      </c>
      <c r="AI45" s="1" t="s">
        <v>12</v>
      </c>
      <c r="BB45" s="59" t="str">
        <f>IFERROR($BC$3&amp;VLOOKUP(B47,'Pay Table'!$M$3:$N$18,2,FALSE)&amp;$BB$3&amp;C47&amp;$BD$3,"")</f>
        <v>[0,100]</v>
      </c>
      <c r="BC45" s="49" t="str">
        <f>IFERROR($BC$3&amp;VLOOKUP(D47,'Pay Table'!$M$3:$N$18,2,FALSE)&amp;$BB$3&amp;E47&amp;$BD$3,"")</f>
        <v>[7,100]</v>
      </c>
      <c r="BD45" s="49" t="str">
        <f>IFERROR($BC$3&amp;VLOOKUP(F47,'Pay Table'!$M$3:$N$18,2,FALSE)&amp;$BB$3&amp;G47&amp;$BD$3,"")</f>
        <v>[2,100]</v>
      </c>
      <c r="BE45" s="49" t="str">
        <f>IFERROR($BC$3&amp;VLOOKUP(H47,'Pay Table'!$M$3:$N$18,2,FALSE)&amp;$BB$3&amp;I47&amp;$BD$3,"")</f>
        <v>[1,100]</v>
      </c>
      <c r="BF45" s="60" t="str">
        <f>IFERROR($BC$3&amp;VLOOKUP(J47,'Pay Table'!$M$3:$N$18,2,FALSE)&amp;$BB$3&amp;K47&amp;$BD$3,"")</f>
        <v>[5,100]</v>
      </c>
    </row>
    <row r="46" spans="1:58" ht="17.100000000000001" customHeight="1" x14ac:dyDescent="0.15">
      <c r="A46" s="14">
        <v>41</v>
      </c>
      <c r="B46" s="10" t="s">
        <v>47</v>
      </c>
      <c r="C46" s="10">
        <v>80</v>
      </c>
      <c r="D46" s="10" t="s">
        <v>14</v>
      </c>
      <c r="E46" s="10">
        <v>200</v>
      </c>
      <c r="F46" s="10" t="s">
        <v>125</v>
      </c>
      <c r="G46" s="10">
        <v>100</v>
      </c>
      <c r="H46" s="10" t="s">
        <v>121</v>
      </c>
      <c r="I46" s="10">
        <v>100</v>
      </c>
      <c r="J46" s="10" t="s">
        <v>121</v>
      </c>
      <c r="K46" s="10">
        <v>100</v>
      </c>
      <c r="N46" s="4" t="str">
        <f>N27</f>
        <v>LINK</v>
      </c>
      <c r="R46" s="5"/>
      <c r="V46" s="5"/>
      <c r="W46" s="7"/>
      <c r="X46" s="21"/>
      <c r="Y46" s="20"/>
      <c r="Z46" s="7"/>
      <c r="AA46" s="20"/>
      <c r="AB46" s="3"/>
      <c r="AD46" s="7" t="str">
        <f t="shared" si="27"/>
        <v>LINK</v>
      </c>
      <c r="AE46" s="21"/>
      <c r="AF46" s="21"/>
      <c r="AG46" s="21"/>
      <c r="AH46" s="20"/>
      <c r="BB46" s="59" t="str">
        <f>IFERROR($BC$3&amp;VLOOKUP(B48,'Pay Table'!$M$3:$N$18,2,FALSE)&amp;$BB$3&amp;C48&amp;$BD$3,"")</f>
        <v>[94,100]</v>
      </c>
      <c r="BC46" s="49" t="str">
        <f>IFERROR($BC$3&amp;VLOOKUP(D48,'Pay Table'!$M$3:$N$18,2,FALSE)&amp;$BB$3&amp;E48&amp;$BD$3,"")</f>
        <v>[1,100]</v>
      </c>
      <c r="BD46" s="49" t="str">
        <f>IFERROR($BC$3&amp;VLOOKUP(F48,'Pay Table'!$M$3:$N$18,2,FALSE)&amp;$BB$3&amp;G48&amp;$BD$3,"")</f>
        <v>[6,100]</v>
      </c>
      <c r="BE46" s="49" t="str">
        <f>IFERROR($BC$3&amp;VLOOKUP(H48,'Pay Table'!$M$3:$N$18,2,FALSE)&amp;$BB$3&amp;I48&amp;$BD$3,"")</f>
        <v>[8,100]</v>
      </c>
      <c r="BF46" s="60" t="str">
        <f>IFERROR($BC$3&amp;VLOOKUP(J48,'Pay Table'!$M$3:$N$18,2,FALSE)&amp;$BB$3&amp;K48&amp;$BD$3,"")</f>
        <v>[3,100]</v>
      </c>
    </row>
    <row r="47" spans="1:58" ht="17.100000000000001" customHeight="1" x14ac:dyDescent="0.15">
      <c r="A47" s="14">
        <v>42</v>
      </c>
      <c r="B47" s="10" t="s">
        <v>153</v>
      </c>
      <c r="C47" s="10">
        <v>100</v>
      </c>
      <c r="D47" s="10" t="s">
        <v>119</v>
      </c>
      <c r="E47" s="10">
        <v>100</v>
      </c>
      <c r="F47" s="10" t="s">
        <v>126</v>
      </c>
      <c r="G47" s="10">
        <v>100</v>
      </c>
      <c r="H47" s="10" t="s">
        <v>125</v>
      </c>
      <c r="I47" s="10">
        <v>100</v>
      </c>
      <c r="J47" s="10" t="s">
        <v>123</v>
      </c>
      <c r="K47" s="10">
        <v>100</v>
      </c>
      <c r="N47" s="4" t="str">
        <f t="shared" ref="N47:N60" si="28">N28</f>
        <v>WILD</v>
      </c>
      <c r="R47" s="5"/>
      <c r="S47" s="1">
        <f>O7*P7*(Q22-Q7)*R22*S22</f>
        <v>0</v>
      </c>
      <c r="V47" s="5"/>
      <c r="W47" s="2">
        <f>O7*P7*Q7*(R22-R7)*S22</f>
        <v>0</v>
      </c>
      <c r="Y47" s="5"/>
      <c r="Z47" s="2">
        <f>O7*P7*Q7*R7*(S22-S7)</f>
        <v>0</v>
      </c>
      <c r="AA47" s="5"/>
      <c r="AB47" s="4">
        <f>O7*P7*Q7*R7*S7</f>
        <v>0</v>
      </c>
      <c r="AD47" s="2" t="str">
        <f t="shared" si="27"/>
        <v>WILD</v>
      </c>
      <c r="AE47" s="1">
        <f t="array" ref="AE47">S47-SUMIF('Pay Table'!D7:D16,"&gt;"&amp;'Pay Table'!C6,T48:T61)-SUMIF('Pay Table'!E7:E16,"&gt;"&amp;'Pay Table'!C6,U48:U61)-SUMIF('Pay Table'!F7:F16,"&gt;"&amp;'Pay Table'!C6,V48:V61)</f>
        <v>0</v>
      </c>
      <c r="AF47" s="1">
        <f t="array" ref="AF47">W47-SUMIF('Pay Table'!E7:E16,"&gt;"&amp;'Pay Table'!D6,X48:X61)-SUMIF('Pay Table'!F7:F16,"&gt;"&amp;'Pay Table'!D6,Y48:Y61)</f>
        <v>0</v>
      </c>
      <c r="AG47" s="1">
        <f>Z47-SUMIF('Pay Table'!F7:F16,"&gt;"&amp;'Pay Table'!E6,AA48:AA61)</f>
        <v>0</v>
      </c>
      <c r="AH47" s="5">
        <f>AB47</f>
        <v>0</v>
      </c>
      <c r="AI47" s="1">
        <f>SUM(AF47:AH47)</f>
        <v>0</v>
      </c>
      <c r="BB47" s="59" t="str">
        <f>IFERROR($BC$3&amp;VLOOKUP(B49,'Pay Table'!$M$3:$N$18,2,FALSE)&amp;$BB$3&amp;C49&amp;$BD$3,"")</f>
        <v>[8,100]</v>
      </c>
      <c r="BC47" s="49" t="str">
        <f>IFERROR($BC$3&amp;VLOOKUP(D49,'Pay Table'!$M$3:$N$18,2,FALSE)&amp;$BB$3&amp;E49&amp;$BD$3,"")</f>
        <v>[2,100]</v>
      </c>
      <c r="BD47" s="49" t="str">
        <f>IFERROR($BC$3&amp;VLOOKUP(F49,'Pay Table'!$M$3:$N$18,2,FALSE)&amp;$BB$3&amp;G49&amp;$BD$3,"")</f>
        <v>[8,100]</v>
      </c>
      <c r="BE47" s="49" t="str">
        <f>IFERROR($BC$3&amp;VLOOKUP(H49,'Pay Table'!$M$3:$N$18,2,FALSE)&amp;$BB$3&amp;I49&amp;$BD$3,"")</f>
        <v>[7,150]</v>
      </c>
      <c r="BF47" s="60" t="str">
        <f>IFERROR($BC$3&amp;VLOOKUP(J49,'Pay Table'!$M$3:$N$18,2,FALSE)&amp;$BB$3&amp;K49&amp;$BD$3,"")</f>
        <v>[8,100]</v>
      </c>
    </row>
    <row r="48" spans="1:58" ht="17.100000000000001" customHeight="1" x14ac:dyDescent="0.15">
      <c r="A48" s="14">
        <v>43</v>
      </c>
      <c r="B48" s="10" t="s">
        <v>47</v>
      </c>
      <c r="C48" s="10">
        <v>100</v>
      </c>
      <c r="D48" s="10" t="s">
        <v>152</v>
      </c>
      <c r="E48" s="10">
        <v>100</v>
      </c>
      <c r="F48" s="10" t="s">
        <v>121</v>
      </c>
      <c r="G48" s="10">
        <v>100</v>
      </c>
      <c r="H48" s="10" t="s">
        <v>120</v>
      </c>
      <c r="I48" s="10">
        <v>100</v>
      </c>
      <c r="J48" s="10" t="s">
        <v>127</v>
      </c>
      <c r="K48" s="10">
        <v>100</v>
      </c>
      <c r="N48" s="4" t="str">
        <f t="shared" si="28"/>
        <v>M1</v>
      </c>
      <c r="O48" s="1">
        <f t="shared" ref="O48:O61" si="29">$O$7*(P8)*($Q$22-Q8-$Q$7)*$R$22*$S$22</f>
        <v>0</v>
      </c>
      <c r="P48" s="1">
        <f t="shared" ref="P48:P61" si="30">$O$7*(P8)*(Q8+$Q$7)*($R$22-R8-$R$7)*$S$22</f>
        <v>0</v>
      </c>
      <c r="Q48" s="1">
        <f t="shared" ref="Q48:Q61" si="31">$O$7*(P8)*($Q$7+Q8)*($R$7+R8)*($S$22-S8-$S$7)</f>
        <v>0</v>
      </c>
      <c r="R48" s="5">
        <f t="shared" ref="R48:R61" si="32">$O$7*(P8)*($Q$7+Q8)*($R$7+R8)*($S$7+S8)</f>
        <v>0</v>
      </c>
      <c r="T48" s="1">
        <f t="shared" ref="T48:T61" si="33">$O$7*$P$7*(Q8)*($R$22-R8-$R$7)*$S$22</f>
        <v>0</v>
      </c>
      <c r="U48" s="1">
        <f t="shared" ref="U48:U61" si="34">$O$7*$P$7*(Q8)*($R$7+R8)*($S$22-S8-$S$7)</f>
        <v>0</v>
      </c>
      <c r="V48" s="5">
        <f t="shared" ref="V48:V61" si="35">$O$7*$P$7*(Q8)*($R$7+R8)*($S$7+S8)</f>
        <v>0</v>
      </c>
      <c r="W48" s="2"/>
      <c r="X48" s="1">
        <f>$O$7*$P$7*$Q$7*(R8)*($S$22-S8-$S$7)</f>
        <v>0</v>
      </c>
      <c r="Y48" s="5">
        <f t="shared" ref="Y48:Y61" si="36">$O$7*$P$7*$Q$7*(R8)*($S$7+S8)</f>
        <v>0</v>
      </c>
      <c r="Z48" s="2"/>
      <c r="AA48" s="5">
        <f t="shared" ref="AA48:AA61" si="37">$O$7*$P$7*$Q$7*$R$7*(S8)</f>
        <v>0</v>
      </c>
      <c r="AB48" s="4"/>
      <c r="AD48" s="2" t="str">
        <f t="shared" si="27"/>
        <v>M1</v>
      </c>
      <c r="AE48" s="1">
        <f>O48</f>
        <v>0</v>
      </c>
      <c r="AF48" s="1">
        <f t="array" ref="AF48">P48+IF('Pay Table'!D7&gt;'Pay Table'!$C$6,T48,0)</f>
        <v>0</v>
      </c>
      <c r="AG48" s="1">
        <f>Q48+IF('Pay Table'!E7&gt;'Pay Table'!$C$6,U48,0)+IF('Pay Table'!E7&gt;'Pay Table'!$D$6,X48,0)</f>
        <v>0</v>
      </c>
      <c r="AH48" s="5">
        <f t="array" ref="AH48">R48+IF('Pay Table'!F7&gt;'Pay Table'!$C$6,V48,0)+IF('Pay Table'!F7&gt;'Pay Table'!$D$6,Y48,0)+IF('Pay Table'!F7&gt;'Pay Table'!$E$6,AA48,0)</f>
        <v>0</v>
      </c>
      <c r="AI48" s="1">
        <f t="shared" ref="AI48:AI58" si="38">SUM(AF48:AH48)</f>
        <v>0</v>
      </c>
      <c r="BB48" s="59" t="str">
        <f>IFERROR($BC$3&amp;VLOOKUP(B50,'Pay Table'!$M$3:$N$18,2,FALSE)&amp;$BB$3&amp;C50&amp;$BD$3,"")</f>
        <v>[2,100]</v>
      </c>
      <c r="BC48" s="49" t="str">
        <f>IFERROR($BC$3&amp;VLOOKUP(D50,'Pay Table'!$M$3:$N$18,2,FALSE)&amp;$BB$3&amp;E50&amp;$BD$3,"")</f>
        <v>[94,50]</v>
      </c>
      <c r="BD48" s="49" t="str">
        <f>IFERROR($BC$3&amp;VLOOKUP(F50,'Pay Table'!$M$3:$N$18,2,FALSE)&amp;$BB$3&amp;G50&amp;$BD$3,"")</f>
        <v>[3,100]</v>
      </c>
      <c r="BE48" s="49" t="str">
        <f>IFERROR($BC$3&amp;VLOOKUP(H50,'Pay Table'!$M$3:$N$18,2,FALSE)&amp;$BB$3&amp;I50&amp;$BD$3,"")</f>
        <v>[90,200]</v>
      </c>
      <c r="BF48" s="60" t="str">
        <f>IFERROR($BC$3&amp;VLOOKUP(J50,'Pay Table'!$M$3:$N$18,2,FALSE)&amp;$BB$3&amp;K50&amp;$BD$3,"")</f>
        <v>[8,100]</v>
      </c>
    </row>
    <row r="49" spans="1:58" ht="17.100000000000001" customHeight="1" x14ac:dyDescent="0.15">
      <c r="A49" s="14">
        <v>44</v>
      </c>
      <c r="B49" s="10" t="s">
        <v>120</v>
      </c>
      <c r="C49" s="10">
        <v>100</v>
      </c>
      <c r="D49" s="10" t="s">
        <v>126</v>
      </c>
      <c r="E49" s="10">
        <v>100</v>
      </c>
      <c r="F49" s="10" t="s">
        <v>120</v>
      </c>
      <c r="G49" s="10">
        <v>100</v>
      </c>
      <c r="H49" s="10" t="s">
        <v>119</v>
      </c>
      <c r="I49" s="10">
        <v>150</v>
      </c>
      <c r="J49" s="10" t="s">
        <v>120</v>
      </c>
      <c r="K49" s="10">
        <v>100</v>
      </c>
      <c r="N49" s="4" t="str">
        <f t="shared" si="28"/>
        <v>M2</v>
      </c>
      <c r="O49" s="1">
        <f t="shared" si="29"/>
        <v>0</v>
      </c>
      <c r="P49" s="1">
        <f t="shared" si="30"/>
        <v>0</v>
      </c>
      <c r="Q49" s="1">
        <f t="shared" si="31"/>
        <v>0</v>
      </c>
      <c r="R49" s="5">
        <f t="shared" si="32"/>
        <v>0</v>
      </c>
      <c r="T49" s="1">
        <f t="shared" si="33"/>
        <v>0</v>
      </c>
      <c r="U49" s="1">
        <f t="shared" si="34"/>
        <v>0</v>
      </c>
      <c r="V49" s="5">
        <f t="shared" si="35"/>
        <v>0</v>
      </c>
      <c r="W49" s="2"/>
      <c r="X49" s="1">
        <f t="shared" ref="X49:X61" si="39">$O$7*$P$7*$Q$7*(R9)*($S$22-S9-$S$7)</f>
        <v>0</v>
      </c>
      <c r="Y49" s="5">
        <f t="shared" si="36"/>
        <v>0</v>
      </c>
      <c r="Z49" s="2"/>
      <c r="AA49" s="5">
        <f t="shared" si="37"/>
        <v>0</v>
      </c>
      <c r="AB49" s="4"/>
      <c r="AD49" s="2" t="str">
        <f t="shared" si="27"/>
        <v>M2</v>
      </c>
      <c r="AE49" s="1">
        <f t="shared" ref="AE49:AE61" si="40">O49</f>
        <v>0</v>
      </c>
      <c r="AF49" s="1">
        <f t="array" ref="AF49">P49+IF('Pay Table'!D8&gt;'Pay Table'!$C$6,T49,0)</f>
        <v>0</v>
      </c>
      <c r="AG49" s="1">
        <f>Q49+IF('Pay Table'!E8&gt;'Pay Table'!$C$6,U49,0)+IF('Pay Table'!E8&gt;'Pay Table'!$D$6,X49,0)</f>
        <v>0</v>
      </c>
      <c r="AH49" s="5">
        <f t="array" ref="AH49">R49+IF('Pay Table'!F8&gt;'Pay Table'!$C$6,V49,0)+IF('Pay Table'!F8&gt;'Pay Table'!$D$6,Y49,0)+IF('Pay Table'!F8&gt;'Pay Table'!$E$6,AA49,0)</f>
        <v>0</v>
      </c>
      <c r="AI49" s="1">
        <f t="shared" si="38"/>
        <v>0</v>
      </c>
      <c r="BB49" s="59" t="str">
        <f>IFERROR($BC$3&amp;VLOOKUP(B51,'Pay Table'!$M$3:$N$18,2,FALSE)&amp;$BB$3&amp;C51&amp;$BD$3,"")</f>
        <v>[3,100]</v>
      </c>
      <c r="BC49" s="49" t="str">
        <f>IFERROR($BC$3&amp;VLOOKUP(D51,'Pay Table'!$M$3:$N$18,2,FALSE)&amp;$BB$3&amp;E51&amp;$BD$3,"")</f>
        <v>[2,100]</v>
      </c>
      <c r="BD49" s="49" t="str">
        <f>IFERROR($BC$3&amp;VLOOKUP(F51,'Pay Table'!$M$3:$N$18,2,FALSE)&amp;$BB$3&amp;G51&amp;$BD$3,"")</f>
        <v>[0,100]</v>
      </c>
      <c r="BE49" s="49" t="str">
        <f>IFERROR($BC$3&amp;VLOOKUP(H51,'Pay Table'!$M$3:$N$18,2,FALSE)&amp;$BB$3&amp;I51&amp;$BD$3,"")</f>
        <v>[6,100]</v>
      </c>
      <c r="BF49" s="60" t="str">
        <f>IFERROR($BC$3&amp;VLOOKUP(J51,'Pay Table'!$M$3:$N$18,2,FALSE)&amp;$BB$3&amp;K51&amp;$BD$3,"")</f>
        <v>[5,100]</v>
      </c>
    </row>
    <row r="50" spans="1:58" ht="17.100000000000001" customHeight="1" x14ac:dyDescent="0.15">
      <c r="A50" s="14">
        <v>45</v>
      </c>
      <c r="B50" s="10" t="s">
        <v>151</v>
      </c>
      <c r="C50" s="10">
        <v>100</v>
      </c>
      <c r="D50" s="10" t="s">
        <v>47</v>
      </c>
      <c r="E50" s="10">
        <v>50</v>
      </c>
      <c r="F50" s="10" t="s">
        <v>127</v>
      </c>
      <c r="G50" s="10">
        <v>100</v>
      </c>
      <c r="H50" s="10" t="s">
        <v>14</v>
      </c>
      <c r="I50" s="10">
        <v>200</v>
      </c>
      <c r="J50" s="10" t="s">
        <v>120</v>
      </c>
      <c r="K50" s="10">
        <v>100</v>
      </c>
      <c r="N50" s="4" t="str">
        <f t="shared" si="28"/>
        <v>M3</v>
      </c>
      <c r="O50" s="1">
        <f t="shared" si="29"/>
        <v>0</v>
      </c>
      <c r="P50" s="1">
        <f t="shared" si="30"/>
        <v>0</v>
      </c>
      <c r="Q50" s="1">
        <f t="shared" si="31"/>
        <v>0</v>
      </c>
      <c r="R50" s="5">
        <f t="shared" si="32"/>
        <v>0</v>
      </c>
      <c r="T50" s="1">
        <f t="shared" si="33"/>
        <v>0</v>
      </c>
      <c r="U50" s="1">
        <f t="shared" si="34"/>
        <v>0</v>
      </c>
      <c r="V50" s="5">
        <f t="shared" si="35"/>
        <v>0</v>
      </c>
      <c r="W50" s="2"/>
      <c r="X50" s="1">
        <f t="shared" si="39"/>
        <v>0</v>
      </c>
      <c r="Y50" s="5">
        <f t="shared" si="36"/>
        <v>0</v>
      </c>
      <c r="Z50" s="2"/>
      <c r="AA50" s="5">
        <f t="shared" si="37"/>
        <v>0</v>
      </c>
      <c r="AB50" s="4"/>
      <c r="AD50" s="2" t="str">
        <f t="shared" si="27"/>
        <v>M3</v>
      </c>
      <c r="AE50" s="1">
        <f t="shared" si="40"/>
        <v>0</v>
      </c>
      <c r="AF50" s="1">
        <f t="array" ref="AF50">P50+IF('Pay Table'!D9&gt;'Pay Table'!$C$6,T50,0)</f>
        <v>0</v>
      </c>
      <c r="AG50" s="1">
        <f>Q50+IF('Pay Table'!E9&gt;'Pay Table'!$C$6,U50,0)+IF('Pay Table'!E9&gt;'Pay Table'!$D$6,X50,0)</f>
        <v>0</v>
      </c>
      <c r="AH50" s="5">
        <f t="array" ref="AH50">R50+IF('Pay Table'!F9&gt;'Pay Table'!$C$6,V50,0)+IF('Pay Table'!F9&gt;'Pay Table'!$D$6,Y50,0)+IF('Pay Table'!F9&gt;'Pay Table'!$E$6,AA50,0)</f>
        <v>0</v>
      </c>
      <c r="AI50" s="1">
        <f t="shared" si="38"/>
        <v>0</v>
      </c>
      <c r="BB50" s="59" t="str">
        <f>IFERROR($BC$3&amp;VLOOKUP(B52,'Pay Table'!$M$3:$N$18,2,FALSE)&amp;$BB$3&amp;C52&amp;$BD$3,"")</f>
        <v>[8,100]</v>
      </c>
      <c r="BC50" s="49" t="str">
        <f>IFERROR($BC$3&amp;VLOOKUP(D52,'Pay Table'!$M$3:$N$18,2,FALSE)&amp;$BB$3&amp;E52&amp;$BD$3,"")</f>
        <v>[94,100]</v>
      </c>
      <c r="BD50" s="49" t="str">
        <f>IFERROR($BC$3&amp;VLOOKUP(F52,'Pay Table'!$M$3:$N$18,2,FALSE)&amp;$BB$3&amp;G52&amp;$BD$3,"")</f>
        <v>[4,100]</v>
      </c>
      <c r="BE50" s="49" t="str">
        <f>IFERROR($BC$3&amp;VLOOKUP(H52,'Pay Table'!$M$3:$N$18,2,FALSE)&amp;$BB$3&amp;I52&amp;$BD$3,"")</f>
        <v>[3,100]</v>
      </c>
      <c r="BF50" s="60" t="str">
        <f>IFERROR($BC$3&amp;VLOOKUP(J52,'Pay Table'!$M$3:$N$18,2,FALSE)&amp;$BB$3&amp;K52&amp;$BD$3,"")</f>
        <v>[4,100]</v>
      </c>
    </row>
    <row r="51" spans="1:58" ht="17.100000000000001" customHeight="1" x14ac:dyDescent="0.15">
      <c r="A51" s="14">
        <v>46</v>
      </c>
      <c r="B51" s="10" t="s">
        <v>172</v>
      </c>
      <c r="C51" s="10">
        <v>100</v>
      </c>
      <c r="D51" s="10" t="s">
        <v>151</v>
      </c>
      <c r="E51" s="10">
        <v>100</v>
      </c>
      <c r="F51" s="10" t="s">
        <v>124</v>
      </c>
      <c r="G51" s="10">
        <v>100</v>
      </c>
      <c r="H51" s="10" t="s">
        <v>121</v>
      </c>
      <c r="I51" s="10">
        <v>100</v>
      </c>
      <c r="J51" s="10" t="s">
        <v>123</v>
      </c>
      <c r="K51" s="10">
        <v>100</v>
      </c>
      <c r="N51" s="4" t="str">
        <f t="shared" si="28"/>
        <v>M4</v>
      </c>
      <c r="O51" s="1">
        <f t="shared" si="29"/>
        <v>0</v>
      </c>
      <c r="P51" s="1">
        <f t="shared" si="30"/>
        <v>0</v>
      </c>
      <c r="Q51" s="1">
        <f t="shared" si="31"/>
        <v>0</v>
      </c>
      <c r="R51" s="5">
        <f t="shared" si="32"/>
        <v>0</v>
      </c>
      <c r="T51" s="1">
        <f t="shared" si="33"/>
        <v>0</v>
      </c>
      <c r="U51" s="1">
        <f t="shared" si="34"/>
        <v>0</v>
      </c>
      <c r="V51" s="5">
        <f t="shared" si="35"/>
        <v>0</v>
      </c>
      <c r="W51" s="2"/>
      <c r="X51" s="1">
        <f t="shared" si="39"/>
        <v>0</v>
      </c>
      <c r="Y51" s="5">
        <f t="shared" si="36"/>
        <v>0</v>
      </c>
      <c r="Z51" s="2"/>
      <c r="AA51" s="5">
        <f t="shared" si="37"/>
        <v>0</v>
      </c>
      <c r="AB51" s="4"/>
      <c r="AD51" s="2" t="str">
        <f t="shared" si="27"/>
        <v>M4</v>
      </c>
      <c r="AE51" s="1">
        <f t="shared" si="40"/>
        <v>0</v>
      </c>
      <c r="AF51" s="1">
        <f t="array" ref="AF51">P51+IF('Pay Table'!D10&gt;'Pay Table'!$C$6,T51,0)</f>
        <v>0</v>
      </c>
      <c r="AG51" s="1">
        <f>Q51+IF('Pay Table'!E10&gt;'Pay Table'!$C$6,U51,0)+IF('Pay Table'!E10&gt;'Pay Table'!$D$6,X51,0)</f>
        <v>0</v>
      </c>
      <c r="AH51" s="5">
        <f t="array" ref="AH51">R51+IF('Pay Table'!F10&gt;'Pay Table'!$C$6,V51,0)+IF('Pay Table'!F10&gt;'Pay Table'!$D$6,Y51,0)+IF('Pay Table'!F10&gt;'Pay Table'!$E$6,AA51,0)</f>
        <v>0</v>
      </c>
      <c r="AI51" s="1">
        <f t="shared" si="38"/>
        <v>0</v>
      </c>
      <c r="BB51" s="59" t="str">
        <f>IFERROR($BC$3&amp;VLOOKUP(B53,'Pay Table'!$M$3:$N$18,2,FALSE)&amp;$BB$3&amp;C53&amp;$BD$3,"")</f>
        <v>[7,100]</v>
      </c>
      <c r="BC51" s="49" t="str">
        <f>IFERROR($BC$3&amp;VLOOKUP(D53,'Pay Table'!$M$3:$N$18,2,FALSE)&amp;$BB$3&amp;E53&amp;$BD$3,"")</f>
        <v>[4,100]</v>
      </c>
      <c r="BD51" s="49" t="str">
        <f>IFERROR($BC$3&amp;VLOOKUP(F53,'Pay Table'!$M$3:$N$18,2,FALSE)&amp;$BB$3&amp;G53&amp;$BD$3,"")</f>
        <v>[8,200]</v>
      </c>
      <c r="BE51" s="49" t="str">
        <f>IFERROR($BC$3&amp;VLOOKUP(H53,'Pay Table'!$M$3:$N$18,2,FALSE)&amp;$BB$3&amp;I53&amp;$BD$3,"")</f>
        <v>[6,100]</v>
      </c>
      <c r="BF51" s="60" t="str">
        <f>IFERROR($BC$3&amp;VLOOKUP(J53,'Pay Table'!$M$3:$N$18,2,FALSE)&amp;$BB$3&amp;K53&amp;$BD$3,"")</f>
        <v>[1,100]</v>
      </c>
    </row>
    <row r="52" spans="1:58" ht="17.100000000000001" customHeight="1" x14ac:dyDescent="0.15">
      <c r="A52" s="14">
        <v>47</v>
      </c>
      <c r="B52" s="10" t="s">
        <v>120</v>
      </c>
      <c r="C52" s="10">
        <v>100</v>
      </c>
      <c r="D52" s="10" t="s">
        <v>47</v>
      </c>
      <c r="E52" s="10">
        <v>100</v>
      </c>
      <c r="F52" s="10" t="s">
        <v>128</v>
      </c>
      <c r="G52" s="10">
        <v>100</v>
      </c>
      <c r="H52" s="10" t="s">
        <v>172</v>
      </c>
      <c r="I52" s="10">
        <v>100</v>
      </c>
      <c r="J52" s="10" t="s">
        <v>128</v>
      </c>
      <c r="K52" s="10">
        <v>100</v>
      </c>
      <c r="N52" s="4" t="str">
        <f t="shared" si="28"/>
        <v>M5</v>
      </c>
      <c r="O52" s="1">
        <f t="shared" si="29"/>
        <v>0</v>
      </c>
      <c r="P52" s="1">
        <f t="shared" si="30"/>
        <v>0</v>
      </c>
      <c r="Q52" s="1">
        <f t="shared" si="31"/>
        <v>0</v>
      </c>
      <c r="R52" s="5">
        <f t="shared" si="32"/>
        <v>0</v>
      </c>
      <c r="T52" s="1">
        <f t="shared" si="33"/>
        <v>0</v>
      </c>
      <c r="U52" s="1">
        <f t="shared" si="34"/>
        <v>0</v>
      </c>
      <c r="V52" s="5">
        <f t="shared" si="35"/>
        <v>0</v>
      </c>
      <c r="W52" s="2"/>
      <c r="X52" s="1">
        <f t="shared" si="39"/>
        <v>0</v>
      </c>
      <c r="Y52" s="5">
        <f t="shared" si="36"/>
        <v>0</v>
      </c>
      <c r="Z52" s="2"/>
      <c r="AA52" s="5">
        <f t="shared" si="37"/>
        <v>0</v>
      </c>
      <c r="AB52" s="4"/>
      <c r="AD52" s="2" t="str">
        <f t="shared" si="27"/>
        <v>M5</v>
      </c>
      <c r="AE52" s="1">
        <f t="shared" si="40"/>
        <v>0</v>
      </c>
      <c r="AF52" s="1">
        <f t="array" ref="AF52">P52+IF('Pay Table'!D11&gt;'Pay Table'!$C$6,T52,0)</f>
        <v>0</v>
      </c>
      <c r="AG52" s="1">
        <f>Q52+IF('Pay Table'!E11&gt;'Pay Table'!$C$6,U52,0)+IF('Pay Table'!E11&gt;'Pay Table'!$D$6,X52,0)</f>
        <v>0</v>
      </c>
      <c r="AH52" s="5">
        <f t="array" ref="AH52">R52+IF('Pay Table'!F11&gt;'Pay Table'!$C$6,V52,0)+IF('Pay Table'!F11&gt;'Pay Table'!$D$6,Y52,0)+IF('Pay Table'!F11&gt;'Pay Table'!$E$6,AA52,0)</f>
        <v>0</v>
      </c>
      <c r="AI52" s="1">
        <f t="shared" si="38"/>
        <v>0</v>
      </c>
      <c r="BB52" s="59" t="str">
        <f>IFERROR($BC$3&amp;VLOOKUP(B54,'Pay Table'!$M$3:$N$18,2,FALSE)&amp;$BB$3&amp;C54&amp;$BD$3,"")</f>
        <v>[8,100]</v>
      </c>
      <c r="BC52" s="49" t="str">
        <f>IFERROR($BC$3&amp;VLOOKUP(D54,'Pay Table'!$M$3:$N$18,2,FALSE)&amp;$BB$3&amp;E54&amp;$BD$3,"")</f>
        <v>[5,200]</v>
      </c>
      <c r="BD52" s="49" t="str">
        <f>IFERROR($BC$3&amp;VLOOKUP(F54,'Pay Table'!$M$3:$N$18,2,FALSE)&amp;$BB$3&amp;G54&amp;$BD$3,"")</f>
        <v>[90,200]</v>
      </c>
      <c r="BE52" s="49" t="str">
        <f>IFERROR($BC$3&amp;VLOOKUP(H54,'Pay Table'!$M$3:$N$18,2,FALSE)&amp;$BB$3&amp;I54&amp;$BD$3,"")</f>
        <v>[1,100]</v>
      </c>
      <c r="BF52" s="60" t="str">
        <f>IFERROR($BC$3&amp;VLOOKUP(J54,'Pay Table'!$M$3:$N$18,2,FALSE)&amp;$BB$3&amp;K54&amp;$BD$3,"")</f>
        <v>[92,100]</v>
      </c>
    </row>
    <row r="53" spans="1:58" ht="17.100000000000001" customHeight="1" x14ac:dyDescent="0.15">
      <c r="A53" s="14">
        <v>48</v>
      </c>
      <c r="B53" s="10" t="s">
        <v>119</v>
      </c>
      <c r="C53" s="10">
        <v>100</v>
      </c>
      <c r="D53" s="10" t="s">
        <v>128</v>
      </c>
      <c r="E53" s="10">
        <v>100</v>
      </c>
      <c r="F53" s="10" t="s">
        <v>120</v>
      </c>
      <c r="G53" s="10">
        <v>200</v>
      </c>
      <c r="H53" s="10" t="s">
        <v>121</v>
      </c>
      <c r="I53" s="10">
        <v>100</v>
      </c>
      <c r="J53" s="10" t="s">
        <v>125</v>
      </c>
      <c r="K53" s="10">
        <v>100</v>
      </c>
      <c r="N53" s="4" t="str">
        <f t="shared" si="28"/>
        <v>A</v>
      </c>
      <c r="O53" s="1">
        <f t="shared" si="29"/>
        <v>0</v>
      </c>
      <c r="P53" s="1">
        <f t="shared" si="30"/>
        <v>0</v>
      </c>
      <c r="Q53" s="1">
        <f t="shared" si="31"/>
        <v>0</v>
      </c>
      <c r="R53" s="5">
        <f t="shared" si="32"/>
        <v>0</v>
      </c>
      <c r="T53" s="1">
        <f t="shared" si="33"/>
        <v>0</v>
      </c>
      <c r="U53" s="1">
        <f t="shared" si="34"/>
        <v>0</v>
      </c>
      <c r="V53" s="5">
        <f t="shared" si="35"/>
        <v>0</v>
      </c>
      <c r="W53" s="2"/>
      <c r="X53" s="1">
        <f t="shared" si="39"/>
        <v>0</v>
      </c>
      <c r="Y53" s="5">
        <f t="shared" si="36"/>
        <v>0</v>
      </c>
      <c r="Z53" s="2"/>
      <c r="AA53" s="5">
        <f t="shared" si="37"/>
        <v>0</v>
      </c>
      <c r="AB53" s="4"/>
      <c r="AD53" s="2" t="str">
        <f t="shared" si="27"/>
        <v>A</v>
      </c>
      <c r="AE53" s="1">
        <f t="shared" si="40"/>
        <v>0</v>
      </c>
      <c r="AF53" s="1">
        <f t="array" ref="AF53">P53+IF('Pay Table'!D12&gt;'Pay Table'!$C$6,T53,0)</f>
        <v>0</v>
      </c>
      <c r="AG53" s="1">
        <f>Q53+IF('Pay Table'!E12&gt;'Pay Table'!$C$6,U53,0)+IF('Pay Table'!E12&gt;'Pay Table'!$D$6,X53,0)</f>
        <v>0</v>
      </c>
      <c r="AH53" s="5">
        <f t="array" ref="AH53">R53+IF('Pay Table'!F12&gt;'Pay Table'!$C$6,V53,0)+IF('Pay Table'!F12&gt;'Pay Table'!$D$6,Y53,0)+IF('Pay Table'!F12&gt;'Pay Table'!$E$6,AA53,0)</f>
        <v>0</v>
      </c>
      <c r="AI53" s="1">
        <f t="shared" si="38"/>
        <v>0</v>
      </c>
      <c r="BB53" s="59" t="str">
        <f>IFERROR($BC$3&amp;VLOOKUP(B55,'Pay Table'!$M$3:$N$18,2,FALSE)&amp;$BB$3&amp;C55&amp;$BD$3,"")</f>
        <v>[3,100]</v>
      </c>
      <c r="BC53" s="49" t="str">
        <f>IFERROR($BC$3&amp;VLOOKUP(D55,'Pay Table'!$M$3:$N$18,2,FALSE)&amp;$BB$3&amp;E55&amp;$BD$3,"")</f>
        <v>[92,100]</v>
      </c>
      <c r="BD53" s="49" t="str">
        <f>IFERROR($BC$3&amp;VLOOKUP(F55,'Pay Table'!$M$3:$N$18,2,FALSE)&amp;$BB$3&amp;G55&amp;$BD$3,"")</f>
        <v>[8,100]</v>
      </c>
      <c r="BE53" s="49" t="str">
        <f>IFERROR($BC$3&amp;VLOOKUP(H55,'Pay Table'!$M$3:$N$18,2,FALSE)&amp;$BB$3&amp;I55&amp;$BD$3,"")</f>
        <v>[2,100]</v>
      </c>
      <c r="BF53" s="60" t="str">
        <f>IFERROR($BC$3&amp;VLOOKUP(J55,'Pay Table'!$M$3:$N$18,2,FALSE)&amp;$BB$3&amp;K55&amp;$BD$3,"")</f>
        <v>[4,100]</v>
      </c>
    </row>
    <row r="54" spans="1:58" ht="17.100000000000001" customHeight="1" x14ac:dyDescent="0.15">
      <c r="A54" s="14">
        <v>49</v>
      </c>
      <c r="B54" s="10" t="s">
        <v>120</v>
      </c>
      <c r="C54" s="10">
        <v>100</v>
      </c>
      <c r="D54" s="10" t="s">
        <v>123</v>
      </c>
      <c r="E54" s="10">
        <v>200</v>
      </c>
      <c r="F54" s="10" t="s">
        <v>14</v>
      </c>
      <c r="G54" s="10">
        <v>200</v>
      </c>
      <c r="H54" s="10" t="s">
        <v>125</v>
      </c>
      <c r="I54" s="10">
        <v>100</v>
      </c>
      <c r="J54" s="10" t="s">
        <v>122</v>
      </c>
      <c r="K54" s="10">
        <v>100</v>
      </c>
      <c r="N54" s="4" t="str">
        <f t="shared" si="28"/>
        <v>K</v>
      </c>
      <c r="O54" s="1">
        <f t="shared" si="29"/>
        <v>0</v>
      </c>
      <c r="P54" s="1">
        <f t="shared" si="30"/>
        <v>0</v>
      </c>
      <c r="Q54" s="1">
        <f t="shared" si="31"/>
        <v>0</v>
      </c>
      <c r="R54" s="5">
        <f t="shared" si="32"/>
        <v>0</v>
      </c>
      <c r="T54" s="1">
        <f t="shared" si="33"/>
        <v>0</v>
      </c>
      <c r="U54" s="1">
        <f t="shared" si="34"/>
        <v>0</v>
      </c>
      <c r="V54" s="5">
        <f t="shared" si="35"/>
        <v>0</v>
      </c>
      <c r="W54" s="2"/>
      <c r="X54" s="1">
        <f t="shared" si="39"/>
        <v>0</v>
      </c>
      <c r="Y54" s="5">
        <f t="shared" si="36"/>
        <v>0</v>
      </c>
      <c r="Z54" s="2"/>
      <c r="AA54" s="5">
        <f t="shared" si="37"/>
        <v>0</v>
      </c>
      <c r="AB54" s="4"/>
      <c r="AD54" s="2" t="str">
        <f t="shared" si="27"/>
        <v>K</v>
      </c>
      <c r="AE54" s="1">
        <f t="shared" si="40"/>
        <v>0</v>
      </c>
      <c r="AF54" s="1">
        <f t="array" ref="AF54">P54+IF('Pay Table'!D13&gt;'Pay Table'!$C$6,T54,0)</f>
        <v>0</v>
      </c>
      <c r="AG54" s="1">
        <f>Q54+IF('Pay Table'!E13&gt;'Pay Table'!$C$6,U54,0)+IF('Pay Table'!E13&gt;'Pay Table'!$D$6,X54,0)</f>
        <v>0</v>
      </c>
      <c r="AH54" s="5">
        <f t="array" ref="AH54">R54+IF('Pay Table'!F13&gt;'Pay Table'!$C$6,V54,0)+IF('Pay Table'!F13&gt;'Pay Table'!$D$6,Y54,0)+IF('Pay Table'!F13&gt;'Pay Table'!$E$6,AA54,0)</f>
        <v>0</v>
      </c>
      <c r="AI54" s="1">
        <f t="shared" si="38"/>
        <v>0</v>
      </c>
      <c r="BB54" s="59" t="str">
        <f>IFERROR($BC$3&amp;VLOOKUP(B56,'Pay Table'!$M$3:$N$18,2,FALSE)&amp;$BB$3&amp;C56&amp;$BD$3,"")</f>
        <v>[7,100]</v>
      </c>
      <c r="BC54" s="49" t="str">
        <f>IFERROR($BC$3&amp;VLOOKUP(D56,'Pay Table'!$M$3:$N$18,2,FALSE)&amp;$BB$3&amp;E56&amp;$BD$3,"")</f>
        <v>[6,100]</v>
      </c>
      <c r="BD54" s="49" t="str">
        <f>IFERROR($BC$3&amp;VLOOKUP(F56,'Pay Table'!$M$3:$N$18,2,FALSE)&amp;$BB$3&amp;G56&amp;$BD$3,"")</f>
        <v>[2,100]</v>
      </c>
      <c r="BE54" s="49" t="str">
        <f>IFERROR($BC$3&amp;VLOOKUP(H56,'Pay Table'!$M$3:$N$18,2,FALSE)&amp;$BB$3&amp;I56&amp;$BD$3,"")</f>
        <v>[8,100]</v>
      </c>
      <c r="BF54" s="60" t="str">
        <f>IFERROR($BC$3&amp;VLOOKUP(J56,'Pay Table'!$M$3:$N$18,2,FALSE)&amp;$BB$3&amp;K56&amp;$BD$3,"")</f>
        <v>[1,100]</v>
      </c>
    </row>
    <row r="55" spans="1:58" ht="17.100000000000001" customHeight="1" x14ac:dyDescent="0.15">
      <c r="A55" s="14">
        <v>50</v>
      </c>
      <c r="B55" s="10" t="s">
        <v>172</v>
      </c>
      <c r="C55" s="10">
        <v>100</v>
      </c>
      <c r="D55" s="10" t="s">
        <v>122</v>
      </c>
      <c r="E55" s="10">
        <v>100</v>
      </c>
      <c r="F55" s="10" t="s">
        <v>120</v>
      </c>
      <c r="G55" s="10">
        <v>100</v>
      </c>
      <c r="H55" s="10" t="s">
        <v>126</v>
      </c>
      <c r="I55" s="10">
        <v>100</v>
      </c>
      <c r="J55" s="10" t="s">
        <v>128</v>
      </c>
      <c r="K55" s="10">
        <v>100</v>
      </c>
      <c r="N55" s="4" t="str">
        <f t="shared" si="28"/>
        <v>Q</v>
      </c>
      <c r="O55" s="1">
        <f t="shared" si="29"/>
        <v>0</v>
      </c>
      <c r="P55" s="1">
        <f t="shared" si="30"/>
        <v>0</v>
      </c>
      <c r="Q55" s="1">
        <f t="shared" si="31"/>
        <v>0</v>
      </c>
      <c r="R55" s="5">
        <f t="shared" si="32"/>
        <v>0</v>
      </c>
      <c r="T55" s="1">
        <f t="shared" si="33"/>
        <v>0</v>
      </c>
      <c r="U55" s="1">
        <f t="shared" si="34"/>
        <v>0</v>
      </c>
      <c r="V55" s="5">
        <f t="shared" si="35"/>
        <v>0</v>
      </c>
      <c r="W55" s="2"/>
      <c r="X55" s="1">
        <f t="shared" si="39"/>
        <v>0</v>
      </c>
      <c r="Y55" s="5">
        <f t="shared" si="36"/>
        <v>0</v>
      </c>
      <c r="Z55" s="2"/>
      <c r="AA55" s="5">
        <f t="shared" si="37"/>
        <v>0</v>
      </c>
      <c r="AB55" s="4"/>
      <c r="AD55" s="2" t="str">
        <f t="shared" si="27"/>
        <v>Q</v>
      </c>
      <c r="AE55" s="1">
        <f t="shared" si="40"/>
        <v>0</v>
      </c>
      <c r="AF55" s="1">
        <f t="array" ref="AF55">P55+IF('Pay Table'!D14&gt;'Pay Table'!$C$6,T55,0)</f>
        <v>0</v>
      </c>
      <c r="AG55" s="1">
        <f>Q55+IF('Pay Table'!E14&gt;'Pay Table'!$C$6,U55,0)+IF('Pay Table'!E14&gt;'Pay Table'!$D$6,X55,0)</f>
        <v>0</v>
      </c>
      <c r="AH55" s="5">
        <f t="array" ref="AH55">R55+IF('Pay Table'!F14&gt;'Pay Table'!$C$6,V55,0)+IF('Pay Table'!F14&gt;'Pay Table'!$D$6,Y55,0)+IF('Pay Table'!F14&gt;'Pay Table'!$E$6,AA55,0)</f>
        <v>0</v>
      </c>
      <c r="AI55" s="1">
        <f t="shared" si="38"/>
        <v>0</v>
      </c>
      <c r="BB55" s="59" t="str">
        <f>IFERROR($BC$3&amp;VLOOKUP(B57,'Pay Table'!$M$3:$N$18,2,FALSE)&amp;$BB$3&amp;C57&amp;$BD$3,"")</f>
        <v>[0,100]</v>
      </c>
      <c r="BC55" s="49" t="str">
        <f>IFERROR($BC$3&amp;VLOOKUP(D57,'Pay Table'!$M$3:$N$18,2,FALSE)&amp;$BB$3&amp;E57&amp;$BD$3,"")</f>
        <v>[7,100]</v>
      </c>
      <c r="BD55" s="49" t="str">
        <f>IFERROR($BC$3&amp;VLOOKUP(F57,'Pay Table'!$M$3:$N$18,2,FALSE)&amp;$BB$3&amp;G57&amp;$BD$3,"")</f>
        <v>[3,100]</v>
      </c>
      <c r="BE55" s="49" t="str">
        <f>IFERROR($BC$3&amp;VLOOKUP(H57,'Pay Table'!$M$3:$N$18,2,FALSE)&amp;$BB$3&amp;I57&amp;$BD$3,"")</f>
        <v>[94,15]</v>
      </c>
      <c r="BF55" s="60" t="str">
        <f>IFERROR($BC$3&amp;VLOOKUP(J57,'Pay Table'!$M$3:$N$18,2,FALSE)&amp;$BB$3&amp;K57&amp;$BD$3,"")</f>
        <v>[3,100]</v>
      </c>
    </row>
    <row r="56" spans="1:58" ht="17.100000000000001" customHeight="1" x14ac:dyDescent="0.15">
      <c r="A56" s="14">
        <v>51</v>
      </c>
      <c r="B56" s="10" t="s">
        <v>119</v>
      </c>
      <c r="C56" s="10">
        <v>100</v>
      </c>
      <c r="D56" s="10" t="s">
        <v>121</v>
      </c>
      <c r="E56" s="10">
        <v>100</v>
      </c>
      <c r="F56" s="10" t="s">
        <v>126</v>
      </c>
      <c r="G56" s="10">
        <v>100</v>
      </c>
      <c r="H56" s="10" t="s">
        <v>120</v>
      </c>
      <c r="I56" s="10">
        <v>100</v>
      </c>
      <c r="J56" s="10" t="s">
        <v>125</v>
      </c>
      <c r="K56" s="10">
        <v>100</v>
      </c>
      <c r="N56" s="4" t="str">
        <f t="shared" si="28"/>
        <v>J</v>
      </c>
      <c r="O56" s="1">
        <f t="shared" si="29"/>
        <v>0</v>
      </c>
      <c r="P56" s="1">
        <f t="shared" si="30"/>
        <v>0</v>
      </c>
      <c r="Q56" s="1">
        <f t="shared" si="31"/>
        <v>0</v>
      </c>
      <c r="R56" s="5">
        <f t="shared" si="32"/>
        <v>0</v>
      </c>
      <c r="T56" s="1">
        <f t="shared" si="33"/>
        <v>0</v>
      </c>
      <c r="U56" s="1">
        <f t="shared" si="34"/>
        <v>0</v>
      </c>
      <c r="V56" s="5">
        <f t="shared" si="35"/>
        <v>0</v>
      </c>
      <c r="W56" s="2"/>
      <c r="X56" s="1">
        <f t="shared" si="39"/>
        <v>0</v>
      </c>
      <c r="Y56" s="5">
        <f t="shared" si="36"/>
        <v>0</v>
      </c>
      <c r="Z56" s="2"/>
      <c r="AA56" s="5">
        <f t="shared" si="37"/>
        <v>0</v>
      </c>
      <c r="AB56" s="4"/>
      <c r="AD56" s="2" t="str">
        <f t="shared" si="27"/>
        <v>J</v>
      </c>
      <c r="AE56" s="1">
        <f t="shared" si="40"/>
        <v>0</v>
      </c>
      <c r="AF56" s="1">
        <f t="array" ref="AF56">P56+IF('Pay Table'!D15&gt;'Pay Table'!$C$6,T56,0)</f>
        <v>0</v>
      </c>
      <c r="AG56" s="1">
        <f>Q56+IF('Pay Table'!E15&gt;'Pay Table'!$C$6,U56,0)+IF('Pay Table'!E15&gt;'Pay Table'!$D$6,X56,0)</f>
        <v>0</v>
      </c>
      <c r="AH56" s="5">
        <f t="array" ref="AH56">R56+IF('Pay Table'!F15&gt;'Pay Table'!$C$6,V56,0)+IF('Pay Table'!F15&gt;'Pay Table'!$D$6,Y56,0)+IF('Pay Table'!F15&gt;'Pay Table'!$E$6,AA56,0)</f>
        <v>0</v>
      </c>
      <c r="AI56" s="1">
        <f t="shared" si="38"/>
        <v>0</v>
      </c>
      <c r="BB56" s="59" t="str">
        <f>IFERROR($BC$3&amp;VLOOKUP(B58,'Pay Table'!$M$3:$N$18,2,FALSE)&amp;$BB$3&amp;C58&amp;$BD$3,"")</f>
        <v>[4,100]</v>
      </c>
      <c r="BC56" s="49" t="str">
        <f>IFERROR($BC$3&amp;VLOOKUP(D58,'Pay Table'!$M$3:$N$18,2,FALSE)&amp;$BB$3&amp;E58&amp;$BD$3,"")</f>
        <v>[5,100]</v>
      </c>
      <c r="BD56" s="49" t="str">
        <f>IFERROR($BC$3&amp;VLOOKUP(F58,'Pay Table'!$M$3:$N$18,2,FALSE)&amp;$BB$3&amp;G58&amp;$BD$3,"")</f>
        <v>[5,100]</v>
      </c>
      <c r="BE56" s="49" t="str">
        <f>IFERROR($BC$3&amp;VLOOKUP(H58,'Pay Table'!$M$3:$N$18,2,FALSE)&amp;$BB$3&amp;I58&amp;$BD$3,"")</f>
        <v>[94,80]</v>
      </c>
      <c r="BF56" s="60" t="str">
        <f>IFERROR($BC$3&amp;VLOOKUP(J58,'Pay Table'!$M$3:$N$18,2,FALSE)&amp;$BB$3&amp;K58&amp;$BD$3,"")</f>
        <v>[0,100]</v>
      </c>
    </row>
    <row r="57" spans="1:58" ht="17.100000000000001" customHeight="1" x14ac:dyDescent="0.15">
      <c r="A57" s="14">
        <v>52</v>
      </c>
      <c r="B57" s="10" t="s">
        <v>153</v>
      </c>
      <c r="C57" s="10">
        <v>100</v>
      </c>
      <c r="D57" s="10" t="s">
        <v>119</v>
      </c>
      <c r="E57" s="10">
        <v>100</v>
      </c>
      <c r="F57" s="10" t="s">
        <v>127</v>
      </c>
      <c r="G57" s="10">
        <v>100</v>
      </c>
      <c r="H57" s="10" t="s">
        <v>47</v>
      </c>
      <c r="I57" s="10">
        <v>15</v>
      </c>
      <c r="J57" s="10" t="s">
        <v>127</v>
      </c>
      <c r="K57" s="10">
        <v>100</v>
      </c>
      <c r="N57" s="4" t="str">
        <f t="shared" si="28"/>
        <v>SCATTER</v>
      </c>
      <c r="O57" s="1">
        <f t="shared" si="29"/>
        <v>0</v>
      </c>
      <c r="P57" s="1">
        <f t="shared" si="30"/>
        <v>0</v>
      </c>
      <c r="Q57" s="1">
        <f t="shared" si="31"/>
        <v>0</v>
      </c>
      <c r="R57" s="5">
        <f t="shared" si="32"/>
        <v>0</v>
      </c>
      <c r="T57" s="1">
        <f t="shared" si="33"/>
        <v>0</v>
      </c>
      <c r="U57" s="1">
        <f t="shared" si="34"/>
        <v>0</v>
      </c>
      <c r="V57" s="5">
        <f t="shared" si="35"/>
        <v>0</v>
      </c>
      <c r="W57" s="2"/>
      <c r="X57" s="1">
        <f t="shared" si="39"/>
        <v>0</v>
      </c>
      <c r="Y57" s="5">
        <f t="shared" si="36"/>
        <v>0</v>
      </c>
      <c r="Z57" s="2"/>
      <c r="AA57" s="5">
        <f t="shared" si="37"/>
        <v>0</v>
      </c>
      <c r="AB57" s="4"/>
      <c r="AD57" s="2" t="str">
        <f t="shared" si="27"/>
        <v>SCATTER</v>
      </c>
      <c r="AE57" s="1">
        <f t="shared" si="40"/>
        <v>0</v>
      </c>
      <c r="AF57" s="1">
        <f t="array" ref="AF57">P57+IF('Pay Table'!D16&gt;'Pay Table'!$C$6,T57,0)</f>
        <v>0</v>
      </c>
      <c r="AG57" s="1">
        <f>Q57+IF('Pay Table'!E16&gt;'Pay Table'!$C$6,U57,0)+IF('Pay Table'!E16&gt;'Pay Table'!$D$6,X57,0)</f>
        <v>0</v>
      </c>
      <c r="AH57" s="5">
        <f t="array" ref="AH57">R57+IF('Pay Table'!F16&gt;'Pay Table'!$C$6,V57,0)+IF('Pay Table'!F16&gt;'Pay Table'!$D$6,Y57,0)+IF('Pay Table'!F16&gt;'Pay Table'!$E$6,AA57,0)</f>
        <v>0</v>
      </c>
      <c r="AI57" s="1">
        <f t="shared" si="38"/>
        <v>0</v>
      </c>
      <c r="BB57" s="59" t="str">
        <f>IFERROR($BC$3&amp;VLOOKUP(B59,'Pay Table'!$M$3:$N$18,2,FALSE)&amp;$BB$3&amp;C59&amp;$BD$3,"")</f>
        <v>[8,100]</v>
      </c>
      <c r="BC57" s="49" t="str">
        <f>IFERROR($BC$3&amp;VLOOKUP(D59,'Pay Table'!$M$3:$N$18,2,FALSE)&amp;$BB$3&amp;E59&amp;$BD$3,"")</f>
        <v>[1,100]</v>
      </c>
      <c r="BD57" s="49" t="str">
        <f>IFERROR($BC$3&amp;VLOOKUP(F59,'Pay Table'!$M$3:$N$18,2,FALSE)&amp;$BB$3&amp;G59&amp;$BD$3,"")</f>
        <v>[94,15]</v>
      </c>
      <c r="BE57" s="49" t="str">
        <f>IFERROR($BC$3&amp;VLOOKUP(H59,'Pay Table'!$M$3:$N$18,2,FALSE)&amp;$BB$3&amp;I59&amp;$BD$3,"")</f>
        <v>[94,100]</v>
      </c>
      <c r="BF57" s="60" t="str">
        <f>IFERROR($BC$3&amp;VLOOKUP(J59,'Pay Table'!$M$3:$N$18,2,FALSE)&amp;$BB$3&amp;K59&amp;$BD$3,"")</f>
        <v>[2,100]</v>
      </c>
    </row>
    <row r="58" spans="1:58" ht="17.100000000000001" customHeight="1" x14ac:dyDescent="0.15">
      <c r="A58" s="14">
        <v>53</v>
      </c>
      <c r="B58" s="10" t="s">
        <v>148</v>
      </c>
      <c r="C58" s="10">
        <v>100</v>
      </c>
      <c r="D58" s="10" t="s">
        <v>123</v>
      </c>
      <c r="E58" s="10">
        <v>100</v>
      </c>
      <c r="F58" s="10" t="s">
        <v>123</v>
      </c>
      <c r="G58" s="10">
        <v>100</v>
      </c>
      <c r="H58" s="10" t="s">
        <v>47</v>
      </c>
      <c r="I58" s="10">
        <v>80</v>
      </c>
      <c r="J58" s="10" t="s">
        <v>124</v>
      </c>
      <c r="K58" s="10">
        <v>100</v>
      </c>
      <c r="N58" s="4">
        <f t="shared" si="28"/>
        <v>0</v>
      </c>
      <c r="O58" s="1">
        <f t="shared" si="29"/>
        <v>0</v>
      </c>
      <c r="P58" s="1">
        <f t="shared" si="30"/>
        <v>0</v>
      </c>
      <c r="Q58" s="1">
        <f t="shared" si="31"/>
        <v>0</v>
      </c>
      <c r="R58" s="5">
        <f t="shared" si="32"/>
        <v>0</v>
      </c>
      <c r="T58" s="1">
        <f t="shared" si="33"/>
        <v>0</v>
      </c>
      <c r="U58" s="1">
        <f t="shared" si="34"/>
        <v>0</v>
      </c>
      <c r="V58" s="5">
        <f t="shared" si="35"/>
        <v>0</v>
      </c>
      <c r="W58" s="2"/>
      <c r="X58" s="1">
        <f t="shared" si="39"/>
        <v>0</v>
      </c>
      <c r="Y58" s="5">
        <f t="shared" si="36"/>
        <v>0</v>
      </c>
      <c r="Z58" s="2"/>
      <c r="AA58" s="5">
        <f t="shared" si="37"/>
        <v>0</v>
      </c>
      <c r="AB58" s="4"/>
      <c r="AD58" s="2">
        <f t="shared" si="27"/>
        <v>0</v>
      </c>
      <c r="AE58" s="1">
        <f t="shared" si="40"/>
        <v>0</v>
      </c>
      <c r="AF58" s="1">
        <f t="array" ref="AF58">P58+IF('Pay Table'!D19&gt;'Pay Table'!$C$6,T58,0)</f>
        <v>0</v>
      </c>
      <c r="AG58" s="1">
        <f>Q58+IF('Pay Table'!E19&gt;'Pay Table'!$C$6,U58,0)+IF('Pay Table'!E19&gt;'Pay Table'!$D$6,X58,0)</f>
        <v>0</v>
      </c>
      <c r="AH58" s="5">
        <f t="array" ref="AH58">R58+IF('Pay Table'!F19&gt;'Pay Table'!$C$6,V58,0)+IF('Pay Table'!F19&gt;'Pay Table'!$D$6,Y58,0)+IF('Pay Table'!F19&gt;'Pay Table'!$E$6,AA58,0)</f>
        <v>0</v>
      </c>
      <c r="AI58" s="1">
        <f t="shared" si="38"/>
        <v>0</v>
      </c>
      <c r="BB58" s="59" t="str">
        <f>IFERROR($BC$3&amp;VLOOKUP(B60,'Pay Table'!$M$3:$N$18,2,FALSE)&amp;$BB$3&amp;C60&amp;$BD$3,"")</f>
        <v>[7,100]</v>
      </c>
      <c r="BC58" s="49" t="str">
        <f>IFERROR($BC$3&amp;VLOOKUP(D60,'Pay Table'!$M$3:$N$18,2,FALSE)&amp;$BB$3&amp;E60&amp;$BD$3,"")</f>
        <v>[2,100]</v>
      </c>
      <c r="BD58" s="49" t="str">
        <f>IFERROR($BC$3&amp;VLOOKUP(F60,'Pay Table'!$M$3:$N$18,2,FALSE)&amp;$BB$3&amp;G60&amp;$BD$3,"")</f>
        <v>[94,80]</v>
      </c>
      <c r="BE58" s="49" t="str">
        <f>IFERROR($BC$3&amp;VLOOKUP(H60,'Pay Table'!$M$3:$N$18,2,FALSE)&amp;$BB$3&amp;I60&amp;$BD$3,"")</f>
        <v>[1,100]</v>
      </c>
      <c r="BF58" s="60" t="str">
        <f>IFERROR($BC$3&amp;VLOOKUP(J60,'Pay Table'!$M$3:$N$18,2,FALSE)&amp;$BB$3&amp;K60&amp;$BD$3,"")</f>
        <v>[4,100]</v>
      </c>
    </row>
    <row r="59" spans="1:58" ht="17.100000000000001" customHeight="1" x14ac:dyDescent="0.15">
      <c r="A59" s="14">
        <v>54</v>
      </c>
      <c r="B59" s="10" t="s">
        <v>120</v>
      </c>
      <c r="C59" s="10">
        <v>100</v>
      </c>
      <c r="D59" s="10" t="s">
        <v>125</v>
      </c>
      <c r="E59" s="10">
        <v>100</v>
      </c>
      <c r="F59" s="10" t="s">
        <v>47</v>
      </c>
      <c r="G59" s="10">
        <v>15</v>
      </c>
      <c r="H59" s="10" t="s">
        <v>47</v>
      </c>
      <c r="I59" s="10">
        <v>100</v>
      </c>
      <c r="J59" s="10" t="s">
        <v>126</v>
      </c>
      <c r="K59" s="10">
        <v>100</v>
      </c>
      <c r="N59" s="4">
        <f t="shared" si="28"/>
        <v>0</v>
      </c>
      <c r="O59" s="1">
        <f t="shared" si="29"/>
        <v>0</v>
      </c>
      <c r="P59" s="1">
        <f t="shared" si="30"/>
        <v>0</v>
      </c>
      <c r="Q59" s="1">
        <f t="shared" si="31"/>
        <v>0</v>
      </c>
      <c r="R59" s="5">
        <f t="shared" si="32"/>
        <v>0</v>
      </c>
      <c r="T59" s="1">
        <f t="shared" si="33"/>
        <v>0</v>
      </c>
      <c r="U59" s="1">
        <f t="shared" si="34"/>
        <v>0</v>
      </c>
      <c r="V59" s="5">
        <f t="shared" si="35"/>
        <v>0</v>
      </c>
      <c r="W59" s="2"/>
      <c r="X59" s="1">
        <f t="shared" si="39"/>
        <v>0</v>
      </c>
      <c r="Y59" s="5">
        <f t="shared" si="36"/>
        <v>0</v>
      </c>
      <c r="Z59" s="2"/>
      <c r="AA59" s="5">
        <f t="shared" si="37"/>
        <v>0</v>
      </c>
      <c r="AB59" s="4"/>
      <c r="AD59" s="2">
        <f t="shared" si="27"/>
        <v>0</v>
      </c>
      <c r="AE59" s="1">
        <f t="shared" si="40"/>
        <v>0</v>
      </c>
      <c r="AF59" s="1">
        <f t="array" ref="AF59">P59+IF('Pay Table'!D20&gt;'Pay Table'!$C$6,T59,0)</f>
        <v>0</v>
      </c>
      <c r="AG59" s="1">
        <f>Q59+IF('Pay Table'!E20&gt;'Pay Table'!$C$6,U59,0)+IF('Pay Table'!E20&gt;'Pay Table'!$D$6,X59,0)</f>
        <v>0</v>
      </c>
      <c r="AH59" s="5">
        <f t="array" ref="AH59">R59+IF('Pay Table'!F20&gt;'Pay Table'!$C$6,V59,0)+IF('Pay Table'!F20&gt;'Pay Table'!$D$6,Y59,0)+IF('Pay Table'!F20&gt;'Pay Table'!$E$6,AA59,0)</f>
        <v>0</v>
      </c>
      <c r="AI59" s="1">
        <f>SUM(AI47:AI58)</f>
        <v>0</v>
      </c>
      <c r="BB59" s="59" t="str">
        <f>IFERROR($BC$3&amp;VLOOKUP(B61,'Pay Table'!$M$3:$N$18,2,FALSE)&amp;$BB$3&amp;C61&amp;$BD$3,"")</f>
        <v>[5,100]</v>
      </c>
      <c r="BC59" s="49" t="str">
        <f>IFERROR($BC$3&amp;VLOOKUP(D61,'Pay Table'!$M$3:$N$18,2,FALSE)&amp;$BB$3&amp;E61&amp;$BD$3,"")</f>
        <v>[5,100]</v>
      </c>
      <c r="BD59" s="49" t="str">
        <f>IFERROR($BC$3&amp;VLOOKUP(F61,'Pay Table'!$M$3:$N$18,2,FALSE)&amp;$BB$3&amp;G61&amp;$BD$3,"")</f>
        <v>[94,100]</v>
      </c>
      <c r="BE59" s="49" t="str">
        <f>IFERROR($BC$3&amp;VLOOKUP(H61,'Pay Table'!$M$3:$N$18,2,FALSE)&amp;$BB$3&amp;I61&amp;$BD$3,"")</f>
        <v>[3,100]</v>
      </c>
      <c r="BF59" s="60" t="str">
        <f>IFERROR($BC$3&amp;VLOOKUP(J61,'Pay Table'!$M$3:$N$18,2,FALSE)&amp;$BB$3&amp;K61&amp;$BD$3,"")</f>
        <v>[0,100]</v>
      </c>
    </row>
    <row r="60" spans="1:58" ht="17.100000000000001" customHeight="1" x14ac:dyDescent="0.15">
      <c r="A60" s="14">
        <v>55</v>
      </c>
      <c r="B60" s="10" t="s">
        <v>119</v>
      </c>
      <c r="C60" s="10">
        <v>100</v>
      </c>
      <c r="D60" s="10" t="s">
        <v>151</v>
      </c>
      <c r="E60" s="10">
        <v>100</v>
      </c>
      <c r="F60" s="10" t="s">
        <v>47</v>
      </c>
      <c r="G60" s="10">
        <v>80</v>
      </c>
      <c r="H60" s="10" t="s">
        <v>152</v>
      </c>
      <c r="I60" s="10">
        <v>100</v>
      </c>
      <c r="J60" s="10" t="s">
        <v>128</v>
      </c>
      <c r="K60" s="10">
        <v>100</v>
      </c>
      <c r="N60" s="4">
        <f t="shared" si="28"/>
        <v>0</v>
      </c>
      <c r="O60" s="1">
        <f t="shared" si="29"/>
        <v>0</v>
      </c>
      <c r="P60" s="1">
        <f t="shared" si="30"/>
        <v>0</v>
      </c>
      <c r="Q60" s="1">
        <f t="shared" si="31"/>
        <v>0</v>
      </c>
      <c r="R60" s="5">
        <f t="shared" si="32"/>
        <v>0</v>
      </c>
      <c r="T60" s="1">
        <f t="shared" si="33"/>
        <v>0</v>
      </c>
      <c r="U60" s="1">
        <f t="shared" si="34"/>
        <v>0</v>
      </c>
      <c r="V60" s="5">
        <f t="shared" si="35"/>
        <v>0</v>
      </c>
      <c r="W60" s="2"/>
      <c r="X60" s="1">
        <f t="shared" si="39"/>
        <v>0</v>
      </c>
      <c r="Y60" s="5">
        <f t="shared" si="36"/>
        <v>0</v>
      </c>
      <c r="Z60" s="2"/>
      <c r="AA60" s="5">
        <f t="shared" si="37"/>
        <v>0</v>
      </c>
      <c r="AB60" s="4"/>
      <c r="AD60" s="2">
        <f t="shared" si="27"/>
        <v>0</v>
      </c>
      <c r="AE60" s="1">
        <f t="shared" si="40"/>
        <v>0</v>
      </c>
      <c r="AF60" s="1">
        <f t="array" ref="AF60">P60+IF('Pay Table'!D21&gt;'Pay Table'!$C$6,T60,0)</f>
        <v>0</v>
      </c>
      <c r="AG60" s="1">
        <f>Q60+IF('Pay Table'!E21&gt;'Pay Table'!$C$6,U60,0)+IF('Pay Table'!E21&gt;'Pay Table'!$D$6,X60,0)</f>
        <v>0</v>
      </c>
      <c r="AH60" s="5">
        <f t="array" ref="AH60">R60+IF('Pay Table'!F21&gt;'Pay Table'!$C$6,V60,0)+IF('Pay Table'!F21&gt;'Pay Table'!$D$6,Y60,0)+IF('Pay Table'!F21&gt;'Pay Table'!$E$6,AA60,0)</f>
        <v>0</v>
      </c>
      <c r="AI60" s="1">
        <f>SUM(AI48:AI59)</f>
        <v>0</v>
      </c>
      <c r="BB60" s="59" t="str">
        <f>IFERROR($BC$3&amp;VLOOKUP(B62,'Pay Table'!$M$3:$N$18,2,FALSE)&amp;$BB$3&amp;C62&amp;$BD$3,"")</f>
        <v>[2,100]</v>
      </c>
      <c r="BC60" s="49" t="str">
        <f>IFERROR($BC$3&amp;VLOOKUP(D62,'Pay Table'!$M$3:$N$18,2,FALSE)&amp;$BB$3&amp;E62&amp;$BD$3,"")</f>
        <v>[0,100]</v>
      </c>
      <c r="BD60" s="49" t="str">
        <f>IFERROR($BC$3&amp;VLOOKUP(F62,'Pay Table'!$M$3:$N$18,2,FALSE)&amp;$BB$3&amp;G62&amp;$BD$3,"")</f>
        <v>[0,100]</v>
      </c>
      <c r="BE60" s="49" t="str">
        <f>IFERROR($BC$3&amp;VLOOKUP(H62,'Pay Table'!$M$3:$N$18,2,FALSE)&amp;$BB$3&amp;I62&amp;$BD$3,"")</f>
        <v>[7,100]</v>
      </c>
      <c r="BF60" s="60" t="str">
        <f>IFERROR($BC$3&amp;VLOOKUP(J62,'Pay Table'!$M$3:$N$18,2,FALSE)&amp;$BB$3&amp;K62&amp;$BD$3,"")</f>
        <v>[2,100]</v>
      </c>
    </row>
    <row r="61" spans="1:58" ht="17.100000000000001" customHeight="1" x14ac:dyDescent="0.15">
      <c r="A61" s="14">
        <v>56</v>
      </c>
      <c r="B61" s="10" t="s">
        <v>123</v>
      </c>
      <c r="C61" s="10">
        <v>100</v>
      </c>
      <c r="D61" s="10" t="s">
        <v>123</v>
      </c>
      <c r="E61" s="10">
        <v>100</v>
      </c>
      <c r="F61" s="10" t="s">
        <v>47</v>
      </c>
      <c r="G61" s="10">
        <v>100</v>
      </c>
      <c r="H61" s="10" t="s">
        <v>172</v>
      </c>
      <c r="I61" s="10">
        <v>100</v>
      </c>
      <c r="J61" s="10" t="s">
        <v>124</v>
      </c>
      <c r="K61" s="10">
        <v>100</v>
      </c>
      <c r="N61" s="19">
        <f>N42</f>
        <v>0</v>
      </c>
      <c r="O61" s="15">
        <f t="shared" si="29"/>
        <v>0</v>
      </c>
      <c r="P61" s="15">
        <f t="shared" si="30"/>
        <v>0</v>
      </c>
      <c r="Q61" s="15">
        <f t="shared" si="31"/>
        <v>0</v>
      </c>
      <c r="R61" s="16">
        <f t="shared" si="32"/>
        <v>0</v>
      </c>
      <c r="S61" s="15"/>
      <c r="T61" s="15">
        <f t="shared" si="33"/>
        <v>0</v>
      </c>
      <c r="U61" s="15">
        <f t="shared" si="34"/>
        <v>0</v>
      </c>
      <c r="V61" s="16">
        <f t="shared" si="35"/>
        <v>0</v>
      </c>
      <c r="W61" s="8"/>
      <c r="X61" s="15">
        <f t="shared" si="39"/>
        <v>0</v>
      </c>
      <c r="Y61" s="16">
        <f t="shared" si="36"/>
        <v>0</v>
      </c>
      <c r="Z61" s="8"/>
      <c r="AA61" s="16">
        <f t="shared" si="37"/>
        <v>0</v>
      </c>
      <c r="AB61" s="19"/>
      <c r="AD61" s="8">
        <f t="shared" si="27"/>
        <v>0</v>
      </c>
      <c r="AE61" s="15">
        <f t="shared" si="40"/>
        <v>0</v>
      </c>
      <c r="AF61" s="15">
        <f t="array" ref="AF61">P61+IF('Pay Table'!D22&gt;'Pay Table'!$C$6,T61,0)</f>
        <v>0</v>
      </c>
      <c r="AG61" s="15">
        <f>Q61+IF('Pay Table'!E22&gt;'Pay Table'!$C$6,U61,0)+IF('Pay Table'!E22&gt;'Pay Table'!$D$6,X61,0)</f>
        <v>0</v>
      </c>
      <c r="AH61" s="16">
        <f t="array" ref="AH61">R61+IF('Pay Table'!F22&gt;'Pay Table'!$C$6,V61,0)+IF('Pay Table'!F22&gt;'Pay Table'!$D$6,Y61,0)+IF('Pay Table'!F22&gt;'Pay Table'!$E$6,AA61,0)</f>
        <v>0</v>
      </c>
      <c r="AI61" s="1">
        <f>SUM(AI49:AI60)</f>
        <v>0</v>
      </c>
      <c r="BB61" s="59" t="str">
        <f>IFERROR($BC$3&amp;VLOOKUP(B63,'Pay Table'!$M$3:$N$18,2,FALSE)&amp;$BB$3&amp;C63&amp;$BD$3,"")</f>
        <v>[3,100]</v>
      </c>
      <c r="BC61" s="49" t="str">
        <f>IFERROR($BC$3&amp;VLOOKUP(D63,'Pay Table'!$M$3:$N$18,2,FALSE)&amp;$BB$3&amp;E63&amp;$BD$3,"")</f>
        <v>[8,100]</v>
      </c>
      <c r="BD61" s="49" t="str">
        <f>IFERROR($BC$3&amp;VLOOKUP(F63,'Pay Table'!$M$3:$N$18,2,FALSE)&amp;$BB$3&amp;G63&amp;$BD$3,"")</f>
        <v/>
      </c>
      <c r="BE61" s="49" t="str">
        <f>IFERROR($BC$3&amp;VLOOKUP(H63,'Pay Table'!$M$3:$N$18,2,FALSE)&amp;$BB$3&amp;I63&amp;$BD$3,"")</f>
        <v>[8,100]</v>
      </c>
      <c r="BF61" s="60" t="str">
        <f>IFERROR($BC$3&amp;VLOOKUP(J63,'Pay Table'!$M$3:$N$18,2,FALSE)&amp;$BB$3&amp;K63&amp;$BD$3,"")</f>
        <v>[7,100]</v>
      </c>
    </row>
    <row r="62" spans="1:58" ht="17.100000000000001" customHeight="1" x14ac:dyDescent="0.15">
      <c r="A62" s="14">
        <v>57</v>
      </c>
      <c r="B62" s="10" t="s">
        <v>151</v>
      </c>
      <c r="C62" s="10">
        <v>100</v>
      </c>
      <c r="D62" s="10" t="s">
        <v>124</v>
      </c>
      <c r="E62" s="10">
        <v>100</v>
      </c>
      <c r="F62" s="10" t="s">
        <v>124</v>
      </c>
      <c r="G62" s="10">
        <v>100</v>
      </c>
      <c r="H62" s="10" t="s">
        <v>119</v>
      </c>
      <c r="I62" s="10">
        <v>100</v>
      </c>
      <c r="J62" s="10" t="s">
        <v>126</v>
      </c>
      <c r="K62" s="10">
        <v>100</v>
      </c>
      <c r="BB62" s="59" t="str">
        <f>IFERROR($BC$3&amp;VLOOKUP(B64,'Pay Table'!$M$3:$N$18,2,FALSE)&amp;$BB$3&amp;C64&amp;$BD$3,"")</f>
        <v>[5,100]</v>
      </c>
      <c r="BC62" s="49" t="str">
        <f>IFERROR($BC$3&amp;VLOOKUP(D64,'Pay Table'!$M$3:$N$18,2,FALSE)&amp;$BB$3&amp;E64&amp;$BD$3,"")</f>
        <v/>
      </c>
      <c r="BD62" s="49" t="str">
        <f>IFERROR($BC$3&amp;VLOOKUP(F64,'Pay Table'!$M$3:$N$18,2,FALSE)&amp;$BB$3&amp;G64&amp;$BD$3,"")</f>
        <v/>
      </c>
      <c r="BE62" s="49" t="str">
        <f>IFERROR($BC$3&amp;VLOOKUP(H64,'Pay Table'!$M$3:$N$18,2,FALSE)&amp;$BB$3&amp;I64&amp;$BD$3,"")</f>
        <v>[7,100]</v>
      </c>
      <c r="BF62" s="60" t="str">
        <f>IFERROR($BC$3&amp;VLOOKUP(J64,'Pay Table'!$M$3:$N$18,2,FALSE)&amp;$BB$3&amp;K64&amp;$BD$3,"")</f>
        <v>[0,100]</v>
      </c>
    </row>
    <row r="63" spans="1:58" ht="17.100000000000001" customHeight="1" x14ac:dyDescent="0.15">
      <c r="A63" s="14">
        <v>58</v>
      </c>
      <c r="B63" s="10" t="s">
        <v>172</v>
      </c>
      <c r="C63" s="10">
        <v>100</v>
      </c>
      <c r="D63" s="10" t="s">
        <v>120</v>
      </c>
      <c r="E63" s="10">
        <v>100</v>
      </c>
      <c r="H63" s="10" t="s">
        <v>120</v>
      </c>
      <c r="I63" s="10">
        <v>100</v>
      </c>
      <c r="J63" s="10" t="s">
        <v>119</v>
      </c>
      <c r="K63" s="10">
        <v>100</v>
      </c>
      <c r="N63" s="37"/>
      <c r="O63" s="1" t="s">
        <v>175</v>
      </c>
      <c r="T63" s="37"/>
      <c r="U63" s="1" t="s">
        <v>176</v>
      </c>
      <c r="Z63" s="37"/>
      <c r="AA63" s="1" t="s">
        <v>177</v>
      </c>
      <c r="AE63" s="37"/>
      <c r="AF63" s="1" t="s">
        <v>178</v>
      </c>
      <c r="AI63" s="37"/>
      <c r="AJ63" s="1" t="s">
        <v>179</v>
      </c>
      <c r="BB63" s="59" t="str">
        <f>IFERROR($BC$3&amp;VLOOKUP(B65,'Pay Table'!$M$3:$N$18,2,FALSE)&amp;$BB$3&amp;C65&amp;$BD$3,"")</f>
        <v>[7,100]</v>
      </c>
      <c r="BC63" s="49" t="str">
        <f>IFERROR($BC$3&amp;VLOOKUP(D65,'Pay Table'!$M$3:$N$18,2,FALSE)&amp;$BB$3&amp;E65&amp;$BD$3,"")</f>
        <v/>
      </c>
      <c r="BD63" s="49" t="str">
        <f>IFERROR($BC$3&amp;VLOOKUP(F65,'Pay Table'!$M$3:$N$18,2,FALSE)&amp;$BB$3&amp;G65&amp;$BD$3,"")</f>
        <v/>
      </c>
      <c r="BE63" s="49" t="str">
        <f>IFERROR($BC$3&amp;VLOOKUP(H65,'Pay Table'!$M$3:$N$18,2,FALSE)&amp;$BB$3&amp;I65&amp;$BD$3,"")</f>
        <v>[5,100]</v>
      </c>
      <c r="BF63" s="60" t="str">
        <f>IFERROR($BC$3&amp;VLOOKUP(J65,'Pay Table'!$M$3:$N$18,2,FALSE)&amp;$BB$3&amp;K65&amp;$BD$3,"")</f>
        <v>[2,100]</v>
      </c>
    </row>
    <row r="64" spans="1:58" ht="17.100000000000001" customHeight="1" x14ac:dyDescent="0.15">
      <c r="A64" s="14">
        <v>59</v>
      </c>
      <c r="B64" s="10" t="s">
        <v>123</v>
      </c>
      <c r="C64" s="10">
        <v>100</v>
      </c>
      <c r="E64" s="1"/>
      <c r="H64" s="10" t="s">
        <v>119</v>
      </c>
      <c r="I64" s="10">
        <v>100</v>
      </c>
      <c r="J64" s="10" t="s">
        <v>124</v>
      </c>
      <c r="K64" s="10">
        <v>100</v>
      </c>
      <c r="N64" s="6" t="s">
        <v>4</v>
      </c>
      <c r="O64" s="18">
        <v>2</v>
      </c>
      <c r="P64" s="18">
        <v>3</v>
      </c>
      <c r="Q64" s="18">
        <v>4</v>
      </c>
      <c r="R64" s="36">
        <v>5</v>
      </c>
      <c r="T64" s="6" t="s">
        <v>4</v>
      </c>
      <c r="U64" s="18">
        <v>2</v>
      </c>
      <c r="V64" s="18">
        <v>3</v>
      </c>
      <c r="W64" s="18">
        <v>4</v>
      </c>
      <c r="X64" s="36">
        <v>5</v>
      </c>
      <c r="Z64" s="6" t="s">
        <v>4</v>
      </c>
      <c r="AA64" s="18">
        <v>3</v>
      </c>
      <c r="AB64" s="18">
        <v>4</v>
      </c>
      <c r="AC64" s="36">
        <v>5</v>
      </c>
      <c r="AE64" s="6" t="s">
        <v>4</v>
      </c>
      <c r="AF64" s="18">
        <v>4</v>
      </c>
      <c r="AG64" s="36">
        <v>5</v>
      </c>
      <c r="AI64" s="6" t="s">
        <v>4</v>
      </c>
      <c r="AJ64" s="36">
        <v>5</v>
      </c>
      <c r="BB64" s="59" t="str">
        <f>IFERROR($BC$3&amp;VLOOKUP(B66,'Pay Table'!$M$3:$N$18,2,FALSE)&amp;$BB$3&amp;C66&amp;$BD$3,"")</f>
        <v>[3,100]</v>
      </c>
      <c r="BC64" s="49" t="str">
        <f>IFERROR($BC$3&amp;VLOOKUP(D66,'Pay Table'!$M$3:$N$18,2,FALSE)&amp;$BB$3&amp;E66&amp;$BD$3,"")</f>
        <v/>
      </c>
      <c r="BD64" s="49" t="str">
        <f>IFERROR($BC$3&amp;VLOOKUP(F66,'Pay Table'!$M$3:$N$18,2,FALSE)&amp;$BB$3&amp;G66&amp;$BD$3,"")</f>
        <v/>
      </c>
      <c r="BE64" s="49" t="str">
        <f>IFERROR($BC$3&amp;VLOOKUP(H66,'Pay Table'!$M$3:$N$18,2,FALSE)&amp;$BB$3&amp;I66&amp;$BD$3,"")</f>
        <v>[2,100]</v>
      </c>
      <c r="BF64" s="60" t="str">
        <f>IFERROR($BC$3&amp;VLOOKUP(J66,'Pay Table'!$M$3:$N$18,2,FALSE)&amp;$BB$3&amp;K66&amp;$BD$3,"")</f>
        <v>[4,100]</v>
      </c>
    </row>
    <row r="65" spans="1:58" ht="17.100000000000001" customHeight="1" x14ac:dyDescent="0.15">
      <c r="A65" s="14">
        <v>60</v>
      </c>
      <c r="B65" s="10" t="s">
        <v>119</v>
      </c>
      <c r="C65" s="10">
        <v>100</v>
      </c>
      <c r="E65" s="1"/>
      <c r="H65" s="10" t="s">
        <v>123</v>
      </c>
      <c r="I65" s="10">
        <v>100</v>
      </c>
      <c r="J65" s="10" t="s">
        <v>126</v>
      </c>
      <c r="K65" s="10">
        <v>100</v>
      </c>
      <c r="N65" s="4" t="str">
        <f t="shared" ref="N65:N78" si="41">N46</f>
        <v>LINK</v>
      </c>
      <c r="R65" s="5"/>
      <c r="T65" s="4" t="str">
        <f>N65</f>
        <v>LINK</v>
      </c>
      <c r="X65" s="5"/>
      <c r="Z65" s="4" t="str">
        <f>T65</f>
        <v>LINK</v>
      </c>
      <c r="AC65" s="5"/>
      <c r="AE65" s="4" t="str">
        <f t="shared" ref="AE65:AE80" si="42">Z65</f>
        <v>LINK</v>
      </c>
      <c r="AG65" s="5"/>
      <c r="AI65" s="4" t="str">
        <f t="shared" ref="AI65:AI80" si="43">AE65</f>
        <v>LINK</v>
      </c>
      <c r="AJ65" s="5"/>
      <c r="BB65" s="59" t="str">
        <f>IFERROR($BC$3&amp;VLOOKUP(B67,'Pay Table'!$M$3:$N$18,2,FALSE)&amp;$BB$3&amp;C67&amp;$BD$3,"")</f>
        <v/>
      </c>
      <c r="BC65" s="49" t="str">
        <f>IFERROR($BC$3&amp;VLOOKUP(D67,'Pay Table'!$M$3:$N$18,2,FALSE)&amp;$BB$3&amp;E67&amp;$BD$3,"")</f>
        <v/>
      </c>
      <c r="BD65" s="49" t="str">
        <f>IFERROR($BC$3&amp;VLOOKUP(F67,'Pay Table'!$M$3:$N$18,2,FALSE)&amp;$BB$3&amp;G67&amp;$BD$3,"")</f>
        <v/>
      </c>
      <c r="BE65" s="49" t="str">
        <f>IFERROR($BC$3&amp;VLOOKUP(H67,'Pay Table'!$M$3:$N$18,2,FALSE)&amp;$BB$3&amp;I67&amp;$BD$3,"")</f>
        <v>[92,100]</v>
      </c>
      <c r="BF65" s="60" t="str">
        <f>IFERROR($BC$3&amp;VLOOKUP(J67,'Pay Table'!$M$3:$N$18,2,FALSE)&amp;$BB$3&amp;K67&amp;$BD$3,"")</f>
        <v>[92,100]</v>
      </c>
    </row>
    <row r="66" spans="1:58" ht="17.100000000000001" customHeight="1" x14ac:dyDescent="0.15">
      <c r="A66" s="14">
        <v>61</v>
      </c>
      <c r="B66" s="10" t="s">
        <v>172</v>
      </c>
      <c r="C66" s="10">
        <v>100</v>
      </c>
      <c r="E66" s="1"/>
      <c r="H66" s="10" t="s">
        <v>126</v>
      </c>
      <c r="I66" s="10">
        <v>100</v>
      </c>
      <c r="J66" s="10" t="s">
        <v>128</v>
      </c>
      <c r="K66" s="10">
        <v>100</v>
      </c>
      <c r="N66" s="4" t="str">
        <f t="shared" si="41"/>
        <v>WILD</v>
      </c>
      <c r="O66" s="1">
        <f>AB28</f>
        <v>0</v>
      </c>
      <c r="P66" s="1">
        <f t="shared" ref="P66:R75" si="44">AC28</f>
        <v>0</v>
      </c>
      <c r="Q66" s="1">
        <f t="shared" si="44"/>
        <v>0</v>
      </c>
      <c r="R66" s="5">
        <f t="shared" si="44"/>
        <v>0</v>
      </c>
      <c r="T66" s="4" t="str">
        <f t="shared" ref="T66:T80" si="45">N66</f>
        <v>WILD</v>
      </c>
      <c r="X66" s="5"/>
      <c r="Z66" s="4" t="str">
        <f t="shared" ref="Z66:Z80" si="46">T66</f>
        <v>WILD</v>
      </c>
      <c r="AC66" s="5"/>
      <c r="AE66" s="4" t="str">
        <f t="shared" si="42"/>
        <v>WILD</v>
      </c>
      <c r="AG66" s="5"/>
      <c r="AI66" s="4" t="str">
        <f t="shared" si="43"/>
        <v>WILD</v>
      </c>
      <c r="AJ66" s="5"/>
      <c r="BB66" s="59" t="str">
        <f>IFERROR($BC$3&amp;VLOOKUP(B68,'Pay Table'!$M$3:$N$18,2,FALSE)&amp;$BB$3&amp;C68&amp;$BD$3,"")</f>
        <v/>
      </c>
      <c r="BC66" s="49" t="str">
        <f>IFERROR($BC$3&amp;VLOOKUP(D68,'Pay Table'!$M$3:$N$18,2,FALSE)&amp;$BB$3&amp;E68&amp;$BD$3,"")</f>
        <v/>
      </c>
      <c r="BD66" s="49" t="str">
        <f>IFERROR($BC$3&amp;VLOOKUP(F68,'Pay Table'!$M$3:$N$18,2,FALSE)&amp;$BB$3&amp;G68&amp;$BD$3,"")</f>
        <v/>
      </c>
      <c r="BE66" s="49" t="str">
        <f>IFERROR($BC$3&amp;VLOOKUP(H68,'Pay Table'!$M$3:$N$18,2,FALSE)&amp;$BB$3&amp;I68&amp;$BD$3,"")</f>
        <v>[6,100]</v>
      </c>
      <c r="BF66" s="60" t="str">
        <f>IFERROR($BC$3&amp;VLOOKUP(J68,'Pay Table'!$M$3:$N$18,2,FALSE)&amp;$BB$3&amp;K68&amp;$BD$3,"")</f>
        <v>[6,100]</v>
      </c>
    </row>
    <row r="67" spans="1:58" ht="17.100000000000001" customHeight="1" x14ac:dyDescent="0.15">
      <c r="A67" s="14">
        <v>62</v>
      </c>
      <c r="H67" s="10" t="s">
        <v>122</v>
      </c>
      <c r="I67" s="10">
        <v>100</v>
      </c>
      <c r="J67" s="10" t="s">
        <v>122</v>
      </c>
      <c r="K67" s="10">
        <v>100</v>
      </c>
      <c r="N67" s="4" t="str">
        <f t="shared" si="41"/>
        <v>M1</v>
      </c>
      <c r="O67" s="1">
        <f t="shared" ref="O67:O75" si="47">AB29</f>
        <v>3.9489274824999984E+16</v>
      </c>
      <c r="P67" s="1">
        <f t="shared" si="44"/>
        <v>2789834666666666.5</v>
      </c>
      <c r="Q67" s="1">
        <f t="shared" si="44"/>
        <v>159312592592592.56</v>
      </c>
      <c r="R67" s="5">
        <f t="shared" si="44"/>
        <v>18981925925925.926</v>
      </c>
      <c r="T67" s="4" t="str">
        <f t="shared" si="45"/>
        <v>M1</v>
      </c>
      <c r="U67" s="1">
        <f>AH29+O48</f>
        <v>2.1263455674999988E+16</v>
      </c>
      <c r="V67" s="1">
        <f t="shared" ref="V67:X75" si="48">AI29+P48</f>
        <v>2809953666666666</v>
      </c>
      <c r="W67" s="1">
        <f t="shared" si="48"/>
        <v>256049037037037</v>
      </c>
      <c r="X67" s="1">
        <f t="shared" si="48"/>
        <v>41354785185185.18</v>
      </c>
      <c r="Z67" s="4" t="str">
        <f t="shared" si="46"/>
        <v>M1</v>
      </c>
      <c r="AA67" s="1">
        <f>AN29+IF('Pay Table'!D7&gt;'Pay Table'!$C$6,T48,0)</f>
        <v>704164999999999.88</v>
      </c>
      <c r="AB67" s="1">
        <f>AO29+IF('Pay Table'!E7&gt;'Pay Table'!$C$6,U48,0)</f>
        <v>136487999999999.97</v>
      </c>
      <c r="AC67" s="5">
        <f>AP29+IF('Pay Table'!F7&gt;'Pay Table'!$C$6,V48,0)</f>
        <v>33695525925925.926</v>
      </c>
      <c r="AE67" s="4" t="str">
        <f t="shared" si="42"/>
        <v>M1</v>
      </c>
      <c r="AF67" s="1">
        <f>AS29+IF('Pay Table'!E7&gt;'Pay Table'!$D$6,X48,0)</f>
        <v>24126666666666.66</v>
      </c>
      <c r="AG67" s="5">
        <f>AT29+IF('Pay Table'!F7&gt;'Pay Table'!$D$6,Y48,0)</f>
        <v>12167466666666.666</v>
      </c>
      <c r="AI67" s="4" t="str">
        <f t="shared" si="43"/>
        <v>M1</v>
      </c>
      <c r="AJ67" s="5">
        <f>AW29+IF('Pay Table'!F7&gt;'Pay Table'!$E$6,AA48,0)</f>
        <v>1642666666666.6665</v>
      </c>
      <c r="BB67" s="59" t="str">
        <f>IFERROR($BC$3&amp;VLOOKUP(B69,'Pay Table'!$M$3:$N$18,2,FALSE)&amp;$BB$3&amp;C69&amp;$BD$3,"")</f>
        <v/>
      </c>
      <c r="BC67" s="49" t="str">
        <f>IFERROR($BC$3&amp;VLOOKUP(D69,'Pay Table'!$M$3:$N$18,2,FALSE)&amp;$BB$3&amp;E69&amp;$BD$3,"")</f>
        <v/>
      </c>
      <c r="BD67" s="49" t="str">
        <f>IFERROR($BC$3&amp;VLOOKUP(F69,'Pay Table'!$M$3:$N$18,2,FALSE)&amp;$BB$3&amp;G69&amp;$BD$3,"")</f>
        <v/>
      </c>
      <c r="BE67" s="49" t="str">
        <f>IFERROR($BC$3&amp;VLOOKUP(H69,'Pay Table'!$M$3:$N$18,2,FALSE)&amp;$BB$3&amp;I69&amp;$BD$3,"")</f>
        <v>[1,100]</v>
      </c>
      <c r="BF67" s="60" t="str">
        <f>IFERROR($BC$3&amp;VLOOKUP(J69,'Pay Table'!$M$3:$N$18,2,FALSE)&amp;$BB$3&amp;K69&amp;$BD$3,"")</f>
        <v>[8,100]</v>
      </c>
    </row>
    <row r="68" spans="1:58" ht="17.100000000000001" customHeight="1" x14ac:dyDescent="0.15">
      <c r="A68" s="14">
        <v>63</v>
      </c>
      <c r="H68" s="10" t="s">
        <v>121</v>
      </c>
      <c r="I68" s="10">
        <v>100</v>
      </c>
      <c r="J68" s="10" t="s">
        <v>121</v>
      </c>
      <c r="K68" s="10">
        <v>100</v>
      </c>
      <c r="N68" s="4" t="str">
        <f t="shared" si="41"/>
        <v>M2</v>
      </c>
      <c r="O68" s="1">
        <f t="shared" si="47"/>
        <v>9.3054492187499968E+16</v>
      </c>
      <c r="P68" s="1">
        <f t="shared" si="44"/>
        <v>9710904999999998</v>
      </c>
      <c r="Q68" s="1">
        <f t="shared" si="44"/>
        <v>1484938888888888.5</v>
      </c>
      <c r="R68" s="5">
        <f t="shared" si="44"/>
        <v>176928888888888.88</v>
      </c>
      <c r="T68" s="4" t="str">
        <f t="shared" si="45"/>
        <v>M2</v>
      </c>
      <c r="U68" s="1">
        <f t="shared" ref="U68:U75" si="49">AH30+O49</f>
        <v>3.4647949218749984E+16</v>
      </c>
      <c r="V68" s="1">
        <f t="shared" si="48"/>
        <v>6529033999999999</v>
      </c>
      <c r="W68" s="1">
        <f t="shared" si="48"/>
        <v>1366551111111110.8</v>
      </c>
      <c r="X68" s="5">
        <f t="shared" si="48"/>
        <v>263925333333333.31</v>
      </c>
      <c r="Z68" s="4" t="str">
        <f t="shared" si="46"/>
        <v>M2</v>
      </c>
      <c r="AA68" s="1">
        <f>AN30+IF('Pay Table'!D8&gt;'Pay Table'!$C$6,T49,0)</f>
        <v>1084728750000000</v>
      </c>
      <c r="AB68" s="1">
        <f>AO30+IF('Pay Table'!E8&gt;'Pay Table'!$C$6,U49,0)</f>
        <v>413404166666666.63</v>
      </c>
      <c r="AC68" s="5">
        <f>AP30+IF('Pay Table'!F8&gt;'Pay Table'!$C$6,V49,0)</f>
        <v>142298444444444.44</v>
      </c>
      <c r="AE68" s="4" t="str">
        <f t="shared" si="42"/>
        <v>M2</v>
      </c>
      <c r="AF68" s="1">
        <f>AS30+IF('Pay Table'!E8&gt;'Pay Table'!$D$6,X49,0)</f>
        <v>41125000000000</v>
      </c>
      <c r="AG68" s="5">
        <f>AT30+IF('Pay Table'!F8&gt;'Pay Table'!$D$6,Y49,0)</f>
        <v>33046666666666.668</v>
      </c>
      <c r="AI68" s="4" t="str">
        <f t="shared" si="43"/>
        <v>M2</v>
      </c>
      <c r="AJ68" s="5">
        <f>AW30+IF('Pay Table'!F8&gt;'Pay Table'!$E$6,AA49,0)</f>
        <v>2800000000000.0005</v>
      </c>
      <c r="BB68" s="59" t="str">
        <f>IFERROR($BC$3&amp;VLOOKUP(B70,'Pay Table'!$M$3:$N$18,2,FALSE)&amp;$BB$3&amp;C70&amp;$BD$3,"")</f>
        <v/>
      </c>
      <c r="BC68" s="49" t="str">
        <f>IFERROR($BC$3&amp;VLOOKUP(D70,'Pay Table'!$M$3:$N$18,2,FALSE)&amp;$BB$3&amp;E70&amp;$BD$3,"")</f>
        <v/>
      </c>
      <c r="BD68" s="49" t="str">
        <f>IFERROR($BC$3&amp;VLOOKUP(F70,'Pay Table'!$M$3:$N$18,2,FALSE)&amp;$BB$3&amp;G70&amp;$BD$3,"")</f>
        <v/>
      </c>
      <c r="BE68" s="49" t="str">
        <f>IFERROR($BC$3&amp;VLOOKUP(H70,'Pay Table'!$M$3:$N$18,2,FALSE)&amp;$BB$3&amp;I70&amp;$BD$3,"")</f>
        <v>[2,100]</v>
      </c>
      <c r="BF68" s="60" t="str">
        <f>IFERROR($BC$3&amp;VLOOKUP(J70,'Pay Table'!$M$3:$N$18,2,FALSE)&amp;$BB$3&amp;K70&amp;$BD$3,"")</f>
        <v>[6,100]</v>
      </c>
    </row>
    <row r="69" spans="1:58" ht="17.100000000000001" customHeight="1" x14ac:dyDescent="0.15">
      <c r="A69" s="14">
        <v>64</v>
      </c>
      <c r="H69" s="10" t="s">
        <v>152</v>
      </c>
      <c r="I69" s="10">
        <v>100</v>
      </c>
      <c r="J69" s="10" t="s">
        <v>120</v>
      </c>
      <c r="K69" s="10">
        <v>100</v>
      </c>
      <c r="N69" s="4" t="str">
        <f t="shared" si="41"/>
        <v>M3</v>
      </c>
      <c r="O69" s="1">
        <f t="shared" si="47"/>
        <v>1.2539785781249998E+17</v>
      </c>
      <c r="P69" s="1">
        <f t="shared" si="44"/>
        <v>1.710735E+16</v>
      </c>
      <c r="Q69" s="1">
        <f t="shared" si="44"/>
        <v>1712533333333333.3</v>
      </c>
      <c r="R69" s="5">
        <f t="shared" si="44"/>
        <v>110933333333333.34</v>
      </c>
      <c r="T69" s="4" t="str">
        <f t="shared" si="45"/>
        <v>M3</v>
      </c>
      <c r="U69" s="1">
        <f t="shared" si="49"/>
        <v>3.3760961718749988E+16</v>
      </c>
      <c r="V69" s="1">
        <f t="shared" si="48"/>
        <v>8882662500000000</v>
      </c>
      <c r="W69" s="1">
        <f t="shared" si="48"/>
        <v>1531400000000000</v>
      </c>
      <c r="X69" s="5">
        <f t="shared" si="48"/>
        <v>210133333333333.38</v>
      </c>
      <c r="Z69" s="4" t="str">
        <f t="shared" si="46"/>
        <v>M3</v>
      </c>
      <c r="AA69" s="1">
        <f>AN31+IF('Pay Table'!D9&gt;'Pay Table'!$C$6,T50,0)</f>
        <v>1151456250000000</v>
      </c>
      <c r="AB69" s="1">
        <f>AO31+IF('Pay Table'!E9&gt;'Pay Table'!$C$6,U50,0)</f>
        <v>448716666666666.63</v>
      </c>
      <c r="AC69" s="5">
        <f>AP31+IF('Pay Table'!F9&gt;'Pay Table'!$C$6,V50,0)</f>
        <v>128266666666666.69</v>
      </c>
      <c r="AE69" s="4" t="str">
        <f t="shared" si="42"/>
        <v>M3</v>
      </c>
      <c r="AF69" s="1">
        <f>AS31+IF('Pay Table'!E9&gt;'Pay Table'!$D$6,X50,0)</f>
        <v>43225000000000</v>
      </c>
      <c r="AG69" s="5">
        <f>AT31+IF('Pay Table'!F9&gt;'Pay Table'!$D$6,Y50,0)</f>
        <v>31866666666666.672</v>
      </c>
      <c r="AI69" s="4" t="str">
        <f t="shared" si="43"/>
        <v>M3</v>
      </c>
      <c r="AJ69" s="5">
        <f>AW31+IF('Pay Table'!F9&gt;'Pay Table'!$E$6,AA50,0)</f>
        <v>2800000000000.0005</v>
      </c>
      <c r="BB69" s="59" t="str">
        <f>IFERROR($BC$3&amp;VLOOKUP(B71,'Pay Table'!$M$3:$N$18,2,FALSE)&amp;$BB$3&amp;C71&amp;$BD$3,"")</f>
        <v/>
      </c>
      <c r="BC69" s="49" t="str">
        <f>IFERROR($BC$3&amp;VLOOKUP(D71,'Pay Table'!$M$3:$N$18,2,FALSE)&amp;$BB$3&amp;E71&amp;$BD$3,"")</f>
        <v/>
      </c>
      <c r="BD69" s="49" t="str">
        <f>IFERROR($BC$3&amp;VLOOKUP(F71,'Pay Table'!$M$3:$N$18,2,FALSE)&amp;$BB$3&amp;G71&amp;$BD$3,"")</f>
        <v/>
      </c>
      <c r="BE69" s="49" t="str">
        <f>IFERROR($BC$3&amp;VLOOKUP(H71,'Pay Table'!$M$3:$N$18,2,FALSE)&amp;$BB$3&amp;I71&amp;$BD$3,"")</f>
        <v>[4,100]</v>
      </c>
      <c r="BF69" s="60" t="str">
        <f>IFERROR($BC$3&amp;VLOOKUP(J71,'Pay Table'!$M$3:$N$18,2,FALSE)&amp;$BB$3&amp;K71&amp;$BD$3,"")</f>
        <v>[7,100]</v>
      </c>
    </row>
    <row r="70" spans="1:58" ht="17.100000000000001" customHeight="1" x14ac:dyDescent="0.15">
      <c r="A70" s="14">
        <v>65</v>
      </c>
      <c r="H70" s="10" t="s">
        <v>151</v>
      </c>
      <c r="I70" s="10">
        <v>100</v>
      </c>
      <c r="J70" s="10" t="s">
        <v>121</v>
      </c>
      <c r="K70" s="10">
        <v>100</v>
      </c>
      <c r="N70" s="4" t="str">
        <f t="shared" si="41"/>
        <v>M4</v>
      </c>
      <c r="O70" s="1">
        <f t="shared" si="47"/>
        <v>4.2908020312499984E+16</v>
      </c>
      <c r="P70" s="1">
        <f t="shared" si="44"/>
        <v>3584568749999999.5</v>
      </c>
      <c r="Q70" s="1">
        <f t="shared" si="44"/>
        <v>215848888888888.88</v>
      </c>
      <c r="R70" s="5">
        <f t="shared" si="44"/>
        <v>29617777777777.777</v>
      </c>
      <c r="T70" s="4" t="str">
        <f t="shared" si="45"/>
        <v>M4</v>
      </c>
      <c r="U70" s="1">
        <f t="shared" si="49"/>
        <v>4.2908020312499984E+16</v>
      </c>
      <c r="V70" s="1">
        <f t="shared" si="48"/>
        <v>5018396250000000</v>
      </c>
      <c r="W70" s="1">
        <f t="shared" si="48"/>
        <v>423603444444444.44</v>
      </c>
      <c r="X70" s="5">
        <f t="shared" si="48"/>
        <v>73058222222222.219</v>
      </c>
      <c r="Z70" s="4" t="str">
        <f t="shared" si="46"/>
        <v>M4</v>
      </c>
      <c r="AA70" s="1">
        <f>AN32+IF('Pay Table'!D10&gt;'Pay Table'!$C$6,T51,0)</f>
        <v>1433827500000000</v>
      </c>
      <c r="AB70" s="1">
        <f>AO32+IF('Pay Table'!E10&gt;'Pay Table'!$C$6,U51,0)</f>
        <v>256320555555555.53</v>
      </c>
      <c r="AC70" s="5">
        <f>AP32+IF('Pay Table'!F10&gt;'Pay Table'!$C$6,V51,0)</f>
        <v>64477777777777.781</v>
      </c>
      <c r="AE70" s="4" t="str">
        <f t="shared" si="42"/>
        <v>M4</v>
      </c>
      <c r="AF70" s="1">
        <f>AS32+IF('Pay Table'!E10&gt;'Pay Table'!$D$6,X51,0)</f>
        <v>48565999999999.992</v>
      </c>
      <c r="AG70" s="5">
        <f>AT32+IF('Pay Table'!F10&gt;'Pay Table'!$D$6,Y51,0)</f>
        <v>24397333333333.332</v>
      </c>
      <c r="AI70" s="4" t="str">
        <f t="shared" si="43"/>
        <v>M4</v>
      </c>
      <c r="AJ70" s="5">
        <f>AW32+IF('Pay Table'!F10&gt;'Pay Table'!$E$6,AA51,0)</f>
        <v>3360000000000</v>
      </c>
      <c r="BB70" s="59" t="str">
        <f>IFERROR($BC$3&amp;VLOOKUP(B72,'Pay Table'!$M$3:$N$18,2,FALSE)&amp;$BB$3&amp;C72&amp;$BD$3,"")</f>
        <v/>
      </c>
      <c r="BC70" s="49" t="str">
        <f>IFERROR($BC$3&amp;VLOOKUP(D72,'Pay Table'!$M$3:$N$18,2,FALSE)&amp;$BB$3&amp;E72&amp;$BD$3,"")</f>
        <v/>
      </c>
      <c r="BD70" s="49" t="str">
        <f>IFERROR($BC$3&amp;VLOOKUP(F72,'Pay Table'!$M$3:$N$18,2,FALSE)&amp;$BB$3&amp;G72&amp;$BD$3,"")</f>
        <v/>
      </c>
      <c r="BE70" s="49" t="str">
        <f>IFERROR($BC$3&amp;VLOOKUP(H72,'Pay Table'!$M$3:$N$18,2,FALSE)&amp;$BB$3&amp;I72&amp;$BD$3,"")</f>
        <v>[1,100]</v>
      </c>
      <c r="BF70" s="60" t="str">
        <f>IFERROR($BC$3&amp;VLOOKUP(J72,'Pay Table'!$M$3:$N$18,2,FALSE)&amp;$BB$3&amp;K72&amp;$BD$3,"")</f>
        <v>[0,100]</v>
      </c>
    </row>
    <row r="71" spans="1:58" ht="17.100000000000001" customHeight="1" x14ac:dyDescent="0.15">
      <c r="A71" s="14">
        <v>66</v>
      </c>
      <c r="H71" s="10" t="s">
        <v>128</v>
      </c>
      <c r="I71" s="10">
        <v>100</v>
      </c>
      <c r="J71" s="10" t="s">
        <v>119</v>
      </c>
      <c r="K71" s="10">
        <v>100</v>
      </c>
      <c r="N71" s="4" t="str">
        <f t="shared" si="41"/>
        <v>M5</v>
      </c>
      <c r="O71" s="1">
        <f t="shared" si="47"/>
        <v>6.1297171874999976E+16</v>
      </c>
      <c r="P71" s="1">
        <f t="shared" si="44"/>
        <v>5051062500000000</v>
      </c>
      <c r="Q71" s="1">
        <f t="shared" si="44"/>
        <v>366172222222222.19</v>
      </c>
      <c r="R71" s="5">
        <f t="shared" si="44"/>
        <v>50244444444444.445</v>
      </c>
      <c r="T71" s="4" t="str">
        <f t="shared" si="45"/>
        <v>M5</v>
      </c>
      <c r="U71" s="1">
        <f t="shared" si="49"/>
        <v>3.5756683593749988E+16</v>
      </c>
      <c r="V71" s="1">
        <f t="shared" si="48"/>
        <v>4966878125000000</v>
      </c>
      <c r="W71" s="1">
        <f t="shared" si="48"/>
        <v>533519351851851.88</v>
      </c>
      <c r="X71" s="5">
        <f t="shared" si="48"/>
        <v>98540370370370.375</v>
      </c>
      <c r="Z71" s="4" t="str">
        <f t="shared" si="46"/>
        <v>M5</v>
      </c>
      <c r="AA71" s="1">
        <f>AN33+IF('Pay Table'!D11&gt;'Pay Table'!$C$6,T52,0)</f>
        <v>1178581250000000</v>
      </c>
      <c r="AB71" s="1">
        <f>AO33+IF('Pay Table'!E11&gt;'Pay Table'!$C$6,U52,0)</f>
        <v>255999351851851.84</v>
      </c>
      <c r="AC71" s="5">
        <f>AP33+IF('Pay Table'!F11&gt;'Pay Table'!$C$6,V52,0)</f>
        <v>72038148148148.156</v>
      </c>
      <c r="AE71" s="4" t="str">
        <f t="shared" si="42"/>
        <v>M5</v>
      </c>
      <c r="AF71" s="1">
        <f>AS33+IF('Pay Table'!E11&gt;'Pay Table'!$D$6,X52,0)</f>
        <v>40471666666666.664</v>
      </c>
      <c r="AG71" s="5">
        <f>AT33+IF('Pay Table'!F11&gt;'Pay Table'!$D$6,Y52,0)</f>
        <v>23264444444444.445</v>
      </c>
      <c r="AI71" s="4" t="str">
        <f t="shared" si="43"/>
        <v>M5</v>
      </c>
      <c r="AJ71" s="5">
        <f>AW33+IF('Pay Table'!F11&gt;'Pay Table'!$E$6,AA52,0)</f>
        <v>2800000000000.0005</v>
      </c>
      <c r="BB71" s="59" t="str">
        <f>IFERROR($BC$3&amp;VLOOKUP(B73,'Pay Table'!$M$3:$N$18,2,FALSE)&amp;$BB$3&amp;C73&amp;$BD$3,"")</f>
        <v/>
      </c>
      <c r="BC71" s="49" t="str">
        <f>IFERROR($BC$3&amp;VLOOKUP(D73,'Pay Table'!$M$3:$N$18,2,FALSE)&amp;$BB$3&amp;E73&amp;$BD$3,"")</f>
        <v/>
      </c>
      <c r="BD71" s="49" t="str">
        <f>IFERROR($BC$3&amp;VLOOKUP(F73,'Pay Table'!$M$3:$N$18,2,FALSE)&amp;$BB$3&amp;G73&amp;$BD$3,"")</f>
        <v/>
      </c>
      <c r="BE71" s="49" t="str">
        <f>IFERROR($BC$3&amp;VLOOKUP(H73,'Pay Table'!$M$3:$N$18,2,FALSE)&amp;$BB$3&amp;I73&amp;$BD$3,"")</f>
        <v>[8,100]</v>
      </c>
      <c r="BF71" s="60" t="str">
        <f>IFERROR($BC$3&amp;VLOOKUP(J73,'Pay Table'!$M$3:$N$18,2,FALSE)&amp;$BB$3&amp;K73&amp;$BD$3,"")</f>
        <v>[4,100]</v>
      </c>
    </row>
    <row r="72" spans="1:58" ht="17.100000000000001" customHeight="1" x14ac:dyDescent="0.15">
      <c r="A72" s="14">
        <v>67</v>
      </c>
      <c r="H72" s="10" t="s">
        <v>152</v>
      </c>
      <c r="I72" s="10">
        <v>100</v>
      </c>
      <c r="J72" s="10" t="s">
        <v>124</v>
      </c>
      <c r="K72" s="10">
        <v>100</v>
      </c>
      <c r="N72" s="4" t="str">
        <f t="shared" si="41"/>
        <v>A</v>
      </c>
      <c r="O72" s="1">
        <f t="shared" si="47"/>
        <v>2.0032058320312496E+17</v>
      </c>
      <c r="P72" s="1">
        <f t="shared" si="44"/>
        <v>1.221845625E+16</v>
      </c>
      <c r="Q72" s="1">
        <f t="shared" si="44"/>
        <v>1664162500000000</v>
      </c>
      <c r="R72" s="5">
        <f t="shared" si="44"/>
        <v>107800000000000.02</v>
      </c>
      <c r="T72" s="4" t="str">
        <f t="shared" si="45"/>
        <v>A</v>
      </c>
      <c r="U72" s="1">
        <f t="shared" si="49"/>
        <v>5.0990693906249984E+16</v>
      </c>
      <c r="V72" s="1">
        <f t="shared" si="48"/>
        <v>9219380625000000</v>
      </c>
      <c r="W72" s="1">
        <f t="shared" si="48"/>
        <v>1731161250000000</v>
      </c>
      <c r="X72" s="5">
        <f t="shared" si="48"/>
        <v>219940000000000</v>
      </c>
      <c r="Z72" s="4" t="str">
        <f t="shared" si="46"/>
        <v>A</v>
      </c>
      <c r="AA72" s="1">
        <f>AN34+IF('Pay Table'!D12&gt;'Pay Table'!$C$6,T53,0)</f>
        <v>1555076249999999.8</v>
      </c>
      <c r="AB72" s="1">
        <f>AO34+IF('Pay Table'!E12&gt;'Pay Table'!$C$6,U53,0)</f>
        <v>570569999999999.88</v>
      </c>
      <c r="AC72" s="5">
        <f>AP34+IF('Pay Table'!F12&gt;'Pay Table'!$C$6,V53,0)</f>
        <v>149100000000000</v>
      </c>
      <c r="AE72" s="4" t="str">
        <f t="shared" si="42"/>
        <v>A</v>
      </c>
      <c r="AF72" s="1">
        <f>AS34+IF('Pay Table'!E12&gt;'Pay Table'!$D$6,X53,0)</f>
        <v>60514999999999.992</v>
      </c>
      <c r="AG72" s="5">
        <f>AT34+IF('Pay Table'!F12&gt;'Pay Table'!$D$6,Y53,0)</f>
        <v>40880000000000</v>
      </c>
      <c r="AI72" s="4" t="str">
        <f t="shared" si="43"/>
        <v>A</v>
      </c>
      <c r="AJ72" s="5">
        <f>AW34+IF('Pay Table'!F12&gt;'Pay Table'!$E$6,AA53,0)</f>
        <v>3920000000000</v>
      </c>
      <c r="BB72" s="59" t="str">
        <f>IFERROR($BC$3&amp;VLOOKUP(B74,'Pay Table'!$M$3:$N$18,2,FALSE)&amp;$BB$3&amp;C74&amp;$BD$3,"")</f>
        <v/>
      </c>
      <c r="BC72" s="49" t="str">
        <f>IFERROR($BC$3&amp;VLOOKUP(D74,'Pay Table'!$M$3:$N$18,2,FALSE)&amp;$BB$3&amp;E74&amp;$BD$3,"")</f>
        <v/>
      </c>
      <c r="BD72" s="49" t="str">
        <f>IFERROR($BC$3&amp;VLOOKUP(F74,'Pay Table'!$M$3:$N$18,2,FALSE)&amp;$BB$3&amp;G74&amp;$BD$3,"")</f>
        <v/>
      </c>
      <c r="BE72" s="49" t="str">
        <f>IFERROR($BC$3&amp;VLOOKUP(H74,'Pay Table'!$M$3:$N$18,2,FALSE)&amp;$BB$3&amp;I74&amp;$BD$3,"")</f>
        <v>[7,100]</v>
      </c>
      <c r="BF72" s="60" t="str">
        <f>IFERROR($BC$3&amp;VLOOKUP(J74,'Pay Table'!$M$3:$N$18,2,FALSE)&amp;$BB$3&amp;K74&amp;$BD$3,"")</f>
        <v>[3,100]</v>
      </c>
    </row>
    <row r="73" spans="1:58" ht="17.100000000000001" customHeight="1" x14ac:dyDescent="0.15">
      <c r="A73" s="14">
        <v>68</v>
      </c>
      <c r="H73" s="10" t="s">
        <v>120</v>
      </c>
      <c r="I73" s="10">
        <v>100</v>
      </c>
      <c r="J73" s="10" t="s">
        <v>128</v>
      </c>
      <c r="K73" s="10">
        <v>100</v>
      </c>
      <c r="N73" s="4" t="str">
        <f t="shared" si="41"/>
        <v>K</v>
      </c>
      <c r="O73" s="1">
        <f t="shared" si="47"/>
        <v>9.7541381812499968E+16</v>
      </c>
      <c r="P73" s="1">
        <f t="shared" si="44"/>
        <v>6129644466666666</v>
      </c>
      <c r="Q73" s="1">
        <f t="shared" si="44"/>
        <v>587593437037036.88</v>
      </c>
      <c r="R73" s="5">
        <f t="shared" si="44"/>
        <v>105397925925925.92</v>
      </c>
      <c r="T73" s="4" t="str">
        <f t="shared" si="45"/>
        <v>K</v>
      </c>
      <c r="U73" s="1">
        <f t="shared" si="49"/>
        <v>3.5936298562499988E+16</v>
      </c>
      <c r="V73" s="1">
        <f t="shared" si="48"/>
        <v>5323112300000000</v>
      </c>
      <c r="W73" s="1">
        <f t="shared" si="48"/>
        <v>719303844444444.25</v>
      </c>
      <c r="X73" s="5">
        <f t="shared" si="48"/>
        <v>171182281481481.47</v>
      </c>
      <c r="Z73" s="4" t="str">
        <f t="shared" si="46"/>
        <v>K</v>
      </c>
      <c r="AA73" s="1">
        <f>AN35+IF('Pay Table'!D13&gt;'Pay Table'!$C$6,T54,0)</f>
        <v>1129145033333333.3</v>
      </c>
      <c r="AB73" s="1">
        <f>AO35+IF('Pay Table'!E13&gt;'Pay Table'!$C$6,U54,0)</f>
        <v>289762896296296.25</v>
      </c>
      <c r="AC73" s="5">
        <f>AP35+IF('Pay Table'!F13&gt;'Pay Table'!$C$6,V54,0)</f>
        <v>103584651851851.84</v>
      </c>
      <c r="AE73" s="4" t="str">
        <f t="shared" si="42"/>
        <v>K</v>
      </c>
      <c r="AF73" s="1">
        <f>AS35+IF('Pay Table'!E13&gt;'Pay Table'!$D$6,X54,0)</f>
        <v>38504666666666.656</v>
      </c>
      <c r="AG73" s="5">
        <f>AT35+IF('Pay Table'!F13&gt;'Pay Table'!$D$6,Y54,0)</f>
        <v>27696829629629.629</v>
      </c>
      <c r="AI73" s="4" t="str">
        <f t="shared" si="43"/>
        <v>K</v>
      </c>
      <c r="AJ73" s="5">
        <f>AW35+IF('Pay Table'!F13&gt;'Pay Table'!$E$6,AA54,0)</f>
        <v>2762666666666.6665</v>
      </c>
      <c r="BB73" s="59" t="str">
        <f>IFERROR($BC$3&amp;VLOOKUP(B75,'Pay Table'!$M$3:$N$18,2,FALSE)&amp;$BB$3&amp;C75&amp;$BD$3,"")</f>
        <v/>
      </c>
      <c r="BC73" s="49" t="str">
        <f>IFERROR($BC$3&amp;VLOOKUP(D75,'Pay Table'!$M$3:$N$18,2,FALSE)&amp;$BB$3&amp;E75&amp;$BD$3,"")</f>
        <v/>
      </c>
      <c r="BD73" s="49" t="str">
        <f>IFERROR($BC$3&amp;VLOOKUP(F75,'Pay Table'!$M$3:$N$18,2,FALSE)&amp;$BB$3&amp;G75&amp;$BD$3,"")</f>
        <v/>
      </c>
      <c r="BE73" s="49" t="str">
        <f>IFERROR($BC$3&amp;VLOOKUP(H75,'Pay Table'!$M$3:$N$18,2,FALSE)&amp;$BB$3&amp;I75&amp;$BD$3,"")</f>
        <v>[6,100]</v>
      </c>
      <c r="BF73" s="60" t="str">
        <f>IFERROR($BC$3&amp;VLOOKUP(J75,'Pay Table'!$M$3:$N$18,2,FALSE)&amp;$BB$3&amp;K75&amp;$BD$3,"")</f>
        <v>[6,100]</v>
      </c>
    </row>
    <row r="74" spans="1:58" ht="17.100000000000001" customHeight="1" x14ac:dyDescent="0.15">
      <c r="A74" s="14">
        <v>69</v>
      </c>
      <c r="H74" s="10" t="s">
        <v>119</v>
      </c>
      <c r="I74" s="10">
        <v>100</v>
      </c>
      <c r="J74" s="10" t="s">
        <v>127</v>
      </c>
      <c r="K74" s="10">
        <v>100</v>
      </c>
      <c r="N74" s="4" t="str">
        <f t="shared" si="41"/>
        <v>Q</v>
      </c>
      <c r="O74" s="1">
        <f t="shared" si="47"/>
        <v>3.1101329699999994E+17</v>
      </c>
      <c r="P74" s="1">
        <f t="shared" si="44"/>
        <v>9137435999999998</v>
      </c>
      <c r="Q74" s="1">
        <f t="shared" si="44"/>
        <v>920807999999999.75</v>
      </c>
      <c r="R74" s="5">
        <f t="shared" si="44"/>
        <v>75786666666666.656</v>
      </c>
      <c r="T74" s="4" t="str">
        <f t="shared" si="45"/>
        <v>Q</v>
      </c>
      <c r="U74" s="1">
        <f t="shared" si="49"/>
        <v>9.0712211624999968E+16</v>
      </c>
      <c r="V74" s="1">
        <f t="shared" si="48"/>
        <v>1.2117605499999998E+16</v>
      </c>
      <c r="W74" s="1">
        <f t="shared" si="48"/>
        <v>1559384999999999.5</v>
      </c>
      <c r="X74" s="5">
        <f t="shared" si="48"/>
        <v>188973777777777.75</v>
      </c>
      <c r="Z74" s="4" t="str">
        <f t="shared" si="46"/>
        <v>Q</v>
      </c>
      <c r="AA74" s="1">
        <f>AN36+IF('Pay Table'!D14&gt;'Pay Table'!$C$6,T55,0)</f>
        <v>2756984999999999.5</v>
      </c>
      <c r="AB74" s="1">
        <f>AO36+IF('Pay Table'!E14&gt;'Pay Table'!$C$6,U55,0)</f>
        <v>726407999999999.88</v>
      </c>
      <c r="AC74" s="5">
        <f>AP36+IF('Pay Table'!F14&gt;'Pay Table'!$C$6,V55,0)</f>
        <v>162462222222222.22</v>
      </c>
      <c r="AE74" s="4" t="str">
        <f t="shared" si="42"/>
        <v>Q</v>
      </c>
      <c r="AF74" s="1">
        <f>AS36+IF('Pay Table'!E14&gt;'Pay Table'!$D$6,X55,0)</f>
        <v>102059999999999.98</v>
      </c>
      <c r="AG74" s="5">
        <f>AT36+IF('Pay Table'!F14&gt;'Pay Table'!$D$6,Y55,0)</f>
        <v>56229333333333.336</v>
      </c>
      <c r="AI74" s="4" t="str">
        <f t="shared" si="43"/>
        <v>Q</v>
      </c>
      <c r="AJ74" s="5">
        <f>AW36+IF('Pay Table'!F14&gt;'Pay Table'!$E$6,AA55,0)</f>
        <v>6720000000000</v>
      </c>
      <c r="BB74" s="59" t="str">
        <f>IFERROR($BC$3&amp;VLOOKUP(B76,'Pay Table'!$M$3:$N$18,2,FALSE)&amp;$BB$3&amp;C76&amp;$BD$3,"")</f>
        <v/>
      </c>
      <c r="BC74" s="49" t="str">
        <f>IFERROR($BC$3&amp;VLOOKUP(D76,'Pay Table'!$M$3:$N$18,2,FALSE)&amp;$BB$3&amp;E76&amp;$BD$3,"")</f>
        <v/>
      </c>
      <c r="BD74" s="49" t="str">
        <f>IFERROR($BC$3&amp;VLOOKUP(F76,'Pay Table'!$M$3:$N$18,2,FALSE)&amp;$BB$3&amp;G76&amp;$BD$3,"")</f>
        <v/>
      </c>
      <c r="BE74" s="49" t="str">
        <f>IFERROR($BC$3&amp;VLOOKUP(H76,'Pay Table'!$M$3:$N$18,2,FALSE)&amp;$BB$3&amp;I76&amp;$BD$3,"")</f>
        <v>[2,100]</v>
      </c>
      <c r="BF74" s="60" t="str">
        <f>IFERROR($BC$3&amp;VLOOKUP(J76,'Pay Table'!$M$3:$N$18,2,FALSE)&amp;$BB$3&amp;K76&amp;$BD$3,"")</f>
        <v>[5,100]</v>
      </c>
    </row>
    <row r="75" spans="1:58" ht="17.100000000000001" customHeight="1" x14ac:dyDescent="0.15">
      <c r="A75" s="14">
        <v>70</v>
      </c>
      <c r="H75" s="10" t="s">
        <v>121</v>
      </c>
      <c r="I75" s="10">
        <v>100</v>
      </c>
      <c r="J75" s="10" t="s">
        <v>121</v>
      </c>
      <c r="K75" s="10">
        <v>100</v>
      </c>
      <c r="N75" s="4" t="str">
        <f t="shared" si="41"/>
        <v>J</v>
      </c>
      <c r="O75" s="1">
        <f t="shared" si="47"/>
        <v>5.7975720468749984E+16</v>
      </c>
      <c r="P75" s="1">
        <f t="shared" si="44"/>
        <v>1.0859900625E+16</v>
      </c>
      <c r="Q75" s="1">
        <f t="shared" si="44"/>
        <v>877222500000000</v>
      </c>
      <c r="R75" s="5">
        <f t="shared" si="44"/>
        <v>121520000000000.03</v>
      </c>
      <c r="T75" s="4" t="str">
        <f t="shared" si="45"/>
        <v>J</v>
      </c>
      <c r="U75" s="1">
        <f t="shared" si="49"/>
        <v>4.5092227031249992E+16</v>
      </c>
      <c r="V75" s="1">
        <f t="shared" si="48"/>
        <v>1.0548505625E+16</v>
      </c>
      <c r="W75" s="1">
        <f t="shared" si="48"/>
        <v>1228021666666666.8</v>
      </c>
      <c r="X75" s="5">
        <f t="shared" si="48"/>
        <v>230875555555555.63</v>
      </c>
      <c r="Z75" s="4" t="str">
        <f t="shared" si="46"/>
        <v>J</v>
      </c>
      <c r="AA75" s="1">
        <f>AN37+IF('Pay Table'!D15&gt;'Pay Table'!$C$6,T56,0)</f>
        <v>1634823749999999.8</v>
      </c>
      <c r="AB75" s="1">
        <f>AO37+IF('Pay Table'!E15&gt;'Pay Table'!$C$6,U56,0)</f>
        <v>497227500000000</v>
      </c>
      <c r="AC75" s="5">
        <f>AP37+IF('Pay Table'!F15&gt;'Pay Table'!$C$6,V56,0)</f>
        <v>153937777777777.78</v>
      </c>
      <c r="AE75" s="4" t="str">
        <f t="shared" si="42"/>
        <v>J</v>
      </c>
      <c r="AF75" s="1">
        <f>AS37+IF('Pay Table'!E15&gt;'Pay Table'!$D$6,X56,0)</f>
        <v>56594999999999.992</v>
      </c>
      <c r="AG75" s="5">
        <f>AT37+IF('Pay Table'!F15&gt;'Pay Table'!$D$6,Y56,0)</f>
        <v>42280000000000</v>
      </c>
      <c r="AI75" s="4" t="str">
        <f t="shared" si="43"/>
        <v>J</v>
      </c>
      <c r="AJ75" s="5">
        <f>AW37+IF('Pay Table'!F15&gt;'Pay Table'!$E$6,AA56,0)</f>
        <v>3920000000000</v>
      </c>
      <c r="BB75" s="59" t="str">
        <f>IFERROR($BC$3&amp;VLOOKUP(B77,'Pay Table'!$M$3:$N$18,2,FALSE)&amp;$BB$3&amp;C77&amp;$BD$3,"")</f>
        <v/>
      </c>
      <c r="BC75" s="49" t="str">
        <f>IFERROR($BC$3&amp;VLOOKUP(D77,'Pay Table'!$M$3:$N$18,2,FALSE)&amp;$BB$3&amp;E77&amp;$BD$3,"")</f>
        <v/>
      </c>
      <c r="BD75" s="49" t="str">
        <f>IFERROR($BC$3&amp;VLOOKUP(F77,'Pay Table'!$M$3:$N$18,2,FALSE)&amp;$BB$3&amp;G77&amp;$BD$3,"")</f>
        <v/>
      </c>
      <c r="BE75" s="49" t="str">
        <f>IFERROR($BC$3&amp;VLOOKUP(H77,'Pay Table'!$M$3:$N$18,2,FALSE)&amp;$BB$3&amp;I77&amp;$BD$3,"")</f>
        <v>[7,100]</v>
      </c>
      <c r="BF75" s="60" t="str">
        <f>IFERROR($BC$3&amp;VLOOKUP(J77,'Pay Table'!$M$3:$N$18,2,FALSE)&amp;$BB$3&amp;K77&amp;$BD$3,"")</f>
        <v/>
      </c>
    </row>
    <row r="76" spans="1:58" ht="17.100000000000001" customHeight="1" x14ac:dyDescent="0.15">
      <c r="A76" s="14">
        <v>71</v>
      </c>
      <c r="H76" s="10" t="s">
        <v>151</v>
      </c>
      <c r="I76" s="10">
        <v>100</v>
      </c>
      <c r="J76" s="10" t="s">
        <v>123</v>
      </c>
      <c r="K76" s="10">
        <v>100</v>
      </c>
      <c r="N76" s="4" t="str">
        <f t="shared" si="41"/>
        <v>SCATTER</v>
      </c>
      <c r="R76" s="5"/>
      <c r="T76" s="4" t="str">
        <f t="shared" si="45"/>
        <v>SCATTER</v>
      </c>
      <c r="X76" s="5"/>
      <c r="Z76" s="4" t="str">
        <f t="shared" si="46"/>
        <v>SCATTER</v>
      </c>
      <c r="AC76" s="5"/>
      <c r="AE76" s="4" t="str">
        <f t="shared" si="42"/>
        <v>SCATTER</v>
      </c>
      <c r="AG76" s="5"/>
      <c r="AI76" s="4" t="str">
        <f t="shared" si="43"/>
        <v>SCATTER</v>
      </c>
      <c r="AJ76" s="5"/>
      <c r="BB76" s="59" t="str">
        <f>IFERROR($BC$3&amp;VLOOKUP(B78,'Pay Table'!$M$3:$N$18,2,FALSE)&amp;$BB$3&amp;C78&amp;$BD$3,"")</f>
        <v/>
      </c>
      <c r="BC76" s="49" t="str">
        <f>IFERROR($BC$3&amp;VLOOKUP(D78,'Pay Table'!$M$3:$N$18,2,FALSE)&amp;$BB$3&amp;E78&amp;$BD$3,"")</f>
        <v/>
      </c>
      <c r="BD76" s="49" t="str">
        <f>IFERROR($BC$3&amp;VLOOKUP(F78,'Pay Table'!$M$3:$N$18,2,FALSE)&amp;$BB$3&amp;G78&amp;$BD$3,"")</f>
        <v/>
      </c>
      <c r="BE76" s="49" t="str">
        <f>IFERROR($BC$3&amp;VLOOKUP(H78,'Pay Table'!$M$3:$N$18,2,FALSE)&amp;$BB$3&amp;I78&amp;$BD$3,"")</f>
        <v>[6,100]</v>
      </c>
      <c r="BF76" s="60" t="str">
        <f>IFERROR($BC$3&amp;VLOOKUP(J78,'Pay Table'!$M$3:$N$18,2,FALSE)&amp;$BB$3&amp;K78&amp;$BD$3,"")</f>
        <v/>
      </c>
    </row>
    <row r="77" spans="1:58" ht="17.100000000000001" customHeight="1" x14ac:dyDescent="0.15">
      <c r="A77" s="14">
        <v>72</v>
      </c>
      <c r="H77" s="10" t="s">
        <v>119</v>
      </c>
      <c r="I77" s="10">
        <v>100</v>
      </c>
      <c r="N77" s="4">
        <f t="shared" si="41"/>
        <v>0</v>
      </c>
      <c r="R77" s="5"/>
      <c r="T77" s="4">
        <f t="shared" si="45"/>
        <v>0</v>
      </c>
      <c r="X77" s="5"/>
      <c r="Z77" s="4">
        <f t="shared" si="46"/>
        <v>0</v>
      </c>
      <c r="AC77" s="5"/>
      <c r="AE77" s="4">
        <f t="shared" si="42"/>
        <v>0</v>
      </c>
      <c r="AG77" s="5"/>
      <c r="AI77" s="4">
        <f t="shared" si="43"/>
        <v>0</v>
      </c>
      <c r="AJ77" s="5"/>
      <c r="BB77" s="59" t="str">
        <f>IFERROR($BC$3&amp;VLOOKUP(B79,'Pay Table'!$M$3:$N$18,2,FALSE)&amp;$BB$3&amp;C79&amp;$BD$3,"")</f>
        <v/>
      </c>
      <c r="BC77" s="49" t="str">
        <f>IFERROR($BC$3&amp;VLOOKUP(D79,'Pay Table'!$M$3:$N$18,2,FALSE)&amp;$BB$3&amp;E79&amp;$BD$3,"")</f>
        <v/>
      </c>
      <c r="BD77" s="49" t="str">
        <f>IFERROR($BC$3&amp;VLOOKUP(F79,'Pay Table'!$M$3:$N$18,2,FALSE)&amp;$BB$3&amp;G79&amp;$BD$3,"")</f>
        <v/>
      </c>
      <c r="BE77" s="49" t="str">
        <f>IFERROR($BC$3&amp;VLOOKUP(H79,'Pay Table'!$M$3:$N$18,2,FALSE)&amp;$BB$3&amp;I79&amp;$BD$3,"")</f>
        <v>[4,100]</v>
      </c>
      <c r="BF77" s="60" t="str">
        <f>IFERROR($BC$3&amp;VLOOKUP(J79,'Pay Table'!$M$3:$N$18,2,FALSE)&amp;$BB$3&amp;K79&amp;$BD$3,"")</f>
        <v/>
      </c>
    </row>
    <row r="78" spans="1:58" ht="17.100000000000001" customHeight="1" x14ac:dyDescent="0.15">
      <c r="A78" s="14">
        <v>73</v>
      </c>
      <c r="H78" s="10" t="s">
        <v>121</v>
      </c>
      <c r="I78" s="10">
        <v>100</v>
      </c>
      <c r="N78" s="4">
        <f t="shared" si="41"/>
        <v>0</v>
      </c>
      <c r="R78" s="5"/>
      <c r="T78" s="4">
        <f t="shared" si="45"/>
        <v>0</v>
      </c>
      <c r="X78" s="5"/>
      <c r="Z78" s="4">
        <f t="shared" si="46"/>
        <v>0</v>
      </c>
      <c r="AC78" s="5"/>
      <c r="AE78" s="4">
        <f t="shared" si="42"/>
        <v>0</v>
      </c>
      <c r="AG78" s="5"/>
      <c r="AI78" s="4">
        <f t="shared" si="43"/>
        <v>0</v>
      </c>
      <c r="AJ78" s="5"/>
      <c r="BB78" s="59" t="str">
        <f>IFERROR($BC$3&amp;VLOOKUP(B80,'Pay Table'!$M$3:$N$18,2,FALSE)&amp;$BB$3&amp;C80&amp;$BD$3,"")</f>
        <v/>
      </c>
      <c r="BC78" s="49" t="str">
        <f>IFERROR($BC$3&amp;VLOOKUP(D80,'Pay Table'!$M$3:$N$18,2,FALSE)&amp;$BB$3&amp;E80&amp;$BD$3,"")</f>
        <v/>
      </c>
      <c r="BD78" s="49" t="str">
        <f>IFERROR($BC$3&amp;VLOOKUP(F80,'Pay Table'!$M$3:$N$18,2,FALSE)&amp;$BB$3&amp;G80&amp;$BD$3,"")</f>
        <v/>
      </c>
      <c r="BE78" s="49" t="str">
        <f>IFERROR($BC$3&amp;VLOOKUP(H80,'Pay Table'!$M$3:$N$18,2,FALSE)&amp;$BB$3&amp;I80&amp;$BD$3,"")</f>
        <v>[1,100]</v>
      </c>
      <c r="BF78" s="60" t="str">
        <f>IFERROR($BC$3&amp;VLOOKUP(J80,'Pay Table'!$M$3:$N$18,2,FALSE)&amp;$BB$3&amp;K80&amp;$BD$3,"")</f>
        <v/>
      </c>
    </row>
    <row r="79" spans="1:58" ht="17.100000000000001" customHeight="1" x14ac:dyDescent="0.15">
      <c r="A79" s="14">
        <v>74</v>
      </c>
      <c r="H79" s="10" t="s">
        <v>137</v>
      </c>
      <c r="I79" s="10">
        <v>100</v>
      </c>
      <c r="N79" s="4">
        <f>N61</f>
        <v>0</v>
      </c>
      <c r="R79" s="5"/>
      <c r="T79" s="4">
        <f t="shared" si="45"/>
        <v>0</v>
      </c>
      <c r="X79" s="5"/>
      <c r="Z79" s="4">
        <f t="shared" si="46"/>
        <v>0</v>
      </c>
      <c r="AC79" s="5"/>
      <c r="AE79" s="4">
        <f t="shared" si="42"/>
        <v>0</v>
      </c>
      <c r="AG79" s="5"/>
      <c r="AI79" s="4">
        <f t="shared" si="43"/>
        <v>0</v>
      </c>
      <c r="AJ79" s="5"/>
      <c r="BB79" s="59" t="str">
        <f>IFERROR($BC$3&amp;VLOOKUP(B81,'Pay Table'!$M$3:$N$18,2,FALSE)&amp;$BB$3&amp;C81&amp;$BD$3,"")</f>
        <v/>
      </c>
      <c r="BC79" s="49" t="str">
        <f>IFERROR($BC$3&amp;VLOOKUP(D81,'Pay Table'!$M$3:$N$18,2,FALSE)&amp;$BB$3&amp;E81&amp;$BD$3,"")</f>
        <v/>
      </c>
      <c r="BD79" s="49" t="str">
        <f>IFERROR($BC$3&amp;VLOOKUP(F81,'Pay Table'!$M$3:$N$18,2,FALSE)&amp;$BB$3&amp;G81&amp;$BD$3,"")</f>
        <v/>
      </c>
      <c r="BE79" s="49" t="str">
        <f>IFERROR($BC$3&amp;VLOOKUP(H81,'Pay Table'!$M$3:$N$18,2,FALSE)&amp;$BB$3&amp;I81&amp;$BD$3,"")</f>
        <v>[0,100]</v>
      </c>
      <c r="BF79" s="60" t="str">
        <f>IFERROR($BC$3&amp;VLOOKUP(J81,'Pay Table'!$M$3:$N$18,2,FALSE)&amp;$BB$3&amp;K81&amp;$BD$3,"")</f>
        <v/>
      </c>
    </row>
    <row r="80" spans="1:58" ht="17.100000000000001" customHeight="1" x14ac:dyDescent="0.15">
      <c r="A80" s="14">
        <v>75</v>
      </c>
      <c r="H80" s="10" t="s">
        <v>152</v>
      </c>
      <c r="I80" s="10">
        <v>100</v>
      </c>
      <c r="N80" s="19">
        <f>N62</f>
        <v>0</v>
      </c>
      <c r="O80" s="15"/>
      <c r="P80" s="15"/>
      <c r="Q80" s="15"/>
      <c r="R80" s="16"/>
      <c r="T80" s="19">
        <f t="shared" si="45"/>
        <v>0</v>
      </c>
      <c r="U80" s="15"/>
      <c r="V80" s="15"/>
      <c r="W80" s="15"/>
      <c r="X80" s="16"/>
      <c r="Z80" s="19">
        <f t="shared" si="46"/>
        <v>0</v>
      </c>
      <c r="AA80" s="15"/>
      <c r="AB80" s="15"/>
      <c r="AC80" s="16"/>
      <c r="AE80" s="19">
        <f t="shared" si="42"/>
        <v>0</v>
      </c>
      <c r="AF80" s="15"/>
      <c r="AG80" s="16"/>
      <c r="AI80" s="19">
        <f t="shared" si="43"/>
        <v>0</v>
      </c>
      <c r="AJ80" s="16"/>
      <c r="BB80" s="59" t="str">
        <f>IFERROR($BC$3&amp;VLOOKUP(B82,'Pay Table'!$M$3:$N$18,2,FALSE)&amp;$BB$3&amp;C82&amp;$BD$3,"")</f>
        <v/>
      </c>
      <c r="BC80" s="49" t="str">
        <f>IFERROR($BC$3&amp;VLOOKUP(D82,'Pay Table'!$M$3:$N$18,2,FALSE)&amp;$BB$3&amp;E82&amp;$BD$3,"")</f>
        <v/>
      </c>
      <c r="BD80" s="49" t="str">
        <f>IFERROR($BC$3&amp;VLOOKUP(F82,'Pay Table'!$M$3:$N$18,2,FALSE)&amp;$BB$3&amp;G82&amp;$BD$3,"")</f>
        <v/>
      </c>
      <c r="BE80" s="49" t="str">
        <f>IFERROR($BC$3&amp;VLOOKUP(H82,'Pay Table'!$M$3:$N$18,2,FALSE)&amp;$BB$3&amp;I82&amp;$BD$3,"")</f>
        <v>[92,100]</v>
      </c>
      <c r="BF80" s="60" t="str">
        <f>IFERROR($BC$3&amp;VLOOKUP(J82,'Pay Table'!$M$3:$N$18,2,FALSE)&amp;$BB$3&amp;K82&amp;$BD$3,"")</f>
        <v/>
      </c>
    </row>
    <row r="81" spans="1:58" ht="17.100000000000001" customHeight="1" x14ac:dyDescent="0.15">
      <c r="A81" s="14">
        <v>76</v>
      </c>
      <c r="H81" s="10" t="s">
        <v>124</v>
      </c>
      <c r="I81" s="10">
        <v>100</v>
      </c>
      <c r="BB81" s="59" t="str">
        <f>IFERROR($BC$3&amp;VLOOKUP(B83,'Pay Table'!$M$3:$N$18,2,FALSE)&amp;$BB$3&amp;C83&amp;$BD$3,"")</f>
        <v/>
      </c>
      <c r="BC81" s="49" t="str">
        <f>IFERROR($BC$3&amp;VLOOKUP(D83,'Pay Table'!$M$3:$N$18,2,FALSE)&amp;$BB$3&amp;E83&amp;$BD$3,"")</f>
        <v/>
      </c>
      <c r="BD81" s="49" t="str">
        <f>IFERROR($BC$3&amp;VLOOKUP(F83,'Pay Table'!$M$3:$N$18,2,FALSE)&amp;$BB$3&amp;G83&amp;$BD$3,"")</f>
        <v/>
      </c>
      <c r="BE81" s="49" t="str">
        <f>IFERROR($BC$3&amp;VLOOKUP(H83,'Pay Table'!$M$3:$N$18,2,FALSE)&amp;$BB$3&amp;I83&amp;$BD$3,"")</f>
        <v>[5,100]</v>
      </c>
      <c r="BF81" s="60" t="str">
        <f>IFERROR($BC$3&amp;VLOOKUP(J83,'Pay Table'!$M$3:$N$18,2,FALSE)&amp;$BB$3&amp;K83&amp;$BD$3,"")</f>
        <v/>
      </c>
    </row>
    <row r="82" spans="1:58" ht="17.100000000000001" customHeight="1" x14ac:dyDescent="0.15">
      <c r="A82" s="14">
        <v>77</v>
      </c>
      <c r="H82" s="10" t="s">
        <v>122</v>
      </c>
      <c r="I82" s="10">
        <v>100</v>
      </c>
      <c r="N82" s="6" t="s">
        <v>4</v>
      </c>
      <c r="O82" s="18" t="s">
        <v>122</v>
      </c>
      <c r="P82" s="18" t="s">
        <v>153</v>
      </c>
      <c r="Q82" s="18" t="s">
        <v>125</v>
      </c>
      <c r="R82" s="18" t="s">
        <v>126</v>
      </c>
      <c r="S82" s="18" t="s">
        <v>127</v>
      </c>
      <c r="T82" s="18" t="s">
        <v>128</v>
      </c>
      <c r="U82" s="18" t="s">
        <v>123</v>
      </c>
      <c r="V82" s="18" t="s">
        <v>121</v>
      </c>
      <c r="W82" s="18" t="s">
        <v>119</v>
      </c>
      <c r="X82" s="36" t="s">
        <v>120</v>
      </c>
      <c r="Z82" s="7"/>
      <c r="AA82" s="21"/>
      <c r="AB82" s="21"/>
      <c r="AC82" s="21"/>
      <c r="AD82" s="21"/>
      <c r="AE82" s="21"/>
      <c r="AF82" s="21"/>
      <c r="AG82" s="21"/>
      <c r="AH82" s="20"/>
      <c r="BB82" s="59" t="str">
        <f>IFERROR($BC$3&amp;VLOOKUP(B84,'Pay Table'!$M$3:$N$18,2,FALSE)&amp;$BB$3&amp;C84&amp;$BD$3,"")</f>
        <v/>
      </c>
      <c r="BC82" s="49" t="str">
        <f>IFERROR($BC$3&amp;VLOOKUP(D84,'Pay Table'!$M$3:$N$18,2,FALSE)&amp;$BB$3&amp;E84&amp;$BD$3,"")</f>
        <v/>
      </c>
      <c r="BD82" s="49" t="str">
        <f>IFERROR($BC$3&amp;VLOOKUP(F84,'Pay Table'!$M$3:$N$18,2,FALSE)&amp;$BB$3&amp;G84&amp;$BD$3,"")</f>
        <v/>
      </c>
      <c r="BE82" s="49" t="str">
        <f>IFERROR($BC$3&amp;VLOOKUP(H84,'Pay Table'!$M$3:$N$18,2,FALSE)&amp;$BB$3&amp;I84&amp;$BD$3,"")</f>
        <v>[0,100]</v>
      </c>
      <c r="BF82" s="60" t="str">
        <f>IFERROR($BC$3&amp;VLOOKUP(J84,'Pay Table'!$M$3:$N$18,2,FALSE)&amp;$BB$3&amp;K84&amp;$BD$3,"")</f>
        <v/>
      </c>
    </row>
    <row r="83" spans="1:58" ht="17.100000000000001" customHeight="1" x14ac:dyDescent="0.15">
      <c r="A83" s="14">
        <v>78</v>
      </c>
      <c r="H83" s="10" t="s">
        <v>123</v>
      </c>
      <c r="I83" s="10">
        <v>100</v>
      </c>
      <c r="N83" s="4">
        <v>2</v>
      </c>
      <c r="O83" s="176"/>
      <c r="P83" s="177"/>
      <c r="Q83" s="177"/>
      <c r="R83" s="177"/>
      <c r="S83" s="177"/>
      <c r="T83" s="177"/>
      <c r="U83" s="177"/>
      <c r="V83" s="177"/>
      <c r="W83" s="177"/>
      <c r="X83" s="178"/>
      <c r="Z83" s="148" t="e">
        <f>P83/SUM($P$83:$P$91)</f>
        <v>#DIV/0!</v>
      </c>
      <c r="AA83" s="149" t="e">
        <f>Q83/SUM($Q$83:$Q$91)</f>
        <v>#DIV/0!</v>
      </c>
      <c r="AB83" s="149" t="e">
        <f>R83/SUM($R$83:$R$91)</f>
        <v>#DIV/0!</v>
      </c>
      <c r="AC83" s="149" t="e">
        <f>S83/SUM($S$83:$S$91)</f>
        <v>#DIV/0!</v>
      </c>
      <c r="AD83" s="149" t="e">
        <f>T83/SUM($T$83:$T$91)</f>
        <v>#DIV/0!</v>
      </c>
      <c r="AE83" s="149" t="e">
        <f>U83/SUM($U$83:$U$91)</f>
        <v>#DIV/0!</v>
      </c>
      <c r="AF83" s="149" t="e">
        <f>V83/SUM($V$83:$V$91)</f>
        <v>#DIV/0!</v>
      </c>
      <c r="AG83" s="149" t="e">
        <f>W83/SUM($W$83:$W$91)</f>
        <v>#DIV/0!</v>
      </c>
      <c r="AH83" s="150" t="e">
        <f>X83/SUM($X$83:$X$91)</f>
        <v>#DIV/0!</v>
      </c>
      <c r="BB83" s="59" t="str">
        <f>IFERROR($BC$3&amp;VLOOKUP(B85,'Pay Table'!$M$3:$N$18,2,FALSE)&amp;$BB$3&amp;C85&amp;$BD$3,"")</f>
        <v/>
      </c>
      <c r="BC83" s="49" t="str">
        <f>IFERROR($BC$3&amp;VLOOKUP(D85,'Pay Table'!$M$3:$N$18,2,FALSE)&amp;$BB$3&amp;E85&amp;$BD$3,"")</f>
        <v/>
      </c>
      <c r="BD83" s="49" t="str">
        <f>IFERROR($BC$3&amp;VLOOKUP(F85,'Pay Table'!$M$3:$N$18,2,FALSE)&amp;$BB$3&amp;G85&amp;$BD$3,"")</f>
        <v/>
      </c>
      <c r="BE83" s="49" t="str">
        <f>IFERROR($BC$3&amp;VLOOKUP(H85,'Pay Table'!$M$3:$N$18,2,FALSE)&amp;$BB$3&amp;I85&amp;$BD$3,"")</f>
        <v>[5,100]</v>
      </c>
      <c r="BF83" s="60" t="str">
        <f>IFERROR($BC$3&amp;VLOOKUP(J85,'Pay Table'!$M$3:$N$18,2,FALSE)&amp;$BB$3&amp;K85&amp;$BD$3,"")</f>
        <v/>
      </c>
    </row>
    <row r="84" spans="1:58" ht="17.100000000000001" customHeight="1" x14ac:dyDescent="0.15">
      <c r="A84" s="14">
        <v>79</v>
      </c>
      <c r="H84" s="10" t="s">
        <v>124</v>
      </c>
      <c r="I84" s="10">
        <v>100</v>
      </c>
      <c r="N84" s="4">
        <v>3</v>
      </c>
      <c r="O84" s="179"/>
      <c r="P84" s="180"/>
      <c r="Q84" s="180"/>
      <c r="R84" s="180"/>
      <c r="S84" s="180"/>
      <c r="T84" s="180"/>
      <c r="U84" s="180"/>
      <c r="V84" s="180"/>
      <c r="W84" s="180"/>
      <c r="X84" s="181"/>
      <c r="Z84" s="151" t="e">
        <f t="shared" ref="Z84:Z91" si="50">P84/SUM($P$83:$P$91)</f>
        <v>#DIV/0!</v>
      </c>
      <c r="AA84" s="152" t="e">
        <f t="shared" ref="AA84:AA91" si="51">Q84/SUM($Q$83:$Q$91)</f>
        <v>#DIV/0!</v>
      </c>
      <c r="AB84" s="152" t="e">
        <f t="shared" ref="AB84:AB91" si="52">R84/SUM($R$83:$R$91)</f>
        <v>#DIV/0!</v>
      </c>
      <c r="AC84" s="152" t="e">
        <f t="shared" ref="AC84:AC91" si="53">S84/SUM($S$83:$S$91)</f>
        <v>#DIV/0!</v>
      </c>
      <c r="AD84" s="152" t="e">
        <f t="shared" ref="AD84:AD91" si="54">T84/SUM($T$83:$T$91)</f>
        <v>#DIV/0!</v>
      </c>
      <c r="AE84" s="152" t="e">
        <f t="shared" ref="AE84:AE91" si="55">U84/SUM($U$83:$U$91)</f>
        <v>#DIV/0!</v>
      </c>
      <c r="AF84" s="152" t="e">
        <f t="shared" ref="AF84:AF91" si="56">V84/SUM($V$83:$V$91)</f>
        <v>#DIV/0!</v>
      </c>
      <c r="AG84" s="152" t="e">
        <f t="shared" ref="AG84:AG91" si="57">W84/SUM($W$83:$W$91)</f>
        <v>#DIV/0!</v>
      </c>
      <c r="AH84" s="153" t="e">
        <f t="shared" ref="AH84:AH91" si="58">X84/SUM($X$83:$X$91)</f>
        <v>#DIV/0!</v>
      </c>
      <c r="BB84" s="59" t="str">
        <f>IFERROR($BC$3&amp;VLOOKUP(B86,'Pay Table'!$M$3:$N$18,2,FALSE)&amp;$BB$3&amp;C86&amp;$BD$3,"")</f>
        <v/>
      </c>
      <c r="BC84" s="49" t="str">
        <f>IFERROR($BC$3&amp;VLOOKUP(D86,'Pay Table'!$M$3:$N$18,2,FALSE)&amp;$BB$3&amp;E86&amp;$BD$3,"")</f>
        <v/>
      </c>
      <c r="BD84" s="49" t="str">
        <f>IFERROR($BC$3&amp;VLOOKUP(F86,'Pay Table'!$M$3:$N$18,2,FALSE)&amp;$BB$3&amp;G86&amp;$BD$3,"")</f>
        <v/>
      </c>
      <c r="BE84" s="49" t="str">
        <f>IFERROR($BC$3&amp;VLOOKUP(H86,'Pay Table'!$M$3:$N$18,2,FALSE)&amp;$BB$3&amp;I86&amp;$BD$3,"")</f>
        <v/>
      </c>
      <c r="BF84" s="60" t="str">
        <f>IFERROR($BC$3&amp;VLOOKUP(J86,'Pay Table'!$M$3:$N$18,2,FALSE)&amp;$BB$3&amp;K86&amp;$BD$3,"")</f>
        <v/>
      </c>
    </row>
    <row r="85" spans="1:58" ht="17.100000000000001" customHeight="1" x14ac:dyDescent="0.15">
      <c r="A85" s="14">
        <v>80</v>
      </c>
      <c r="H85" s="10" t="s">
        <v>123</v>
      </c>
      <c r="I85" s="10">
        <v>100</v>
      </c>
      <c r="N85" s="4">
        <v>4</v>
      </c>
      <c r="O85" s="179"/>
      <c r="P85" s="180"/>
      <c r="Q85" s="180"/>
      <c r="R85" s="180"/>
      <c r="S85" s="180"/>
      <c r="T85" s="180"/>
      <c r="U85" s="180"/>
      <c r="V85" s="180"/>
      <c r="W85" s="180"/>
      <c r="X85" s="181"/>
      <c r="Z85" s="151" t="e">
        <f t="shared" si="50"/>
        <v>#DIV/0!</v>
      </c>
      <c r="AA85" s="152" t="e">
        <f t="shared" si="51"/>
        <v>#DIV/0!</v>
      </c>
      <c r="AB85" s="152" t="e">
        <f t="shared" si="52"/>
        <v>#DIV/0!</v>
      </c>
      <c r="AC85" s="152" t="e">
        <f t="shared" si="53"/>
        <v>#DIV/0!</v>
      </c>
      <c r="AD85" s="152" t="e">
        <f t="shared" si="54"/>
        <v>#DIV/0!</v>
      </c>
      <c r="AE85" s="152" t="e">
        <f t="shared" si="55"/>
        <v>#DIV/0!</v>
      </c>
      <c r="AF85" s="152" t="e">
        <f t="shared" si="56"/>
        <v>#DIV/0!</v>
      </c>
      <c r="AG85" s="152" t="e">
        <f t="shared" si="57"/>
        <v>#DIV/0!</v>
      </c>
      <c r="AH85" s="153" t="e">
        <f t="shared" si="58"/>
        <v>#DIV/0!</v>
      </c>
      <c r="BB85" s="59" t="str">
        <f>IFERROR($BC$3&amp;VLOOKUP(B87,'Pay Table'!$M$3:$N$18,2,FALSE)&amp;$BB$3&amp;C87&amp;$BD$3,"")</f>
        <v/>
      </c>
      <c r="BC85" s="49" t="str">
        <f>IFERROR($BC$3&amp;VLOOKUP(D87,'Pay Table'!$M$3:$N$18,2,FALSE)&amp;$BB$3&amp;E87&amp;$BD$3,"")</f>
        <v/>
      </c>
      <c r="BD85" s="49" t="str">
        <f>IFERROR($BC$3&amp;VLOOKUP(F87,'Pay Table'!$M$3:$N$18,2,FALSE)&amp;$BB$3&amp;G87&amp;$BD$3,"")</f>
        <v/>
      </c>
      <c r="BE85" s="49" t="str">
        <f>IFERROR($BC$3&amp;VLOOKUP(H87,'Pay Table'!$M$3:$N$18,2,FALSE)&amp;$BB$3&amp;I87&amp;$BD$3,"")</f>
        <v/>
      </c>
      <c r="BF85" s="60" t="str">
        <f>IFERROR($BC$3&amp;VLOOKUP(J87,'Pay Table'!$M$3:$N$18,2,FALSE)&amp;$BB$3&amp;K87&amp;$BD$3,"")</f>
        <v/>
      </c>
    </row>
    <row r="86" spans="1:58" ht="17.100000000000001" customHeight="1" x14ac:dyDescent="0.15">
      <c r="A86" s="14">
        <v>81</v>
      </c>
      <c r="N86" s="4">
        <v>5</v>
      </c>
      <c r="O86" s="179"/>
      <c r="P86" s="180"/>
      <c r="Q86" s="180"/>
      <c r="R86" s="180"/>
      <c r="S86" s="180"/>
      <c r="T86" s="180"/>
      <c r="U86" s="180"/>
      <c r="V86" s="180"/>
      <c r="W86" s="180"/>
      <c r="X86" s="181"/>
      <c r="Z86" s="151" t="e">
        <f t="shared" si="50"/>
        <v>#DIV/0!</v>
      </c>
      <c r="AA86" s="152" t="e">
        <f t="shared" si="51"/>
        <v>#DIV/0!</v>
      </c>
      <c r="AB86" s="152" t="e">
        <f t="shared" si="52"/>
        <v>#DIV/0!</v>
      </c>
      <c r="AC86" s="152" t="e">
        <f t="shared" si="53"/>
        <v>#DIV/0!</v>
      </c>
      <c r="AD86" s="152" t="e">
        <f t="shared" si="54"/>
        <v>#DIV/0!</v>
      </c>
      <c r="AE86" s="152" t="e">
        <f t="shared" si="55"/>
        <v>#DIV/0!</v>
      </c>
      <c r="AF86" s="152" t="e">
        <f t="shared" si="56"/>
        <v>#DIV/0!</v>
      </c>
      <c r="AG86" s="152" t="e">
        <f t="shared" si="57"/>
        <v>#DIV/0!</v>
      </c>
      <c r="AH86" s="153" t="e">
        <f t="shared" si="58"/>
        <v>#DIV/0!</v>
      </c>
      <c r="BB86" s="59" t="str">
        <f>IFERROR($BC$3&amp;VLOOKUP(B88,'Pay Table'!$M$3:$N$18,2,FALSE)&amp;$BB$3&amp;C88&amp;$BD$3,"")</f>
        <v/>
      </c>
      <c r="BC86" s="49" t="str">
        <f>IFERROR($BC$3&amp;VLOOKUP(D88,'Pay Table'!$M$3:$N$18,2,FALSE)&amp;$BB$3&amp;E88&amp;$BD$3,"")</f>
        <v/>
      </c>
      <c r="BD86" s="49" t="str">
        <f>IFERROR($BC$3&amp;VLOOKUP(F88,'Pay Table'!$M$3:$N$18,2,FALSE)&amp;$BB$3&amp;G88&amp;$BD$3,"")</f>
        <v/>
      </c>
      <c r="BE86" s="49" t="str">
        <f>IFERROR($BC$3&amp;VLOOKUP(H88,'Pay Table'!$M$3:$N$18,2,FALSE)&amp;$BB$3&amp;I88&amp;$BD$3,"")</f>
        <v/>
      </c>
      <c r="BF86" s="60" t="str">
        <f>IFERROR($BC$3&amp;VLOOKUP(J88,'Pay Table'!$M$3:$N$18,2,FALSE)&amp;$BB$3&amp;K88&amp;$BD$3,"")</f>
        <v/>
      </c>
    </row>
    <row r="87" spans="1:58" ht="17.100000000000001" customHeight="1" x14ac:dyDescent="0.15">
      <c r="A87" s="14">
        <v>82</v>
      </c>
      <c r="N87" s="4">
        <v>6</v>
      </c>
      <c r="O87" s="179"/>
      <c r="P87" s="180"/>
      <c r="Q87" s="180"/>
      <c r="R87" s="180"/>
      <c r="S87" s="180"/>
      <c r="T87" s="180"/>
      <c r="U87" s="180"/>
      <c r="V87" s="180"/>
      <c r="W87" s="180"/>
      <c r="X87" s="181"/>
      <c r="Z87" s="151" t="e">
        <f t="shared" si="50"/>
        <v>#DIV/0!</v>
      </c>
      <c r="AA87" s="152" t="e">
        <f t="shared" si="51"/>
        <v>#DIV/0!</v>
      </c>
      <c r="AB87" s="152" t="e">
        <f t="shared" si="52"/>
        <v>#DIV/0!</v>
      </c>
      <c r="AC87" s="152" t="e">
        <f t="shared" si="53"/>
        <v>#DIV/0!</v>
      </c>
      <c r="AD87" s="152" t="e">
        <f t="shared" si="54"/>
        <v>#DIV/0!</v>
      </c>
      <c r="AE87" s="152" t="e">
        <f t="shared" si="55"/>
        <v>#DIV/0!</v>
      </c>
      <c r="AF87" s="152" t="e">
        <f t="shared" si="56"/>
        <v>#DIV/0!</v>
      </c>
      <c r="AG87" s="152" t="e">
        <f t="shared" si="57"/>
        <v>#DIV/0!</v>
      </c>
      <c r="AH87" s="153" t="e">
        <f t="shared" si="58"/>
        <v>#DIV/0!</v>
      </c>
      <c r="AQ87" s="1">
        <v>0.308558</v>
      </c>
      <c r="BB87" s="59" t="str">
        <f>IFERROR($BC$3&amp;VLOOKUP(B89,'Pay Table'!$M$3:$N$18,2,FALSE)&amp;$BB$3&amp;C89&amp;$BD$3,"")</f>
        <v/>
      </c>
      <c r="BC87" s="49" t="str">
        <f>IFERROR($BC$3&amp;VLOOKUP(D89,'Pay Table'!$M$3:$N$18,2,FALSE)&amp;$BB$3&amp;E89&amp;$BD$3,"")</f>
        <v/>
      </c>
      <c r="BD87" s="49" t="str">
        <f>IFERROR($BC$3&amp;VLOOKUP(F89,'Pay Table'!$M$3:$N$18,2,FALSE)&amp;$BB$3&amp;G89&amp;$BD$3,"")</f>
        <v/>
      </c>
      <c r="BE87" s="49" t="str">
        <f>IFERROR($BC$3&amp;VLOOKUP(H89,'Pay Table'!$M$3:$N$18,2,FALSE)&amp;$BB$3&amp;I89&amp;$BD$3,"")</f>
        <v/>
      </c>
      <c r="BF87" s="60" t="str">
        <f>IFERROR($BC$3&amp;VLOOKUP(J89,'Pay Table'!$M$3:$N$18,2,FALSE)&amp;$BB$3&amp;K89&amp;$BD$3,"")</f>
        <v/>
      </c>
    </row>
    <row r="88" spans="1:58" ht="17.100000000000001" customHeight="1" x14ac:dyDescent="0.15">
      <c r="A88" s="14">
        <v>83</v>
      </c>
      <c r="N88" s="4">
        <v>7</v>
      </c>
      <c r="O88" s="179"/>
      <c r="P88" s="180"/>
      <c r="Q88" s="180"/>
      <c r="R88" s="180"/>
      <c r="S88" s="180"/>
      <c r="T88" s="180"/>
      <c r="U88" s="180"/>
      <c r="V88" s="180"/>
      <c r="W88" s="180"/>
      <c r="X88" s="181"/>
      <c r="Z88" s="151" t="e">
        <f t="shared" si="50"/>
        <v>#DIV/0!</v>
      </c>
      <c r="AA88" s="152" t="e">
        <f t="shared" si="51"/>
        <v>#DIV/0!</v>
      </c>
      <c r="AB88" s="152" t="e">
        <f t="shared" si="52"/>
        <v>#DIV/0!</v>
      </c>
      <c r="AC88" s="152" t="e">
        <f t="shared" si="53"/>
        <v>#DIV/0!</v>
      </c>
      <c r="AD88" s="152" t="e">
        <f t="shared" si="54"/>
        <v>#DIV/0!</v>
      </c>
      <c r="AE88" s="152" t="e">
        <f t="shared" si="55"/>
        <v>#DIV/0!</v>
      </c>
      <c r="AF88" s="152" t="e">
        <f t="shared" si="56"/>
        <v>#DIV/0!</v>
      </c>
      <c r="AG88" s="152" t="e">
        <f t="shared" si="57"/>
        <v>#DIV/0!</v>
      </c>
      <c r="AH88" s="153" t="e">
        <f t="shared" si="58"/>
        <v>#DIV/0!</v>
      </c>
      <c r="AQ88" s="1">
        <v>8.9962E-2</v>
      </c>
      <c r="BB88" s="59" t="str">
        <f>IFERROR($BC$3&amp;VLOOKUP(B90,'Pay Table'!$M$3:$N$18,2,FALSE)&amp;$BB$3&amp;C90&amp;$BD$3,"")</f>
        <v/>
      </c>
      <c r="BC88" s="49" t="str">
        <f>IFERROR($BC$3&amp;VLOOKUP(D90,'Pay Table'!$M$3:$N$18,2,FALSE)&amp;$BB$3&amp;E90&amp;$BD$3,"")</f>
        <v/>
      </c>
      <c r="BD88" s="49" t="str">
        <f>IFERROR($BC$3&amp;VLOOKUP(F90,'Pay Table'!$M$3:$N$18,2,FALSE)&amp;$BB$3&amp;G90&amp;$BD$3,"")</f>
        <v/>
      </c>
      <c r="BE88" s="49" t="str">
        <f>IFERROR($BC$3&amp;VLOOKUP(H90,'Pay Table'!$M$3:$N$18,2,FALSE)&amp;$BB$3&amp;I90&amp;$BD$3,"")</f>
        <v/>
      </c>
      <c r="BF88" s="60" t="str">
        <f>IFERROR($BC$3&amp;VLOOKUP(J90,'Pay Table'!$M$3:$N$18,2,FALSE)&amp;$BB$3&amp;K90&amp;$BD$3,"")</f>
        <v/>
      </c>
    </row>
    <row r="89" spans="1:58" ht="17.100000000000001" customHeight="1" x14ac:dyDescent="0.15">
      <c r="A89" s="14">
        <v>84</v>
      </c>
      <c r="N89" s="4">
        <v>8</v>
      </c>
      <c r="O89" s="179"/>
      <c r="P89" s="180"/>
      <c r="Q89" s="180"/>
      <c r="R89" s="180"/>
      <c r="S89" s="180"/>
      <c r="T89" s="180"/>
      <c r="U89" s="180"/>
      <c r="V89" s="180"/>
      <c r="W89" s="180"/>
      <c r="X89" s="181"/>
      <c r="Z89" s="151" t="e">
        <f t="shared" si="50"/>
        <v>#DIV/0!</v>
      </c>
      <c r="AA89" s="152" t="e">
        <f t="shared" si="51"/>
        <v>#DIV/0!</v>
      </c>
      <c r="AB89" s="152" t="e">
        <f t="shared" si="52"/>
        <v>#DIV/0!</v>
      </c>
      <c r="AC89" s="152" t="e">
        <f t="shared" si="53"/>
        <v>#DIV/0!</v>
      </c>
      <c r="AD89" s="152" t="e">
        <f t="shared" si="54"/>
        <v>#DIV/0!</v>
      </c>
      <c r="AE89" s="152" t="e">
        <f t="shared" si="55"/>
        <v>#DIV/0!</v>
      </c>
      <c r="AF89" s="152" t="e">
        <f t="shared" si="56"/>
        <v>#DIV/0!</v>
      </c>
      <c r="AG89" s="152" t="e">
        <f t="shared" si="57"/>
        <v>#DIV/0!</v>
      </c>
      <c r="AH89" s="153" t="e">
        <f t="shared" si="58"/>
        <v>#DIV/0!</v>
      </c>
      <c r="AQ89" s="1">
        <v>0.139015</v>
      </c>
      <c r="BB89" s="59" t="str">
        <f>IFERROR($BC$3&amp;VLOOKUP(B91,'Pay Table'!$M$3:$N$18,2,FALSE)&amp;$BB$3&amp;C91&amp;$BD$3,"")</f>
        <v/>
      </c>
      <c r="BC89" s="49" t="str">
        <f>IFERROR($BC$3&amp;VLOOKUP(D91,'Pay Table'!$M$3:$N$18,2,FALSE)&amp;$BB$3&amp;E91&amp;$BD$3,"")</f>
        <v/>
      </c>
      <c r="BD89" s="49" t="str">
        <f>IFERROR($BC$3&amp;VLOOKUP(F91,'Pay Table'!$M$3:$N$18,2,FALSE)&amp;$BB$3&amp;G91&amp;$BD$3,"")</f>
        <v/>
      </c>
      <c r="BE89" s="49" t="str">
        <f>IFERROR($BC$3&amp;VLOOKUP(H91,'Pay Table'!$M$3:$N$18,2,FALSE)&amp;$BB$3&amp;I91&amp;$BD$3,"")</f>
        <v/>
      </c>
      <c r="BF89" s="60" t="str">
        <f>IFERROR($BC$3&amp;VLOOKUP(J91,'Pay Table'!$M$3:$N$18,2,FALSE)&amp;$BB$3&amp;K91&amp;$BD$3,"")</f>
        <v/>
      </c>
    </row>
    <row r="90" spans="1:58" ht="17.100000000000001" customHeight="1" x14ac:dyDescent="0.15">
      <c r="A90" s="14">
        <v>85</v>
      </c>
      <c r="N90" s="4">
        <v>9</v>
      </c>
      <c r="O90" s="179"/>
      <c r="P90" s="180"/>
      <c r="Q90" s="180"/>
      <c r="R90" s="180"/>
      <c r="S90" s="180"/>
      <c r="T90" s="180"/>
      <c r="U90" s="180"/>
      <c r="V90" s="180"/>
      <c r="W90" s="180"/>
      <c r="X90" s="181"/>
      <c r="Z90" s="151" t="e">
        <f t="shared" si="50"/>
        <v>#DIV/0!</v>
      </c>
      <c r="AA90" s="152" t="e">
        <f t="shared" si="51"/>
        <v>#DIV/0!</v>
      </c>
      <c r="AB90" s="152" t="e">
        <f t="shared" si="52"/>
        <v>#DIV/0!</v>
      </c>
      <c r="AC90" s="152" t="e">
        <f t="shared" si="53"/>
        <v>#DIV/0!</v>
      </c>
      <c r="AD90" s="152" t="e">
        <f t="shared" si="54"/>
        <v>#DIV/0!</v>
      </c>
      <c r="AE90" s="152" t="e">
        <f t="shared" si="55"/>
        <v>#DIV/0!</v>
      </c>
      <c r="AF90" s="152" t="e">
        <f t="shared" si="56"/>
        <v>#DIV/0!</v>
      </c>
      <c r="AG90" s="152" t="e">
        <f t="shared" si="57"/>
        <v>#DIV/0!</v>
      </c>
      <c r="AH90" s="153" t="e">
        <f t="shared" si="58"/>
        <v>#DIV/0!</v>
      </c>
      <c r="AQ90" s="1">
        <v>0.41765000000000002</v>
      </c>
      <c r="BB90" s="59" t="str">
        <f>IFERROR($BC$3&amp;VLOOKUP(B92,'Pay Table'!$M$3:$N$18,2,FALSE)&amp;$BB$3&amp;C92&amp;$BD$3,"")</f>
        <v/>
      </c>
      <c r="BC90" s="49" t="str">
        <f>IFERROR($BC$3&amp;VLOOKUP(D92,'Pay Table'!$M$3:$N$18,2,FALSE)&amp;$BB$3&amp;E92&amp;$BD$3,"")</f>
        <v/>
      </c>
      <c r="BD90" s="49" t="str">
        <f>IFERROR($BC$3&amp;VLOOKUP(F92,'Pay Table'!$M$3:$N$18,2,FALSE)&amp;$BB$3&amp;G92&amp;$BD$3,"")</f>
        <v/>
      </c>
      <c r="BE90" s="49" t="str">
        <f>IFERROR($BC$3&amp;VLOOKUP(H92,'Pay Table'!$M$3:$N$18,2,FALSE)&amp;$BB$3&amp;I92&amp;$BD$3,"")</f>
        <v/>
      </c>
      <c r="BF90" s="60" t="str">
        <f>IFERROR($BC$3&amp;VLOOKUP(J92,'Pay Table'!$M$3:$N$18,2,FALSE)&amp;$BB$3&amp;K92&amp;$BD$3,"")</f>
        <v/>
      </c>
    </row>
    <row r="91" spans="1:58" ht="17.100000000000001" customHeight="1" x14ac:dyDescent="0.15">
      <c r="A91" s="14">
        <v>86</v>
      </c>
      <c r="N91" s="19">
        <v>10</v>
      </c>
      <c r="O91" s="182"/>
      <c r="P91" s="183"/>
      <c r="Q91" s="183"/>
      <c r="R91" s="183"/>
      <c r="S91" s="183"/>
      <c r="T91" s="183"/>
      <c r="U91" s="183"/>
      <c r="V91" s="183"/>
      <c r="W91" s="183"/>
      <c r="X91" s="184"/>
      <c r="Z91" s="154" t="e">
        <f t="shared" si="50"/>
        <v>#DIV/0!</v>
      </c>
      <c r="AA91" s="155" t="e">
        <f t="shared" si="51"/>
        <v>#DIV/0!</v>
      </c>
      <c r="AB91" s="155" t="e">
        <f t="shared" si="52"/>
        <v>#DIV/0!</v>
      </c>
      <c r="AC91" s="155" t="e">
        <f t="shared" si="53"/>
        <v>#DIV/0!</v>
      </c>
      <c r="AD91" s="155" t="e">
        <f t="shared" si="54"/>
        <v>#DIV/0!</v>
      </c>
      <c r="AE91" s="155" t="e">
        <f t="shared" si="55"/>
        <v>#DIV/0!</v>
      </c>
      <c r="AF91" s="155" t="e">
        <f t="shared" si="56"/>
        <v>#DIV/0!</v>
      </c>
      <c r="AG91" s="155" t="e">
        <f t="shared" si="57"/>
        <v>#DIV/0!</v>
      </c>
      <c r="AH91" s="156" t="e">
        <f t="shared" si="58"/>
        <v>#DIV/0!</v>
      </c>
      <c r="BB91" s="59" t="str">
        <f>IFERROR($BC$3&amp;VLOOKUP(B93,'Pay Table'!$M$3:$N$18,2,FALSE)&amp;$BB$3&amp;C93&amp;$BD$3,"")</f>
        <v/>
      </c>
      <c r="BC91" s="49" t="str">
        <f>IFERROR($BC$3&amp;VLOOKUP(D93,'Pay Table'!$M$3:$N$18,2,FALSE)&amp;$BB$3&amp;E93&amp;$BD$3,"")</f>
        <v/>
      </c>
      <c r="BD91" s="49" t="str">
        <f>IFERROR($BC$3&amp;VLOOKUP(F93,'Pay Table'!$M$3:$N$18,2,FALSE)&amp;$BB$3&amp;G93&amp;$BD$3,"")</f>
        <v/>
      </c>
      <c r="BE91" s="49" t="str">
        <f>IFERROR($BC$3&amp;VLOOKUP(H93,'Pay Table'!$M$3:$N$18,2,FALSE)&amp;$BB$3&amp;I93&amp;$BD$3,"")</f>
        <v/>
      </c>
      <c r="BF91" s="60" t="str">
        <f>IFERROR($BC$3&amp;VLOOKUP(J93,'Pay Table'!$M$3:$N$18,2,FALSE)&amp;$BB$3&amp;K93&amp;$BD$3,"")</f>
        <v/>
      </c>
    </row>
    <row r="92" spans="1:58" ht="17.100000000000001" customHeight="1" x14ac:dyDescent="0.15">
      <c r="A92" s="14">
        <v>87</v>
      </c>
      <c r="Q92" s="1">
        <v>0</v>
      </c>
      <c r="BB92" s="59" t="str">
        <f>IFERROR($BC$3&amp;VLOOKUP(B94,'Pay Table'!$M$3:$N$18,2,FALSE)&amp;$BB$3&amp;C94&amp;$BD$3,"")</f>
        <v/>
      </c>
      <c r="BC92" s="49" t="str">
        <f>IFERROR($BC$3&amp;VLOOKUP(D94,'Pay Table'!$M$3:$N$18,2,FALSE)&amp;$BB$3&amp;E94&amp;$BD$3,"")</f>
        <v/>
      </c>
      <c r="BD92" s="49" t="str">
        <f>IFERROR($BC$3&amp;VLOOKUP(F94,'Pay Table'!$M$3:$N$18,2,FALSE)&amp;$BB$3&amp;G94&amp;$BD$3,"")</f>
        <v/>
      </c>
      <c r="BE92" s="49" t="str">
        <f>IFERROR($BC$3&amp;VLOOKUP(H94,'Pay Table'!$M$3:$N$18,2,FALSE)&amp;$BB$3&amp;I94&amp;$BD$3,"")</f>
        <v/>
      </c>
      <c r="BF92" s="60" t="str">
        <f>IFERROR($BC$3&amp;VLOOKUP(J94,'Pay Table'!$M$3:$N$18,2,FALSE)&amp;$BB$3&amp;K94&amp;$BD$3,"")</f>
        <v/>
      </c>
    </row>
    <row r="93" spans="1:58" ht="17.100000000000001" customHeight="1" x14ac:dyDescent="0.15">
      <c r="A93" s="14">
        <v>88</v>
      </c>
      <c r="N93" s="7"/>
      <c r="O93" s="21">
        <v>2</v>
      </c>
      <c r="P93" s="21">
        <v>3</v>
      </c>
      <c r="Q93" s="21">
        <v>4</v>
      </c>
      <c r="R93" s="21">
        <v>5</v>
      </c>
      <c r="S93" s="21">
        <v>6</v>
      </c>
      <c r="T93" s="21">
        <v>7</v>
      </c>
      <c r="U93" s="21">
        <v>8</v>
      </c>
      <c r="V93" s="21">
        <v>9</v>
      </c>
      <c r="W93" s="20">
        <v>10</v>
      </c>
      <c r="AA93" s="17" t="s">
        <v>173</v>
      </c>
      <c r="AB93" s="17">
        <v>0</v>
      </c>
      <c r="AC93" s="18">
        <v>1</v>
      </c>
      <c r="AD93" s="18">
        <v>2</v>
      </c>
      <c r="AE93" s="18">
        <v>3</v>
      </c>
      <c r="AF93" s="18">
        <v>4</v>
      </c>
      <c r="AG93" s="36">
        <v>5</v>
      </c>
      <c r="AI93" s="1" t="s">
        <v>361</v>
      </c>
      <c r="AJ93" s="1">
        <v>1</v>
      </c>
      <c r="AK93" s="1">
        <v>2</v>
      </c>
      <c r="AL93" s="1">
        <v>3</v>
      </c>
      <c r="AM93" s="1">
        <v>4</v>
      </c>
      <c r="AN93" s="1">
        <v>5</v>
      </c>
      <c r="BB93" s="59" t="str">
        <f>IFERROR($BC$3&amp;VLOOKUP(B95,'Pay Table'!$M$3:$N$18,2,FALSE)&amp;$BB$3&amp;C95&amp;$BD$3,"")</f>
        <v/>
      </c>
      <c r="BC93" s="49" t="str">
        <f>IFERROR($BC$3&amp;VLOOKUP(D95,'Pay Table'!$M$3:$N$18,2,FALSE)&amp;$BB$3&amp;E95&amp;$BD$3,"")</f>
        <v/>
      </c>
      <c r="BD93" s="49" t="str">
        <f>IFERROR($BC$3&amp;VLOOKUP(F95,'Pay Table'!$M$3:$N$18,2,FALSE)&amp;$BB$3&amp;G95&amp;$BD$3,"")</f>
        <v/>
      </c>
      <c r="BE93" s="49" t="str">
        <f>IFERROR($BC$3&amp;VLOOKUP(H95,'Pay Table'!$M$3:$N$18,2,FALSE)&amp;$BB$3&amp;I95&amp;$BD$3,"")</f>
        <v/>
      </c>
      <c r="BF93" s="60" t="str">
        <f>IFERROR($BC$3&amp;VLOOKUP(J95,'Pay Table'!$M$3:$N$18,2,FALSE)&amp;$BB$3&amp;K95&amp;$BD$3,"")</f>
        <v/>
      </c>
    </row>
    <row r="94" spans="1:58" ht="17.100000000000001" customHeight="1" x14ac:dyDescent="0.15">
      <c r="A94" s="14">
        <v>89</v>
      </c>
      <c r="N94" s="2" t="s">
        <v>122</v>
      </c>
      <c r="O94" s="1">
        <f>VLOOKUP(O$93,$N$82:$X$91,2)</f>
        <v>0</v>
      </c>
      <c r="P94" s="1">
        <f t="shared" ref="P94:W94" si="59">VLOOKUP(P$93,$N$82:$X$91,2)</f>
        <v>0</v>
      </c>
      <c r="Q94" s="1">
        <f t="shared" si="59"/>
        <v>0</v>
      </c>
      <c r="R94" s="1">
        <f t="shared" si="59"/>
        <v>0</v>
      </c>
      <c r="S94" s="1">
        <f t="shared" si="59"/>
        <v>0</v>
      </c>
      <c r="T94" s="1">
        <f t="shared" si="59"/>
        <v>0</v>
      </c>
      <c r="U94" s="1">
        <f t="shared" si="59"/>
        <v>0</v>
      </c>
      <c r="V94" s="1">
        <f t="shared" si="59"/>
        <v>0</v>
      </c>
      <c r="W94" s="5">
        <f t="shared" si="59"/>
        <v>0</v>
      </c>
      <c r="X94" s="1">
        <f>SUM(P94:W94)</f>
        <v>0</v>
      </c>
      <c r="Z94" s="1">
        <v>92</v>
      </c>
      <c r="AA94" s="4" t="s">
        <v>259</v>
      </c>
      <c r="AB94" s="7">
        <v>0</v>
      </c>
      <c r="AC94" s="7">
        <v>0.05</v>
      </c>
      <c r="AD94" s="21">
        <v>0.05</v>
      </c>
      <c r="AE94" s="21">
        <v>0.35</v>
      </c>
      <c r="AF94" s="21">
        <v>0.45</v>
      </c>
      <c r="AG94" s="21">
        <v>0.5</v>
      </c>
      <c r="AJ94" s="1">
        <f>AB94*(1-AC94)</f>
        <v>0</v>
      </c>
      <c r="AK94" s="1">
        <f t="shared" ref="AK94:AK99" si="60">AB94*AC94*(1-AD94)</f>
        <v>0</v>
      </c>
      <c r="AL94" s="1">
        <f>AB94*AC94*AD94*(1-AE94)</f>
        <v>0</v>
      </c>
      <c r="AM94" s="1">
        <f>AB94*AC94*AD94*AE94*(1-AF94)</f>
        <v>0</v>
      </c>
      <c r="AN94" s="1">
        <f>AB94*AC94*AD94*AE94*AF94</f>
        <v>0</v>
      </c>
      <c r="BB94" s="59" t="str">
        <f>IFERROR($BC$3&amp;VLOOKUP(B96,'Pay Table'!$M$3:$N$18,2,FALSE)&amp;$BB$3&amp;C96&amp;$BD$3,"")</f>
        <v/>
      </c>
      <c r="BC94" s="49" t="str">
        <f>IFERROR($BC$3&amp;VLOOKUP(D96,'Pay Table'!$M$3:$N$18,2,FALSE)&amp;$BB$3&amp;E96&amp;$BD$3,"")</f>
        <v/>
      </c>
      <c r="BD94" s="49" t="str">
        <f>IFERROR($BC$3&amp;VLOOKUP(F96,'Pay Table'!$M$3:$N$18,2,FALSE)&amp;$BB$3&amp;G96&amp;$BD$3,"")</f>
        <v/>
      </c>
      <c r="BE94" s="49" t="str">
        <f>IFERROR($BC$3&amp;VLOOKUP(H96,'Pay Table'!$M$3:$N$18,2,FALSE)&amp;$BB$3&amp;I96&amp;$BD$3,"")</f>
        <v/>
      </c>
      <c r="BF94" s="60" t="str">
        <f>IFERROR($BC$3&amp;VLOOKUP(J96,'Pay Table'!$M$3:$N$18,2,FALSE)&amp;$BB$3&amp;K96&amp;$BD$3,"")</f>
        <v/>
      </c>
    </row>
    <row r="95" spans="1:58" ht="17.100000000000001" customHeight="1" x14ac:dyDescent="0.15">
      <c r="A95" s="14">
        <v>90</v>
      </c>
      <c r="N95" s="2" t="s">
        <v>153</v>
      </c>
      <c r="O95" s="1">
        <f>VLOOKUP(O$93,$N$82:$X$91,3)</f>
        <v>0</v>
      </c>
      <c r="P95" s="1">
        <f t="shared" ref="P95:W95" si="61">VLOOKUP(P$93,$N$82:$X$91,3)</f>
        <v>0</v>
      </c>
      <c r="Q95" s="1">
        <f t="shared" si="61"/>
        <v>0</v>
      </c>
      <c r="R95" s="1">
        <f t="shared" si="61"/>
        <v>0</v>
      </c>
      <c r="S95" s="1">
        <f t="shared" si="61"/>
        <v>0</v>
      </c>
      <c r="T95" s="1">
        <f t="shared" si="61"/>
        <v>0</v>
      </c>
      <c r="U95" s="1">
        <f t="shared" si="61"/>
        <v>0</v>
      </c>
      <c r="V95" s="1">
        <f t="shared" si="61"/>
        <v>0</v>
      </c>
      <c r="W95" s="5">
        <f t="shared" si="61"/>
        <v>0</v>
      </c>
      <c r="X95" s="1">
        <f>SUM(P95:W95)</f>
        <v>0</v>
      </c>
      <c r="Z95" s="1">
        <v>0</v>
      </c>
      <c r="AA95" s="4" t="s">
        <v>153</v>
      </c>
      <c r="AB95" s="2">
        <v>0</v>
      </c>
      <c r="AC95" s="1">
        <v>0.2</v>
      </c>
      <c r="AD95" s="1">
        <v>0.15</v>
      </c>
      <c r="AE95" s="1">
        <v>0.65</v>
      </c>
      <c r="AF95" s="1">
        <v>0.55000000000000004</v>
      </c>
      <c r="AG95" s="5">
        <v>0.5</v>
      </c>
      <c r="AJ95" s="1">
        <f t="shared" ref="AJ95:AJ99" si="62">AB95*(1-AC95)</f>
        <v>0</v>
      </c>
      <c r="AK95" s="1">
        <f t="shared" si="60"/>
        <v>0</v>
      </c>
      <c r="AL95" s="1">
        <f t="shared" ref="AL95:AL99" si="63">AB95*AC95*AD95*(1-AE95)</f>
        <v>0</v>
      </c>
      <c r="AM95" s="1">
        <f t="shared" ref="AM95:AM99" si="64">AB95*AC95*AD95*AE95*(1-AF95)</f>
        <v>0</v>
      </c>
      <c r="AN95" s="1">
        <f t="shared" ref="AN95:AN99" si="65">AB95*AC95*AD95*AE95*AF95</f>
        <v>0</v>
      </c>
      <c r="BB95" s="59" t="str">
        <f>IFERROR($BC$3&amp;VLOOKUP(B97,'Pay Table'!$M$3:$N$18,2,FALSE)&amp;$BB$3&amp;C97&amp;$BD$3,"")</f>
        <v/>
      </c>
      <c r="BC95" s="49" t="str">
        <f>IFERROR($BC$3&amp;VLOOKUP(D97,'Pay Table'!$M$3:$N$18,2,FALSE)&amp;$BB$3&amp;E97&amp;$BD$3,"")</f>
        <v/>
      </c>
      <c r="BD95" s="49" t="str">
        <f>IFERROR($BC$3&amp;VLOOKUP(F97,'Pay Table'!$M$3:$N$18,2,FALSE)&amp;$BB$3&amp;G97&amp;$BD$3,"")</f>
        <v/>
      </c>
      <c r="BE95" s="49" t="str">
        <f>IFERROR($BC$3&amp;VLOOKUP(H97,'Pay Table'!$M$3:$N$18,2,FALSE)&amp;$BB$3&amp;I97&amp;$BD$3,"")</f>
        <v/>
      </c>
      <c r="BF95" s="60" t="str">
        <f>IFERROR($BC$3&amp;VLOOKUP(J97,'Pay Table'!$M$3:$N$18,2,FALSE)&amp;$BB$3&amp;K97&amp;$BD$3,"")</f>
        <v/>
      </c>
    </row>
    <row r="96" spans="1:58" ht="17.100000000000001" customHeight="1" x14ac:dyDescent="0.15">
      <c r="A96" s="14">
        <v>91</v>
      </c>
      <c r="N96" s="2" t="s">
        <v>125</v>
      </c>
      <c r="O96" s="1">
        <f>VLOOKUP(O$93,$N$82:$X$91,4)</f>
        <v>0</v>
      </c>
      <c r="P96" s="1">
        <f t="shared" ref="P96:W96" si="66">VLOOKUP(P$93,$N$82:$X$91,4)</f>
        <v>0</v>
      </c>
      <c r="Q96" s="1">
        <f t="shared" si="66"/>
        <v>0</v>
      </c>
      <c r="R96" s="1">
        <f t="shared" si="66"/>
        <v>0</v>
      </c>
      <c r="S96" s="1">
        <f t="shared" si="66"/>
        <v>0</v>
      </c>
      <c r="T96" s="1">
        <f t="shared" si="66"/>
        <v>0</v>
      </c>
      <c r="U96" s="1">
        <f t="shared" si="66"/>
        <v>0</v>
      </c>
      <c r="V96" s="1">
        <f t="shared" si="66"/>
        <v>0</v>
      </c>
      <c r="W96" s="5">
        <f t="shared" si="66"/>
        <v>0</v>
      </c>
      <c r="X96" s="1">
        <f t="shared" ref="X96:X103" si="67">SUM(P96:W96)</f>
        <v>0</v>
      </c>
      <c r="Z96" s="1">
        <v>1</v>
      </c>
      <c r="AA96" s="4" t="s">
        <v>152</v>
      </c>
      <c r="AB96" s="2">
        <v>0</v>
      </c>
      <c r="AC96" s="1">
        <v>0.25</v>
      </c>
      <c r="AD96" s="1">
        <v>0.25</v>
      </c>
      <c r="AE96" s="1">
        <v>0.65</v>
      </c>
      <c r="AF96" s="1">
        <v>0.55000000000000004</v>
      </c>
      <c r="AG96" s="5">
        <v>0.5</v>
      </c>
      <c r="AJ96" s="1">
        <f t="shared" si="62"/>
        <v>0</v>
      </c>
      <c r="AK96" s="1">
        <f t="shared" si="60"/>
        <v>0</v>
      </c>
      <c r="AL96" s="1">
        <f t="shared" si="63"/>
        <v>0</v>
      </c>
      <c r="AM96" s="1">
        <f t="shared" si="64"/>
        <v>0</v>
      </c>
      <c r="AN96" s="1">
        <f t="shared" si="65"/>
        <v>0</v>
      </c>
      <c r="BB96" s="59" t="str">
        <f>IFERROR($BC$3&amp;VLOOKUP(B98,'Pay Table'!$M$3:$N$18,2,FALSE)&amp;$BB$3&amp;C98&amp;$BD$3,"")</f>
        <v/>
      </c>
      <c r="BC96" s="49" t="str">
        <f>IFERROR($BC$3&amp;VLOOKUP(D98,'Pay Table'!$M$3:$N$18,2,FALSE)&amp;$BB$3&amp;E98&amp;$BD$3,"")</f>
        <v/>
      </c>
      <c r="BD96" s="49" t="str">
        <f>IFERROR($BC$3&amp;VLOOKUP(F98,'Pay Table'!$M$3:$N$18,2,FALSE)&amp;$BB$3&amp;G98&amp;$BD$3,"")</f>
        <v/>
      </c>
      <c r="BE96" s="49" t="str">
        <f>IFERROR($BC$3&amp;VLOOKUP(H98,'Pay Table'!$M$3:$N$18,2,FALSE)&amp;$BB$3&amp;I98&amp;$BD$3,"")</f>
        <v/>
      </c>
      <c r="BF96" s="60" t="str">
        <f>IFERROR($BC$3&amp;VLOOKUP(J98,'Pay Table'!$M$3:$N$18,2,FALSE)&amp;$BB$3&amp;K98&amp;$BD$3,"")</f>
        <v/>
      </c>
    </row>
    <row r="97" spans="1:58" ht="17.100000000000001" customHeight="1" x14ac:dyDescent="0.15">
      <c r="A97" s="14">
        <v>92</v>
      </c>
      <c r="N97" s="2" t="s">
        <v>126</v>
      </c>
      <c r="O97" s="1">
        <f>VLOOKUP(O$93,$N$82:$X$91,5)</f>
        <v>0</v>
      </c>
      <c r="P97" s="1">
        <f t="shared" ref="P97:W97" si="68">VLOOKUP(P$93,$N$82:$X$91,5)</f>
        <v>0</v>
      </c>
      <c r="Q97" s="1">
        <f t="shared" si="68"/>
        <v>0</v>
      </c>
      <c r="R97" s="1">
        <f t="shared" si="68"/>
        <v>0</v>
      </c>
      <c r="S97" s="1">
        <f t="shared" si="68"/>
        <v>0</v>
      </c>
      <c r="T97" s="1">
        <f t="shared" si="68"/>
        <v>0</v>
      </c>
      <c r="U97" s="1">
        <f t="shared" si="68"/>
        <v>0</v>
      </c>
      <c r="V97" s="1">
        <f t="shared" si="68"/>
        <v>0</v>
      </c>
      <c r="W97" s="5">
        <f t="shared" si="68"/>
        <v>0</v>
      </c>
      <c r="X97" s="1">
        <f t="shared" si="67"/>
        <v>0</v>
      </c>
      <c r="Z97" s="1">
        <v>2</v>
      </c>
      <c r="AA97" s="4" t="s">
        <v>126</v>
      </c>
      <c r="AB97" s="2">
        <v>0</v>
      </c>
      <c r="AC97" s="1">
        <v>0.15</v>
      </c>
      <c r="AD97" s="1">
        <v>0.25</v>
      </c>
      <c r="AE97" s="1">
        <v>0.75</v>
      </c>
      <c r="AF97" s="1">
        <v>0.85</v>
      </c>
      <c r="AG97" s="5">
        <v>0.8</v>
      </c>
      <c r="AJ97" s="1">
        <f t="shared" si="62"/>
        <v>0</v>
      </c>
      <c r="AK97" s="1">
        <f t="shared" si="60"/>
        <v>0</v>
      </c>
      <c r="AL97" s="1">
        <f t="shared" si="63"/>
        <v>0</v>
      </c>
      <c r="AM97" s="1">
        <f t="shared" si="64"/>
        <v>0</v>
      </c>
      <c r="AN97" s="1">
        <f t="shared" si="65"/>
        <v>0</v>
      </c>
      <c r="BB97" s="59" t="str">
        <f>IFERROR($BC$3&amp;VLOOKUP(B99,'Pay Table'!$M$3:$N$18,2,FALSE)&amp;$BB$3&amp;C99&amp;$BD$3,"")</f>
        <v/>
      </c>
      <c r="BC97" s="49" t="str">
        <f>IFERROR($BC$3&amp;VLOOKUP(D99,'Pay Table'!$M$3:$N$18,2,FALSE)&amp;$BB$3&amp;E99&amp;$BD$3,"")</f>
        <v/>
      </c>
      <c r="BD97" s="49" t="str">
        <f>IFERROR($BC$3&amp;VLOOKUP(F99,'Pay Table'!$M$3:$N$18,2,FALSE)&amp;$BB$3&amp;G99&amp;$BD$3,"")</f>
        <v/>
      </c>
      <c r="BE97" s="49" t="str">
        <f>IFERROR($BC$3&amp;VLOOKUP(H99,'Pay Table'!$M$3:$N$18,2,FALSE)&amp;$BB$3&amp;I99&amp;$BD$3,"")</f>
        <v/>
      </c>
      <c r="BF97" s="60" t="str">
        <f>IFERROR($BC$3&amp;VLOOKUP(J99,'Pay Table'!$M$3:$N$18,2,FALSE)&amp;$BB$3&amp;K99&amp;$BD$3,"")</f>
        <v/>
      </c>
    </row>
    <row r="98" spans="1:58" ht="17.100000000000001" customHeight="1" x14ac:dyDescent="0.15">
      <c r="A98" s="14">
        <v>93</v>
      </c>
      <c r="N98" s="2" t="s">
        <v>127</v>
      </c>
      <c r="O98" s="1">
        <f>VLOOKUP(O$93,$N$82:$X$91,6)</f>
        <v>0</v>
      </c>
      <c r="P98" s="1">
        <f t="shared" ref="P98:W98" si="69">VLOOKUP(P$93,$N$82:$X$91,6)</f>
        <v>0</v>
      </c>
      <c r="Q98" s="1">
        <f t="shared" si="69"/>
        <v>0</v>
      </c>
      <c r="R98" s="1">
        <f t="shared" si="69"/>
        <v>0</v>
      </c>
      <c r="S98" s="1">
        <f t="shared" si="69"/>
        <v>0</v>
      </c>
      <c r="T98" s="1">
        <f t="shared" si="69"/>
        <v>0</v>
      </c>
      <c r="U98" s="1">
        <f t="shared" si="69"/>
        <v>0</v>
      </c>
      <c r="V98" s="1">
        <f t="shared" si="69"/>
        <v>0</v>
      </c>
      <c r="W98" s="5">
        <f t="shared" si="69"/>
        <v>0</v>
      </c>
      <c r="X98" s="1">
        <f t="shared" si="67"/>
        <v>0</v>
      </c>
      <c r="Z98" s="1">
        <v>3</v>
      </c>
      <c r="AA98" s="4" t="s">
        <v>127</v>
      </c>
      <c r="AB98" s="2">
        <v>0</v>
      </c>
      <c r="AC98" s="1">
        <v>0.15</v>
      </c>
      <c r="AD98" s="1">
        <v>0.25</v>
      </c>
      <c r="AE98" s="1">
        <v>0.75</v>
      </c>
      <c r="AF98" s="1">
        <v>0.85</v>
      </c>
      <c r="AG98" s="5">
        <v>0.8</v>
      </c>
      <c r="AJ98" s="1">
        <f t="shared" si="62"/>
        <v>0</v>
      </c>
      <c r="AK98" s="1">
        <f t="shared" si="60"/>
        <v>0</v>
      </c>
      <c r="AL98" s="1">
        <f t="shared" si="63"/>
        <v>0</v>
      </c>
      <c r="AM98" s="1">
        <f t="shared" si="64"/>
        <v>0</v>
      </c>
      <c r="AN98" s="1">
        <f t="shared" si="65"/>
        <v>0</v>
      </c>
      <c r="BB98" s="59" t="str">
        <f>IFERROR($BC$3&amp;VLOOKUP(B100,'Pay Table'!$M$3:$N$18,2,FALSE)&amp;$BB$3&amp;C100&amp;$BD$3,"")</f>
        <v/>
      </c>
      <c r="BC98" s="49" t="str">
        <f>IFERROR($BC$3&amp;VLOOKUP(D100,'Pay Table'!$M$3:$N$18,2,FALSE)&amp;$BB$3&amp;E100&amp;$BD$3,"")</f>
        <v/>
      </c>
      <c r="BD98" s="49" t="str">
        <f>IFERROR($BC$3&amp;VLOOKUP(F100,'Pay Table'!$M$3:$N$18,2,FALSE)&amp;$BB$3&amp;G100&amp;$BD$3,"")</f>
        <v/>
      </c>
      <c r="BE98" s="49" t="str">
        <f>IFERROR($BC$3&amp;VLOOKUP(H100,'Pay Table'!$M$3:$N$18,2,FALSE)&amp;$BB$3&amp;I100&amp;$BD$3,"")</f>
        <v/>
      </c>
      <c r="BF98" s="60" t="str">
        <f>IFERROR($BC$3&amp;VLOOKUP(J100,'Pay Table'!$M$3:$N$18,2,FALSE)&amp;$BB$3&amp;K100&amp;$BD$3,"")</f>
        <v/>
      </c>
    </row>
    <row r="99" spans="1:58" ht="17.100000000000001" customHeight="1" x14ac:dyDescent="0.15">
      <c r="A99" s="14">
        <v>94</v>
      </c>
      <c r="N99" s="2" t="s">
        <v>128</v>
      </c>
      <c r="O99" s="1">
        <f>VLOOKUP(O$93,$N$82:$X$91,7)</f>
        <v>0</v>
      </c>
      <c r="P99" s="1">
        <f t="shared" ref="P99:W99" si="70">VLOOKUP(P$93,$N$82:$X$91,7)</f>
        <v>0</v>
      </c>
      <c r="Q99" s="1">
        <f t="shared" si="70"/>
        <v>0</v>
      </c>
      <c r="R99" s="1">
        <f t="shared" si="70"/>
        <v>0</v>
      </c>
      <c r="S99" s="1">
        <f t="shared" si="70"/>
        <v>0</v>
      </c>
      <c r="T99" s="1">
        <f t="shared" si="70"/>
        <v>0</v>
      </c>
      <c r="U99" s="1">
        <f t="shared" si="70"/>
        <v>0</v>
      </c>
      <c r="V99" s="1">
        <f t="shared" si="70"/>
        <v>0</v>
      </c>
      <c r="W99" s="5">
        <f t="shared" si="70"/>
        <v>0</v>
      </c>
      <c r="X99" s="1">
        <f t="shared" si="67"/>
        <v>0</v>
      </c>
      <c r="Z99" s="1">
        <v>4</v>
      </c>
      <c r="AA99" s="19" t="s">
        <v>128</v>
      </c>
      <c r="AB99" s="8">
        <v>0</v>
      </c>
      <c r="AC99" s="15">
        <v>0.15</v>
      </c>
      <c r="AD99" s="15">
        <v>0.25</v>
      </c>
      <c r="AE99" s="15">
        <v>0.75</v>
      </c>
      <c r="AF99" s="15">
        <v>0.85</v>
      </c>
      <c r="AG99" s="16">
        <v>0.8</v>
      </c>
      <c r="AJ99" s="1">
        <f t="shared" si="62"/>
        <v>0</v>
      </c>
      <c r="AK99" s="1">
        <f t="shared" si="60"/>
        <v>0</v>
      </c>
      <c r="AL99" s="1">
        <f t="shared" si="63"/>
        <v>0</v>
      </c>
      <c r="AM99" s="1">
        <f t="shared" si="64"/>
        <v>0</v>
      </c>
      <c r="AN99" s="1">
        <f t="shared" si="65"/>
        <v>0</v>
      </c>
      <c r="BB99" s="59" t="str">
        <f>IFERROR($BC$3&amp;VLOOKUP(B101,'Pay Table'!$M$3:$N$18,2,FALSE)&amp;$BB$3&amp;C101&amp;$BD$3,"")</f>
        <v/>
      </c>
      <c r="BC99" s="49" t="str">
        <f>IFERROR($BC$3&amp;VLOOKUP(D101,'Pay Table'!$M$3:$N$18,2,FALSE)&amp;$BB$3&amp;E101&amp;$BD$3,"")</f>
        <v/>
      </c>
      <c r="BD99" s="49" t="str">
        <f>IFERROR($BC$3&amp;VLOOKUP(F101,'Pay Table'!$M$3:$N$18,2,FALSE)&amp;$BB$3&amp;G101&amp;$BD$3,"")</f>
        <v/>
      </c>
      <c r="BE99" s="49" t="str">
        <f>IFERROR($BC$3&amp;VLOOKUP(H101,'Pay Table'!$M$3:$N$18,2,FALSE)&amp;$BB$3&amp;I101&amp;$BD$3,"")</f>
        <v/>
      </c>
      <c r="BF99" s="60" t="str">
        <f>IFERROR($BC$3&amp;VLOOKUP(J101,'Pay Table'!$M$3:$N$18,2,FALSE)&amp;$BB$3&amp;K101&amp;$BD$3,"")</f>
        <v/>
      </c>
    </row>
    <row r="100" spans="1:58" ht="17.100000000000001" customHeight="1" x14ac:dyDescent="0.15">
      <c r="A100" s="14">
        <v>95</v>
      </c>
      <c r="N100" s="2" t="s">
        <v>123</v>
      </c>
      <c r="O100" s="1">
        <f>VLOOKUP(O$93,$N$82:$X$91,8)</f>
        <v>0</v>
      </c>
      <c r="P100" s="1">
        <f t="shared" ref="P100:W100" si="71">VLOOKUP(P$93,$N$82:$X$91,8)</f>
        <v>0</v>
      </c>
      <c r="Q100" s="1">
        <f t="shared" si="71"/>
        <v>0</v>
      </c>
      <c r="R100" s="1">
        <f t="shared" si="71"/>
        <v>0</v>
      </c>
      <c r="S100" s="1">
        <f t="shared" si="71"/>
        <v>0</v>
      </c>
      <c r="T100" s="1">
        <f t="shared" si="71"/>
        <v>0</v>
      </c>
      <c r="U100" s="1">
        <f t="shared" si="71"/>
        <v>0</v>
      </c>
      <c r="V100" s="1">
        <f t="shared" si="71"/>
        <v>0</v>
      </c>
      <c r="W100" s="5">
        <f t="shared" si="71"/>
        <v>0</v>
      </c>
      <c r="X100" s="1">
        <f t="shared" si="67"/>
        <v>0</v>
      </c>
      <c r="BB100" s="59" t="str">
        <f>IFERROR($BC$3&amp;VLOOKUP(B102,'Pay Table'!$M$3:$N$18,2,FALSE)&amp;$BB$3&amp;C102&amp;$BD$3,"")</f>
        <v/>
      </c>
      <c r="BC100" s="49" t="str">
        <f>IFERROR($BC$3&amp;VLOOKUP(D102,'Pay Table'!$M$3:$N$18,2,FALSE)&amp;$BB$3&amp;E102&amp;$BD$3,"")</f>
        <v/>
      </c>
      <c r="BD100" s="49" t="str">
        <f>IFERROR($BC$3&amp;VLOOKUP(F102,'Pay Table'!$M$3:$N$18,2,FALSE)&amp;$BB$3&amp;G102&amp;$BD$3,"")</f>
        <v/>
      </c>
      <c r="BE100" s="49" t="str">
        <f>IFERROR($BC$3&amp;VLOOKUP(H102,'Pay Table'!$M$3:$N$18,2,FALSE)&amp;$BB$3&amp;I102&amp;$BD$3,"")</f>
        <v/>
      </c>
      <c r="BF100" s="60" t="str">
        <f>IFERROR($BC$3&amp;VLOOKUP(J102,'Pay Table'!$M$3:$N$18,2,FALSE)&amp;$BB$3&amp;K102&amp;$BD$3,"")</f>
        <v/>
      </c>
    </row>
    <row r="101" spans="1:58" ht="17.100000000000001" customHeight="1" x14ac:dyDescent="0.15">
      <c r="A101" s="14">
        <v>96</v>
      </c>
      <c r="N101" s="2" t="s">
        <v>121</v>
      </c>
      <c r="O101" s="1">
        <f>VLOOKUP(O$93,$N$82:$X$91,9)</f>
        <v>0</v>
      </c>
      <c r="P101" s="1">
        <f t="shared" ref="P101:W101" si="72">VLOOKUP(P$93,$N$82:$X$91,9)</f>
        <v>0</v>
      </c>
      <c r="Q101" s="1">
        <f t="shared" si="72"/>
        <v>0</v>
      </c>
      <c r="R101" s="1">
        <f t="shared" si="72"/>
        <v>0</v>
      </c>
      <c r="S101" s="1">
        <f t="shared" si="72"/>
        <v>0</v>
      </c>
      <c r="T101" s="1">
        <f t="shared" si="72"/>
        <v>0</v>
      </c>
      <c r="U101" s="1">
        <f t="shared" si="72"/>
        <v>0</v>
      </c>
      <c r="V101" s="1">
        <f t="shared" si="72"/>
        <v>0</v>
      </c>
      <c r="W101" s="5">
        <f t="shared" si="72"/>
        <v>0</v>
      </c>
      <c r="X101" s="1">
        <f t="shared" si="67"/>
        <v>0</v>
      </c>
      <c r="AA101" s="17" t="s">
        <v>173</v>
      </c>
      <c r="AB101" s="17">
        <v>0</v>
      </c>
      <c r="AC101" s="18">
        <v>1</v>
      </c>
      <c r="AD101" s="18">
        <v>2</v>
      </c>
      <c r="AE101" s="18">
        <v>3</v>
      </c>
      <c r="AF101" s="18">
        <v>4</v>
      </c>
      <c r="AG101" s="36">
        <v>5</v>
      </c>
      <c r="AJ101" s="1" t="e">
        <f>1/AJ94</f>
        <v>#DIV/0!</v>
      </c>
      <c r="AK101" s="1" t="e">
        <f t="shared" ref="AK101:AN101" si="73">1/AK94</f>
        <v>#DIV/0!</v>
      </c>
      <c r="AL101" s="1" t="e">
        <f t="shared" si="73"/>
        <v>#DIV/0!</v>
      </c>
      <c r="AM101" s="1" t="e">
        <f t="shared" si="73"/>
        <v>#DIV/0!</v>
      </c>
      <c r="AN101" s="1" t="e">
        <f t="shared" si="73"/>
        <v>#DIV/0!</v>
      </c>
      <c r="BB101" s="59" t="str">
        <f>IFERROR($BC$3&amp;VLOOKUP(B103,'Pay Table'!$M$3:$N$18,2,FALSE)&amp;$BB$3&amp;C103&amp;$BD$3,"")</f>
        <v/>
      </c>
      <c r="BC101" s="49" t="str">
        <f>IFERROR($BC$3&amp;VLOOKUP(D103,'Pay Table'!$M$3:$N$18,2,FALSE)&amp;$BB$3&amp;E103&amp;$BD$3,"")</f>
        <v/>
      </c>
      <c r="BD101" s="49" t="str">
        <f>IFERROR($BC$3&amp;VLOOKUP(F103,'Pay Table'!$M$3:$N$18,2,FALSE)&amp;$BB$3&amp;G103&amp;$BD$3,"")</f>
        <v/>
      </c>
      <c r="BE101" s="49" t="str">
        <f>IFERROR($BC$3&amp;VLOOKUP(H103,'Pay Table'!$M$3:$N$18,2,FALSE)&amp;$BB$3&amp;I103&amp;$BD$3,"")</f>
        <v/>
      </c>
      <c r="BF101" s="60" t="str">
        <f>IFERROR($BC$3&amp;VLOOKUP(J103,'Pay Table'!$M$3:$N$18,2,FALSE)&amp;$BB$3&amp;K103&amp;$BD$3,"")</f>
        <v/>
      </c>
    </row>
    <row r="102" spans="1:58" ht="17.100000000000001" customHeight="1" x14ac:dyDescent="0.15">
      <c r="A102" s="14">
        <v>97</v>
      </c>
      <c r="N102" s="2" t="s">
        <v>119</v>
      </c>
      <c r="O102" s="1">
        <f>VLOOKUP(O$93,$N$82:$X$91,10)</f>
        <v>0</v>
      </c>
      <c r="P102" s="1">
        <f t="shared" ref="P102:W102" si="74">VLOOKUP(P$93,$N$82:$X$91,10)</f>
        <v>0</v>
      </c>
      <c r="Q102" s="1">
        <f t="shared" si="74"/>
        <v>0</v>
      </c>
      <c r="R102" s="1">
        <f t="shared" si="74"/>
        <v>0</v>
      </c>
      <c r="S102" s="1">
        <f t="shared" si="74"/>
        <v>0</v>
      </c>
      <c r="T102" s="1">
        <f t="shared" si="74"/>
        <v>0</v>
      </c>
      <c r="U102" s="1">
        <f t="shared" si="74"/>
        <v>0</v>
      </c>
      <c r="V102" s="1">
        <f t="shared" si="74"/>
        <v>0</v>
      </c>
      <c r="W102" s="5">
        <f t="shared" si="74"/>
        <v>0</v>
      </c>
      <c r="X102" s="1">
        <f t="shared" si="67"/>
        <v>0</v>
      </c>
      <c r="Z102" s="1">
        <v>92</v>
      </c>
      <c r="AA102" s="4" t="s">
        <v>259</v>
      </c>
      <c r="AB102" s="7">
        <v>1</v>
      </c>
      <c r="AC102" s="21">
        <v>1</v>
      </c>
      <c r="AD102" s="21">
        <v>1</v>
      </c>
      <c r="AE102" s="21">
        <v>1</v>
      </c>
      <c r="AF102" s="21">
        <v>1</v>
      </c>
      <c r="AG102" s="20">
        <v>1</v>
      </c>
      <c r="AJ102" s="1" t="e">
        <f t="shared" ref="AJ102:AN105" si="75">1/AJ95</f>
        <v>#DIV/0!</v>
      </c>
      <c r="AK102" s="1" t="e">
        <f t="shared" si="75"/>
        <v>#DIV/0!</v>
      </c>
      <c r="AL102" s="1" t="e">
        <f t="shared" si="75"/>
        <v>#DIV/0!</v>
      </c>
      <c r="AM102" s="1" t="e">
        <f t="shared" si="75"/>
        <v>#DIV/0!</v>
      </c>
      <c r="AN102" s="1" t="e">
        <f t="shared" si="75"/>
        <v>#DIV/0!</v>
      </c>
      <c r="BB102" s="59" t="str">
        <f>IFERROR($BC$3&amp;VLOOKUP(B104,'Pay Table'!$M$3:$N$18,2,FALSE)&amp;$BB$3&amp;C104&amp;$BD$3,"")</f>
        <v/>
      </c>
      <c r="BC102" s="49" t="str">
        <f>IFERROR($BC$3&amp;VLOOKUP(D104,'Pay Table'!$M$3:$N$18,2,FALSE)&amp;$BB$3&amp;E104&amp;$BD$3,"")</f>
        <v/>
      </c>
      <c r="BD102" s="49" t="str">
        <f>IFERROR($BC$3&amp;VLOOKUP(F104,'Pay Table'!$M$3:$N$18,2,FALSE)&amp;$BB$3&amp;G104&amp;$BD$3,"")</f>
        <v/>
      </c>
      <c r="BE102" s="49" t="str">
        <f>IFERROR($BC$3&amp;VLOOKUP(H104,'Pay Table'!$M$3:$N$18,2,FALSE)&amp;$BB$3&amp;I104&amp;$BD$3,"")</f>
        <v/>
      </c>
      <c r="BF102" s="60" t="str">
        <f>IFERROR($BC$3&amp;VLOOKUP(J104,'Pay Table'!$M$3:$N$18,2,FALSE)&amp;$BB$3&amp;K104&amp;$BD$3,"")</f>
        <v/>
      </c>
    </row>
    <row r="103" spans="1:58" ht="17.100000000000001" customHeight="1" x14ac:dyDescent="0.15">
      <c r="A103" s="14">
        <v>98</v>
      </c>
      <c r="N103" s="8" t="s">
        <v>120</v>
      </c>
      <c r="O103" s="15">
        <f>VLOOKUP(O$93,$N$82:$X$91,11)</f>
        <v>0</v>
      </c>
      <c r="P103" s="15">
        <f t="shared" ref="P103:W103" si="76">VLOOKUP(P$93,$N$82:$X$91,11)</f>
        <v>0</v>
      </c>
      <c r="Q103" s="15">
        <f t="shared" si="76"/>
        <v>0</v>
      </c>
      <c r="R103" s="15">
        <f t="shared" si="76"/>
        <v>0</v>
      </c>
      <c r="S103" s="15">
        <f t="shared" si="76"/>
        <v>0</v>
      </c>
      <c r="T103" s="15">
        <f t="shared" si="76"/>
        <v>0</v>
      </c>
      <c r="U103" s="15">
        <f t="shared" si="76"/>
        <v>0</v>
      </c>
      <c r="V103" s="15">
        <f t="shared" si="76"/>
        <v>0</v>
      </c>
      <c r="W103" s="16">
        <f t="shared" si="76"/>
        <v>0</v>
      </c>
      <c r="X103" s="1">
        <f t="shared" si="67"/>
        <v>0</v>
      </c>
      <c r="Z103" s="1">
        <v>0</v>
      </c>
      <c r="AA103" s="4" t="s">
        <v>153</v>
      </c>
      <c r="AB103" s="2">
        <v>1</v>
      </c>
      <c r="AC103" s="1">
        <v>1</v>
      </c>
      <c r="AD103" s="1">
        <v>1</v>
      </c>
      <c r="AE103" s="1">
        <v>1</v>
      </c>
      <c r="AF103" s="1">
        <v>1</v>
      </c>
      <c r="AG103" s="5">
        <v>1</v>
      </c>
      <c r="AJ103" s="1" t="e">
        <f t="shared" si="75"/>
        <v>#DIV/0!</v>
      </c>
      <c r="AK103" s="1" t="e">
        <f t="shared" si="75"/>
        <v>#DIV/0!</v>
      </c>
      <c r="AL103" s="1" t="e">
        <f t="shared" si="75"/>
        <v>#DIV/0!</v>
      </c>
      <c r="AM103" s="1" t="e">
        <f t="shared" si="75"/>
        <v>#DIV/0!</v>
      </c>
      <c r="AN103" s="1" t="e">
        <f t="shared" si="75"/>
        <v>#DIV/0!</v>
      </c>
      <c r="BB103" s="59" t="str">
        <f>IFERROR($BC$3&amp;VLOOKUP(B105,'Pay Table'!$M$3:$N$18,2,FALSE)&amp;$BB$3&amp;C105&amp;$BD$3,"")</f>
        <v/>
      </c>
      <c r="BC103" s="49" t="str">
        <f>IFERROR($BC$3&amp;VLOOKUP(D105,'Pay Table'!$M$3:$N$18,2,FALSE)&amp;$BB$3&amp;E105&amp;$BD$3,"")</f>
        <v/>
      </c>
      <c r="BD103" s="49" t="str">
        <f>IFERROR($BC$3&amp;VLOOKUP(F105,'Pay Table'!$M$3:$N$18,2,FALSE)&amp;$BB$3&amp;G105&amp;$BD$3,"")</f>
        <v/>
      </c>
      <c r="BE103" s="49" t="str">
        <f>IFERROR($BC$3&amp;VLOOKUP(H105,'Pay Table'!$M$3:$N$18,2,FALSE)&amp;$BB$3&amp;I105&amp;$BD$3,"")</f>
        <v/>
      </c>
      <c r="BF103" s="60" t="str">
        <f>IFERROR($BC$3&amp;VLOOKUP(J105,'Pay Table'!$M$3:$N$18,2,FALSE)&amp;$BB$3&amp;K105&amp;$BD$3,"")</f>
        <v/>
      </c>
    </row>
    <row r="104" spans="1:58" ht="17.100000000000001" customHeight="1" x14ac:dyDescent="0.15">
      <c r="A104" s="14">
        <v>99</v>
      </c>
      <c r="Z104" s="1">
        <v>1</v>
      </c>
      <c r="AA104" s="4" t="s">
        <v>152</v>
      </c>
      <c r="AB104" s="2">
        <v>1</v>
      </c>
      <c r="AC104" s="1">
        <v>1</v>
      </c>
      <c r="AD104" s="1">
        <v>1</v>
      </c>
      <c r="AE104" s="1">
        <v>1</v>
      </c>
      <c r="AF104" s="1">
        <v>1</v>
      </c>
      <c r="AG104" s="5">
        <v>1</v>
      </c>
      <c r="AJ104" s="1" t="e">
        <f t="shared" si="75"/>
        <v>#DIV/0!</v>
      </c>
      <c r="AK104" s="1" t="e">
        <f t="shared" si="75"/>
        <v>#DIV/0!</v>
      </c>
      <c r="AL104" s="1" t="e">
        <f t="shared" si="75"/>
        <v>#DIV/0!</v>
      </c>
      <c r="AM104" s="1" t="e">
        <f t="shared" si="75"/>
        <v>#DIV/0!</v>
      </c>
      <c r="AN104" s="1" t="e">
        <f t="shared" si="75"/>
        <v>#DIV/0!</v>
      </c>
      <c r="BB104" s="59" t="str">
        <f>IFERROR($BC$3&amp;VLOOKUP(B106,'Pay Table'!$M$3:$N$18,2,FALSE)&amp;$BB$3&amp;C106&amp;$BD$3,"")</f>
        <v/>
      </c>
      <c r="BC104" s="49" t="str">
        <f>IFERROR($BC$3&amp;VLOOKUP(D106,'Pay Table'!$M$3:$N$18,2,FALSE)&amp;$BB$3&amp;E106&amp;$BD$3,"")</f>
        <v/>
      </c>
      <c r="BD104" s="49" t="str">
        <f>IFERROR($BC$3&amp;VLOOKUP(F106,'Pay Table'!$M$3:$N$18,2,FALSE)&amp;$BB$3&amp;G106&amp;$BD$3,"")</f>
        <v/>
      </c>
      <c r="BE104" s="49" t="str">
        <f>IFERROR($BC$3&amp;VLOOKUP(H106,'Pay Table'!$M$3:$N$18,2,FALSE)&amp;$BB$3&amp;I106&amp;$BD$3,"")</f>
        <v/>
      </c>
      <c r="BF104" s="60" t="str">
        <f>IFERROR($BC$3&amp;VLOOKUP(J106,'Pay Table'!$M$3:$N$18,2,FALSE)&amp;$BB$3&amp;K106&amp;$BD$3,"")</f>
        <v/>
      </c>
    </row>
    <row r="105" spans="1:58" ht="17.100000000000001" customHeight="1" x14ac:dyDescent="0.15">
      <c r="A105" s="14">
        <v>100</v>
      </c>
      <c r="N105" s="7"/>
      <c r="O105" s="21">
        <v>2</v>
      </c>
      <c r="P105" s="21">
        <v>3</v>
      </c>
      <c r="Q105" s="21">
        <v>4</v>
      </c>
      <c r="R105" s="21">
        <v>5</v>
      </c>
      <c r="S105" s="21">
        <v>6</v>
      </c>
      <c r="T105" s="21">
        <v>7</v>
      </c>
      <c r="U105" s="21">
        <v>8</v>
      </c>
      <c r="V105" s="21">
        <v>9</v>
      </c>
      <c r="W105" s="20">
        <v>10</v>
      </c>
      <c r="Z105" s="1">
        <v>2</v>
      </c>
      <c r="AA105" s="4" t="s">
        <v>126</v>
      </c>
      <c r="AB105" s="2">
        <v>1</v>
      </c>
      <c r="AC105" s="1">
        <v>1</v>
      </c>
      <c r="AD105" s="1">
        <v>1</v>
      </c>
      <c r="AE105" s="1">
        <v>1</v>
      </c>
      <c r="AF105" s="1">
        <v>1</v>
      </c>
      <c r="AG105" s="5">
        <v>1</v>
      </c>
      <c r="AJ105" s="1" t="e">
        <f t="shared" si="75"/>
        <v>#DIV/0!</v>
      </c>
      <c r="AK105" s="1" t="e">
        <f t="shared" si="75"/>
        <v>#DIV/0!</v>
      </c>
      <c r="AL105" s="1" t="e">
        <f t="shared" si="75"/>
        <v>#DIV/0!</v>
      </c>
      <c r="AM105" s="1" t="e">
        <f t="shared" si="75"/>
        <v>#DIV/0!</v>
      </c>
      <c r="AN105" s="1" t="e">
        <f t="shared" si="75"/>
        <v>#DIV/0!</v>
      </c>
      <c r="BB105" s="59" t="str">
        <f>IFERROR($BC$3&amp;VLOOKUP(B107,'Pay Table'!$M$3:$N$18,2,FALSE)&amp;$BB$3&amp;C107&amp;$BD$3,"")</f>
        <v/>
      </c>
      <c r="BC105" s="49" t="str">
        <f>IFERROR($BC$3&amp;VLOOKUP(D107,'Pay Table'!$M$3:$N$18,2,FALSE)&amp;$BB$3&amp;E107&amp;$BD$3,"")</f>
        <v/>
      </c>
      <c r="BD105" s="49" t="str">
        <f>IFERROR($BC$3&amp;VLOOKUP(F107,'Pay Table'!$M$3:$N$18,2,FALSE)&amp;$BB$3&amp;G107&amp;$BD$3,"")</f>
        <v/>
      </c>
      <c r="BE105" s="49" t="str">
        <f>IFERROR($BC$3&amp;VLOOKUP(H107,'Pay Table'!$M$3:$N$18,2,FALSE)&amp;$BB$3&amp;I107&amp;$BD$3,"")</f>
        <v/>
      </c>
      <c r="BF105" s="60" t="str">
        <f>IFERROR($BC$3&amp;VLOOKUP(J107,'Pay Table'!$M$3:$N$18,2,FALSE)&amp;$BB$3&amp;K107&amp;$BD$3,"")</f>
        <v/>
      </c>
    </row>
    <row r="106" spans="1:58" ht="17.100000000000001" customHeight="1" x14ac:dyDescent="0.15">
      <c r="A106" s="14">
        <v>101</v>
      </c>
      <c r="N106" s="2" t="str">
        <f t="shared" ref="N106:N115" si="77">N94</f>
        <v>WILD</v>
      </c>
      <c r="O106" s="9"/>
      <c r="P106" s="9"/>
      <c r="Q106" s="9"/>
      <c r="R106" s="9"/>
      <c r="S106" s="9"/>
      <c r="T106" s="9"/>
      <c r="U106" s="9"/>
      <c r="V106" s="9"/>
      <c r="W106" s="173"/>
      <c r="Z106" s="1">
        <v>3</v>
      </c>
      <c r="AA106" s="4" t="s">
        <v>127</v>
      </c>
      <c r="AB106" s="2">
        <v>1</v>
      </c>
      <c r="AC106" s="1">
        <v>1</v>
      </c>
      <c r="AD106" s="1">
        <v>1</v>
      </c>
      <c r="AE106" s="1">
        <v>1</v>
      </c>
      <c r="AF106" s="1">
        <v>1</v>
      </c>
      <c r="AG106" s="5">
        <v>1</v>
      </c>
      <c r="BB106" s="59" t="str">
        <f>IFERROR($BC$3&amp;VLOOKUP(B108,'Pay Table'!$M$3:$N$18,2,FALSE)&amp;$BB$3&amp;C108&amp;$BD$3,"")</f>
        <v/>
      </c>
      <c r="BC106" s="49" t="str">
        <f>IFERROR($BC$3&amp;VLOOKUP(D108,'Pay Table'!$M$3:$N$18,2,FALSE)&amp;$BB$3&amp;E108&amp;$BD$3,"")</f>
        <v/>
      </c>
      <c r="BD106" s="49" t="str">
        <f>IFERROR($BC$3&amp;VLOOKUP(F108,'Pay Table'!$M$3:$N$18,2,FALSE)&amp;$BB$3&amp;G108&amp;$BD$3,"")</f>
        <v/>
      </c>
      <c r="BE106" s="49" t="str">
        <f>IFERROR($BC$3&amp;VLOOKUP(H108,'Pay Table'!$M$3:$N$18,2,FALSE)&amp;$BB$3&amp;I108&amp;$BD$3,"")</f>
        <v/>
      </c>
      <c r="BF106" s="60" t="str">
        <f>IFERROR($BC$3&amp;VLOOKUP(J108,'Pay Table'!$M$3:$N$18,2,FALSE)&amp;$BB$3&amp;K108&amp;$BD$3,"")</f>
        <v/>
      </c>
    </row>
    <row r="107" spans="1:58" ht="17.100000000000001" customHeight="1" x14ac:dyDescent="0.15">
      <c r="A107" s="14">
        <v>102</v>
      </c>
      <c r="N107" s="2" t="str">
        <f t="shared" si="77"/>
        <v>M1</v>
      </c>
      <c r="O107" s="9"/>
      <c r="P107" s="9"/>
      <c r="Q107" s="9"/>
      <c r="R107" s="9"/>
      <c r="S107" s="9"/>
      <c r="T107" s="9"/>
      <c r="U107" s="9"/>
      <c r="V107" s="9"/>
      <c r="W107" s="173"/>
      <c r="X107" s="9">
        <f>SUM(O107:W107)</f>
        <v>0</v>
      </c>
      <c r="Z107" s="1">
        <v>4</v>
      </c>
      <c r="AA107" s="19" t="s">
        <v>128</v>
      </c>
      <c r="AB107" s="8">
        <v>1</v>
      </c>
      <c r="AC107" s="15">
        <v>1</v>
      </c>
      <c r="AD107" s="15">
        <v>1</v>
      </c>
      <c r="AE107" s="15">
        <v>1</v>
      </c>
      <c r="AF107" s="15">
        <v>1</v>
      </c>
      <c r="AG107" s="16">
        <v>1</v>
      </c>
      <c r="BB107" s="59" t="str">
        <f>IFERROR($BC$3&amp;VLOOKUP(B109,'Pay Table'!$M$3:$N$18,2,FALSE)&amp;$BB$3&amp;C109&amp;$BD$3,"")</f>
        <v/>
      </c>
      <c r="BC107" s="49" t="str">
        <f>IFERROR($BC$3&amp;VLOOKUP(D109,'Pay Table'!$M$3:$N$18,2,FALSE)&amp;$BB$3&amp;E109&amp;$BD$3,"")</f>
        <v/>
      </c>
      <c r="BD107" s="49" t="str">
        <f>IFERROR($BC$3&amp;VLOOKUP(F109,'Pay Table'!$M$3:$N$18,2,FALSE)&amp;$BB$3&amp;G109&amp;$BD$3,"")</f>
        <v/>
      </c>
      <c r="BE107" s="49" t="str">
        <f>IFERROR($BC$3&amp;VLOOKUP(H109,'Pay Table'!$M$3:$N$18,2,FALSE)&amp;$BB$3&amp;I109&amp;$BD$3,"")</f>
        <v/>
      </c>
      <c r="BF107" s="60" t="str">
        <f>IFERROR($BC$3&amp;VLOOKUP(J109,'Pay Table'!$M$3:$N$18,2,FALSE)&amp;$BB$3&amp;K109&amp;$BD$3,"")</f>
        <v/>
      </c>
    </row>
    <row r="108" spans="1:58" ht="17.100000000000001" customHeight="1" x14ac:dyDescent="0.15">
      <c r="A108" s="14">
        <v>103</v>
      </c>
      <c r="N108" s="2" t="str">
        <f t="shared" si="77"/>
        <v>M2</v>
      </c>
      <c r="O108" s="9"/>
      <c r="P108" s="9"/>
      <c r="Q108" s="9"/>
      <c r="R108" s="9"/>
      <c r="S108" s="9"/>
      <c r="T108" s="9"/>
      <c r="U108" s="9"/>
      <c r="V108" s="9"/>
      <c r="W108" s="173"/>
      <c r="X108" s="9">
        <f t="shared" ref="X108:X115" si="78">SUM(O108:W108)</f>
        <v>0</v>
      </c>
      <c r="BB108" s="59" t="str">
        <f>IFERROR($BC$3&amp;VLOOKUP(B110,'Pay Table'!$M$3:$N$18,2,FALSE)&amp;$BB$3&amp;C110&amp;$BD$3,"")</f>
        <v/>
      </c>
      <c r="BC108" s="49" t="str">
        <f>IFERROR($BC$3&amp;VLOOKUP(D110,'Pay Table'!$M$3:$N$18,2,FALSE)&amp;$BB$3&amp;E110&amp;$BD$3,"")</f>
        <v/>
      </c>
      <c r="BD108" s="49" t="str">
        <f>IFERROR($BC$3&amp;VLOOKUP(F110,'Pay Table'!$M$3:$N$18,2,FALSE)&amp;$BB$3&amp;G110&amp;$BD$3,"")</f>
        <v/>
      </c>
      <c r="BE108" s="49" t="str">
        <f>IFERROR($BC$3&amp;VLOOKUP(H110,'Pay Table'!$M$3:$N$18,2,FALSE)&amp;$BB$3&amp;I110&amp;$BD$3,"")</f>
        <v/>
      </c>
      <c r="BF108" s="60" t="str">
        <f>IFERROR($BC$3&amp;VLOOKUP(J110,'Pay Table'!$M$3:$N$18,2,FALSE)&amp;$BB$3&amp;K110&amp;$BD$3,"")</f>
        <v/>
      </c>
    </row>
    <row r="109" spans="1:58" ht="17.100000000000001" customHeight="1" x14ac:dyDescent="0.15">
      <c r="A109" s="14">
        <v>104</v>
      </c>
      <c r="N109" s="2" t="str">
        <f t="shared" si="77"/>
        <v>M3</v>
      </c>
      <c r="O109" s="9"/>
      <c r="P109" s="9"/>
      <c r="Q109" s="9"/>
      <c r="R109" s="9"/>
      <c r="S109" s="9"/>
      <c r="T109" s="9"/>
      <c r="U109" s="9"/>
      <c r="V109" s="9"/>
      <c r="W109" s="173"/>
      <c r="X109" s="9">
        <f t="shared" si="78"/>
        <v>0</v>
      </c>
      <c r="BB109" s="59" t="str">
        <f>IFERROR($BC$3&amp;VLOOKUP(B111,'Pay Table'!$M$3:$N$18,2,FALSE)&amp;$BB$3&amp;C111&amp;$BD$3,"")</f>
        <v/>
      </c>
      <c r="BC109" s="49" t="str">
        <f>IFERROR($BC$3&amp;VLOOKUP(D111,'Pay Table'!$M$3:$N$18,2,FALSE)&amp;$BB$3&amp;E111&amp;$BD$3,"")</f>
        <v/>
      </c>
      <c r="BD109" s="49" t="str">
        <f>IFERROR($BC$3&amp;VLOOKUP(F111,'Pay Table'!$M$3:$N$18,2,FALSE)&amp;$BB$3&amp;G111&amp;$BD$3,"")</f>
        <v/>
      </c>
      <c r="BE109" s="49" t="str">
        <f>IFERROR($BC$3&amp;VLOOKUP(H111,'Pay Table'!$M$3:$N$18,2,FALSE)&amp;$BB$3&amp;I111&amp;$BD$3,"")</f>
        <v/>
      </c>
      <c r="BF109" s="60" t="str">
        <f>IFERROR($BC$3&amp;VLOOKUP(J111,'Pay Table'!$M$3:$N$18,2,FALSE)&amp;$BB$3&amp;K111&amp;$BD$3,"")</f>
        <v/>
      </c>
    </row>
    <row r="110" spans="1:58" ht="17.100000000000001" customHeight="1" x14ac:dyDescent="0.15">
      <c r="A110" s="14">
        <v>105</v>
      </c>
      <c r="N110" s="2" t="str">
        <f t="shared" si="77"/>
        <v>M4</v>
      </c>
      <c r="O110" s="9"/>
      <c r="P110" s="9"/>
      <c r="Q110" s="9"/>
      <c r="R110" s="9"/>
      <c r="S110" s="9"/>
      <c r="T110" s="9"/>
      <c r="U110" s="9"/>
      <c r="V110" s="9"/>
      <c r="W110" s="173"/>
      <c r="X110" s="9">
        <f t="shared" si="78"/>
        <v>0</v>
      </c>
      <c r="BB110" s="59" t="str">
        <f>IFERROR($BC$3&amp;VLOOKUP(B112,'Pay Table'!$M$3:$N$18,2,FALSE)&amp;$BB$3&amp;C112&amp;$BD$3,"")</f>
        <v/>
      </c>
      <c r="BC110" s="49" t="str">
        <f>IFERROR($BC$3&amp;VLOOKUP(D112,'Pay Table'!$M$3:$N$18,2,FALSE)&amp;$BB$3&amp;E112&amp;$BD$3,"")</f>
        <v/>
      </c>
      <c r="BD110" s="49" t="str">
        <f>IFERROR($BC$3&amp;VLOOKUP(F112,'Pay Table'!$M$3:$N$18,2,FALSE)&amp;$BB$3&amp;G112&amp;$BD$3,"")</f>
        <v/>
      </c>
      <c r="BE110" s="49" t="str">
        <f>IFERROR($BC$3&amp;VLOOKUP(H112,'Pay Table'!$M$3:$N$18,2,FALSE)&amp;$BB$3&amp;I112&amp;$BD$3,"")</f>
        <v/>
      </c>
      <c r="BF110" s="60" t="str">
        <f>IFERROR($BC$3&amp;VLOOKUP(J112,'Pay Table'!$M$3:$N$18,2,FALSE)&amp;$BB$3&amp;K112&amp;$BD$3,"")</f>
        <v/>
      </c>
    </row>
    <row r="111" spans="1:58" ht="17.100000000000001" customHeight="1" x14ac:dyDescent="0.15">
      <c r="A111" s="14">
        <v>106</v>
      </c>
      <c r="N111" s="2" t="str">
        <f t="shared" si="77"/>
        <v>M5</v>
      </c>
      <c r="O111" s="9"/>
      <c r="P111" s="9"/>
      <c r="Q111" s="9"/>
      <c r="R111" s="9"/>
      <c r="S111" s="9"/>
      <c r="T111" s="9"/>
      <c r="U111" s="9"/>
      <c r="V111" s="9"/>
      <c r="W111" s="173"/>
      <c r="X111" s="9">
        <f t="shared" si="78"/>
        <v>0</v>
      </c>
      <c r="AA111" s="7"/>
      <c r="AB111" s="21">
        <v>2</v>
      </c>
      <c r="AC111" s="21">
        <v>3</v>
      </c>
      <c r="AD111" s="21">
        <v>4</v>
      </c>
      <c r="AE111" s="21">
        <v>5</v>
      </c>
      <c r="AF111" s="21">
        <v>6</v>
      </c>
      <c r="AG111" s="21">
        <v>7</v>
      </c>
      <c r="AH111" s="21">
        <v>8</v>
      </c>
      <c r="AI111" s="21">
        <v>9</v>
      </c>
      <c r="AJ111" s="21">
        <v>10</v>
      </c>
      <c r="AK111" s="20"/>
      <c r="BB111" s="59" t="str">
        <f>IFERROR($BC$3&amp;VLOOKUP(B113,'Pay Table'!$M$3:$N$18,2,FALSE)&amp;$BB$3&amp;C113&amp;$BD$3,"")</f>
        <v/>
      </c>
      <c r="BC111" s="49" t="str">
        <f>IFERROR($BC$3&amp;VLOOKUP(D113,'Pay Table'!$M$3:$N$18,2,FALSE)&amp;$BB$3&amp;E113&amp;$BD$3,"")</f>
        <v/>
      </c>
      <c r="BD111" s="49" t="str">
        <f>IFERROR($BC$3&amp;VLOOKUP(F113,'Pay Table'!$M$3:$N$18,2,FALSE)&amp;$BB$3&amp;G113&amp;$BD$3,"")</f>
        <v/>
      </c>
      <c r="BE111" s="49" t="str">
        <f>IFERROR($BC$3&amp;VLOOKUP(H113,'Pay Table'!$M$3:$N$18,2,FALSE)&amp;$BB$3&amp;I113&amp;$BD$3,"")</f>
        <v/>
      </c>
      <c r="BF111" s="60" t="str">
        <f>IFERROR($BC$3&amp;VLOOKUP(J113,'Pay Table'!$M$3:$N$18,2,FALSE)&amp;$BB$3&amp;K113&amp;$BD$3,"")</f>
        <v/>
      </c>
    </row>
    <row r="112" spans="1:58" ht="17.100000000000001" customHeight="1" x14ac:dyDescent="0.15">
      <c r="A112" s="14">
        <v>107</v>
      </c>
      <c r="N112" s="2" t="str">
        <f t="shared" si="77"/>
        <v>A</v>
      </c>
      <c r="O112" s="9"/>
      <c r="P112" s="9"/>
      <c r="Q112" s="9"/>
      <c r="R112" s="9"/>
      <c r="S112" s="9"/>
      <c r="T112" s="9"/>
      <c r="U112" s="9"/>
      <c r="V112" s="9"/>
      <c r="W112" s="173"/>
      <c r="X112" s="9">
        <f t="shared" si="78"/>
        <v>0</v>
      </c>
      <c r="AA112" s="2" t="s">
        <v>291</v>
      </c>
      <c r="AB112" s="23" t="e">
        <f>O94/$X$94</f>
        <v>#DIV/0!</v>
      </c>
      <c r="AC112" s="23" t="e">
        <f t="shared" ref="AC112:AJ112" si="79">P94/$X$94</f>
        <v>#DIV/0!</v>
      </c>
      <c r="AD112" s="23" t="e">
        <f t="shared" si="79"/>
        <v>#DIV/0!</v>
      </c>
      <c r="AE112" s="23" t="e">
        <f t="shared" si="79"/>
        <v>#DIV/0!</v>
      </c>
      <c r="AF112" s="23" t="e">
        <f t="shared" si="79"/>
        <v>#DIV/0!</v>
      </c>
      <c r="AG112" s="23" t="e">
        <f t="shared" si="79"/>
        <v>#DIV/0!</v>
      </c>
      <c r="AH112" s="23" t="e">
        <f t="shared" si="79"/>
        <v>#DIV/0!</v>
      </c>
      <c r="AI112" s="23" t="e">
        <f t="shared" si="79"/>
        <v>#DIV/0!</v>
      </c>
      <c r="AJ112" s="23" t="e">
        <f t="shared" si="79"/>
        <v>#DIV/0!</v>
      </c>
      <c r="AK112" s="5"/>
      <c r="BB112" s="59" t="str">
        <f>IFERROR($BC$3&amp;VLOOKUP(B114,'Pay Table'!$M$3:$N$18,2,FALSE)&amp;$BB$3&amp;C114&amp;$BD$3,"")</f>
        <v/>
      </c>
      <c r="BC112" s="49" t="str">
        <f>IFERROR($BC$3&amp;VLOOKUP(D114,'Pay Table'!$M$3:$N$18,2,FALSE)&amp;$BB$3&amp;E114&amp;$BD$3,"")</f>
        <v/>
      </c>
      <c r="BD112" s="49" t="str">
        <f>IFERROR($BC$3&amp;VLOOKUP(F114,'Pay Table'!$M$3:$N$18,2,FALSE)&amp;$BB$3&amp;G114&amp;$BD$3,"")</f>
        <v/>
      </c>
      <c r="BE112" s="49" t="str">
        <f>IFERROR($BC$3&amp;VLOOKUP(H114,'Pay Table'!$M$3:$N$18,2,FALSE)&amp;$BB$3&amp;I114&amp;$BD$3,"")</f>
        <v/>
      </c>
      <c r="BF112" s="60" t="str">
        <f>IFERROR($BC$3&amp;VLOOKUP(J114,'Pay Table'!$M$3:$N$18,2,FALSE)&amp;$BB$3&amp;K114&amp;$BD$3,"")</f>
        <v/>
      </c>
    </row>
    <row r="113" spans="1:58" ht="17.100000000000001" customHeight="1" x14ac:dyDescent="0.15">
      <c r="A113" s="14">
        <v>108</v>
      </c>
      <c r="N113" s="2" t="str">
        <f t="shared" si="77"/>
        <v>K</v>
      </c>
      <c r="O113" s="9"/>
      <c r="P113" s="9"/>
      <c r="Q113" s="9"/>
      <c r="R113" s="9"/>
      <c r="S113" s="9"/>
      <c r="T113" s="9"/>
      <c r="U113" s="9"/>
      <c r="V113" s="9"/>
      <c r="W113" s="173"/>
      <c r="X113" s="9">
        <f t="shared" si="78"/>
        <v>0</v>
      </c>
      <c r="AA113" s="2" t="s">
        <v>124</v>
      </c>
      <c r="AB113" s="23" t="e">
        <f>O95/$X95</f>
        <v>#DIV/0!</v>
      </c>
      <c r="AC113" s="23" t="e">
        <f t="shared" ref="AC113:AJ121" si="80">P95/$X95</f>
        <v>#DIV/0!</v>
      </c>
      <c r="AD113" s="23" t="e">
        <f t="shared" si="80"/>
        <v>#DIV/0!</v>
      </c>
      <c r="AE113" s="23" t="e">
        <f t="shared" si="80"/>
        <v>#DIV/0!</v>
      </c>
      <c r="AF113" s="23" t="e">
        <f t="shared" si="80"/>
        <v>#DIV/0!</v>
      </c>
      <c r="AG113" s="23" t="e">
        <f t="shared" si="80"/>
        <v>#DIV/0!</v>
      </c>
      <c r="AH113" s="23" t="e">
        <f t="shared" si="80"/>
        <v>#DIV/0!</v>
      </c>
      <c r="AI113" s="23" t="e">
        <f t="shared" si="80"/>
        <v>#DIV/0!</v>
      </c>
      <c r="AJ113" s="23" t="e">
        <f t="shared" si="80"/>
        <v>#DIV/0!</v>
      </c>
      <c r="AK113" s="5">
        <v>3.6380000000000002E-3</v>
      </c>
      <c r="BB113" s="59" t="str">
        <f>IFERROR($BC$3&amp;VLOOKUP(B115,'Pay Table'!$M$3:$N$18,2,FALSE)&amp;$BB$3&amp;C115&amp;$BD$3,"")</f>
        <v/>
      </c>
      <c r="BC113" s="49" t="str">
        <f>IFERROR($BC$3&amp;VLOOKUP(D115,'Pay Table'!$M$3:$N$18,2,FALSE)&amp;$BB$3&amp;E115&amp;$BD$3,"")</f>
        <v/>
      </c>
      <c r="BD113" s="49" t="str">
        <f>IFERROR($BC$3&amp;VLOOKUP(F115,'Pay Table'!$M$3:$N$18,2,FALSE)&amp;$BB$3&amp;G115&amp;$BD$3,"")</f>
        <v/>
      </c>
      <c r="BE113" s="49" t="str">
        <f>IFERROR($BC$3&amp;VLOOKUP(H115,'Pay Table'!$M$3:$N$18,2,FALSE)&amp;$BB$3&amp;I115&amp;$BD$3,"")</f>
        <v/>
      </c>
      <c r="BF113" s="60" t="str">
        <f>IFERROR($BC$3&amp;VLOOKUP(J115,'Pay Table'!$M$3:$N$18,2,FALSE)&amp;$BB$3&amp;K115&amp;$BD$3,"")</f>
        <v/>
      </c>
    </row>
    <row r="114" spans="1:58" ht="17.100000000000001" customHeight="1" x14ac:dyDescent="0.15">
      <c r="A114" s="14">
        <v>109</v>
      </c>
      <c r="N114" s="2" t="str">
        <f t="shared" si="77"/>
        <v>Q</v>
      </c>
      <c r="O114" s="9"/>
      <c r="P114" s="9"/>
      <c r="Q114" s="9"/>
      <c r="R114" s="9"/>
      <c r="S114" s="9"/>
      <c r="T114" s="9"/>
      <c r="U114" s="9"/>
      <c r="V114" s="9"/>
      <c r="W114" s="173"/>
      <c r="X114" s="9">
        <f t="shared" si="78"/>
        <v>0</v>
      </c>
      <c r="AA114" s="2" t="s">
        <v>125</v>
      </c>
      <c r="AB114" s="23" t="e">
        <f t="shared" ref="AB114:AB121" si="81">O96/$X96</f>
        <v>#DIV/0!</v>
      </c>
      <c r="AC114" s="23" t="e">
        <f t="shared" si="80"/>
        <v>#DIV/0!</v>
      </c>
      <c r="AD114" s="23" t="e">
        <f t="shared" si="80"/>
        <v>#DIV/0!</v>
      </c>
      <c r="AE114" s="23" t="e">
        <f t="shared" si="80"/>
        <v>#DIV/0!</v>
      </c>
      <c r="AF114" s="23" t="e">
        <f t="shared" si="80"/>
        <v>#DIV/0!</v>
      </c>
      <c r="AG114" s="23" t="e">
        <f t="shared" si="80"/>
        <v>#DIV/0!</v>
      </c>
      <c r="AH114" s="23" t="e">
        <f t="shared" si="80"/>
        <v>#DIV/0!</v>
      </c>
      <c r="AI114" s="23" t="e">
        <f t="shared" si="80"/>
        <v>#DIV/0!</v>
      </c>
      <c r="AJ114" s="23" t="e">
        <f t="shared" si="80"/>
        <v>#DIV/0!</v>
      </c>
      <c r="AK114" s="5">
        <v>4.5929999999999999E-3</v>
      </c>
      <c r="BB114" s="59" t="str">
        <f>IFERROR($BC$3&amp;VLOOKUP(B116,'Pay Table'!$M$3:$N$18,2,FALSE)&amp;$BB$3&amp;C116&amp;$BD$3,"")</f>
        <v/>
      </c>
      <c r="BC114" s="49" t="str">
        <f>IFERROR($BC$3&amp;VLOOKUP(D116,'Pay Table'!$M$3:$N$18,2,FALSE)&amp;$BB$3&amp;E116&amp;$BD$3,"")</f>
        <v/>
      </c>
      <c r="BD114" s="49" t="str">
        <f>IFERROR($BC$3&amp;VLOOKUP(F116,'Pay Table'!$M$3:$N$18,2,FALSE)&amp;$BB$3&amp;G116&amp;$BD$3,"")</f>
        <v/>
      </c>
      <c r="BE114" s="49" t="str">
        <f>IFERROR($BC$3&amp;VLOOKUP(H116,'Pay Table'!$M$3:$N$18,2,FALSE)&amp;$BB$3&amp;I116&amp;$BD$3,"")</f>
        <v/>
      </c>
      <c r="BF114" s="60" t="str">
        <f>IFERROR($BC$3&amp;VLOOKUP(J116,'Pay Table'!$M$3:$N$18,2,FALSE)&amp;$BB$3&amp;K116&amp;$BD$3,"")</f>
        <v/>
      </c>
    </row>
    <row r="115" spans="1:58" ht="17.100000000000001" customHeight="1" x14ac:dyDescent="0.15">
      <c r="A115" s="14">
        <v>110</v>
      </c>
      <c r="N115" s="8" t="str">
        <f t="shared" si="77"/>
        <v>J</v>
      </c>
      <c r="O115" s="174"/>
      <c r="P115" s="174"/>
      <c r="Q115" s="174"/>
      <c r="R115" s="174"/>
      <c r="S115" s="174"/>
      <c r="T115" s="174"/>
      <c r="U115" s="174"/>
      <c r="V115" s="174"/>
      <c r="W115" s="175"/>
      <c r="X115" s="9">
        <f t="shared" si="78"/>
        <v>0</v>
      </c>
      <c r="AA115" s="2" t="s">
        <v>126</v>
      </c>
      <c r="AB115" s="23" t="e">
        <f t="shared" si="81"/>
        <v>#DIV/0!</v>
      </c>
      <c r="AC115" s="23" t="e">
        <f t="shared" si="80"/>
        <v>#DIV/0!</v>
      </c>
      <c r="AD115" s="23" t="e">
        <f t="shared" si="80"/>
        <v>#DIV/0!</v>
      </c>
      <c r="AE115" s="23" t="e">
        <f t="shared" si="80"/>
        <v>#DIV/0!</v>
      </c>
      <c r="AF115" s="23" t="e">
        <f t="shared" si="80"/>
        <v>#DIV/0!</v>
      </c>
      <c r="AG115" s="23" t="e">
        <f t="shared" si="80"/>
        <v>#DIV/0!</v>
      </c>
      <c r="AH115" s="23" t="e">
        <f t="shared" si="80"/>
        <v>#DIV/0!</v>
      </c>
      <c r="AI115" s="23" t="e">
        <f t="shared" si="80"/>
        <v>#DIV/0!</v>
      </c>
      <c r="AJ115" s="23" t="e">
        <f t="shared" si="80"/>
        <v>#DIV/0!</v>
      </c>
      <c r="AK115" s="5">
        <v>7.8359999999999992E-3</v>
      </c>
      <c r="BB115" s="59" t="str">
        <f>IFERROR($BC$3&amp;VLOOKUP(B117,'Pay Table'!$M$3:$N$18,2,FALSE)&amp;$BB$3&amp;C117&amp;$BD$3,"")</f>
        <v/>
      </c>
      <c r="BC115" s="49" t="str">
        <f>IFERROR($BC$3&amp;VLOOKUP(D117,'Pay Table'!$M$3:$N$18,2,FALSE)&amp;$BB$3&amp;E117&amp;$BD$3,"")</f>
        <v/>
      </c>
      <c r="BD115" s="49" t="str">
        <f>IFERROR($BC$3&amp;VLOOKUP(F117,'Pay Table'!$M$3:$N$18,2,FALSE)&amp;$BB$3&amp;G117&amp;$BD$3,"")</f>
        <v/>
      </c>
      <c r="BE115" s="49" t="str">
        <f>IFERROR($BC$3&amp;VLOOKUP(H117,'Pay Table'!$M$3:$N$18,2,FALSE)&amp;$BB$3&amp;I117&amp;$BD$3,"")</f>
        <v/>
      </c>
      <c r="BF115" s="60" t="str">
        <f>IFERROR($BC$3&amp;VLOOKUP(J117,'Pay Table'!$M$3:$N$18,2,FALSE)&amp;$BB$3&amp;K117&amp;$BD$3,"")</f>
        <v/>
      </c>
    </row>
    <row r="116" spans="1:58" ht="17.100000000000001" customHeight="1" x14ac:dyDescent="0.15">
      <c r="A116" s="14">
        <v>111</v>
      </c>
      <c r="P116" s="9"/>
      <c r="Q116" s="9"/>
      <c r="R116" s="9"/>
      <c r="S116" s="9"/>
      <c r="T116" s="9"/>
      <c r="U116" s="9"/>
      <c r="V116" s="9"/>
      <c r="W116" s="9"/>
      <c r="X116" s="9"/>
      <c r="AA116" s="2" t="s">
        <v>127</v>
      </c>
      <c r="AB116" s="23" t="e">
        <f t="shared" si="81"/>
        <v>#DIV/0!</v>
      </c>
      <c r="AC116" s="23" t="e">
        <f t="shared" si="80"/>
        <v>#DIV/0!</v>
      </c>
      <c r="AD116" s="23" t="e">
        <f t="shared" si="80"/>
        <v>#DIV/0!</v>
      </c>
      <c r="AE116" s="23" t="e">
        <f t="shared" si="80"/>
        <v>#DIV/0!</v>
      </c>
      <c r="AF116" s="23" t="e">
        <f t="shared" si="80"/>
        <v>#DIV/0!</v>
      </c>
      <c r="AG116" s="23" t="e">
        <f t="shared" si="80"/>
        <v>#DIV/0!</v>
      </c>
      <c r="AH116" s="23" t="e">
        <f t="shared" si="80"/>
        <v>#DIV/0!</v>
      </c>
      <c r="AI116" s="23" t="e">
        <f t="shared" si="80"/>
        <v>#DIV/0!</v>
      </c>
      <c r="AJ116" s="23" t="e">
        <f t="shared" si="80"/>
        <v>#DIV/0!</v>
      </c>
      <c r="AK116" s="5">
        <v>2.1099999999999999E-3</v>
      </c>
      <c r="BB116" s="59" t="str">
        <f>IFERROR($BC$3&amp;VLOOKUP(B118,'Pay Table'!$M$3:$N$18,2,FALSE)&amp;$BB$3&amp;C118&amp;$BD$3,"")</f>
        <v/>
      </c>
      <c r="BC116" s="49" t="str">
        <f>IFERROR($BC$3&amp;VLOOKUP(D118,'Pay Table'!$M$3:$N$18,2,FALSE)&amp;$BB$3&amp;E118&amp;$BD$3,"")</f>
        <v/>
      </c>
      <c r="BD116" s="49" t="str">
        <f>IFERROR($BC$3&amp;VLOOKUP(F118,'Pay Table'!$M$3:$N$18,2,FALSE)&amp;$BB$3&amp;G118&amp;$BD$3,"")</f>
        <v/>
      </c>
      <c r="BE116" s="49" t="str">
        <f>IFERROR($BC$3&amp;VLOOKUP(H118,'Pay Table'!$M$3:$N$18,2,FALSE)&amp;$BB$3&amp;I118&amp;$BD$3,"")</f>
        <v/>
      </c>
      <c r="BF116" s="60" t="str">
        <f>IFERROR($BC$3&amp;VLOOKUP(J118,'Pay Table'!$M$3:$N$18,2,FALSE)&amp;$BB$3&amp;K118&amp;$BD$3,"")</f>
        <v/>
      </c>
    </row>
    <row r="117" spans="1:58" ht="17.100000000000001" customHeight="1" x14ac:dyDescent="0.15">
      <c r="A117" s="14">
        <v>112</v>
      </c>
      <c r="N117" s="17" t="s">
        <v>16</v>
      </c>
      <c r="O117" s="21"/>
      <c r="P117" s="21"/>
      <c r="Q117" s="21"/>
      <c r="R117" s="21"/>
      <c r="S117" s="20"/>
      <c r="AA117" s="2" t="s">
        <v>128</v>
      </c>
      <c r="AB117" s="23" t="e">
        <f t="shared" si="81"/>
        <v>#DIV/0!</v>
      </c>
      <c r="AC117" s="23" t="e">
        <f t="shared" si="80"/>
        <v>#DIV/0!</v>
      </c>
      <c r="AD117" s="23" t="e">
        <f t="shared" si="80"/>
        <v>#DIV/0!</v>
      </c>
      <c r="AE117" s="23" t="e">
        <f t="shared" si="80"/>
        <v>#DIV/0!</v>
      </c>
      <c r="AF117" s="23" t="e">
        <f t="shared" si="80"/>
        <v>#DIV/0!</v>
      </c>
      <c r="AG117" s="23" t="e">
        <f t="shared" si="80"/>
        <v>#DIV/0!</v>
      </c>
      <c r="AH117" s="23" t="e">
        <f t="shared" si="80"/>
        <v>#DIV/0!</v>
      </c>
      <c r="AI117" s="23" t="e">
        <f t="shared" si="80"/>
        <v>#DIV/0!</v>
      </c>
      <c r="AJ117" s="23" t="e">
        <f t="shared" si="80"/>
        <v>#DIV/0!</v>
      </c>
      <c r="AK117" s="5">
        <v>4.3660000000000001E-3</v>
      </c>
      <c r="BB117" s="59" t="str">
        <f>IFERROR($BC$3&amp;VLOOKUP(B119,'Pay Table'!$M$3:$N$18,2,FALSE)&amp;$BB$3&amp;C119&amp;$BD$3,"")</f>
        <v/>
      </c>
      <c r="BC117" s="49" t="str">
        <f>IFERROR($BC$3&amp;VLOOKUP(D119,'Pay Table'!$M$3:$N$18,2,FALSE)&amp;$BB$3&amp;E119&amp;$BD$3,"")</f>
        <v/>
      </c>
      <c r="BD117" s="49" t="str">
        <f>IFERROR($BC$3&amp;VLOOKUP(F119,'Pay Table'!$M$3:$N$18,2,FALSE)&amp;$BB$3&amp;G119&amp;$BD$3,"")</f>
        <v/>
      </c>
      <c r="BE117" s="49" t="str">
        <f>IFERROR($BC$3&amp;VLOOKUP(H119,'Pay Table'!$M$3:$N$18,2,FALSE)&amp;$BB$3&amp;I119&amp;$BD$3,"")</f>
        <v/>
      </c>
      <c r="BF117" s="60" t="str">
        <f>IFERROR($BC$3&amp;VLOOKUP(J119,'Pay Table'!$M$3:$N$18,2,FALSE)&amp;$BB$3&amp;K119&amp;$BD$3,"")</f>
        <v/>
      </c>
    </row>
    <row r="118" spans="1:58" ht="17.100000000000001" customHeight="1" x14ac:dyDescent="0.15">
      <c r="A118" s="14">
        <v>113</v>
      </c>
      <c r="N118" s="6" t="s">
        <v>34</v>
      </c>
      <c r="O118" s="18">
        <v>1</v>
      </c>
      <c r="P118" s="18">
        <v>2</v>
      </c>
      <c r="Q118" s="18">
        <v>3</v>
      </c>
      <c r="R118" s="18">
        <v>4</v>
      </c>
      <c r="S118" s="36">
        <v>5</v>
      </c>
      <c r="AA118" s="2" t="s">
        <v>292</v>
      </c>
      <c r="AB118" s="23" t="e">
        <f t="shared" si="81"/>
        <v>#DIV/0!</v>
      </c>
      <c r="AC118" s="23" t="e">
        <f t="shared" si="80"/>
        <v>#DIV/0!</v>
      </c>
      <c r="AD118" s="23" t="e">
        <f t="shared" si="80"/>
        <v>#DIV/0!</v>
      </c>
      <c r="AE118" s="23" t="e">
        <f t="shared" si="80"/>
        <v>#DIV/0!</v>
      </c>
      <c r="AF118" s="23" t="e">
        <f t="shared" si="80"/>
        <v>#DIV/0!</v>
      </c>
      <c r="AG118" s="23" t="e">
        <f t="shared" si="80"/>
        <v>#DIV/0!</v>
      </c>
      <c r="AH118" s="23" t="e">
        <f t="shared" si="80"/>
        <v>#DIV/0!</v>
      </c>
      <c r="AI118" s="23" t="e">
        <f t="shared" si="80"/>
        <v>#DIV/0!</v>
      </c>
      <c r="AJ118" s="23" t="e">
        <f t="shared" si="80"/>
        <v>#DIV/0!</v>
      </c>
      <c r="AK118" s="5">
        <v>1.6440000000000001E-3</v>
      </c>
      <c r="BB118" s="59" t="str">
        <f>IFERROR($BC$3&amp;VLOOKUP(B120,'Pay Table'!$M$3:$N$18,2,FALSE)&amp;$BB$3&amp;C120&amp;$BD$3,"")</f>
        <v/>
      </c>
      <c r="BC118" s="49" t="str">
        <f>IFERROR($BC$3&amp;VLOOKUP(D120,'Pay Table'!$M$3:$N$18,2,FALSE)&amp;$BB$3&amp;E120&amp;$BD$3,"")</f>
        <v/>
      </c>
      <c r="BD118" s="49" t="str">
        <f>IFERROR($BC$3&amp;VLOOKUP(F120,'Pay Table'!$M$3:$N$18,2,FALSE)&amp;$BB$3&amp;G120&amp;$BD$3,"")</f>
        <v/>
      </c>
      <c r="BE118" s="49" t="str">
        <f>IFERROR($BC$3&amp;VLOOKUP(H120,'Pay Table'!$M$3:$N$18,2,FALSE)&amp;$BB$3&amp;I120&amp;$BD$3,"")</f>
        <v/>
      </c>
      <c r="BF118" s="60" t="str">
        <f>IFERROR($BC$3&amp;VLOOKUP(J120,'Pay Table'!$M$3:$N$18,2,FALSE)&amp;$BB$3&amp;K120&amp;$BD$3,"")</f>
        <v/>
      </c>
    </row>
    <row r="119" spans="1:58" ht="17.100000000000001" customHeight="1" x14ac:dyDescent="0.15">
      <c r="A119" s="14">
        <v>114</v>
      </c>
      <c r="N119" s="19" t="s">
        <v>14</v>
      </c>
      <c r="O119" s="15"/>
      <c r="P119" s="15"/>
      <c r="Q119" s="15"/>
      <c r="R119" s="15"/>
      <c r="S119" s="16"/>
      <c r="AA119" s="2" t="s">
        <v>293</v>
      </c>
      <c r="AB119" s="23" t="e">
        <f t="shared" si="81"/>
        <v>#DIV/0!</v>
      </c>
      <c r="AC119" s="23" t="e">
        <f t="shared" si="80"/>
        <v>#DIV/0!</v>
      </c>
      <c r="AD119" s="23" t="e">
        <f t="shared" si="80"/>
        <v>#DIV/0!</v>
      </c>
      <c r="AE119" s="23" t="e">
        <f t="shared" si="80"/>
        <v>#DIV/0!</v>
      </c>
      <c r="AF119" s="23" t="e">
        <f t="shared" si="80"/>
        <v>#DIV/0!</v>
      </c>
      <c r="AG119" s="23" t="e">
        <f t="shared" si="80"/>
        <v>#DIV/0!</v>
      </c>
      <c r="AH119" s="23" t="e">
        <f t="shared" si="80"/>
        <v>#DIV/0!</v>
      </c>
      <c r="AI119" s="23" t="e">
        <f t="shared" si="80"/>
        <v>#DIV/0!</v>
      </c>
      <c r="AJ119" s="23" t="e">
        <f t="shared" si="80"/>
        <v>#DIV/0!</v>
      </c>
      <c r="AK119" s="5">
        <v>1.5899999999999996E-3</v>
      </c>
      <c r="BB119" s="59" t="str">
        <f>IFERROR($BC$3&amp;VLOOKUP(B121,'Pay Table'!$M$3:$N$18,2,FALSE)&amp;$BB$3&amp;C121&amp;$BD$3,"")</f>
        <v/>
      </c>
      <c r="BC119" s="49" t="str">
        <f>IFERROR($BC$3&amp;VLOOKUP(D121,'Pay Table'!$M$3:$N$18,2,FALSE)&amp;$BB$3&amp;E121&amp;$BD$3,"")</f>
        <v/>
      </c>
      <c r="BD119" s="49" t="str">
        <f>IFERROR($BC$3&amp;VLOOKUP(F121,'Pay Table'!$M$3:$N$18,2,FALSE)&amp;$BB$3&amp;G121&amp;$BD$3,"")</f>
        <v/>
      </c>
      <c r="BE119" s="49" t="str">
        <f>IFERROR($BC$3&amp;VLOOKUP(H121,'Pay Table'!$M$3:$N$18,2,FALSE)&amp;$BB$3&amp;I121&amp;$BD$3,"")</f>
        <v/>
      </c>
      <c r="BF119" s="60" t="str">
        <f>IFERROR($BC$3&amp;VLOOKUP(J121,'Pay Table'!$M$3:$N$18,2,FALSE)&amp;$BB$3&amp;K121&amp;$BD$3,"")</f>
        <v/>
      </c>
    </row>
    <row r="120" spans="1:58" ht="17.100000000000001" customHeight="1" x14ac:dyDescent="0.15">
      <c r="A120" s="14">
        <v>115</v>
      </c>
      <c r="N120" s="4">
        <v>0</v>
      </c>
      <c r="O120" s="7">
        <f t="array" ref="O120">SUM(IF(ISBLANK(B$6:B$290),0,1)*IF(ISBLANK(B$5:B$289),0,1)*IF(ISBLANK(B$4:B$288),0,1)*
IF(B$6:B$290=$N$119,0,1)*IF(B$5:B$289=$N$119,0,1)*IF(B$4:B$288=$N$119,0,1)*C$4:C$288)</f>
        <v>5975</v>
      </c>
      <c r="P120" s="21">
        <f t="array" ref="P120">SUM(IF(ISBLANK(D$6:D$290),0,1)*IF(ISBLANK(D$5:D$289),0,1)*IF(ISBLANK(D$4:D$288),0,1)*
IF(D$6:D$290=$N$119,0,1)*IF(D$5:D$289=$N$119,0,1)*IF(D$4:D$288=$N$119,0,1)*E$4:E$288)</f>
        <v>4845</v>
      </c>
      <c r="Q120" s="21">
        <f t="array" ref="Q120">SUM(IF(ISBLANK(F$6:F$290),0,1)*IF(ISBLANK(F$5:F$289),0,1)*IF(ISBLANK(F$4:F$288),0,1)*
IF(F$6:F$290=$N$119,0,1)*IF(F$5:F$289=$N$119,0,1)*IF(F$4:F$288=$N$119,0,1)*G$4:G$288)</f>
        <v>4675</v>
      </c>
      <c r="R120" s="21">
        <f t="array" ref="R120">SUM(IF(ISBLANK(H$6:H$290),0,1)*IF(ISBLANK(H$5:H$289),0,1)*IF(ISBLANK(H$4:H$288),0,1)*
IF(H$6:H$290=$N$119,0,1)*IF(H$5:H$289=$N$119,0,1)*IF(H$4:H$288=$N$119,0,1)*I$4:I$288)</f>
        <v>7275</v>
      </c>
      <c r="S120" s="20">
        <f t="array" ref="S120">SUM(IF(ISBLANK(J$6:J$290),0,1)*IF(ISBLANK(J$5:J$289),0,1)*IF(ISBLANK(J$4:J$288),0,1)*
IF(J$6:J$290=$N$119,0,1)*IF(J$5:J$289=$N$119,0,1)*IF(J$4:J$288=$N$119,0,1)*K$4:K$288)</f>
        <v>6975</v>
      </c>
      <c r="AA120" s="2" t="s">
        <v>294</v>
      </c>
      <c r="AB120" s="23" t="e">
        <f t="shared" si="81"/>
        <v>#DIV/0!</v>
      </c>
      <c r="AC120" s="23" t="e">
        <f t="shared" si="80"/>
        <v>#DIV/0!</v>
      </c>
      <c r="AD120" s="23" t="e">
        <f t="shared" si="80"/>
        <v>#DIV/0!</v>
      </c>
      <c r="AE120" s="23" t="e">
        <f t="shared" si="80"/>
        <v>#DIV/0!</v>
      </c>
      <c r="AF120" s="23" t="e">
        <f t="shared" si="80"/>
        <v>#DIV/0!</v>
      </c>
      <c r="AG120" s="23" t="e">
        <f t="shared" si="80"/>
        <v>#DIV/0!</v>
      </c>
      <c r="AH120" s="23" t="e">
        <f t="shared" si="80"/>
        <v>#DIV/0!</v>
      </c>
      <c r="AI120" s="23" t="e">
        <f t="shared" si="80"/>
        <v>#DIV/0!</v>
      </c>
      <c r="AJ120" s="23" t="e">
        <f t="shared" si="80"/>
        <v>#DIV/0!</v>
      </c>
      <c r="AK120" s="5">
        <v>2.2340000000000003E-3</v>
      </c>
      <c r="BB120" s="59" t="str">
        <f>IFERROR($BC$3&amp;VLOOKUP(B122,'Pay Table'!$M$3:$N$18,2,FALSE)&amp;$BB$3&amp;C122&amp;$BD$3,"")</f>
        <v/>
      </c>
      <c r="BC120" s="49" t="str">
        <f>IFERROR($BC$3&amp;VLOOKUP(D122,'Pay Table'!$M$3:$N$18,2,FALSE)&amp;$BB$3&amp;E122&amp;$BD$3,"")</f>
        <v/>
      </c>
      <c r="BD120" s="49" t="str">
        <f>IFERROR($BC$3&amp;VLOOKUP(F122,'Pay Table'!$M$3:$N$18,2,FALSE)&amp;$BB$3&amp;G122&amp;$BD$3,"")</f>
        <v/>
      </c>
      <c r="BE120" s="49" t="str">
        <f>IFERROR($BC$3&amp;VLOOKUP(H122,'Pay Table'!$M$3:$N$18,2,FALSE)&amp;$BB$3&amp;I122&amp;$BD$3,"")</f>
        <v/>
      </c>
      <c r="BF120" s="60" t="str">
        <f>IFERROR($BC$3&amp;VLOOKUP(J122,'Pay Table'!$M$3:$N$18,2,FALSE)&amp;$BB$3&amp;K122&amp;$BD$3,"")</f>
        <v/>
      </c>
    </row>
    <row r="121" spans="1:58" ht="17.100000000000001" customHeight="1" x14ac:dyDescent="0.15">
      <c r="A121" s="14">
        <v>116</v>
      </c>
      <c r="N121" s="4">
        <v>1</v>
      </c>
      <c r="O121" s="2">
        <f t="array" ref="O121">SUM(IF(ISBLANK(B$6:B$290),0,1)*IF(ISBLANK(B$5:B$289),0,1)*IF(ISBLANK(B$4:B$288),0,1)*
(IF(B$6:B$290=$N$119,1,0)*IF(B$5:B$289=$N$119,0,1)*IF(B$4:B$288=$N$119,0,1)+
IF(B$6:B$290=$N$119,0,1)*IF(B$5:B$289=$N$119,1,0)*IF(B$4:B$288=$N$119,0,1)+
IF(B$6:B$290=$N$119,0,1)*IF(B$5:B$289=$N$119,0,1)*IF(B$4:B$288=$N$119,1,0))*C$4:C$288)</f>
        <v>0</v>
      </c>
      <c r="P121" s="1">
        <f t="array" ref="P121">SUM(IF(ISBLANK(D$6:D$290),0,1)*IF(ISBLANK(D$5:D$289),0,1)*IF(ISBLANK(D$4:D$288),0,1)*
(IF(D$6:D$290=$N$119,1,0)*IF(D$5:D$289=$N$119,0,1)*IF(D$4:D$288=$N$119,0,1)+
IF(D$6:D$290=$N$119,0,1)*IF(D$5:D$289=$N$119,1,0)*IF(D$4:D$288=$N$119,0,1)+
IF(D$6:D$290=$N$119,0,1)*IF(D$5:D$289=$N$119,0,1)*IF(D$4:D$288=$N$119,1,0))*E$4:E$288)</f>
        <v>1600</v>
      </c>
      <c r="Q121" s="1">
        <f t="array" ref="Q121">SUM(IF(ISBLANK(F$6:F$290),0,1)*IF(ISBLANK(F$5:F$289),0,1)*IF(ISBLANK(F$4:F$288),0,1)*
(IF(F$6:F$290=$N$119,1,0)*IF(F$5:F$289=$N$119,0,1)*IF(F$4:F$288=$N$119,0,1)+
IF(F$6:F$290=$N$119,0,1)*IF(F$5:F$289=$N$119,1,0)*IF(F$4:F$288=$N$119,0,1)+
IF(F$6:F$290=$N$119,0,1)*IF(F$5:F$289=$N$119,0,1)*IF(F$4:F$288=$N$119,1,0))*G$4:G$288)</f>
        <v>1400</v>
      </c>
      <c r="R121" s="1">
        <f t="array" ref="R121">SUM(IF(ISBLANK(H$6:H$290),0,1)*IF(ISBLANK(H$5:H$289),0,1)*IF(ISBLANK(H$4:H$288),0,1)*
(IF(H$6:H$290=$N$119,1,0)*IF(H$5:H$289=$N$119,0,1)*IF(H$4:H$288=$N$119,0,1)+
IF(H$6:H$290=$N$119,0,1)*IF(H$5:H$289=$N$119,1,0)*IF(H$4:H$288=$N$119,0,1)+
IF(H$6:H$290=$N$119,0,1)*IF(H$5:H$289=$N$119,0,1)*IF(H$4:H$288=$N$119,1,0))*I$4:I$288)-R122</f>
        <v>900</v>
      </c>
      <c r="S121" s="5">
        <f t="array" ref="S121">SUM(IF(ISBLANK(J$6:J$290),0,1)*IF(ISBLANK(J$5:J$289),0,1)*IF(ISBLANK(J$4:J$288),0,1)*
(IF(J$6:J$290=$N$119,1,0)*IF(J$5:J$289=$N$119,0,1)*IF(J$4:J$288=$N$119,0,1)+
IF(J$6:J$290=$N$119,0,1)*IF(J$5:J$289=$N$119,1,0)*IF(J$4:J$288=$N$119,0,1)+
IF(J$6:J$290=$N$119,0,1)*IF(J$5:J$289=$N$119,0,1)*IF(J$4:J$288=$N$119,1,0))*K$4:K$288)</f>
        <v>0</v>
      </c>
      <c r="AA121" s="8" t="s">
        <v>295</v>
      </c>
      <c r="AB121" s="231" t="e">
        <f t="shared" si="81"/>
        <v>#DIV/0!</v>
      </c>
      <c r="AC121" s="231" t="e">
        <f t="shared" si="80"/>
        <v>#DIV/0!</v>
      </c>
      <c r="AD121" s="231" t="e">
        <f t="shared" si="80"/>
        <v>#DIV/0!</v>
      </c>
      <c r="AE121" s="231" t="e">
        <f t="shared" si="80"/>
        <v>#DIV/0!</v>
      </c>
      <c r="AF121" s="231" t="e">
        <f t="shared" si="80"/>
        <v>#DIV/0!</v>
      </c>
      <c r="AG121" s="231" t="e">
        <f t="shared" si="80"/>
        <v>#DIV/0!</v>
      </c>
      <c r="AH121" s="231" t="e">
        <f t="shared" si="80"/>
        <v>#DIV/0!</v>
      </c>
      <c r="AI121" s="231" t="e">
        <f t="shared" si="80"/>
        <v>#DIV/0!</v>
      </c>
      <c r="AJ121" s="231" t="e">
        <f t="shared" si="80"/>
        <v>#DIV/0!</v>
      </c>
      <c r="AK121" s="16">
        <v>3.7219999999999996E-3</v>
      </c>
      <c r="BB121" s="59" t="str">
        <f>IFERROR($BC$3&amp;VLOOKUP(B123,'Pay Table'!$M$3:$N$18,2,FALSE)&amp;$BB$3&amp;C123&amp;$BD$3,"")</f>
        <v/>
      </c>
      <c r="BC121" s="49" t="str">
        <f>IFERROR($BC$3&amp;VLOOKUP(D123,'Pay Table'!$M$3:$N$18,2,FALSE)&amp;$BB$3&amp;E123&amp;$BD$3,"")</f>
        <v/>
      </c>
      <c r="BD121" s="49" t="str">
        <f>IFERROR($BC$3&amp;VLOOKUP(F123,'Pay Table'!$M$3:$N$18,2,FALSE)&amp;$BB$3&amp;G123&amp;$BD$3,"")</f>
        <v/>
      </c>
      <c r="BE121" s="49" t="str">
        <f>IFERROR($BC$3&amp;VLOOKUP(H123,'Pay Table'!$M$3:$N$18,2,FALSE)&amp;$BB$3&amp;I123&amp;$BD$3,"")</f>
        <v/>
      </c>
      <c r="BF121" s="60" t="str">
        <f>IFERROR($BC$3&amp;VLOOKUP(J123,'Pay Table'!$M$3:$N$18,2,FALSE)&amp;$BB$3&amp;K123&amp;$BD$3,"")</f>
        <v/>
      </c>
    </row>
    <row r="122" spans="1:58" ht="17.100000000000001" customHeight="1" x14ac:dyDescent="0.15">
      <c r="A122" s="14">
        <v>117</v>
      </c>
      <c r="N122" s="4">
        <v>2</v>
      </c>
      <c r="O122" s="2"/>
      <c r="S122" s="5"/>
      <c r="W122" s="1">
        <f>0.25*0.2</f>
        <v>0.05</v>
      </c>
      <c r="BB122" s="59" t="str">
        <f>IFERROR($BC$3&amp;VLOOKUP(B124,'Pay Table'!$M$3:$N$18,2,FALSE)&amp;$BB$3&amp;C124&amp;$BD$3,"")</f>
        <v/>
      </c>
      <c r="BC122" s="49" t="str">
        <f>IFERROR($BC$3&amp;VLOOKUP(D124,'Pay Table'!$M$3:$N$18,2,FALSE)&amp;$BB$3&amp;E124&amp;$BD$3,"")</f>
        <v/>
      </c>
      <c r="BD122" s="49" t="str">
        <f>IFERROR($BC$3&amp;VLOOKUP(F124,'Pay Table'!$M$3:$N$18,2,FALSE)&amp;$BB$3&amp;G124&amp;$BD$3,"")</f>
        <v/>
      </c>
      <c r="BE122" s="49" t="str">
        <f>IFERROR($BC$3&amp;VLOOKUP(H124,'Pay Table'!$M$3:$N$18,2,FALSE)&amp;$BB$3&amp;I124&amp;$BD$3,"")</f>
        <v/>
      </c>
      <c r="BF122" s="60" t="str">
        <f>IFERROR($BC$3&amp;VLOOKUP(J124,'Pay Table'!$M$3:$N$18,2,FALSE)&amp;$BB$3&amp;K124&amp;$BD$3,"")</f>
        <v/>
      </c>
    </row>
    <row r="123" spans="1:58" ht="17.100000000000001" customHeight="1" x14ac:dyDescent="0.15">
      <c r="A123" s="14">
        <v>118</v>
      </c>
      <c r="N123" s="19">
        <v>3</v>
      </c>
      <c r="O123" s="8"/>
      <c r="P123" s="15"/>
      <c r="Q123" s="15"/>
      <c r="R123" s="15"/>
      <c r="S123" s="16"/>
      <c r="BB123" s="59" t="str">
        <f>IFERROR($BC$3&amp;VLOOKUP(B125,'Pay Table'!$M$3:$N$18,2,FALSE)&amp;$BB$3&amp;C125&amp;$BD$3,"")</f>
        <v/>
      </c>
      <c r="BC123" s="49" t="str">
        <f>IFERROR($BC$3&amp;VLOOKUP(D125,'Pay Table'!$M$3:$N$18,2,FALSE)&amp;$BB$3&amp;E125&amp;$BD$3,"")</f>
        <v/>
      </c>
      <c r="BD123" s="49" t="str">
        <f>IFERROR($BC$3&amp;VLOOKUP(F125,'Pay Table'!$M$3:$N$18,2,FALSE)&amp;$BB$3&amp;G125&amp;$BD$3,"")</f>
        <v/>
      </c>
      <c r="BE123" s="49" t="str">
        <f>IFERROR($BC$3&amp;VLOOKUP(H125,'Pay Table'!$M$3:$N$18,2,FALSE)&amp;$BB$3&amp;I125&amp;$BD$3,"")</f>
        <v/>
      </c>
      <c r="BF123" s="60" t="str">
        <f>IFERROR($BC$3&amp;VLOOKUP(J125,'Pay Table'!$M$3:$N$18,2,FALSE)&amp;$BB$3&amp;K125&amp;$BD$3,"")</f>
        <v/>
      </c>
    </row>
    <row r="124" spans="1:58" ht="17.100000000000001" customHeight="1" x14ac:dyDescent="0.15">
      <c r="A124" s="14">
        <v>119</v>
      </c>
      <c r="BB124" s="59" t="str">
        <f>IFERROR($BC$3&amp;VLOOKUP(B126,'Pay Table'!$M$3:$N$18,2,FALSE)&amp;$BB$3&amp;C126&amp;$BD$3,"")</f>
        <v/>
      </c>
      <c r="BC124" s="49" t="str">
        <f>IFERROR($BC$3&amp;VLOOKUP(D126,'Pay Table'!$M$3:$N$18,2,FALSE)&amp;$BB$3&amp;E126&amp;$BD$3,"")</f>
        <v/>
      </c>
      <c r="BD124" s="49" t="str">
        <f>IFERROR($BC$3&amp;VLOOKUP(F126,'Pay Table'!$M$3:$N$18,2,FALSE)&amp;$BB$3&amp;G126&amp;$BD$3,"")</f>
        <v/>
      </c>
      <c r="BE124" s="49" t="str">
        <f>IFERROR($BC$3&amp;VLOOKUP(H126,'Pay Table'!$M$3:$N$18,2,FALSE)&amp;$BB$3&amp;I126&amp;$BD$3,"")</f>
        <v/>
      </c>
      <c r="BF124" s="60" t="str">
        <f>IFERROR($BC$3&amp;VLOOKUP(J126,'Pay Table'!$M$3:$N$18,2,FALSE)&amp;$BB$3&amp;K126&amp;$BD$3,"")</f>
        <v/>
      </c>
    </row>
    <row r="125" spans="1:58" ht="17.100000000000001" customHeight="1" x14ac:dyDescent="0.15">
      <c r="A125" s="14">
        <v>120</v>
      </c>
      <c r="N125" s="6" t="s">
        <v>4</v>
      </c>
      <c r="O125" s="18">
        <v>1</v>
      </c>
      <c r="P125" s="18">
        <v>2</v>
      </c>
      <c r="Q125" s="18">
        <v>3</v>
      </c>
      <c r="R125" s="18">
        <v>4</v>
      </c>
      <c r="S125" s="18">
        <v>5</v>
      </c>
      <c r="T125" s="1" t="s">
        <v>35</v>
      </c>
      <c r="BB125" s="59" t="str">
        <f>IFERROR($BC$3&amp;VLOOKUP(B127,'Pay Table'!$M$3:$N$18,2,FALSE)&amp;$BB$3&amp;C127&amp;$BD$3,"")</f>
        <v/>
      </c>
      <c r="BC125" s="49" t="str">
        <f>IFERROR($BC$3&amp;VLOOKUP(D127,'Pay Table'!$M$3:$N$18,2,FALSE)&amp;$BB$3&amp;E127&amp;$BD$3,"")</f>
        <v/>
      </c>
      <c r="BD125" s="49" t="str">
        <f>IFERROR($BC$3&amp;VLOOKUP(F127,'Pay Table'!$M$3:$N$18,2,FALSE)&amp;$BB$3&amp;G127&amp;$BD$3,"")</f>
        <v/>
      </c>
      <c r="BE125" s="49" t="str">
        <f>IFERROR($BC$3&amp;VLOOKUP(H127,'Pay Table'!$M$3:$N$18,2,FALSE)&amp;$BB$3&amp;I127&amp;$BD$3,"")</f>
        <v/>
      </c>
      <c r="BF125" s="60" t="str">
        <f>IFERROR($BC$3&amp;VLOOKUP(J127,'Pay Table'!$M$3:$N$18,2,FALSE)&amp;$BB$3&amp;K127&amp;$BD$3,"")</f>
        <v/>
      </c>
    </row>
    <row r="126" spans="1:58" ht="17.100000000000001" customHeight="1" x14ac:dyDescent="0.15">
      <c r="A126" s="14">
        <v>121</v>
      </c>
      <c r="N126" s="4" t="str">
        <f>N119</f>
        <v>SCATTER</v>
      </c>
      <c r="O126" s="7">
        <f>O120*P120*Q120*R120*S121+O120*P120*Q120*R121*S120+O120*P120*Q121*R120*S120+O120*P121*Q120*R120*S120+O121*P120*Q120*R120*S120</f>
        <v>5.1739731026015621E+18</v>
      </c>
      <c r="P126" s="21">
        <f>O120*P120*Q120*R120*S122+O120*P120*Q120*R121*S121+O120*P120*Q120*R122*S120+O120*P120*Q121*R120*S121+O120*P120*Q121*R121*S120+O120*P120*Q122*R120*S120+O120*P121*Q120*R120*S121+O120*P121*Q120*R121*S120+O120*P121*Q121*R120*S120+O120*P122*Q120*R120*S120+O121*P120*Q120*R120*S121+O121*P120*Q120*R121*S120+O121*P120*Q121*R120*S120+O121*P121*Q120*R120*S120+O122*P120*Q120*R120*S120</f>
        <v>1.2141234804374999E+18</v>
      </c>
      <c r="Q126" s="21">
        <f>O120*P120*Q120*R120*S123+O120*P120*Q120*R121*S122+O120*P120*Q120*R122*S121+O120*P120*Q120*R123*S120+O120*P120*Q121*R120*S122+O120*P120*Q121*R121*S121+O120*P120*Q121*R122*S120+O120*P120*Q122*R120*S121+O120*P120*Q122*R121*S120+O120*P120*Q123*R120*S120+O120*P121*Q120*R120*S122+O120*P121*Q120*R121*S121+O120*P121*Q120*R122*S120+O120*P121*Q121*R120*S121+O120*P121*Q121*R121*S120+O120*P121*Q122*R120*S120+O120*P122*Q120*R120*S121+O120*P122*Q120*R121*S120+O120*P122*Q121*R120*S120+O120*P123*Q120*R120*S120+O121*P120*Q120*R120*S122+O121*P120*Q120*R121*S121+O121*P120*Q120*R122*S120+O121*P120*Q121*R120*S121+O121*P120*Q121*R121*S120+O121*P120*Q122*R120*S120+O121*P121*Q120*R120*S121+O121*P121*Q120*R121*S120+O121*P121*Q121*R120*S120+O121*P122*Q120*R120*S120+O122*P120*Q120*R120*S121+O122*P120*Q120*R121*S120+O122*P120*Q121*R120*S120+O122*P121*Q120*R120*S120+O123*P120*Q120*R120*S120</f>
        <v>8.401806E+16</v>
      </c>
      <c r="R126" s="147">
        <f>O120*P120*Q120*R121*S123+O120*P120*Q120*R122*S122+O120*P120*Q120*R123*S121+O120*P120*Q121*R120*S123+O120*P120*Q121*R121*S122+O120*P120*Q121*R122*S121+O120*P120*Q121*R123*S120+O120*P120*Q122*R120*S122+O120*P120*Q122*R121*S121+O120*P120*Q122*R122*S120+O120*P120*Q123*R120*S121+O120*P120*Q123*R121*S120+O120*P121*Q120*R120*S123+O120*P121*Q120*R121*S122+O120*P121*Q120*R122*S121+O120*P121*Q120*R123*S120+O120*P121*Q121*R120*S122+O120*P121*Q121*R121*S121+O120*P121*Q121*R122*S120+O120*P121*Q122*R120*S121+O120*P121*Q122*R121*S120+O120*P121*Q123*R120*S120+O120*P122*Q120*R120*S122+O120*P122*Q120*R121*S121+O120*P122*Q120*R122*S120+O120*P122*Q121*R120*S121+O120*P122*Q121*R121*S120+O120*P122*Q122*R120*S120+O120*P123*Q120*R120*S121+O120*P123*Q120*R121*S120+O120*P123*Q121*R120*S120+O121*P120*Q120*R120*S123+O121*P120*Q120*R121*S122+O121*P120*Q120*R122*S121+O121*P120*Q120*R123*S120+O121*P120*Q121*R120*S122+O121*P120*Q121*R121*S121+O121*P120*Q121*R122*S120+O121*P120*Q122*R120*S121+O121*P120*Q122*R121*S120+O121*P120*Q123*R120*S120+O121*P121*Q120*R120*S122+O121*P121*Q120*R121*S121+O121*P121*Q120*R122*S120+O121*P121*Q121*R120*S121+O121*P121*Q121*R121*S120+O121*P121*Q122*R120*S120+O121*P122*Q120*R120*S121+O121*P122*Q120*R121*S120+O121*P122*Q121*R120*S120+O121*P123*Q120*R120*S120+O122*P120*Q120*R120*S122+O122*P120*Q120*R121*S121+O122*P120*Q120*R122*S120+O122*P120*Q121*R120*S121+O122*P120*Q121*R121*S120+O122*P120*Q122*R120*S120+O122*P121*Q120*R120*S121+O122*P121*Q120*R121*S120+O122*P121*Q121*R120*S120+O122*P122*Q120*R120*S120+O123*P120*Q120*R120*S121+O123*P120*Q120*R121*S120+O123*P120*Q121*R120*S120+O123*P121*Q120*R120*S120</f>
        <v>0</v>
      </c>
      <c r="S126" s="20"/>
      <c r="T126" s="1">
        <f>SUM(O126:S126)</f>
        <v>6.472114643039062E+18</v>
      </c>
      <c r="BB126" s="59" t="str">
        <f>IFERROR($BC$3&amp;VLOOKUP(B128,'Pay Table'!$M$3:$N$18,2,FALSE)&amp;$BB$3&amp;C128&amp;$BD$3,"")</f>
        <v/>
      </c>
      <c r="BC126" s="49" t="str">
        <f>IFERROR($BC$3&amp;VLOOKUP(D128,'Pay Table'!$M$3:$N$18,2,FALSE)&amp;$BB$3&amp;E128&amp;$BD$3,"")</f>
        <v/>
      </c>
      <c r="BD126" s="49" t="str">
        <f>IFERROR($BC$3&amp;VLOOKUP(F128,'Pay Table'!$M$3:$N$18,2,FALSE)&amp;$BB$3&amp;G128&amp;$BD$3,"")</f>
        <v/>
      </c>
      <c r="BE126" s="49" t="str">
        <f>IFERROR($BC$3&amp;VLOOKUP(H128,'Pay Table'!$M$3:$N$18,2,FALSE)&amp;$BB$3&amp;I128&amp;$BD$3,"")</f>
        <v/>
      </c>
      <c r="BF126" s="60" t="str">
        <f>IFERROR($BC$3&amp;VLOOKUP(J128,'Pay Table'!$M$3:$N$18,2,FALSE)&amp;$BB$3&amp;K128&amp;$BD$3,"")</f>
        <v/>
      </c>
    </row>
    <row r="127" spans="1:58" ht="17.100000000000001" customHeight="1" x14ac:dyDescent="0.15">
      <c r="A127" s="14">
        <v>122</v>
      </c>
      <c r="N127" s="4" t="s">
        <v>36</v>
      </c>
      <c r="O127" s="2">
        <f>O126/$O$23</f>
        <v>0.38786900832801668</v>
      </c>
      <c r="P127" s="1">
        <f>P126/$O$23</f>
        <v>9.1017262944074098E-2</v>
      </c>
      <c r="Q127" s="1">
        <f>Q126/$O$23</f>
        <v>6.2984482075212189E-3</v>
      </c>
      <c r="R127" s="1">
        <f>R126/$O$23</f>
        <v>0</v>
      </c>
      <c r="S127" s="5">
        <f>S126/$O$23</f>
        <v>0</v>
      </c>
      <c r="T127" s="1">
        <f>SUM(O127:S127)</f>
        <v>0.485184719479612</v>
      </c>
      <c r="BB127" s="59" t="str">
        <f>IFERROR($BC$3&amp;VLOOKUP(B129,'Pay Table'!$M$3:$N$18,2,FALSE)&amp;$BB$3&amp;C129&amp;$BD$3,"")</f>
        <v/>
      </c>
      <c r="BC127" s="49" t="str">
        <f>IFERROR($BC$3&amp;VLOOKUP(D129,'Pay Table'!$M$3:$N$18,2,FALSE)&amp;$BB$3&amp;E129&amp;$BD$3,"")</f>
        <v/>
      </c>
      <c r="BD127" s="49" t="str">
        <f>IFERROR($BC$3&amp;VLOOKUP(F129,'Pay Table'!$M$3:$N$18,2,FALSE)&amp;$BB$3&amp;G129&amp;$BD$3,"")</f>
        <v/>
      </c>
      <c r="BE127" s="49" t="str">
        <f>IFERROR($BC$3&amp;VLOOKUP(H129,'Pay Table'!$M$3:$N$18,2,FALSE)&amp;$BB$3&amp;I129&amp;$BD$3,"")</f>
        <v/>
      </c>
      <c r="BF127" s="60" t="str">
        <f>IFERROR($BC$3&amp;VLOOKUP(J129,'Pay Table'!$M$3:$N$18,2,FALSE)&amp;$BB$3&amp;K129&amp;$BD$3,"")</f>
        <v/>
      </c>
    </row>
    <row r="128" spans="1:58" ht="17.100000000000001" customHeight="1" x14ac:dyDescent="0.15">
      <c r="A128" s="14">
        <v>123</v>
      </c>
      <c r="N128" s="19" t="s">
        <v>37</v>
      </c>
      <c r="O128" s="8">
        <f>O125*O127</f>
        <v>0.38786900832801668</v>
      </c>
      <c r="P128" s="15">
        <f>P125*P127</f>
        <v>0.1820345258881482</v>
      </c>
      <c r="Q128" s="15">
        <f>Q125*Q127</f>
        <v>1.8895344622563655E-2</v>
      </c>
      <c r="R128" s="15">
        <f>R125*R127</f>
        <v>0</v>
      </c>
      <c r="S128" s="16">
        <f>S125*S127</f>
        <v>0</v>
      </c>
      <c r="T128" s="1">
        <f>SUM(O128:S128)</f>
        <v>0.58879887883872861</v>
      </c>
      <c r="BB128" s="59" t="str">
        <f>IFERROR($BC$3&amp;VLOOKUP(B130,'Pay Table'!$M$3:$N$18,2,FALSE)&amp;$BB$3&amp;C130&amp;$BD$3,"")</f>
        <v/>
      </c>
      <c r="BC128" s="49" t="str">
        <f>IFERROR($BC$3&amp;VLOOKUP(D130,'Pay Table'!$M$3:$N$18,2,FALSE)&amp;$BB$3&amp;E130&amp;$BD$3,"")</f>
        <v/>
      </c>
      <c r="BD128" s="49" t="str">
        <f>IFERROR($BC$3&amp;VLOOKUP(F130,'Pay Table'!$M$3:$N$18,2,FALSE)&amp;$BB$3&amp;G130&amp;$BD$3,"")</f>
        <v/>
      </c>
      <c r="BE128" s="49" t="str">
        <f>IFERROR($BC$3&amp;VLOOKUP(H130,'Pay Table'!$M$3:$N$18,2,FALSE)&amp;$BB$3&amp;I130&amp;$BD$3,"")</f>
        <v/>
      </c>
      <c r="BF128" s="60" t="str">
        <f>IFERROR($BC$3&amp;VLOOKUP(J130,'Pay Table'!$M$3:$N$18,2,FALSE)&amp;$BB$3&amp;K130&amp;$BD$3,"")</f>
        <v/>
      </c>
    </row>
    <row r="129" spans="1:58" ht="17.100000000000001" customHeight="1" x14ac:dyDescent="0.15">
      <c r="A129" s="14">
        <v>124</v>
      </c>
      <c r="BB129" s="59" t="str">
        <f>IFERROR($BC$3&amp;VLOOKUP(B131,'Pay Table'!$M$3:$N$18,2,FALSE)&amp;$BB$3&amp;C131&amp;$BD$3,"")</f>
        <v/>
      </c>
      <c r="BC129" s="49" t="str">
        <f>IFERROR($BC$3&amp;VLOOKUP(D131,'Pay Table'!$M$3:$N$18,2,FALSE)&amp;$BB$3&amp;E131&amp;$BD$3,"")</f>
        <v/>
      </c>
      <c r="BD129" s="49" t="str">
        <f>IFERROR($BC$3&amp;VLOOKUP(F131,'Pay Table'!$M$3:$N$18,2,FALSE)&amp;$BB$3&amp;G131&amp;$BD$3,"")</f>
        <v/>
      </c>
      <c r="BE129" s="49" t="str">
        <f>IFERROR($BC$3&amp;VLOOKUP(H131,'Pay Table'!$M$3:$N$18,2,FALSE)&amp;$BB$3&amp;I131&amp;$BD$3,"")</f>
        <v/>
      </c>
      <c r="BF129" s="60" t="str">
        <f>IFERROR($BC$3&amp;VLOOKUP(J131,'Pay Table'!$M$3:$N$18,2,FALSE)&amp;$BB$3&amp;K131&amp;$BD$3,"")</f>
        <v/>
      </c>
    </row>
    <row r="130" spans="1:58" ht="17.100000000000001" customHeight="1" x14ac:dyDescent="0.15">
      <c r="A130" s="14">
        <v>125</v>
      </c>
      <c r="N130" s="6" t="str">
        <f>N126</f>
        <v>SCATTER</v>
      </c>
      <c r="O130" s="17">
        <v>3</v>
      </c>
      <c r="P130" s="18">
        <v>4</v>
      </c>
      <c r="Q130" s="18">
        <v>5</v>
      </c>
      <c r="R130" s="36">
        <v>6</v>
      </c>
      <c r="T130" s="1" t="s">
        <v>282</v>
      </c>
      <c r="U130" s="1">
        <v>0.5</v>
      </c>
      <c r="BB130" s="59" t="str">
        <f>IFERROR($BC$3&amp;VLOOKUP(B132,'Pay Table'!$M$3:$N$18,2,FALSE)&amp;$BB$3&amp;C132&amp;$BD$3,"")</f>
        <v/>
      </c>
      <c r="BC130" s="49" t="str">
        <f>IFERROR($BC$3&amp;VLOOKUP(D132,'Pay Table'!$M$3:$N$18,2,FALSE)&amp;$BB$3&amp;E132&amp;$BD$3,"")</f>
        <v/>
      </c>
      <c r="BD130" s="49" t="str">
        <f>IFERROR($BC$3&amp;VLOOKUP(F132,'Pay Table'!$M$3:$N$18,2,FALSE)&amp;$BB$3&amp;G132&amp;$BD$3,"")</f>
        <v/>
      </c>
      <c r="BE130" s="49" t="str">
        <f>IFERROR($BC$3&amp;VLOOKUP(H132,'Pay Table'!$M$3:$N$18,2,FALSE)&amp;$BB$3&amp;I132&amp;$BD$3,"")</f>
        <v/>
      </c>
      <c r="BF130" s="60" t="str">
        <f>IFERROR($BC$3&amp;VLOOKUP(J132,'Pay Table'!$M$3:$N$18,2,FALSE)&amp;$BB$3&amp;K132&amp;$BD$3,"")</f>
        <v/>
      </c>
    </row>
    <row r="131" spans="1:58" ht="17.100000000000001" customHeight="1" x14ac:dyDescent="0.15">
      <c r="A131" s="14">
        <v>126</v>
      </c>
      <c r="N131" s="3" t="s">
        <v>211</v>
      </c>
      <c r="O131" s="21">
        <v>3</v>
      </c>
      <c r="P131" s="21">
        <v>10</v>
      </c>
      <c r="Q131" s="21">
        <v>8</v>
      </c>
      <c r="R131" s="186">
        <v>3</v>
      </c>
      <c r="BB131" s="59" t="str">
        <f>IFERROR($BC$3&amp;VLOOKUP(B133,'Pay Table'!$M$3:$N$18,2,FALSE)&amp;$BB$3&amp;C133&amp;$BD$3,"")</f>
        <v/>
      </c>
      <c r="BC131" s="49" t="str">
        <f>IFERROR($BC$3&amp;VLOOKUP(D133,'Pay Table'!$M$3:$N$18,2,FALSE)&amp;$BB$3&amp;E133&amp;$BD$3,"")</f>
        <v/>
      </c>
      <c r="BD131" s="49" t="str">
        <f>IFERROR($BC$3&amp;VLOOKUP(F133,'Pay Table'!$M$3:$N$18,2,FALSE)&amp;$BB$3&amp;G133&amp;$BD$3,"")</f>
        <v/>
      </c>
      <c r="BE131" s="49" t="str">
        <f>IFERROR($BC$3&amp;VLOOKUP(H133,'Pay Table'!$M$3:$N$18,2,FALSE)&amp;$BB$3&amp;I133&amp;$BD$3,"")</f>
        <v/>
      </c>
      <c r="BF131" s="60" t="str">
        <f>IFERROR($BC$3&amp;VLOOKUP(J133,'Pay Table'!$M$3:$N$18,2,FALSE)&amp;$BB$3&amp;K133&amp;$BD$3,"")</f>
        <v/>
      </c>
    </row>
    <row r="132" spans="1:58" ht="17.100000000000001" customHeight="1" x14ac:dyDescent="0.15">
      <c r="A132" s="14">
        <v>127</v>
      </c>
      <c r="N132" s="4" t="s">
        <v>20</v>
      </c>
      <c r="O132" s="1">
        <f>O131/SUM($O$131:$R$131)</f>
        <v>0.125</v>
      </c>
      <c r="P132" s="1">
        <f>P131/SUM($O$131:$R$131)</f>
        <v>0.41666666666666669</v>
      </c>
      <c r="Q132" s="1">
        <f>Q131/SUM($O$131:$R$131)</f>
        <v>0.33333333333333331</v>
      </c>
      <c r="R132" s="187">
        <f>R131/SUM($O$131:$R$131)</f>
        <v>0.125</v>
      </c>
      <c r="BB132" s="59" t="str">
        <f>IFERROR($BC$3&amp;VLOOKUP(B134,'Pay Table'!$M$3:$N$18,2,FALSE)&amp;$BB$3&amp;C134&amp;$BD$3,"")</f>
        <v/>
      </c>
      <c r="BC132" s="49" t="str">
        <f>IFERROR($BC$3&amp;VLOOKUP(D134,'Pay Table'!$M$3:$N$18,2,FALSE)&amp;$BB$3&amp;E134&amp;$BD$3,"")</f>
        <v/>
      </c>
      <c r="BD132" s="49" t="str">
        <f>IFERROR($BC$3&amp;VLOOKUP(F134,'Pay Table'!$M$3:$N$18,2,FALSE)&amp;$BB$3&amp;G134&amp;$BD$3,"")</f>
        <v/>
      </c>
      <c r="BE132" s="49" t="str">
        <f>IFERROR($BC$3&amp;VLOOKUP(H134,'Pay Table'!$M$3:$N$18,2,FALSE)&amp;$BB$3&amp;I134&amp;$BD$3,"")</f>
        <v/>
      </c>
      <c r="BF132" s="60" t="str">
        <f>IFERROR($BC$3&amp;VLOOKUP(J134,'Pay Table'!$M$3:$N$18,2,FALSE)&amp;$BB$3&amp;K134&amp;$BD$3,"")</f>
        <v/>
      </c>
    </row>
    <row r="133" spans="1:58" ht="17.100000000000001" customHeight="1" x14ac:dyDescent="0.15">
      <c r="A133" s="14">
        <v>128</v>
      </c>
      <c r="N133" s="4" t="s">
        <v>252</v>
      </c>
      <c r="O133" s="1">
        <f>O132*$Q$127</f>
        <v>7.8730602594015236E-4</v>
      </c>
      <c r="P133" s="1">
        <f>P132*$Q$127</f>
        <v>2.624353419800508E-3</v>
      </c>
      <c r="Q133" s="1">
        <f>Q132*$Q$127</f>
        <v>2.0994827358404061E-3</v>
      </c>
      <c r="R133" s="5">
        <f>R132*$Q$127</f>
        <v>7.8730602594015236E-4</v>
      </c>
      <c r="S133" s="1">
        <f>SUM(O133:R133)</f>
        <v>6.2984482075212189E-3</v>
      </c>
      <c r="BB133" s="59" t="str">
        <f>IFERROR($BC$3&amp;VLOOKUP(B135,'Pay Table'!$M$3:$N$18,2,FALSE)&amp;$BB$3&amp;C135&amp;$BD$3,"")</f>
        <v/>
      </c>
      <c r="BC133" s="49" t="str">
        <f>IFERROR($BC$3&amp;VLOOKUP(D135,'Pay Table'!$M$3:$N$18,2,FALSE)&amp;$BB$3&amp;E135&amp;$BD$3,"")</f>
        <v/>
      </c>
      <c r="BD133" s="49" t="str">
        <f>IFERROR($BC$3&amp;VLOOKUP(F135,'Pay Table'!$M$3:$N$18,2,FALSE)&amp;$BB$3&amp;G135&amp;$BD$3,"")</f>
        <v/>
      </c>
      <c r="BE133" s="49" t="str">
        <f>IFERROR($BC$3&amp;VLOOKUP(H135,'Pay Table'!$M$3:$N$18,2,FALSE)&amp;$BB$3&amp;I135&amp;$BD$3,"")</f>
        <v/>
      </c>
      <c r="BF133" s="60" t="str">
        <f>IFERROR($BC$3&amp;VLOOKUP(J135,'Pay Table'!$M$3:$N$18,2,FALSE)&amp;$BB$3&amp;K135&amp;$BD$3,"")</f>
        <v/>
      </c>
    </row>
    <row r="134" spans="1:58" ht="17.100000000000001" customHeight="1" x14ac:dyDescent="0.15">
      <c r="A134" s="14">
        <v>129</v>
      </c>
      <c r="N134" s="19" t="s">
        <v>206</v>
      </c>
      <c r="O134" s="15">
        <f>O133*'Pay Table'!D16/100</f>
        <v>7.8730602594015236E-4</v>
      </c>
      <c r="P134" s="15">
        <f>P133*'Pay Table'!E16/100</f>
        <v>5.248706839601016E-3</v>
      </c>
      <c r="Q134" s="15">
        <f>Q133*'Pay Table'!F16/100</f>
        <v>6.2984482075212189E-3</v>
      </c>
      <c r="R134" s="16">
        <f>R133*'Pay Table'!G16/100</f>
        <v>3.9365301297007611E-3</v>
      </c>
      <c r="S134" s="1">
        <f>SUM(O134:R134)</f>
        <v>1.6270991202763149E-2</v>
      </c>
      <c r="BB134" s="59" t="str">
        <f>IFERROR($BC$3&amp;VLOOKUP(B136,'Pay Table'!$M$3:$N$18,2,FALSE)&amp;$BB$3&amp;C136&amp;$BD$3,"")</f>
        <v/>
      </c>
      <c r="BC134" s="49" t="str">
        <f>IFERROR($BC$3&amp;VLOOKUP(D136,'Pay Table'!$M$3:$N$18,2,FALSE)&amp;$BB$3&amp;E136&amp;$BD$3,"")</f>
        <v/>
      </c>
      <c r="BD134" s="49" t="str">
        <f>IFERROR($BC$3&amp;VLOOKUP(F136,'Pay Table'!$M$3:$N$18,2,FALSE)&amp;$BB$3&amp;G136&amp;$BD$3,"")</f>
        <v/>
      </c>
      <c r="BE134" s="49" t="str">
        <f>IFERROR($BC$3&amp;VLOOKUP(H136,'Pay Table'!$M$3:$N$18,2,FALSE)&amp;$BB$3&amp;I136&amp;$BD$3,"")</f>
        <v/>
      </c>
      <c r="BF134" s="60" t="str">
        <f>IFERROR($BC$3&amp;VLOOKUP(J136,'Pay Table'!$M$3:$N$18,2,FALSE)&amp;$BB$3&amp;K136&amp;$BD$3,"")</f>
        <v/>
      </c>
    </row>
    <row r="135" spans="1:58" ht="17.100000000000001" customHeight="1" x14ac:dyDescent="0.15">
      <c r="A135" s="14">
        <v>130</v>
      </c>
      <c r="O135" s="110">
        <f>O133/$S$133</f>
        <v>0.125</v>
      </c>
      <c r="P135" s="110">
        <f>P133/$S$133</f>
        <v>0.41666666666666669</v>
      </c>
      <c r="Q135" s="110">
        <f>Q133/$S$133</f>
        <v>0.33333333333333331</v>
      </c>
      <c r="R135" s="110">
        <f>R133/$S$133</f>
        <v>0.125</v>
      </c>
      <c r="BB135" s="59" t="str">
        <f>IFERROR($BC$3&amp;VLOOKUP(B137,'Pay Table'!$M$3:$N$18,2,FALSE)&amp;$BB$3&amp;C137&amp;$BD$3,"")</f>
        <v/>
      </c>
      <c r="BC135" s="49" t="str">
        <f>IFERROR($BC$3&amp;VLOOKUP(D137,'Pay Table'!$M$3:$N$18,2,FALSE)&amp;$BB$3&amp;E137&amp;$BD$3,"")</f>
        <v/>
      </c>
      <c r="BD135" s="49" t="str">
        <f>IFERROR($BC$3&amp;VLOOKUP(F137,'Pay Table'!$M$3:$N$18,2,FALSE)&amp;$BB$3&amp;G137&amp;$BD$3,"")</f>
        <v/>
      </c>
      <c r="BE135" s="49" t="str">
        <f>IFERROR($BC$3&amp;VLOOKUP(H137,'Pay Table'!$M$3:$N$18,2,FALSE)&amp;$BB$3&amp;I137&amp;$BD$3,"")</f>
        <v/>
      </c>
      <c r="BF135" s="60" t="str">
        <f>IFERROR($BC$3&amp;VLOOKUP(J137,'Pay Table'!$M$3:$N$18,2,FALSE)&amp;$BB$3&amp;K137&amp;$BD$3,"")</f>
        <v/>
      </c>
    </row>
    <row r="136" spans="1:58" ht="17.100000000000001" customHeight="1" x14ac:dyDescent="0.15">
      <c r="A136" s="14">
        <v>131</v>
      </c>
      <c r="N136" s="17" t="s">
        <v>73</v>
      </c>
      <c r="O136" s="21"/>
      <c r="P136" s="21"/>
      <c r="Q136" s="21"/>
      <c r="R136" s="21"/>
      <c r="S136" s="20"/>
      <c r="BB136" s="59" t="str">
        <f>IFERROR($BC$3&amp;VLOOKUP(B138,'Pay Table'!$M$3:$N$18,2,FALSE)&amp;$BB$3&amp;C138&amp;$BD$3,"")</f>
        <v/>
      </c>
      <c r="BC136" s="49" t="str">
        <f>IFERROR($BC$3&amp;VLOOKUP(D138,'Pay Table'!$M$3:$N$18,2,FALSE)&amp;$BB$3&amp;E138&amp;$BD$3,"")</f>
        <v/>
      </c>
      <c r="BD136" s="49" t="str">
        <f>IFERROR($BC$3&amp;VLOOKUP(F138,'Pay Table'!$M$3:$N$18,2,FALSE)&amp;$BB$3&amp;G138&amp;$BD$3,"")</f>
        <v/>
      </c>
      <c r="BE136" s="49" t="str">
        <f>IFERROR($BC$3&amp;VLOOKUP(H138,'Pay Table'!$M$3:$N$18,2,FALSE)&amp;$BB$3&amp;I138&amp;$BD$3,"")</f>
        <v/>
      </c>
      <c r="BF136" s="60" t="str">
        <f>IFERROR($BC$3&amp;VLOOKUP(J138,'Pay Table'!$M$3:$N$18,2,FALSE)&amp;$BB$3&amp;K138&amp;$BD$3,"")</f>
        <v/>
      </c>
    </row>
    <row r="137" spans="1:58" ht="17.100000000000001" customHeight="1" x14ac:dyDescent="0.15">
      <c r="A137" s="14">
        <v>132</v>
      </c>
      <c r="N137" s="6" t="s">
        <v>34</v>
      </c>
      <c r="O137" s="18">
        <v>1</v>
      </c>
      <c r="P137" s="18">
        <v>2</v>
      </c>
      <c r="Q137" s="18">
        <v>3</v>
      </c>
      <c r="R137" s="18">
        <v>4</v>
      </c>
      <c r="S137" s="36">
        <v>5</v>
      </c>
      <c r="BB137" s="59" t="str">
        <f>IFERROR($BC$3&amp;VLOOKUP(B139,'Pay Table'!$M$3:$N$18,2,FALSE)&amp;$BB$3&amp;C139&amp;$BD$3,"")</f>
        <v/>
      </c>
      <c r="BC137" s="49" t="str">
        <f>IFERROR($BC$3&amp;VLOOKUP(D139,'Pay Table'!$M$3:$N$18,2,FALSE)&amp;$BB$3&amp;E139&amp;$BD$3,"")</f>
        <v/>
      </c>
      <c r="BD137" s="49" t="str">
        <f>IFERROR($BC$3&amp;VLOOKUP(F139,'Pay Table'!$M$3:$N$18,2,FALSE)&amp;$BB$3&amp;G139&amp;$BD$3,"")</f>
        <v/>
      </c>
      <c r="BE137" s="49" t="str">
        <f>IFERROR($BC$3&amp;VLOOKUP(H139,'Pay Table'!$M$3:$N$18,2,FALSE)&amp;$BB$3&amp;I139&amp;$BD$3,"")</f>
        <v/>
      </c>
      <c r="BF137" s="60" t="str">
        <f>IFERROR($BC$3&amp;VLOOKUP(J139,'Pay Table'!$M$3:$N$18,2,FALSE)&amp;$BB$3&amp;K139&amp;$BD$3,"")</f>
        <v/>
      </c>
    </row>
    <row r="138" spans="1:58" ht="17.100000000000001" customHeight="1" x14ac:dyDescent="0.15">
      <c r="A138" s="14">
        <v>133</v>
      </c>
      <c r="N138" s="19" t="s">
        <v>47</v>
      </c>
      <c r="O138" s="15"/>
      <c r="P138" s="15"/>
      <c r="Q138" s="15"/>
      <c r="R138" s="15"/>
      <c r="S138" s="16"/>
      <c r="BB138" s="59" t="str">
        <f>IFERROR($BC$3&amp;VLOOKUP(B140,'Pay Table'!$M$3:$N$18,2,FALSE)&amp;$BB$3&amp;C140&amp;$BD$3,"")</f>
        <v/>
      </c>
      <c r="BC138" s="49" t="str">
        <f>IFERROR($BC$3&amp;VLOOKUP(D140,'Pay Table'!$M$3:$N$18,2,FALSE)&amp;$BB$3&amp;E140&amp;$BD$3,"")</f>
        <v/>
      </c>
      <c r="BD138" s="49" t="str">
        <f>IFERROR($BC$3&amp;VLOOKUP(F140,'Pay Table'!$M$3:$N$18,2,FALSE)&amp;$BB$3&amp;G140&amp;$BD$3,"")</f>
        <v/>
      </c>
      <c r="BE138" s="49" t="str">
        <f>IFERROR($BC$3&amp;VLOOKUP(H140,'Pay Table'!$M$3:$N$18,2,FALSE)&amp;$BB$3&amp;I140&amp;$BD$3,"")</f>
        <v/>
      </c>
      <c r="BF138" s="60" t="str">
        <f>IFERROR($BC$3&amp;VLOOKUP(J140,'Pay Table'!$M$3:$N$18,2,FALSE)&amp;$BB$3&amp;K140&amp;$BD$3,"")</f>
        <v/>
      </c>
    </row>
    <row r="139" spans="1:58" ht="17.100000000000001" customHeight="1" x14ac:dyDescent="0.15">
      <c r="A139" s="14">
        <v>134</v>
      </c>
      <c r="N139" s="4">
        <v>0</v>
      </c>
      <c r="O139" s="7">
        <f t="array" ref="O139">SUM(IF(ISBLANK(B$6:B$290),0,1)*IF(ISBLANK(B$5:B$289),0,1)*IF(ISBLANK(B$4:B$288),0,1)*
IF(B$6:B$290=$N$138,0,1)*IF(B$5:B$289=$N$138,0,1)*IF(B$4:B$288=$N$138,0,1)*C$4:C$288)</f>
        <v>4800</v>
      </c>
      <c r="P139" s="21">
        <f t="array" ref="P139">SUM(IF(ISBLANK(D$6:D$290),0,1)*IF(ISBLANK(D$5:D$289),0,1)*IF(ISBLANK(D$4:D$288),0,1)*
IF(D$6:D$290=$N$138,0,1)*IF(D$5:D$289=$N$138,0,1)*IF(D$4:D$288=$N$138,0,1)*E$4:E$288)</f>
        <v>5300</v>
      </c>
      <c r="Q139" s="21">
        <f t="array" ref="Q139">SUM(IF(ISBLANK(F$6:F$290),0,1)*IF(ISBLANK(F$5:F$289),0,1)*IF(ISBLANK(F$4:F$288),0,1)*
IF(F$6:F$290=$N$138,0,1)*IF(F$5:F$289=$N$138,0,1)*IF(F$4:F$288=$N$138,0,1)*G$4:G$288)</f>
        <v>4900</v>
      </c>
      <c r="R139" s="21">
        <f t="array" ref="R139">SUM(IF(ISBLANK(H$6:H$290),0,1)*IF(ISBLANK(H$5:H$289),0,1)*IF(ISBLANK(H$4:H$288),0,1)*
IF(H$6:H$290=$N$138,0,1)*IF(H$5:H$289=$N$138,0,1)*IF(H$4:H$288=$N$138,0,1)*I$4:I$288)</f>
        <v>7000</v>
      </c>
      <c r="S139" s="20">
        <f t="array" ref="S139">SUM(IF(ISBLANK(J$6:J$290),0,1)*IF(ISBLANK(J$5:J$289),0,1)*IF(ISBLANK(J$4:J$288),0,1)*
IF(J$6:J$290=$N$138,0,1)*IF(J$5:J$289=$N$138,0,1)*IF(J$4:J$288=$N$138,0,1)*K$4:K$288)</f>
        <v>5800</v>
      </c>
      <c r="BB139" s="59" t="str">
        <f>IFERROR($BC$3&amp;VLOOKUP(B141,'Pay Table'!$M$3:$N$18,2,FALSE)&amp;$BB$3&amp;C141&amp;$BD$3,"")</f>
        <v/>
      </c>
      <c r="BC139" s="49" t="str">
        <f>IFERROR($BC$3&amp;VLOOKUP(D141,'Pay Table'!$M$3:$N$18,2,FALSE)&amp;$BB$3&amp;E141&amp;$BD$3,"")</f>
        <v/>
      </c>
      <c r="BD139" s="49" t="str">
        <f>IFERROR($BC$3&amp;VLOOKUP(F141,'Pay Table'!$M$3:$N$18,2,FALSE)&amp;$BB$3&amp;G141&amp;$BD$3,"")</f>
        <v/>
      </c>
      <c r="BE139" s="49" t="str">
        <f>IFERROR($BC$3&amp;VLOOKUP(H141,'Pay Table'!$M$3:$N$18,2,FALSE)&amp;$BB$3&amp;I141&amp;$BD$3,"")</f>
        <v/>
      </c>
      <c r="BF139" s="60" t="str">
        <f>IFERROR($BC$3&amp;VLOOKUP(J141,'Pay Table'!$M$3:$N$18,2,FALSE)&amp;$BB$3&amp;K141&amp;$BD$3,"")</f>
        <v/>
      </c>
    </row>
    <row r="140" spans="1:58" ht="17.100000000000001" customHeight="1" x14ac:dyDescent="0.15">
      <c r="A140" s="14">
        <v>135</v>
      </c>
      <c r="N140" s="4">
        <v>1</v>
      </c>
      <c r="O140" s="2">
        <f t="array" ref="O140">SUM(IF(ISBLANK(B$6:B$290),0,1)*IF(ISBLANK(B$5:B$289),0,1)*IF(ISBLANK(B$4:B$288),0,1)*
(IF(B$6:B$290=$N$138,1,0)*IF(B$5:B$289=$N$138,0,1)*IF(B$4:B$288=$N$138,0,1)+
IF(B$6:B$290=$N$138,0,1)*IF(B$5:B$289=$N$138,1,0)*IF(B$4:B$288=$N$138,0,1)+
IF(B$6:B$290=$N$138,0,1)*IF(B$5:B$289=$N$138,0,1)*IF(B$4:B$288=$N$138,1,0))*C$4:C$288)</f>
        <v>900</v>
      </c>
      <c r="P140" s="1">
        <f t="array" ref="P140">SUM(IF(ISBLANK(D$6:D$290),0,1)*IF(ISBLANK(D$5:D$289),0,1)*IF(ISBLANK(D$4:D$288),0,1)*
(IF(D$6:D$290=$N$138,1,0)*IF(D$5:D$289=$N$138,0,1)*IF(D$4:D$288=$N$138,0,1)+
IF(D$6:D$290=$N$138,0,1)*IF(D$5:D$289=$N$138,1,0)*IF(D$4:D$288=$N$138,0,1)+
IF(D$6:D$290=$N$138,0,1)*IF(D$5:D$289=$N$138,0,1)*IF(D$4:D$288=$N$138,1,0))*E$4:E$288)</f>
        <v>900</v>
      </c>
      <c r="Q140" s="1">
        <f t="array" ref="Q140">SUM(IF(ISBLANK(F$6:F$290),0,1)*IF(ISBLANK(F$5:F$289),0,1)*IF(ISBLANK(F$4:F$288),0,1)*
(IF(F$6:F$290=$N$138,1,0)*IF(F$5:F$289=$N$138,0,1)*IF(F$4:F$288=$N$138,0,1)+
IF(F$6:F$290=$N$138,0,1)*IF(F$5:F$289=$N$138,1,0)*IF(F$4:F$288=$N$138,0,1)+
IF(F$6:F$290=$N$138,0,1)*IF(F$5:F$289=$N$138,0,1)*IF(F$4:F$288=$N$138,1,0))*G$4:G$288)</f>
        <v>900</v>
      </c>
      <c r="R140" s="1">
        <f t="array" ref="R140">SUM(IF(ISBLANK(H$6:H$290),0,1)*IF(ISBLANK(H$5:H$289),0,1)*IF(ISBLANK(H$4:H$288),0,1)*
(IF(H$6:H$290=$N$138,1,0)*IF(H$5:H$289=$N$138,0,1)*IF(H$4:H$288=$N$138,0,1)+
IF(H$6:H$290=$N$138,0,1)*IF(H$5:H$289=$N$138,1,0)*IF(H$4:H$288=$N$138,0,1)+
IF(H$6:H$290=$N$138,0,1)*IF(H$5:H$289=$N$138,0,1)*IF(H$4:H$288=$N$138,1,0))*I$4:I$288)</f>
        <v>900</v>
      </c>
      <c r="S140" s="5">
        <f t="array" ref="S140">SUM(IF(ISBLANK(J$6:J$290),0,1)*IF(ISBLANK(J$5:J$289),0,1)*IF(ISBLANK(J$4:J$288),0,1)*
(IF(J$6:J$290=$N$138,1,0)*IF(J$5:J$289=$N$138,0,1)*IF(J$4:J$288=$N$138,0,1)+
IF(J$6:J$290=$N$138,0,1)*IF(J$5:J$289=$N$138,1,0)*IF(J$4:J$288=$N$138,0,1)+
IF(J$6:J$290=$N$138,0,1)*IF(J$5:J$289=$N$138,0,1)*IF(J$4:J$288=$N$138,1,0))*K$4:K$288)</f>
        <v>900</v>
      </c>
      <c r="BB140" s="59" t="str">
        <f>IFERROR($BC$3&amp;VLOOKUP(B142,'Pay Table'!$M$3:$N$18,2,FALSE)&amp;$BB$3&amp;C142&amp;$BD$3,"")</f>
        <v/>
      </c>
      <c r="BC140" s="49" t="str">
        <f>IFERROR($BC$3&amp;VLOOKUP(D142,'Pay Table'!$M$3:$N$18,2,FALSE)&amp;$BB$3&amp;E142&amp;$BD$3,"")</f>
        <v/>
      </c>
      <c r="BD140" s="49" t="str">
        <f>IFERROR($BC$3&amp;VLOOKUP(F142,'Pay Table'!$M$3:$N$18,2,FALSE)&amp;$BB$3&amp;G142&amp;$BD$3,"")</f>
        <v/>
      </c>
      <c r="BE140" s="49" t="str">
        <f>IFERROR($BC$3&amp;VLOOKUP(H142,'Pay Table'!$M$3:$N$18,2,FALSE)&amp;$BB$3&amp;I142&amp;$BD$3,"")</f>
        <v/>
      </c>
      <c r="BF140" s="60" t="str">
        <f>IFERROR($BC$3&amp;VLOOKUP(J142,'Pay Table'!$M$3:$N$18,2,FALSE)&amp;$BB$3&amp;K142&amp;$BD$3,"")</f>
        <v/>
      </c>
    </row>
    <row r="141" spans="1:58" ht="17.100000000000001" customHeight="1" x14ac:dyDescent="0.15">
      <c r="A141" s="14">
        <v>136</v>
      </c>
      <c r="N141" s="4">
        <v>2</v>
      </c>
      <c r="O141" s="2">
        <f t="array" ref="O141">SUM(IF(ISBLANK(B$6:B$290),0,1)*IF(ISBLANK(B$5:B$289),0,1)*IF(ISBLANK(B$4:B$288),0,1)*
(IF(B$6:B$290=$N$138,1,0)*IF(B$5:B$289=$N$138,1,0)*IF(B$4:B$288=$N$138,0,1)+
IF(B$6:B$290=$N$138,1,0)*IF(B$5:B$289=$N$138,0,1)*IF(B$4:B$288=$N$138,1,0)+
IF(B$6:B$290=$N$138,0,1)*IF(B$5:B$289=$N$138,1,0)*IF(B$4:B$288=$N$138,1,0))*C$4:C$288)</f>
        <v>260</v>
      </c>
      <c r="P141" s="1">
        <f t="array" ref="P141">SUM(IF(ISBLANK(D$6:D$290),0,1)*IF(ISBLANK(D$5:D$289),0,1)*IF(ISBLANK(D$4:D$288),0,1)*
(IF(D$6:D$290=$N$138,1,0)*IF(D$5:D$289=$N$138,1,0)*IF(D$4:D$288=$N$138,0,1)+
IF(D$6:D$290=$N$138,1,0)*IF(D$5:D$289=$N$138,0,1)*IF(D$4:D$288=$N$138,1,0)+
IF(D$6:D$290=$N$138,0,1)*IF(D$5:D$289=$N$138,1,0)*IF(D$4:D$288=$N$138,1,0))*E$4:E$288)</f>
        <v>230</v>
      </c>
      <c r="Q141" s="1">
        <f t="array" ref="Q141">SUM(IF(ISBLANK(F$6:F$290),0,1)*IF(ISBLANK(F$5:F$289),0,1)*IF(ISBLANK(F$4:F$288),0,1)*
(IF(F$6:F$290=$N$138,1,0)*IF(F$5:F$289=$N$138,1,0)*IF(F$4:F$288=$N$138,0,1)+
IF(F$6:F$290=$N$138,1,0)*IF(F$5:F$289=$N$138,0,1)*IF(F$4:F$288=$N$138,1,0)+
IF(F$6:F$290=$N$138,0,1)*IF(F$5:F$289=$N$138,1,0)*IF(F$4:F$288=$N$138,1,0))*G$4:G$288)</f>
        <v>260</v>
      </c>
      <c r="R141" s="1">
        <f t="array" ref="R141">SUM(IF(ISBLANK(H$6:H$290),0,1)*IF(ISBLANK(H$5:H$289),0,1)*IF(ISBLANK(H$4:H$288),0,1)*
(IF(H$6:H$290=$N$138,1,0)*IF(H$5:H$289=$N$138,1,0)*IF(H$4:H$288=$N$138,0,1)+
IF(H$6:H$290=$N$138,1,0)*IF(H$5:H$289=$N$138,0,1)*IF(H$4:H$288=$N$138,1,0)+
IF(H$6:H$290=$N$138,0,1)*IF(H$5:H$289=$N$138,1,0)*IF(H$4:H$288=$N$138,1,0))*I$4:I$288)</f>
        <v>260</v>
      </c>
      <c r="S141" s="5">
        <f t="array" ref="S141">SUM(IF(ISBLANK(J$6:J$290),0,1)*IF(ISBLANK(J$5:J$289),0,1)*IF(ISBLANK(J$4:J$288),0,1)*
(IF(J$6:J$290=$N$138,1,0)*IF(J$5:J$289=$N$138,1,0)*IF(J$4:J$288=$N$138,0,1)+
IF(J$6:J$290=$N$138,1,0)*IF(J$5:J$289=$N$138,0,1)*IF(J$4:J$288=$N$138,1,0)+
IF(J$6:J$290=$N$138,0,1)*IF(J$5:J$289=$N$138,1,0)*IF(J$4:J$288=$N$138,1,0))*K$4:K$288)</f>
        <v>260</v>
      </c>
      <c r="BB141" s="59" t="str">
        <f>IFERROR($BC$3&amp;VLOOKUP(B143,'Pay Table'!$M$3:$N$18,2,FALSE)&amp;$BB$3&amp;C143&amp;$BD$3,"")</f>
        <v/>
      </c>
      <c r="BC141" s="49" t="str">
        <f>IFERROR($BC$3&amp;VLOOKUP(D143,'Pay Table'!$M$3:$N$18,2,FALSE)&amp;$BB$3&amp;E143&amp;$BD$3,"")</f>
        <v/>
      </c>
      <c r="BD141" s="49" t="str">
        <f>IFERROR($BC$3&amp;VLOOKUP(F143,'Pay Table'!$M$3:$N$18,2,FALSE)&amp;$BB$3&amp;G143&amp;$BD$3,"")</f>
        <v/>
      </c>
      <c r="BE141" s="49" t="str">
        <f>IFERROR($BC$3&amp;VLOOKUP(H143,'Pay Table'!$M$3:$N$18,2,FALSE)&amp;$BB$3&amp;I143&amp;$BD$3,"")</f>
        <v/>
      </c>
      <c r="BF141" s="60" t="str">
        <f>IFERROR($BC$3&amp;VLOOKUP(J143,'Pay Table'!$M$3:$N$18,2,FALSE)&amp;$BB$3&amp;K143&amp;$BD$3,"")</f>
        <v/>
      </c>
    </row>
    <row r="142" spans="1:58" ht="17.100000000000001" customHeight="1" x14ac:dyDescent="0.15">
      <c r="A142" s="14">
        <v>137</v>
      </c>
      <c r="N142" s="19">
        <v>3</v>
      </c>
      <c r="O142" s="8">
        <f t="array" ref="O142">SUM(IF(ISBLANK(B$6:B$290),0,1)*IF(ISBLANK(B$5:B$289),0,1)*IF(ISBLANK(B$4:B$288),0,1)*
IF(B$6:B$290=$N$138,1,0)*IF(B$5:B$289=$N$138,1,0)*IF(B$4:B$288=$N$138,1,0)*C$4:C$288)</f>
        <v>15</v>
      </c>
      <c r="P142" s="15">
        <f t="array" ref="P142">SUM(IF(ISBLANK(D$6:D$290),0,1)*IF(ISBLANK(D$5:D$289),0,1)*IF(ISBLANK(D$4:D$288),0,1)*
IF(D$6:D$290=$N$138,1,0)*IF(D$5:D$289=$N$138,1,0)*IF(D$4:D$288=$N$138,1,0)*E$4:E$288)</f>
        <v>15</v>
      </c>
      <c r="Q142" s="15">
        <f t="array" ref="Q142">SUM(IF(ISBLANK(F$6:F$290),0,1)*IF(ISBLANK(F$5:F$289),0,1)*IF(ISBLANK(F$4:F$288),0,1)*
IF(F$6:F$290=$N$138,1,0)*IF(F$5:F$289=$N$138,1,0)*IF(F$4:F$288=$N$138,1,0)*G$4:G$288)</f>
        <v>15</v>
      </c>
      <c r="R142" s="15">
        <f t="array" ref="R142">SUM(IF(ISBLANK(H$6:H$290),0,1)*IF(ISBLANK(H$5:H$289),0,1)*IF(ISBLANK(H$4:H$288),0,1)*
IF(H$6:H$290=$N$138,1,0)*IF(H$5:H$289=$N$138,1,0)*IF(H$4:H$288=$N$138,1,0)*I$4:I$288)</f>
        <v>15</v>
      </c>
      <c r="S142" s="16">
        <f t="array" ref="S142">SUM(IF(ISBLANK(J$6:J$290),0,1)*IF(ISBLANK(J$5:J$289),0,1)*IF(ISBLANK(J$4:J$288),0,1)*
IF(J$6:J$290=$N$138,1,0)*IF(J$5:J$289=$N$138,1,0)*IF(J$4:J$288=$N$138,1,0)*K$4:K$288)</f>
        <v>15</v>
      </c>
      <c r="BB142" s="59" t="str">
        <f>IFERROR($BC$3&amp;VLOOKUP(B144,'Pay Table'!$M$3:$N$18,2,FALSE)&amp;$BB$3&amp;C144&amp;$BD$3,"")</f>
        <v/>
      </c>
      <c r="BC142" s="49" t="str">
        <f>IFERROR($BC$3&amp;VLOOKUP(D144,'Pay Table'!$M$3:$N$18,2,FALSE)&amp;$BB$3&amp;E144&amp;$BD$3,"")</f>
        <v/>
      </c>
      <c r="BD142" s="49" t="str">
        <f>IFERROR($BC$3&amp;VLOOKUP(F144,'Pay Table'!$M$3:$N$18,2,FALSE)&amp;$BB$3&amp;G144&amp;$BD$3,"")</f>
        <v/>
      </c>
      <c r="BE142" s="49" t="str">
        <f>IFERROR($BC$3&amp;VLOOKUP(H144,'Pay Table'!$M$3:$N$18,2,FALSE)&amp;$BB$3&amp;I144&amp;$BD$3,"")</f>
        <v/>
      </c>
      <c r="BF142" s="60" t="str">
        <f>IFERROR($BC$3&amp;VLOOKUP(J144,'Pay Table'!$M$3:$N$18,2,FALSE)&amp;$BB$3&amp;K144&amp;$BD$3,"")</f>
        <v/>
      </c>
    </row>
    <row r="143" spans="1:58" ht="17.100000000000001" customHeight="1" x14ac:dyDescent="0.15">
      <c r="A143" s="14">
        <v>138</v>
      </c>
      <c r="BB143" s="59" t="str">
        <f>IFERROR($BC$3&amp;VLOOKUP(B145,'Pay Table'!$M$3:$N$18,2,FALSE)&amp;$BB$3&amp;C145&amp;$BD$3,"")</f>
        <v/>
      </c>
      <c r="BC143" s="49" t="str">
        <f>IFERROR($BC$3&amp;VLOOKUP(D145,'Pay Table'!$M$3:$N$18,2,FALSE)&amp;$BB$3&amp;E145&amp;$BD$3,"")</f>
        <v/>
      </c>
      <c r="BD143" s="49" t="str">
        <f>IFERROR($BC$3&amp;VLOOKUP(F145,'Pay Table'!$M$3:$N$18,2,FALSE)&amp;$BB$3&amp;G145&amp;$BD$3,"")</f>
        <v/>
      </c>
      <c r="BE143" s="49" t="str">
        <f>IFERROR($BC$3&amp;VLOOKUP(H145,'Pay Table'!$M$3:$N$18,2,FALSE)&amp;$BB$3&amp;I145&amp;$BD$3,"")</f>
        <v/>
      </c>
      <c r="BF143" s="60" t="str">
        <f>IFERROR($BC$3&amp;VLOOKUP(J145,'Pay Table'!$M$3:$N$18,2,FALSE)&amp;$BB$3&amp;K145&amp;$BD$3,"")</f>
        <v/>
      </c>
    </row>
    <row r="144" spans="1:58" ht="17.100000000000001" customHeight="1" x14ac:dyDescent="0.15">
      <c r="A144" s="14">
        <v>139</v>
      </c>
      <c r="N144" s="6" t="s">
        <v>4</v>
      </c>
      <c r="O144" s="6">
        <v>0</v>
      </c>
      <c r="P144" s="18">
        <v>1</v>
      </c>
      <c r="Q144" s="18">
        <v>2</v>
      </c>
      <c r="R144" s="18">
        <v>3</v>
      </c>
      <c r="S144" s="18">
        <v>4</v>
      </c>
      <c r="T144" s="18">
        <v>5</v>
      </c>
      <c r="U144" s="18">
        <v>6</v>
      </c>
      <c r="V144" s="18">
        <v>7</v>
      </c>
      <c r="W144" s="18">
        <v>8</v>
      </c>
      <c r="X144" s="18">
        <v>9</v>
      </c>
      <c r="Y144" s="18">
        <v>10</v>
      </c>
      <c r="Z144" s="18">
        <v>11</v>
      </c>
      <c r="AA144" s="18">
        <v>12</v>
      </c>
      <c r="AB144" s="18">
        <v>13</v>
      </c>
      <c r="AC144" s="18">
        <v>14</v>
      </c>
      <c r="AD144" s="36">
        <v>15</v>
      </c>
      <c r="BB144" s="59" t="str">
        <f>IFERROR($BC$3&amp;VLOOKUP(B146,'Pay Table'!$M$3:$N$18,2,FALSE)&amp;$BB$3&amp;C146&amp;$BD$3,"")</f>
        <v/>
      </c>
      <c r="BC144" s="49" t="str">
        <f>IFERROR($BC$3&amp;VLOOKUP(D146,'Pay Table'!$M$3:$N$18,2,FALSE)&amp;$BB$3&amp;E146&amp;$BD$3,"")</f>
        <v/>
      </c>
      <c r="BD144" s="49" t="str">
        <f>IFERROR($BC$3&amp;VLOOKUP(F146,'Pay Table'!$M$3:$N$18,2,FALSE)&amp;$BB$3&amp;G146&amp;$BD$3,"")</f>
        <v/>
      </c>
      <c r="BE144" s="49" t="str">
        <f>IFERROR($BC$3&amp;VLOOKUP(H146,'Pay Table'!$M$3:$N$18,2,FALSE)&amp;$BB$3&amp;I146&amp;$BD$3,"")</f>
        <v/>
      </c>
      <c r="BF144" s="60" t="str">
        <f>IFERROR($BC$3&amp;VLOOKUP(J146,'Pay Table'!$M$3:$N$18,2,FALSE)&amp;$BB$3&amp;K146&amp;$BD$3,"")</f>
        <v/>
      </c>
    </row>
    <row r="145" spans="1:58" ht="17.100000000000001" customHeight="1" x14ac:dyDescent="0.15">
      <c r="A145" s="14">
        <v>140</v>
      </c>
      <c r="N145" s="7" t="str">
        <f>N138</f>
        <v>LINK</v>
      </c>
      <c r="P145" s="21">
        <f>O139*P139*Q139*R139*S140+O139*P139*Q139*R140*S139+O139*P139*Q140*R139*S139+O139*P140*Q139*R139*S139+O140*P139*Q139*R139*S139</f>
        <v>4.17397932E+18</v>
      </c>
      <c r="Q145" s="21">
        <f>O139*P139*Q139*R139*S141+O139*P139*Q139*R140*S140+O139*P139*Q139*R141*S139+O139*P139*Q140*R139*S140+O139*P139*Q140*R140*S139+O139*P139*Q141*R139*S139+O139*P140*Q139*R139*S140+O139*P140*Q139*R140*S139+O139*P140*Q140*R139*S139+O139*P141*Q139*R139*S139+O140*P139*Q139*R139*S140+O140*P139*Q139*R140*S139+O140*P139*Q140*R139*S139+O140*P140*Q139*R139*S139+O141*P139*Q139*R139*S139</f>
        <v>2.548304488E+18</v>
      </c>
      <c r="R145" s="21">
        <f>O139*P139*Q139*R139*S142+O139*P139*Q139*R140*S141+O139*P139*Q139*R141*S140+O139*P139*Q139*R142*S139+O139*P139*Q140*R139*S141+O139*P139*Q140*R140*S140+O139*P139*Q140*R141*S139+O139*P139*Q141*R139*S140+O139*P139*Q141*R140*S139+O139*P139*Q142*R139*S139+O139*P140*Q139*R139*S141+O139*P140*Q139*R140*S140+O139*P140*Q139*R141*S139+O139*P140*Q140*R139*S140+O139*P140*Q140*R140*S139+O139*P140*Q141*R139*S139+O139*P141*Q139*R139*S140+O139*P141*Q139*R140*S139+O139*P141*Q140*R139*S139+O139*P142*Q139*R139*S139+O140*P139*Q139*R139*S141+O140*P139*Q139*R140*S140+O140*P139*Q139*R141*S139+O140*P139*Q140*R139*S140+O140*P139*Q140*R140*S139+O140*P139*Q141*R139*S139+O140*P140*Q139*R139*S140+O140*P140*Q139*R140*S139+O140*P140*Q140*R139*S139+O140*P141*Q139*R139*S139+O141*P139*Q139*R139*S140+O141*P139*Q139*R140*S139+O141*P139*Q140*R139*S139+O141*P140*Q139*R139*S139+O142*P139*Q139*R139*S139</f>
        <v>1.06720572E+18</v>
      </c>
      <c r="S145" s="21">
        <f>O139*P139*Q139*R140*S142+O139*P139*Q139*R141*S141+O139*P139*Q139*R142*S140+O139*P139*Q140*R139*S142+O139*P139*Q140*R140*S141+O139*P139*Q140*R141*S140+O139*P139*Q140*R142*S139+O139*P139*Q141*R139*S141+O139*P139*Q141*R140*S140+O139*P139*Q141*R141*S139+O139*P139*Q142*R139*S140+O139*P139*Q142*R140*S139+O139*P140*Q139*R139*S142+O139*P140*Q139*R140*S141+O139*P140*Q139*R141*S140+O139*P140*Q139*R142*S139+O139*P140*Q140*R139*S141+O139*P140*Q140*R140*S140+O139*P140*Q140*R141*S139+O139*P140*Q141*R139*S140+O139*P140*Q141*R140*S139+O139*P140*Q142*R139*S139+O139*P141*Q139*R139*S141+O139*P141*Q139*R140*S140+O139*P141*Q139*R141*S139+O139*P141*Q140*R139*S140+O139*P141*Q140*R140*S139+O139*P141*Q141*R139*S139+O139*P142*Q139*R139*S140+O139*P142*Q139*R140*S139+O139*P142*Q140*R139*S139+O140*P139*Q139*R139*S142+O140*P139*Q139*R140*S141+O140*P139*Q139*R141*S140+O140*P139*Q139*R142*S139+O140*P139*Q140*R139*S141+O140*P139*Q140*R140*S140+O140*P139*Q140*R141*S139+O140*P139*Q141*R139*S140+O140*P139*Q141*R140*S139+O140*P139*Q142*R139*S139+O140*P140*Q139*R139*S141+O140*P140*Q139*R140*S140+O140*P140*Q139*R141*S139+O140*P140*Q140*R139*S140+O140*P140*Q140*R140*S139+O140*P140*Q141*R139*S139+O140*P141*Q139*R139*S140+O140*P141*Q139*R140*S139+O140*P141*Q140*R139*S139+O140*P142*Q139*R139*S139+O141*P139*Q139*R139*S141+O141*P139*Q139*R140*S140+O141*P139*Q139*R141*S139+O141*P139*Q140*R139*S140+O141*P139*Q140*R140*S139+O141*P139*Q141*R139*S139+O141*P140*Q139*R139*S140+O141*P140*Q139*R140*S139+O141*P140*Q140*R139*S139+O141*P141*Q139*R139*S139+O142*P139*Q139*R139*S140+O142*P139*Q139*R140*S139+O142*P139*Q140*R139*S139+O142*P140*Q139*R139*S139</f>
        <v>3.626768932E+17</v>
      </c>
      <c r="T145" s="21">
        <f t="array" ref="T145">O139*P139*Q139*R141*S142+O139*P139*Q139*R142*S141+O139*P139*Q140*R140*S142+O139*P139*Q140*R141*S141+O139*P139*Q140*R142*S140+O139*P139*Q141*R139*S142+O139*P139*Q141*R140*S141+O139*P139*Q141*R141*S140+O139*P139*Q141*R142*S139+O139*P139*Q142*R139*S141+O139*P139*Q142*R140*S140+O139*P139*Q142*R141*S139+O139*P140*Q139*R140*S142+O139*P140*Q139*R141*S141+O139*P140*Q139*R142*S140+O139*P140*Q140*R139*S142+O139*P140*Q140*R140*S141+O139*P140*Q140*R141*S140+O139*P140*Q140*R142*S139+O139*P140*Q141*R139*S141+O139*P140*Q141*R140*S140+O139*P140*Q141*R141*S139+O139*P140*Q142*R139*S140+O139*P140*Q142*R140*S139+O139*P141*Q139*R139*S142+O139*P141*Q139*R140*S141+O139*P141*Q139*R141*S140+O139*P141*Q139*R142*S139+O139*P141*Q140*R139*S141+O139*P141*Q140*R140*S140+O139*P141*Q140*R141*S139+O139*P141*Q141*R139*S140+O139*P141*Q141*R140*S139+O139*P141*Q142*R139*S139+O139*P142*Q139*R139*S141+O139*P142*Q139*R140*S140+O139*P142*Q139*R141*S139+O139*P142*Q140*R139*S140+O139*P142*Q140*R140*S139+O139*P142*Q141*R139*S139+O140*P139*Q139*R140*S142+O140*P139*Q139*R141*S141+O140*P139*Q139*R142*S140+O140*P139*Q140*R139*S142+O140*P139*Q140*R140*S141+O140*P139*Q140*R141*S140+O140*P139*Q140*R142*S139+O140*P139*Q141*R139*S141+O140*P139*Q141*R140*S140+O140*P139*Q141*R141*S139+O140*P139*Q142*R139*S140+O140*P139*Q142*R140*S139+O140*P140*Q139*R139*S142+O140*P140*Q139*R140*S141+O140*P140*Q139*R141*S140+O140*P140*Q139*R142*S139+O140*P140*Q140*R139*S141+O140*P140*Q140*R140*S140+O140*P140*Q140*R141*S139+O140*P140*Q141*R139*S140+O140*P140*Q141*R140*S139+O140*P140*Q142*R139*S139+O140*P141*Q139*R139*S141+O140*P141*Q139*R140*S140+O140*P141*Q139*R141*S139+O140*P141*Q140*R139*S140+O140*P141*Q140*R140*S139+O140*P141*Q141*R139*S139+O140*P142*Q139*R139*S140+O140*P142*Q139*R140*S139+O140*P142*Q140*R139*S139+O141*P139*Q139*R139*S142+O141*P139*Q139*R140*S141+O141*P139*Q139*R141*S140+O141*P139*Q139*R142*S139+O141*P139*Q140*R139*S141+O141*P139*Q140*R140*S140+O141*P139*Q140*R141*S139+O141*P139*Q141*R139*S140+O141*P139*Q141*R140*S139+O141*P139*Q142*R139*S139+O141*P140*Q139*R139*S141+O141*P140*Q139*R140*S140+O141*P140*Q139*R141*S139+O141*P140*Q140*R139*S140+O141*P140*Q140*R140*S139+O141*P140*Q141*R139*S139+O141*P141*Q139*R139*S140+O141*P141*Q139*R140*S139+O141*P141*Q140*R139*S139+O141*P142*Q139*R139*S139+O142*P139*Q139*R139*S141+O142*P139*Q139*R140*S140+O142*P139*Q139*R141*S139+O142*P139*Q140*R139*S140+O142*P139*Q140*R140*S139+O142*P139*Q141*R139*S139+O142*P140*Q139*R139*S140+O142*P140*Q139*R140*S139+O142*P140*Q140*R139*S139+O142*P141*Q139*R139*S139</f>
        <v>9.87624897E+16</v>
      </c>
      <c r="U145" s="21">
        <f>O139*P139*Q139*R142*S142+O139*P139*Q140*R141*S142+O139*P139*Q140*R142*S141+O139*P139*Q141*R140*S142+O139*P139*Q141*R141*S141+O139*P139*Q141*R142*S140+O139*P139*Q142*R139*S142+O139*P139*Q142*R140*S141+O139*P139*Q142*R141*S140+O139*P139*Q142*R142*S139+O139*P140*Q139*R141*S142+O139*P140*Q139*R142*S141+O139*P140*Q140*R140*S142+O139*P140*Q140*R141*S141+O139*P140*Q140*R142*S140+O139*P140*Q141*R139*S142+O139*P140*Q141*R140*S141+O139*P140*Q141*R141*S140+O139*P140*Q141*R142*S139+O139*P140*Q142*R139*S141+O139*P140*Q142*R140*S140+O139*P140*Q142*R141*S139+O139*P141*Q139*R140*S142+O139*P141*Q139*R141*S141+O139*P141*Q139*R142*S140+O139*P141*Q140*R139*S142+O139*P141*Q140*R140*S141+O139*P141*Q140*R141*S140+O139*P141*Q140*R142*S139+O139*P141*Q141*R139*S141+O139*P141*Q141*R140*S140+O139*P141*Q141*R141*S139+O139*P141*Q142*R139*S140+O139*P141*Q142*R140*S139+O139*P142*Q139*R139*S142+O139*P142*Q139*R140*S141+O139*P142*Q139*R141*S140+O139*P142*Q139*R142*S139+O139*P142*Q140*R139*S141+O139*P142*Q140*R140*S140+O139*P142*Q140*R141*S139+O139*P142*Q141*R139*S140+O139*P142*Q141*R140*S139+O139*P142*Q142*R139*S139+O140*P139*Q139*R141*S142+O140*P139*Q139*R142*S141+O140*P139*Q140*R140*S142+O140*P139*Q140*R141*S141+O140*P139*Q140*R142*S140+O140*P139*Q141*R139*S142+O140*P139*Q141*R140*S141+O140*P139*Q141*R141*S140+O140*P139*Q141*R142*S139+O140*P139*Q142*R139*S141+O140*P139*Q142*R140*S140+O140*P139*Q142*R141*S139+O140*P140*Q139*R140*S142+O140*P140*Q139*R141*S141+O140*P140*Q139*R142*S140+O140*P140*Q140*R139*S142+O140*P140*Q140*R140*S141+O140*P140*Q140*R141*S140+O140*P140*Q140*R142*S139+O140*P140*Q141*R139*S141+O140*P140*Q141*R140*S140+O140*P140*Q141*R141*S139+O140*P140*Q142*R139*S140+O140*P140*Q142*R140*S139+O140*P141*Q139*R139*S142+O140*P141*Q139*R140*S141+O140*P141*Q139*R141*S140+O140*P141*Q139*R142*S139+O140*P141*Q140*R139*S141+O140*P141*Q140*R140*S140+O140*P141*Q140*R141*S139+O140*P141*Q141*R139*S140+O140*P141*Q141*R140*S139+O140*P141*Q142*R139*S139+O140*P142*Q139*R139*S141+O140*P142*Q139*R140*S140+O140*P142*Q139*R141*S139+O140*P142*Q140*R139*S140+O140*P142*Q140*R140*S139+O140*P142*Q141*R139*S139+O141*P139*Q139*R140*S142+O141*P139*Q139*R141*S141+O141*P139*Q139*R142*S140+O141*P139*Q140*R139*S142+O141*P139*Q140*R140*S141+O141*P139*Q140*R141*S140+O141*P139*Q140*R142*S139+O141*P139*Q141*R139*S141+O141*P139*Q141*R140*S140+O141*P139*Q141*R141*S139+O141*P139*Q142*R139*S140+O141*P139*Q142*R140*S139+O141*P140*Q139*R139*S142+O141*P140*Q139*R140*S141+O141*P140*Q139*R141*S140+O141*P140*Q139*R142*S139+O141*P140*Q140*R139*S141+O141*P140*Q140*R140*S140+O141*P140*Q140*R141*S139+O141*P140*Q141*R139*S140+O141*P140*Q141*R140*S139+O141*P140*Q142*R139*S139+O141*P141*Q139*R139*S141+O141*P141*Q139*R140*S140+O141*P141*Q139*R141*S139+O141*P141*Q140*R139*S140+O141*P141*Q140*R140*S139+O141*P141*Q141*R139*S139+O141*P142*Q139*R139*S140+O141*P142*Q139*R140*S139+O141*P142*Q140*R139*S139+O142*P139*Q139*R139*S142+O142*P139*Q139*R140*S141+O142*P139*Q139*R141*S140+O142*P139*Q139*R142*S139+O142*P139*Q140*R139*S141+O142*P139*Q140*R140*S140+O142*P139*Q140*R141*S139+O142*P139*Q141*R139*S140+O142*P139*Q141*R140*S139+O142*P139*Q142*R139*S139+O142*P140*Q139*R139*S141+O142*P140*Q139*R140*S140+O142*P140*Q139*R141*S139+O142*P140*Q140*R139*S140+O142*P140*Q140*R140*S139+O142*P140*Q141*R139*S139+O142*P141*Q139*R139*S140+O142*P141*Q139*R140*S139+O142*P141*Q140*R139*S139+O142*P142*Q139*R139*S139</f>
        <v>2.248431624E+16</v>
      </c>
      <c r="V145" s="21">
        <f>O139*P139*Q140*R142*S142+O139*P139*Q141*R141*S142+O139*P139*Q141*R142*S141+O139*P139*Q142*R140*S142+O139*P139*Q142*R141*S141+O139*P139*Q142*R142*S140+O139*P140*Q139*R142*S142+O139*P140*Q140*R141*S142+O139*P140*Q140*R142*S141+O139*P140*Q141*R140*S142+O139*P140*Q141*R141*S141+O139*P140*Q141*R142*S140+O139*P140*Q142*R139*S142+O139*P140*Q142*R140*S141+O139*P140*Q142*R141*S140+O139*P140*Q142*R142*S139+O139*P141*Q139*R141*S142+O139*P141*Q139*R142*S141+O139*P141*Q140*R140*S142+O139*P141*Q140*R141*S141+O139*P141*Q140*R142*S140+O139*P141*Q141*R139*S142+O139*P141*Q141*R140*S141+O139*P141*Q141*R141*S140+O139*P141*Q141*R142*S139+O139*P141*Q142*R139*S141+O139*P141*Q142*R140*S140+O139*P141*Q142*R141*S139+O139*P142*Q139*R140*S142+O139*P142*Q139*R141*S141+O139*P142*Q139*R142*S140+O139*P142*Q140*R139*S142+O139*P142*Q140*R140*S141+O139*P142*Q140*R141*S140+O139*P142*Q140*R142*S139+O139*P142*Q141*R139*S141+O139*P142*Q141*R140*S140+O139*P142*Q141*R141*S139+O139*P142*Q142*R139*S140+O139*P142*Q142*R140*S139+O140*P139*Q139*R142*S142+O140*P139*Q140*R141*S142+O140*P139*Q140*R142*S141+O140*P139*Q141*R140*S142+O140*P139*Q141*R141*S141+O140*P139*Q141*R142*S140+O140*P139*Q142*R139*S142+O140*P139*Q142*R140*S141+O140*P139*Q142*R141*S140+O140*P139*Q142*R142*S139+O140*P140*Q139*R141*S142+O140*P140*Q139*R142*S141+O140*P140*Q140*R140*S142+O140*P140*Q140*R141*S141+O140*P140*Q140*R142*S140+O140*P140*Q141*R139*S142+O140*P140*Q141*R140*S141+O140*P140*Q141*R141*S140+O140*P140*Q141*R142*S139+O140*P140*Q142*R139*S141+O140*P140*Q142*R140*S140+O140*P140*Q142*R141*S139+O140*P141*Q139*R140*S142+O140*P141*Q139*R141*S141+O140*P141*Q139*R142*S140+O140*P141*Q140*R139*S142+O140*P141*Q140*R140*S141+O140*P141*Q140*R141*S140+O140*P141*Q140*R142*S139+O140*P141*Q141*R139*S141+O140*P141*Q141*R140*S140+O140*P141*Q141*R141*S139+O140*P141*Q142*R139*S140+O140*P141*Q142*R140*S139+O140*P142*Q139*R139*S142+O140*P142*Q139*R140*S141+O140*P142*Q139*R141*S140+O140*P142*Q139*R142*S139+O140*P142*Q140*R139*S141+O140*P142*Q140*R140*S140+O140*P142*Q140*R141*S139+O140*P142*Q141*R139*S140+O140*P142*Q141*R140*S139+O140*P142*Q142*R139*S139+O141*P139*Q139*R141*S142+O141*P139*Q139*R142*S141+O141*P139*Q140*R140*S142+O141*P139*Q140*R141*S141+O141*P139*Q140*R142*S140+O141*P139*Q141*R139*S142+O141*P139*Q141*R140*S141+O141*P139*Q141*R141*S140+O141*P139*Q141*R142*S139+O141*P139*Q142*R139*S141+O141*P139*Q142*R140*S140+O141*P139*Q142*R141*S139+O141*P140*Q139*R140*S142+O141*P140*Q139*R141*S141+O141*P140*Q139*R142*S140+O141*P140*Q140*R139*S142+O141*P140*Q140*R140*S141+O141*P140*Q140*R141*S140+O141*P140*Q140*R142*S139+O141*P140*Q141*R139*S141+O141*P140*Q141*R140*S140+O141*P140*Q141*R141*S139+O141*P140*Q142*R139*S140+O141*P140*Q142*R140*S139+O141*P141*Q139*R139*S142+O141*P141*Q139*R140*S141+O141*P141*Q139*R141*S140+O141*P141*Q139*R142*S139+O141*P141*Q140*R139*S141+O141*P141*Q140*R140*S140+O141*P141*Q140*R141*S139+O141*P141*Q141*R139*S140+O141*P141*Q141*R140*S139+O141*P141*Q142*R139*S139+O141*P142*Q139*R139*S141+O141*P142*Q139*R140*S140+O141*P142*Q139*R141*S139+O141*P142*Q140*R139*S140+O141*P142*Q140*R140*S139+O141*P142*Q141*R139*S139+O142*P139*Q139*R140*S142+O142*P139*Q139*R141*S141+O142*P139*Q139*R142*S140+O142*P139*Q140*R139*S142+O142*P139*Q140*R140*S141+O142*P139*Q140*R141*S140+O142*P139*Q140*R142*S139+O142*P139*Q141*R139*S141+O142*P139*Q141*R140*S140+O142*P139*Q141*R141*S139+O142*P139*Q142*R139*S140+O142*P139*Q142*R140*S139+O142*P140*Q139*R139*S142+O142*P140*Q139*R140*S141+O142*P140*Q139*R141*S140+O142*P140*Q139*R142*S139+O142*P140*Q140*R139*S141+O142*P140*Q140*R140*S140+O142*P140*Q140*R141*S139+O142*P140*Q141*R139*S140+O142*P140*Q141*R140*S139+O142*P140*Q142*R139*S139+O142*P141*Q139*R139*S141+O142*P141*Q139*R140*S140+O142*P141*Q139*R141*S139+O142*P141*Q140*R139*S140+O142*P141*Q140*R140*S139+O142*P141*Q141*R139*S139+O142*P142*Q139*R139*S140+O142*P142*Q139*R140*S139+O142*P142*Q140*R139*S139</f>
        <v>4262583645000000</v>
      </c>
      <c r="W145" s="21">
        <f>O139*P139*Q141*R142*S142+O139*P139*Q142*R141*S142+O139*P139*Q142*R142*S141+O139*P140*Q140*R142*S142+O139*P140*Q141*R141*S142+O139*P140*Q141*R142*S141+O139*P140*Q142*R140*S142+O139*P140*Q142*R141*S141+O139*P140*Q142*R142*S140+O139*P141*Q139*R142*S142+O139*P141*Q140*R141*S142+O139*P141*Q140*R142*S141+O139*P141*Q141*R140*S142+O139*P141*Q141*R141*S141+O139*P141*Q141*R142*S140+O139*P141*Q142*R139*S142+O139*P141*Q142*R140*S141+O139*P141*Q142*R141*S140+O139*P141*Q142*R142*S139+O139*P142*Q139*R141*S142+O139*P142*Q139*R142*S141+O139*P142*Q140*R140*S142+O139*P142*Q140*R141*S141+O139*P142*Q140*R142*S140+O139*P142*Q141*R139*S142+O139*P142*Q141*R140*S141+O139*P142*Q141*R141*S140+O139*P142*Q141*R142*S139+O139*P142*Q142*R139*S141+O139*P142*Q142*R140*S140+O139*P142*Q142*R141*S139+O140*P139*Q140*R142*S142+O140*P139*Q141*R141*S142+O140*P139*Q141*R142*S141+O140*P139*Q142*R140*S142+O140*P139*Q142*R141*S141+O140*P139*Q142*R142*S140+O140*P140*Q139*R142*S142+O140*P140*Q140*R141*S142+O140*P140*Q140*R142*S141+O140*P140*Q141*R140*S142+O140*P140*Q141*R141*S141+O140*P140*Q141*R142*S140+O140*P140*Q142*R139*S142+O140*P140*Q142*R140*S141+O140*P140*Q142*R141*S140+O140*P140*Q142*R142*S139+O140*P141*Q139*R141*S142+O140*P141*Q139*R142*S141+O140*P141*Q140*R140*S142+O140*P141*Q140*R141*S141+O140*P141*Q140*R142*S140+O140*P141*Q141*R139*S142+O140*P141*Q141*R140*S141+O140*P141*Q141*R141*S140+O140*P141*Q141*R142*S139+O140*P141*Q142*R139*S141+O140*P141*Q142*R140*S140+O140*P141*Q142*R141*S139+O140*P142*Q139*R140*S142+O140*P142*Q139*R141*S141+O140*P142*Q139*R142*S140+O140*P142*Q140*R139*S142+O140*P142*Q140*R140*S141+O140*P142*Q140*R141*S140+O140*P142*Q140*R142*S139+O140*P142*Q141*R139*S141+O140*P142*Q141*R140*S140+O140*P142*Q141*R141*S139+O140*P142*Q142*R139*S140+O140*P142*Q142*R140*S139+O141*P139*Q139*R142*S142+O141*P139*Q140*R141*S142+O141*P139*Q140*R142*S141+O141*P139*Q141*R140*S142+O141*P139*Q141*R141*S141+O141*P139*Q141*R142*S140+O141*P139*Q142*R139*S142+O141*P139*Q142*R140*S141+O141*P139*Q142*R141*S140+O141*P139*Q142*R142*S139+O141*P140*Q139*R141*S142+O141*P140*Q139*R142*S141+O141*P140*Q140*R140*S142+O141*P140*Q140*R141*S141+O141*P140*Q140*R142*S140+O141*P140*Q141*R139*S142+O141*P140*Q141*R140*S141+O141*P140*Q141*R141*S140+O141*P140*Q141*R142*S139+O141*P140*Q142*R139*S141+O141*P140*Q142*R140*S140+O141*P140*Q142*R141*S139+O141*P141*Q139*R140*S142+O141*P141*Q139*R141*S141+O141*P141*Q139*R142*S140+O141*P141*Q140*R139*S142+O141*P141*Q140*R140*S141+O141*P141*Q140*R141*S140+O141*P141*Q140*R142*S139+O141*P141*Q141*R139*S141+O141*P141*Q141*R140*S140+O141*P141*Q141*R141*S139+O141*P141*Q142*R139*S140+O141*P141*Q142*R140*S139+O141*P142*Q139*R139*S142+O141*P142*Q139*R140*S141+O141*P142*Q139*R141*S140+O141*P142*Q139*R142*S139+O141*P142*Q140*R139*S141+O141*P142*Q140*R140*S140+O141*P142*Q140*R141*S139+O141*P142*Q141*R139*S140+O141*P142*Q141*R140*S139+O141*P142*Q142*R139*S139+O142*P139*Q139*R141*S142+O142*P139*Q139*R142*S141+O142*P139*Q140*R140*S142+O142*P139*Q140*R141*S141+O142*P139*Q140*R142*S140+O142*P139*Q141*R139*S142+O142*P139*Q141*R140*S141+O142*P139*Q141*R141*S140+O142*P139*Q141*R142*S139+O142*P139*Q142*R139*S141+O142*P139*Q142*R140*S140+O142*P139*Q142*R141*S139+O142*P140*Q139*R140*S142+O142*P140*Q139*R141*S141+O142*P140*Q139*R142*S140+O142*P140*Q140*R139*S142+O142*P140*Q140*R140*S141+O142*P140*Q140*R141*S140+O142*P140*Q140*R142*S139+O142*P140*Q141*R139*S141+O142*P140*Q141*R140*S140+O142*P140*Q141*R141*S139+O142*P140*Q142*R139*S140+O142*P140*Q142*R140*S139+O142*P141*Q139*R139*S142+O142*P141*Q139*R140*S141+O142*P141*Q139*R141*S140+O142*P141*Q139*R142*S139+O142*P141*Q140*R139*S141+O142*P141*Q140*R140*S140+O142*P141*Q140*R141*S139+O142*P141*Q141*R139*S140+O142*P141*Q141*R140*S139+O142*P141*Q142*R139*S139+O142*P142*Q139*R139*S141+O142*P142*Q139*R140*S140+O142*P142*Q139*R141*S139+O142*P142*Q140*R139*S140+O142*P142*Q140*R140*S139+O142*P142*Q141*R139*S139</f>
        <v>676562633000000</v>
      </c>
      <c r="X145" s="21">
        <f>O139*P139*Q142*R142*S142+O139*P140*Q141*R142*S142+O139*P140*Q142*R141*S142+O139*P140*Q142*R142*S141+O139*P141*Q140*R142*S142+O139*P141*Q141*R141*S142+O139*P141*Q141*R142*S141+O139*P141*Q142*R140*S142+O139*P141*Q142*R141*S141+O139*P141*Q142*R142*S140+O139*P142*Q139*R142*S142+O139*P142*Q140*R141*S142+O139*P142*Q140*R142*S141+O139*P142*Q141*R140*S142+O139*P142*Q141*R141*S141+O139*P142*Q141*R142*S140+O139*P142*Q142*R139*S142+O139*P142*Q142*R140*S141+O139*P142*Q142*R141*S140+O139*P142*Q142*R142*S139+O140*P139*Q141*R142*S142+O140*P139*Q142*R141*S142+O140*P139*Q142*R142*S141+O140*P140*Q140*R142*S142+O140*P140*Q141*R141*S142+O140*P140*Q141*R142*S141+O140*P140*Q142*R140*S142+O140*P140*Q142*R141*S141+O140*P140*Q142*R142*S140+O140*P141*Q139*R142*S142+O140*P141*Q140*R141*S142+O140*P141*Q140*R142*S141+O140*P141*Q141*R140*S142+O140*P141*Q141*R141*S141+O140*P141*Q141*R142*S140+O140*P141*Q142*R139*S142+O140*P141*Q142*R140*S141+O140*P141*Q142*R141*S140+O140*P141*Q142*R142*S139+O140*P142*Q139*R141*S142+O140*P142*Q139*R142*S141+O140*P142*Q140*R140*S142+O140*P142*Q140*R141*S141+O140*P142*Q140*R142*S140+O140*P142*Q141*R139*S142+O140*P142*Q141*R140*S141+O140*P142*Q141*R141*S140+O140*P142*Q141*R142*S139+O140*P142*Q142*R139*S141+O140*P142*Q142*R140*S140+O140*P142*Q142*R141*S139+O141*P139*Q140*R142*S142+O141*P139*Q141*R141*S142+O141*P139*Q141*R142*S141+O141*P139*Q142*R140*S142+O141*P139*Q142*R141*S141+O141*P139*Q142*R142*S140+O141*P140*Q139*R142*S142+O141*P140*Q140*R141*S142+O141*P140*Q140*R142*S141+O141*P140*Q141*R140*S142+O141*P140*Q141*R141*S141+O141*P140*Q141*R142*S140+O141*P140*Q142*R139*S142+O141*P140*Q142*R140*S141+O141*P140*Q142*R141*S140+O141*P140*Q142*R142*S139+O141*P141*Q139*R141*S142+O141*P141*Q139*R142*S141+O141*P141*Q140*R140*S142+O141*P141*Q140*R141*S141+O141*P141*Q140*R142*S140+O141*P141*Q141*R139*S142+O141*P141*Q141*R140*S141+O141*P141*Q141*R141*S140+O141*P141*Q141*R142*S139+O141*P141*Q142*R139*S141+O141*P141*Q142*R140*S140+O141*P141*Q142*R141*S139+O141*P142*Q139*R140*S142+O141*P142*Q139*R141*S141+O141*P142*Q139*R142*S140+O141*P142*Q140*R139*S142+O141*P142*Q140*R140*S141+O141*P142*Q140*R141*S140+O141*P142*Q140*R142*S139+O141*P142*Q141*R139*S141+O141*P142*Q141*R140*S140+O141*P142*Q141*R141*S139+O141*P142*Q142*R139*S140+O141*P142*Q142*R140*S139+O142*P139*Q139*R142*S142+O142*P139*Q140*R141*S142+O142*P139*Q140*R142*S141+O142*P139*Q141*R140*S142+O142*P139*Q141*R141*S141+O142*P139*Q141*R142*S140+O142*P139*Q142*R139*S142+O142*P139*Q142*R140*S141+O142*P139*Q142*R141*S140+O142*P139*Q142*R142*S139+O142*P140*Q139*R141*S142+O142*P140*Q139*R142*S141+O142*P140*Q140*R140*S142+O142*P140*Q140*R141*S141+O142*P140*Q140*R142*S140+O142*P140*Q141*R139*S142+O142*P140*Q141*R140*S141+O142*P140*Q141*R141*S140+O142*P140*Q141*R142*S139+O142*P140*Q142*R139*S141+O142*P140*Q142*R140*S140+O142*P140*Q142*R141*S139+O142*P141*Q139*R140*S142+O142*P141*Q139*R141*S141+O142*P141*Q139*R142*S140+O142*P141*Q140*R139*S142+O142*P141*Q140*R140*S141+O142*P141*Q140*R141*S140+O142*P141*Q140*R142*S139+O142*P141*Q141*R139*S141+O142*P141*Q141*R140*S140+O142*P141*Q141*R141*S139+O142*P141*Q142*R139*S140+O142*P141*Q142*R140*S139+O142*P142*Q139*R139*S142+O142*P142*Q139*R140*S141+O142*P142*Q139*R141*S140+O142*P142*Q139*R142*S139+O142*P142*Q140*R139*S141+O142*P142*Q140*R140*S140+O142*P142*Q140*R141*S139+O142*P142*Q141*R139*S140+O142*P142*Q141*R140*S139+O142*P142*Q142*R139*S139</f>
        <v>89264231250000</v>
      </c>
      <c r="Y145" s="21">
        <f>O139*P140*Q142*R142*S142+O139*P141*Q141*R142*S142+O139*P141*Q142*R141*S142+O139*P141*Q142*R142*S141+O139*P142*Q140*R142*S142+O139*P142*Q141*R141*S142+O139*P142*Q141*R142*S141+O139*P142*Q142*R140*S142+O139*P142*Q142*R141*S141+O139*P142*Q142*R142*S140+O140*P139*Q142*R142*S142+O140*P140*Q141*R142*S142+O140*P140*Q142*R141*S142+O140*P140*Q142*R142*S141+O140*P141*Q140*R142*S142+O140*P141*Q141*R141*S142+O140*P141*Q141*R142*S141+O140*P141*Q142*R140*S142+O140*P141*Q142*R141*S141+O140*P141*Q142*R142*S140+O140*P142*Q139*R142*S142+O140*P142*Q140*R141*S142+O140*P142*Q140*R142*S141+O140*P142*Q141*R140*S142+O140*P142*Q141*R141*S141+O140*P142*Q141*R142*S140+O140*P142*Q142*R139*S142+O140*P142*Q142*R140*S141+O140*P142*Q142*R141*S140+O140*P142*Q142*R142*S139+O141*P139*Q141*R142*S142+O141*P139*Q142*R141*S142+O141*P139*Q142*R142*S141+O141*P140*Q140*R142*S142+O141*P140*Q141*R141*S142+O141*P140*Q141*R142*S141+O141*P140*Q142*R140*S142+O141*P140*Q142*R141*S141+O141*P140*Q142*R142*S140+O141*P141*Q139*R142*S142+O141*P141*Q140*R141*S142+O141*P141*Q140*R142*S141+O141*P141*Q141*R140*S142+O141*P141*Q141*R141*S141+O141*P141*Q141*R142*S140+O141*P141*Q142*R139*S142+O141*P141*Q142*R140*S141+O141*P141*Q142*R141*S140+O141*P141*Q142*R142*S139+O141*P142*Q139*R141*S142+O141*P142*Q139*R142*S141+O141*P142*Q140*R140*S142+O141*P142*Q140*R141*S141+O141*P142*Q140*R142*S140+O141*P142*Q141*R139*S142+O141*P142*Q141*R140*S141+O141*P142*Q141*R141*S140+O141*P142*Q141*R142*S139+O141*P142*Q142*R139*S141+O141*P142*Q142*R140*S140+O141*P142*Q142*R141*S139+O142*P139*Q140*R142*S142+O142*P139*Q141*R141*S142+O142*P139*Q141*R142*S141+O142*P139*Q142*R140*S142+O142*P139*Q142*R141*S141+O142*P139*Q142*R142*S140+O142*P140*Q139*R142*S142+O142*P140*Q140*R141*S142+O142*P140*Q140*R142*S141+O142*P140*Q141*R140*S142+O142*P140*Q141*R141*S141+O142*P140*Q141*R142*S140+O142*P140*Q142*R139*S142+O142*P140*Q142*R140*S141+O142*P140*Q142*R141*S140+O142*P140*Q142*R142*S139+O142*P141*Q139*R141*S142+O142*P141*Q139*R142*S141+O142*P141*Q140*R140*S142+O142*P141*Q140*R141*S141+O142*P141*Q140*R142*S140+O142*P141*Q141*R139*S142+O142*P141*Q141*R140*S141+O142*P141*Q141*R141*S140+O142*P141*Q141*R142*S139+O142*P141*Q142*R139*S141+O142*P141*Q142*R140*S140+O142*P141*Q142*R141*S139+O142*P142*Q139*R140*S142+O142*P142*Q139*R141*S141+O142*P142*Q139*R142*S140+O142*P142*Q140*R139*S142+O142*P142*Q140*R140*S141+O142*P142*Q140*R141*S140+O142*P142*Q140*R142*S139+O142*P142*Q141*R139*S141+O142*P142*Q141*R140*S140+O142*P142*Q141*R141*S139+O142*P142*Q142*R139*S140+O142*P142*Q142*R140*S139</f>
        <v>9613109300000</v>
      </c>
      <c r="Z145" s="21">
        <f>O139*P141*Q142*R142*S142+O139*P142*Q141*R142*S142+O139*P142*Q142*R141*S142+O139*P142*Q142*R142*S141+O140*P140*Q142*R142*S142+O140*P141*Q141*R142*S142+O140*P141*Q142*R141*S142+O140*P141*Q142*R142*S141+O140*P142*Q140*R142*S142+O140*P142*Q141*R141*S142+O140*P142*Q141*R142*S141+O140*P142*Q142*R140*S142+O140*P142*Q142*R141*S141+O140*P142*Q142*R142*S140+O141*P139*Q142*R142*S142+O141*P140*Q141*R142*S142+O141*P140*Q142*R141*S142+O141*P140*Q142*R142*S141+O141*P141*Q140*R142*S142+O141*P141*Q141*R141*S142+O141*P141*Q141*R142*S141+O141*P141*Q142*R140*S142+O141*P141*Q142*R141*S141+O141*P141*Q142*R142*S140+O141*P142*Q139*R142*S142+O141*P142*Q140*R141*S142+O141*P142*Q140*R142*S141+O141*P142*Q141*R140*S142+O141*P142*Q141*R141*S141+O141*P142*Q141*R142*S140+O141*P142*Q142*R139*S142+O141*P142*Q142*R140*S141+O141*P142*Q142*R141*S140+O141*P142*Q142*R142*S139+O142*P139*Q141*R142*S142+O142*P139*Q142*R141*S142+O142*P139*Q142*R142*S141+O142*P140*Q140*R142*S142+O142*P140*Q141*R141*S142+O142*P140*Q141*R142*S141+O142*P140*Q142*R140*S142+O142*P140*Q142*R141*S141+O142*P140*Q142*R142*S140+O142*P141*Q139*R142*S142+O142*P141*Q140*R141*S142+O142*P141*Q140*R142*S141+O142*P141*Q141*R140*S142+O142*P141*Q141*R141*S141+O142*P141*Q141*R142*S140+O142*P141*Q142*R139*S142+O142*P141*Q142*R140*S141+O142*P141*Q142*R141*S140+O142*P141*Q142*R142*S139+O142*P142*Q139*R141*S142+O142*P142*Q139*R142*S141+O142*P142*Q140*R140*S142+O142*P142*Q140*R141*S141+O142*P142*Q140*R142*S140+O142*P142*Q141*R139*S142+O142*P142*Q141*R140*S141+O142*P142*Q141*R141*S140+O142*P142*Q141*R142*S139+O142*P142*Q142*R139*S141+O142*P142*Q142*R140*S140+O142*P142*Q142*R141*S139</f>
        <v>825448575000</v>
      </c>
      <c r="AA145" s="21">
        <f>O139*P142*Q142*R142*S142+O140*P141*Q142*R142*S142+O140*P142*Q141*R142*S142+O140*P142*Q142*R141*S142+O140*P142*Q142*R142*S141+O141*P140*Q142*R142*S142+O141*P141*Q141*R142*S142+O141*P141*Q142*R141*S142+O141*P141*Q142*R142*S141+O141*P142*Q140*R142*S142+O141*P142*Q141*R141*S142+O141*P142*Q141*R142*S141+O141*P142*Q142*R140*S142+O141*P142*Q142*R141*S141+O141*P142*Q142*R142*S140+O142*P139*Q142*R142*S142+O142*P140*Q141*R142*S142+O142*P140*Q142*R141*S142+O142*P140*Q142*R142*S141+O142*P141*Q140*R142*S142+O142*P141*Q141*R141*S142+O142*P141*Q141*R142*S141+O142*P141*Q142*R140*S142+O142*P141*Q142*R141*S141+O142*P141*Q142*R142*S140+O142*P142*Q139*R142*S142+O142*P142*Q140*R141*S142+O142*P142*Q140*R142*S141+O142*P142*Q141*R140*S142+O142*P142*Q141*R141*S141+O142*P142*Q141*R142*S140+O142*P142*Q142*R139*S142+O142*P142*Q142*R140*S141+O142*P142*Q142*R141*S140+O142*P142*Q142*R142*S139</f>
        <v>53646075000</v>
      </c>
      <c r="AB145" s="21">
        <f>O140*P142*Q142*R142*S142+O141*P141*Q142*R142*S142+O141*P142*Q141*R142*S142+O141*P142*Q142*R141*S142+O141*P142*Q142*R142*S141+O142*P140*Q142*R142*S142+O142*P141*Q141*R142*S142+O142*P141*Q142*R141*S142+O142*P141*Q142*R142*S141+O142*P142*Q140*R142*S142+O142*P142*Q141*R141*S142+O142*P142*Q141*R142*S141+O142*P142*Q142*R140*S142+O142*P142*Q142*R141*S141+O142*P142*Q142*R142*S140</f>
        <v>2404012500</v>
      </c>
      <c r="AC145" s="21">
        <f>O141*P142*Q142*R142*S142+O142*P141*Q142*R142*S142+O142*P142*Q141*R142*S142+O142*P142*Q142*R141*S142+O142*P142*Q142*R142*S141</f>
        <v>64293750</v>
      </c>
      <c r="AD145" s="20">
        <f>O142*P142*Q142*R142*S142</f>
        <v>759375</v>
      </c>
      <c r="AE145" s="1">
        <f>SUM(P145:AD145)</f>
        <v>8.2784521323222651E+18</v>
      </c>
      <c r="BB145" s="59" t="str">
        <f>IFERROR($BC$3&amp;VLOOKUP(B147,'Pay Table'!$M$3:$N$18,2,FALSE)&amp;$BB$3&amp;C147&amp;$BD$3,"")</f>
        <v/>
      </c>
      <c r="BC145" s="49" t="str">
        <f>IFERROR($BC$3&amp;VLOOKUP(D147,'Pay Table'!$M$3:$N$18,2,FALSE)&amp;$BB$3&amp;E147&amp;$BD$3,"")</f>
        <v/>
      </c>
      <c r="BD145" s="49" t="str">
        <f>IFERROR($BC$3&amp;VLOOKUP(F147,'Pay Table'!$M$3:$N$18,2,FALSE)&amp;$BB$3&amp;G147&amp;$BD$3,"")</f>
        <v/>
      </c>
      <c r="BE145" s="49" t="str">
        <f>IFERROR($BC$3&amp;VLOOKUP(H147,'Pay Table'!$M$3:$N$18,2,FALSE)&amp;$BB$3&amp;I147&amp;$BD$3,"")</f>
        <v/>
      </c>
      <c r="BF145" s="60" t="str">
        <f>IFERROR($BC$3&amp;VLOOKUP(J147,'Pay Table'!$M$3:$N$18,2,FALSE)&amp;$BB$3&amp;K147&amp;$BD$3,"")</f>
        <v/>
      </c>
    </row>
    <row r="146" spans="1:58" ht="17.100000000000001" customHeight="1" x14ac:dyDescent="0.15">
      <c r="A146" s="14">
        <v>141</v>
      </c>
      <c r="N146" s="2" t="s">
        <v>36</v>
      </c>
      <c r="P146" s="1">
        <f t="shared" ref="P146:AD146" si="82">P145/$O$23</f>
        <v>0.3129040657006914</v>
      </c>
      <c r="Q146" s="1">
        <f t="shared" si="82"/>
        <v>0.19103468747864299</v>
      </c>
      <c r="R146" s="1">
        <f t="shared" si="82"/>
        <v>8.0003512985070011E-2</v>
      </c>
      <c r="S146" s="1">
        <f t="shared" si="82"/>
        <v>2.7188221531000648E-2</v>
      </c>
      <c r="T146" s="1">
        <f t="shared" si="82"/>
        <v>7.4037704062828611E-3</v>
      </c>
      <c r="U146" s="1">
        <f t="shared" si="82"/>
        <v>1.6855459566570356E-3</v>
      </c>
      <c r="V146" s="1">
        <f t="shared" si="82"/>
        <v>3.1954632513842278E-4</v>
      </c>
      <c r="W146" s="1">
        <f t="shared" si="82"/>
        <v>5.0718794305589609E-5</v>
      </c>
      <c r="X146" s="1">
        <f t="shared" si="82"/>
        <v>6.6917295794775797E-6</v>
      </c>
      <c r="Y146" s="1">
        <f t="shared" si="82"/>
        <v>7.2065066771704263E-7</v>
      </c>
      <c r="Z146" s="1">
        <f t="shared" si="82"/>
        <v>6.1880089799856058E-8</v>
      </c>
      <c r="AA146" s="1">
        <f t="shared" si="82"/>
        <v>4.0215999384453632E-9</v>
      </c>
      <c r="AB146" s="1">
        <f t="shared" si="82"/>
        <v>1.802177796236143E-10</v>
      </c>
      <c r="AC146" s="1">
        <f t="shared" si="82"/>
        <v>4.8198072467076405E-12</v>
      </c>
      <c r="AD146" s="5">
        <f t="shared" si="82"/>
        <v>5.692685724457843E-14</v>
      </c>
      <c r="AE146" s="1">
        <f>SUM(P146:AD146)</f>
        <v>0.62059754764482045</v>
      </c>
      <c r="BB146" s="59" t="str">
        <f>IFERROR($BC$3&amp;VLOOKUP(B148,'Pay Table'!$M$3:$N$18,2,FALSE)&amp;$BB$3&amp;C148&amp;$BD$3,"")</f>
        <v/>
      </c>
      <c r="BC146" s="49" t="str">
        <f>IFERROR($BC$3&amp;VLOOKUP(D148,'Pay Table'!$M$3:$N$18,2,FALSE)&amp;$BB$3&amp;E148&amp;$BD$3,"")</f>
        <v/>
      </c>
      <c r="BD146" s="49" t="str">
        <f>IFERROR($BC$3&amp;VLOOKUP(F148,'Pay Table'!$M$3:$N$18,2,FALSE)&amp;$BB$3&amp;G148&amp;$BD$3,"")</f>
        <v/>
      </c>
      <c r="BE146" s="49" t="str">
        <f>IFERROR($BC$3&amp;VLOOKUP(H148,'Pay Table'!$M$3:$N$18,2,FALSE)&amp;$BB$3&amp;I148&amp;$BD$3,"")</f>
        <v/>
      </c>
      <c r="BF146" s="60" t="str">
        <f>IFERROR($BC$3&amp;VLOOKUP(J148,'Pay Table'!$M$3:$N$18,2,FALSE)&amp;$BB$3&amp;K148&amp;$BD$3,"")</f>
        <v/>
      </c>
    </row>
    <row r="147" spans="1:58" ht="17.100000000000001" customHeight="1" x14ac:dyDescent="0.15">
      <c r="A147" s="14">
        <v>142</v>
      </c>
      <c r="N147" s="2" t="s">
        <v>222</v>
      </c>
      <c r="R147" s="1">
        <f>R146*Respin!P74*Respin!P74*Respin!P74</f>
        <v>6.4002810388056025E-4</v>
      </c>
      <c r="S147" s="1">
        <f>S146*Respin!P74*Respin!P74*(1-Respin!P74)*(1-Respin!P74)*COMBIN(4,2)+
S146*Respin!P74*Respin!P74*Respin!P74*(1-Respin!P74)*COMBIN(4,3)+
S146*Respin!P74*Respin!P74*Respin!P74*Respin!P74</f>
        <v>4.9156304528049184E-3</v>
      </c>
      <c r="T147" s="1">
        <f>T146*Respin!P74*(1-Respin!P74)*(1-Respin!P74)*(1-Respin!P74)*(1-Respin!P74)*COMBIN(5,1)+
T146*Respin!P74*Respin!P74*(1-Respin!P74)*(1-Respin!P74)*(1-Respin!P74)*COMBIN(5,2)+
T146*Respin!P74*Respin!P74*Respin!P74*(1-Respin!P74)*(1-Respin!P74)*COMBIN(5,3)+
T146*Respin!P74*Respin!P74*Respin!P74*Respin!P74*(1-Respin!P74)*COMBIN(5,4)+
T146*Respin!P74*Respin!P74*Respin!P74*Respin!P74*Respin!P74</f>
        <v>4.9777029195520956E-3</v>
      </c>
      <c r="X147" s="225"/>
      <c r="Y147" s="225"/>
      <c r="AD147" s="5"/>
      <c r="BB147" s="59" t="str">
        <f>IFERROR($BC$3&amp;VLOOKUP(B149,'Pay Table'!$M$3:$N$18,2,FALSE)&amp;$BB$3&amp;C149&amp;$BD$3,"")</f>
        <v/>
      </c>
      <c r="BC147" s="49" t="str">
        <f>IFERROR($BC$3&amp;VLOOKUP(D149,'Pay Table'!$M$3:$N$18,2,FALSE)&amp;$BB$3&amp;E149&amp;$BD$3,"")</f>
        <v/>
      </c>
      <c r="BD147" s="49" t="str">
        <f>IFERROR($BC$3&amp;VLOOKUP(F149,'Pay Table'!$M$3:$N$18,2,FALSE)&amp;$BB$3&amp;G149&amp;$BD$3,"")</f>
        <v/>
      </c>
      <c r="BE147" s="49" t="str">
        <f>IFERROR($BC$3&amp;VLOOKUP(H149,'Pay Table'!$M$3:$N$18,2,FALSE)&amp;$BB$3&amp;I149&amp;$BD$3,"")</f>
        <v/>
      </c>
      <c r="BF147" s="60" t="str">
        <f>IFERROR($BC$3&amp;VLOOKUP(J149,'Pay Table'!$M$3:$N$18,2,FALSE)&amp;$BB$3&amp;K149&amp;$BD$3,"")</f>
        <v/>
      </c>
    </row>
    <row r="148" spans="1:58" ht="17.100000000000001" customHeight="1" x14ac:dyDescent="0.15">
      <c r="A148" s="14">
        <v>143</v>
      </c>
      <c r="N148" s="8" t="s">
        <v>278</v>
      </c>
      <c r="O148" s="15">
        <v>0</v>
      </c>
      <c r="P148" s="246">
        <v>5.0000000000000001E-4</v>
      </c>
      <c r="Q148" s="246">
        <v>5.4999999999999997E-3</v>
      </c>
      <c r="R148" s="246">
        <v>1.9E-2</v>
      </c>
      <c r="S148" s="246">
        <v>0.03</v>
      </c>
      <c r="T148" s="246">
        <v>7.0000000000000007E-2</v>
      </c>
      <c r="U148" s="15">
        <v>1</v>
      </c>
      <c r="V148" s="15">
        <v>1</v>
      </c>
      <c r="W148" s="15">
        <v>1</v>
      </c>
      <c r="X148" s="15">
        <v>1</v>
      </c>
      <c r="Y148" s="15">
        <v>1</v>
      </c>
      <c r="Z148" s="15"/>
      <c r="AA148" s="15">
        <v>1</v>
      </c>
      <c r="AB148" s="15">
        <v>1</v>
      </c>
      <c r="AC148" s="15">
        <v>1</v>
      </c>
      <c r="AD148" s="16">
        <v>1</v>
      </c>
      <c r="BB148" s="59" t="str">
        <f>IFERROR($BC$3&amp;VLOOKUP(B150,'Pay Table'!$M$3:$N$18,2,FALSE)&amp;$BB$3&amp;C150&amp;$BD$3,"")</f>
        <v/>
      </c>
      <c r="BC148" s="49" t="str">
        <f>IFERROR($BC$3&amp;VLOOKUP(D150,'Pay Table'!$M$3:$N$18,2,FALSE)&amp;$BB$3&amp;E150&amp;$BD$3,"")</f>
        <v/>
      </c>
      <c r="BD148" s="49" t="str">
        <f>IFERROR($BC$3&amp;VLOOKUP(F150,'Pay Table'!$M$3:$N$18,2,FALSE)&amp;$BB$3&amp;G150&amp;$BD$3,"")</f>
        <v/>
      </c>
      <c r="BE148" s="49" t="str">
        <f>IFERROR($BC$3&amp;VLOOKUP(H150,'Pay Table'!$M$3:$N$18,2,FALSE)&amp;$BB$3&amp;I150&amp;$BD$3,"")</f>
        <v/>
      </c>
      <c r="BF148" s="60" t="str">
        <f>IFERROR($BC$3&amp;VLOOKUP(J150,'Pay Table'!$M$3:$N$18,2,FALSE)&amp;$BB$3&amp;K150&amp;$BD$3,"")</f>
        <v/>
      </c>
    </row>
    <row r="149" spans="1:58" ht="17.100000000000001" customHeight="1" x14ac:dyDescent="0.15">
      <c r="A149" s="14">
        <v>144</v>
      </c>
      <c r="BB149" s="59" t="str">
        <f>IFERROR($BC$3&amp;VLOOKUP(B151,'Pay Table'!$M$3:$N$18,2,FALSE)&amp;$BB$3&amp;C151&amp;$BD$3,"")</f>
        <v/>
      </c>
      <c r="BC149" s="49" t="str">
        <f>IFERROR($BC$3&amp;VLOOKUP(D151,'Pay Table'!$M$3:$N$18,2,FALSE)&amp;$BB$3&amp;E151&amp;$BD$3,"")</f>
        <v/>
      </c>
      <c r="BD149" s="49" t="str">
        <f>IFERROR($BC$3&amp;VLOOKUP(F151,'Pay Table'!$M$3:$N$18,2,FALSE)&amp;$BB$3&amp;G151&amp;$BD$3,"")</f>
        <v/>
      </c>
      <c r="BE149" s="49" t="str">
        <f>IFERROR($BC$3&amp;VLOOKUP(H151,'Pay Table'!$M$3:$N$18,2,FALSE)&amp;$BB$3&amp;I151&amp;$BD$3,"")</f>
        <v/>
      </c>
      <c r="BF149" s="60" t="str">
        <f>IFERROR($BC$3&amp;VLOOKUP(J151,'Pay Table'!$M$3:$N$18,2,FALSE)&amp;$BB$3&amp;K151&amp;$BD$3,"")</f>
        <v/>
      </c>
    </row>
    <row r="150" spans="1:58" ht="17.100000000000001" customHeight="1" x14ac:dyDescent="0.15">
      <c r="A150" s="14">
        <v>145</v>
      </c>
      <c r="N150" s="6" t="s">
        <v>279</v>
      </c>
      <c r="O150" s="6">
        <v>0</v>
      </c>
      <c r="P150" s="18">
        <v>1</v>
      </c>
      <c r="Q150" s="18">
        <v>2</v>
      </c>
      <c r="R150" s="18">
        <v>3</v>
      </c>
      <c r="S150" s="18">
        <v>4</v>
      </c>
      <c r="T150" s="18">
        <v>5</v>
      </c>
      <c r="U150" s="18">
        <v>6</v>
      </c>
      <c r="V150" s="18">
        <v>7</v>
      </c>
      <c r="W150" s="18">
        <v>8</v>
      </c>
      <c r="X150" s="18">
        <v>9</v>
      </c>
      <c r="Y150" s="36">
        <v>10</v>
      </c>
      <c r="BB150" s="59" t="str">
        <f>IFERROR($BC$3&amp;VLOOKUP(B152,'Pay Table'!$M$3:$N$18,2,FALSE)&amp;$BB$3&amp;C152&amp;$BD$3,"")</f>
        <v/>
      </c>
      <c r="BC150" s="49" t="str">
        <f>IFERROR($BC$3&amp;VLOOKUP(D152,'Pay Table'!$M$3:$N$18,2,FALSE)&amp;$BB$3&amp;E152&amp;$BD$3,"")</f>
        <v/>
      </c>
      <c r="BD150" s="49" t="str">
        <f>IFERROR($BC$3&amp;VLOOKUP(F152,'Pay Table'!$M$3:$N$18,2,FALSE)&amp;$BB$3&amp;G152&amp;$BD$3,"")</f>
        <v/>
      </c>
      <c r="BE150" s="49" t="str">
        <f>IFERROR($BC$3&amp;VLOOKUP(H152,'Pay Table'!$M$3:$N$18,2,FALSE)&amp;$BB$3&amp;I152&amp;$BD$3,"")</f>
        <v/>
      </c>
      <c r="BF150" s="60" t="str">
        <f>IFERROR($BC$3&amp;VLOOKUP(J152,'Pay Table'!$M$3:$N$18,2,FALSE)&amp;$BB$3&amp;K152&amp;$BD$3,"")</f>
        <v/>
      </c>
    </row>
    <row r="151" spans="1:58" ht="17.100000000000001" customHeight="1" x14ac:dyDescent="0.15">
      <c r="A151" s="14">
        <v>146</v>
      </c>
      <c r="N151" s="4">
        <v>1</v>
      </c>
      <c r="P151" s="21">
        <f>P146*(1-Respin!P74)</f>
        <v>0.25032325256055316</v>
      </c>
      <c r="Q151" s="21">
        <f>P146*Respin!P74</f>
        <v>6.2580813140138289E-2</v>
      </c>
      <c r="R151" s="21"/>
      <c r="S151" s="21"/>
      <c r="T151" s="21"/>
      <c r="U151" s="21"/>
      <c r="V151" s="21"/>
      <c r="W151" s="21"/>
      <c r="X151" s="21"/>
      <c r="Y151" s="20"/>
      <c r="BB151" s="59" t="str">
        <f>IFERROR($BC$3&amp;VLOOKUP(B153,'Pay Table'!$M$3:$N$18,2,FALSE)&amp;$BB$3&amp;C153&amp;$BD$3,"")</f>
        <v/>
      </c>
      <c r="BC151" s="49" t="str">
        <f>IFERROR($BC$3&amp;VLOOKUP(D153,'Pay Table'!$M$3:$N$18,2,FALSE)&amp;$BB$3&amp;E153&amp;$BD$3,"")</f>
        <v/>
      </c>
      <c r="BD151" s="49" t="str">
        <f>IFERROR($BC$3&amp;VLOOKUP(F153,'Pay Table'!$M$3:$N$18,2,FALSE)&amp;$BB$3&amp;G153&amp;$BD$3,"")</f>
        <v/>
      </c>
      <c r="BE151" s="49" t="str">
        <f>IFERROR($BC$3&amp;VLOOKUP(H153,'Pay Table'!$M$3:$N$18,2,FALSE)&amp;$BB$3&amp;I153&amp;$BD$3,"")</f>
        <v/>
      </c>
      <c r="BF151" s="60" t="str">
        <f>IFERROR($BC$3&amp;VLOOKUP(J153,'Pay Table'!$M$3:$N$18,2,FALSE)&amp;$BB$3&amp;K153&amp;$BD$3,"")</f>
        <v/>
      </c>
    </row>
    <row r="152" spans="1:58" ht="17.100000000000001" customHeight="1" x14ac:dyDescent="0.15">
      <c r="A152" s="14">
        <v>147</v>
      </c>
      <c r="N152" s="4">
        <v>2</v>
      </c>
      <c r="Q152" s="1">
        <f>Q146*(1-Respin!P74)*(1-Respin!P74)</f>
        <v>0.12226219998633153</v>
      </c>
      <c r="R152" s="1">
        <f>Q146*Respin!P74*(1-Respin!P74)*COMBIN(2,1)</f>
        <v>6.1131099993165766E-2</v>
      </c>
      <c r="S152" s="1">
        <f>Q146*Respin!P74*Respin!P74</f>
        <v>7.6413874991457208E-3</v>
      </c>
      <c r="Y152" s="5"/>
      <c r="BB152" s="59" t="str">
        <f>IFERROR($BC$3&amp;VLOOKUP(B154,'Pay Table'!$M$3:$N$18,2,FALSE)&amp;$BB$3&amp;C154&amp;$BD$3,"")</f>
        <v/>
      </c>
      <c r="BC152" s="49" t="str">
        <f>IFERROR($BC$3&amp;VLOOKUP(D154,'Pay Table'!$M$3:$N$18,2,FALSE)&amp;$BB$3&amp;E154&amp;$BD$3,"")</f>
        <v/>
      </c>
      <c r="BD152" s="49" t="str">
        <f>IFERROR($BC$3&amp;VLOOKUP(F154,'Pay Table'!$M$3:$N$18,2,FALSE)&amp;$BB$3&amp;G154&amp;$BD$3,"")</f>
        <v/>
      </c>
      <c r="BE152" s="49" t="str">
        <f>IFERROR($BC$3&amp;VLOOKUP(H154,'Pay Table'!$M$3:$N$18,2,FALSE)&amp;$BB$3&amp;I154&amp;$BD$3,"")</f>
        <v/>
      </c>
      <c r="BF152" s="60" t="str">
        <f>IFERROR($BC$3&amp;VLOOKUP(J154,'Pay Table'!$M$3:$N$18,2,FALSE)&amp;$BB$3&amp;K154&amp;$BD$3,"")</f>
        <v/>
      </c>
    </row>
    <row r="153" spans="1:58" ht="17.100000000000001" customHeight="1" x14ac:dyDescent="0.15">
      <c r="A153" s="14">
        <v>148</v>
      </c>
      <c r="N153" s="4">
        <v>3</v>
      </c>
      <c r="R153" s="1">
        <f>R146*(1-Respin!P74)*(1-Respin!P74)*(1-Respin!P74)</f>
        <v>4.0961798648355856E-2</v>
      </c>
      <c r="S153" s="1">
        <f>R146*Respin!P74*(1-Respin!P74)*(1-Respin!P74)*COMBIN(3,1)</f>
        <v>3.072134898626689E-2</v>
      </c>
      <c r="T153" s="1">
        <f>R146*Respin!P74*Respin!P74*(1-Respin!P74)*COMBIN(3,2)</f>
        <v>7.6803372465667225E-3</v>
      </c>
      <c r="U153" s="1">
        <f>R146*Respin!P74*Respin!P74*Respin!P74</f>
        <v>6.4002810388056025E-4</v>
      </c>
      <c r="Y153" s="5"/>
      <c r="BB153" s="59" t="str">
        <f>IFERROR($BC$3&amp;VLOOKUP(B155,'Pay Table'!$M$3:$N$18,2,FALSE)&amp;$BB$3&amp;C155&amp;$BD$3,"")</f>
        <v/>
      </c>
      <c r="BC153" s="49" t="str">
        <f>IFERROR($BC$3&amp;VLOOKUP(D155,'Pay Table'!$M$3:$N$18,2,FALSE)&amp;$BB$3&amp;E155&amp;$BD$3,"")</f>
        <v/>
      </c>
      <c r="BD153" s="49" t="str">
        <f>IFERROR($BC$3&amp;VLOOKUP(F155,'Pay Table'!$M$3:$N$18,2,FALSE)&amp;$BB$3&amp;G155&amp;$BD$3,"")</f>
        <v/>
      </c>
      <c r="BE153" s="49" t="str">
        <f>IFERROR($BC$3&amp;VLOOKUP(H155,'Pay Table'!$M$3:$N$18,2,FALSE)&amp;$BB$3&amp;I155&amp;$BD$3,"")</f>
        <v/>
      </c>
      <c r="BF153" s="60" t="str">
        <f>IFERROR($BC$3&amp;VLOOKUP(J155,'Pay Table'!$M$3:$N$18,2,FALSE)&amp;$BB$3&amp;K155&amp;$BD$3,"")</f>
        <v/>
      </c>
    </row>
    <row r="154" spans="1:58" ht="17.100000000000001" customHeight="1" x14ac:dyDescent="0.15">
      <c r="A154" s="14">
        <v>149</v>
      </c>
      <c r="N154" s="4">
        <v>4</v>
      </c>
      <c r="S154" s="1">
        <f>S146*(1-Respin!P74)*(1-Respin!P74)*(1-Respin!P74)*(1-Respin!P74)</f>
        <v>1.1136295539097868E-2</v>
      </c>
      <c r="T154" s="1">
        <f>S146*(1-Respin!P74)*(1-Respin!P74)*(1-Respin!P74)*Respin!P74*COMBIN(4,1)</f>
        <v>1.1136295539097868E-2</v>
      </c>
      <c r="U154" s="1">
        <f>S146*Respin!P74*Respin!P74*(1-Respin!P74)*(1-Respin!P74)*COMBIN(4,2)</f>
        <v>4.1761108271617005E-3</v>
      </c>
      <c r="V154" s="1">
        <f>S146*Respin!P74*Respin!P74*Respin!P74*(1-Respin!P74)*COMBIN(4,3)</f>
        <v>6.9601847119361675E-4</v>
      </c>
      <c r="W154" s="40">
        <f>S146*Respin!P74*Respin!P74*Respin!P74*Respin!P74</f>
        <v>4.3501154449601047E-5</v>
      </c>
      <c r="Y154" s="5"/>
      <c r="BB154" s="59" t="str">
        <f>IFERROR($BC$3&amp;VLOOKUP(B156,'Pay Table'!$M$3:$N$18,2,FALSE)&amp;$BB$3&amp;C156&amp;$BD$3,"")</f>
        <v/>
      </c>
      <c r="BC154" s="49" t="str">
        <f>IFERROR($BC$3&amp;VLOOKUP(D156,'Pay Table'!$M$3:$N$18,2,FALSE)&amp;$BB$3&amp;E156&amp;$BD$3,"")</f>
        <v/>
      </c>
      <c r="BD154" s="49" t="str">
        <f>IFERROR($BC$3&amp;VLOOKUP(F156,'Pay Table'!$M$3:$N$18,2,FALSE)&amp;$BB$3&amp;G156&amp;$BD$3,"")</f>
        <v/>
      </c>
      <c r="BE154" s="49" t="str">
        <f>IFERROR($BC$3&amp;VLOOKUP(H156,'Pay Table'!$M$3:$N$18,2,FALSE)&amp;$BB$3&amp;I156&amp;$BD$3,"")</f>
        <v/>
      </c>
      <c r="BF154" s="60" t="str">
        <f>IFERROR($BC$3&amp;VLOOKUP(J156,'Pay Table'!$M$3:$N$18,2,FALSE)&amp;$BB$3&amp;K156&amp;$BD$3,"")</f>
        <v/>
      </c>
    </row>
    <row r="155" spans="1:58" ht="17.100000000000001" customHeight="1" x14ac:dyDescent="0.15">
      <c r="A155" s="14">
        <v>150</v>
      </c>
      <c r="N155" s="19">
        <v>5</v>
      </c>
      <c r="O155" s="15"/>
      <c r="P155" s="15"/>
      <c r="Q155" s="15"/>
      <c r="R155" s="15"/>
      <c r="S155" s="15"/>
      <c r="T155" s="15">
        <f>T146*(1-Respin!P74)*(1-Respin!P74)*(1-Respin!P74)*(1-Respin!P74)*(1-Respin!P74)</f>
        <v>2.426067486730769E-3</v>
      </c>
      <c r="U155" s="15">
        <f>T146*Respin!P74*(1-Respin!P74)*(1-Respin!P74)*(1-Respin!P74)*(1-Respin!P74)*COMBIN(5,1)</f>
        <v>3.0325843584134613E-3</v>
      </c>
      <c r="V155" s="15">
        <f>T146*Respin!P74*Respin!P74*(1-Respin!P74)*(1-Respin!P74)*(1-Respin!P74)*COMBIN(5,2)</f>
        <v>1.5162921792067306E-3</v>
      </c>
      <c r="W155" s="15">
        <f>T146*Respin!P74*Respin!P74*Respin!P74*(1-Respin!P74)*(1-Respin!P74)*COMBIN(5,3)</f>
        <v>3.7907304480168266E-4</v>
      </c>
      <c r="X155" s="15">
        <f>T146*Respin!P74*Respin!P74*Respin!P74*Respin!P74*(1-Respin!P74)*COMBIN(5,4)</f>
        <v>4.7384130600210333E-5</v>
      </c>
      <c r="Y155" s="16">
        <f>T146*Respin!P74*Respin!P74*Respin!P74*Respin!P74*Respin!P74</f>
        <v>2.3692065300105166E-6</v>
      </c>
      <c r="BB155" s="59" t="str">
        <f>IFERROR($BC$3&amp;VLOOKUP(B157,'Pay Table'!$M$3:$N$18,2,FALSE)&amp;$BB$3&amp;C157&amp;$BD$3,"")</f>
        <v/>
      </c>
      <c r="BC155" s="49" t="str">
        <f>IFERROR($BC$3&amp;VLOOKUP(D157,'Pay Table'!$M$3:$N$18,2,FALSE)&amp;$BB$3&amp;E157&amp;$BD$3,"")</f>
        <v/>
      </c>
      <c r="BD155" s="49" t="str">
        <f>IFERROR($BC$3&amp;VLOOKUP(F157,'Pay Table'!$M$3:$N$18,2,FALSE)&amp;$BB$3&amp;G157&amp;$BD$3,"")</f>
        <v/>
      </c>
      <c r="BE155" s="49" t="str">
        <f>IFERROR($BC$3&amp;VLOOKUP(H157,'Pay Table'!$M$3:$N$18,2,FALSE)&amp;$BB$3&amp;I157&amp;$BD$3,"")</f>
        <v/>
      </c>
      <c r="BF155" s="60" t="str">
        <f>IFERROR($BC$3&amp;VLOOKUP(J157,'Pay Table'!$M$3:$N$18,2,FALSE)&amp;$BB$3&amp;K157&amp;$BD$3,"")</f>
        <v/>
      </c>
    </row>
    <row r="156" spans="1:58" ht="17.100000000000001" customHeight="1" x14ac:dyDescent="0.15">
      <c r="A156" s="14">
        <v>151</v>
      </c>
      <c r="BB156" s="59" t="str">
        <f>IFERROR($BC$3&amp;VLOOKUP(B158,'Pay Table'!$M$3:$N$18,2,FALSE)&amp;$BB$3&amp;C158&amp;$BD$3,"")</f>
        <v/>
      </c>
      <c r="BC156" s="49" t="str">
        <f>IFERROR($BC$3&amp;VLOOKUP(D158,'Pay Table'!$M$3:$N$18,2,FALSE)&amp;$BB$3&amp;E158&amp;$BD$3,"")</f>
        <v/>
      </c>
      <c r="BD156" s="49" t="str">
        <f>IFERROR($BC$3&amp;VLOOKUP(F158,'Pay Table'!$M$3:$N$18,2,FALSE)&amp;$BB$3&amp;G158&amp;$BD$3,"")</f>
        <v/>
      </c>
      <c r="BE156" s="49" t="str">
        <f>IFERROR($BC$3&amp;VLOOKUP(H158,'Pay Table'!$M$3:$N$18,2,FALSE)&amp;$BB$3&amp;I158&amp;$BD$3,"")</f>
        <v/>
      </c>
      <c r="BF156" s="60" t="str">
        <f>IFERROR($BC$3&amp;VLOOKUP(J158,'Pay Table'!$M$3:$N$18,2,FALSE)&amp;$BB$3&amp;K158&amp;$BD$3,"")</f>
        <v/>
      </c>
    </row>
    <row r="157" spans="1:58" ht="17.100000000000001" customHeight="1" x14ac:dyDescent="0.15">
      <c r="A157" s="14">
        <v>152</v>
      </c>
      <c r="N157" s="6" t="s">
        <v>280</v>
      </c>
      <c r="O157" s="18">
        <f>P151*P148</f>
        <v>1.2516162628027657E-4</v>
      </c>
      <c r="P157" s="18">
        <f>SUM(Q151:Q152)*Q148</f>
        <v>1.0166365721955841E-3</v>
      </c>
      <c r="Q157" s="18">
        <f>SUM(R151:R155)*R148</f>
        <v>1.9397650741889109E-3</v>
      </c>
      <c r="R157" s="18">
        <f>SUM(S151:S155)*S148</f>
        <v>1.4849709607353142E-3</v>
      </c>
      <c r="S157" s="36">
        <f>SUM(T151:T155)*T148</f>
        <v>1.4869890190676754E-3</v>
      </c>
      <c r="T157" s="1">
        <f>SUM(O157:S157)</f>
        <v>6.0535232524677619E-3</v>
      </c>
      <c r="BB157" s="59" t="str">
        <f>IFERROR($BC$3&amp;VLOOKUP(B159,'Pay Table'!$M$3:$N$18,2,FALSE)&amp;$BB$3&amp;C159&amp;$BD$3,"")</f>
        <v/>
      </c>
      <c r="BC157" s="49" t="str">
        <f>IFERROR($BC$3&amp;VLOOKUP(D159,'Pay Table'!$M$3:$N$18,2,FALSE)&amp;$BB$3&amp;E159&amp;$BD$3,"")</f>
        <v/>
      </c>
      <c r="BD157" s="49" t="str">
        <f>IFERROR($BC$3&amp;VLOOKUP(F159,'Pay Table'!$M$3:$N$18,2,FALSE)&amp;$BB$3&amp;G159&amp;$BD$3,"")</f>
        <v/>
      </c>
      <c r="BE157" s="49" t="str">
        <f>IFERROR($BC$3&amp;VLOOKUP(H159,'Pay Table'!$M$3:$N$18,2,FALSE)&amp;$BB$3&amp;I159&amp;$BD$3,"")</f>
        <v/>
      </c>
      <c r="BF157" s="60" t="str">
        <f>IFERROR($BC$3&amp;VLOOKUP(J159,'Pay Table'!$M$3:$N$18,2,FALSE)&amp;$BB$3&amp;K159&amp;$BD$3,"")</f>
        <v/>
      </c>
    </row>
    <row r="158" spans="1:58" ht="17.100000000000001" customHeight="1" x14ac:dyDescent="0.15">
      <c r="A158" s="14">
        <v>153</v>
      </c>
      <c r="T158" s="1">
        <f>1/T157</f>
        <v>165.19305506794623</v>
      </c>
      <c r="BB158" s="59" t="str">
        <f>IFERROR($BC$3&amp;VLOOKUP(B160,'Pay Table'!$M$3:$N$18,2,FALSE)&amp;$BB$3&amp;C160&amp;$BD$3,"")</f>
        <v/>
      </c>
      <c r="BC158" s="49" t="str">
        <f>IFERROR($BC$3&amp;VLOOKUP(D160,'Pay Table'!$M$3:$N$18,2,FALSE)&amp;$BB$3&amp;E160&amp;$BD$3,"")</f>
        <v/>
      </c>
      <c r="BD158" s="49" t="str">
        <f>IFERROR($BC$3&amp;VLOOKUP(F160,'Pay Table'!$M$3:$N$18,2,FALSE)&amp;$BB$3&amp;G160&amp;$BD$3,"")</f>
        <v/>
      </c>
      <c r="BE158" s="49" t="str">
        <f>IFERROR($BC$3&amp;VLOOKUP(H160,'Pay Table'!$M$3:$N$18,2,FALSE)&amp;$BB$3&amp;I160&amp;$BD$3,"")</f>
        <v/>
      </c>
      <c r="BF158" s="60" t="str">
        <f>IFERROR($BC$3&amp;VLOOKUP(J160,'Pay Table'!$M$3:$N$18,2,FALSE)&amp;$BB$3&amp;K160&amp;$BD$3,"")</f>
        <v/>
      </c>
    </row>
    <row r="159" spans="1:58" ht="17.100000000000001" customHeight="1" x14ac:dyDescent="0.15">
      <c r="A159" s="14">
        <v>154</v>
      </c>
      <c r="N159" s="1" t="s">
        <v>38</v>
      </c>
      <c r="O159" s="9">
        <f>SUM(O106:W115)</f>
        <v>0</v>
      </c>
      <c r="P159" s="9"/>
      <c r="BB159" s="59" t="str">
        <f>IFERROR($BC$3&amp;VLOOKUP(B161,'Pay Table'!$M$3:$N$18,2,FALSE)&amp;$BB$3&amp;C161&amp;$BD$3,"")</f>
        <v/>
      </c>
      <c r="BC159" s="49" t="str">
        <f>IFERROR($BC$3&amp;VLOOKUP(D161,'Pay Table'!$M$3:$N$18,2,FALSE)&amp;$BB$3&amp;E161&amp;$BD$3,"")</f>
        <v/>
      </c>
      <c r="BD159" s="49" t="str">
        <f>IFERROR($BC$3&amp;VLOOKUP(F161,'Pay Table'!$M$3:$N$18,2,FALSE)&amp;$BB$3&amp;G161&amp;$BD$3,"")</f>
        <v/>
      </c>
      <c r="BE159" s="49" t="str">
        <f>IFERROR($BC$3&amp;VLOOKUP(H161,'Pay Table'!$M$3:$N$18,2,FALSE)&amp;$BB$3&amp;I161&amp;$BD$3,"")</f>
        <v/>
      </c>
      <c r="BF159" s="60" t="str">
        <f>IFERROR($BC$3&amp;VLOOKUP(J161,'Pay Table'!$M$3:$N$18,2,FALSE)&amp;$BB$3&amp;K161&amp;$BD$3,"")</f>
        <v/>
      </c>
    </row>
    <row r="160" spans="1:58" ht="17.100000000000001" customHeight="1" x14ac:dyDescent="0.15">
      <c r="A160" s="14">
        <v>155</v>
      </c>
      <c r="N160" s="1" t="s">
        <v>242</v>
      </c>
      <c r="O160" s="1">
        <v>0.31698209999999999</v>
      </c>
      <c r="Q160" s="1">
        <f>O133*'Pay Table'!D16/100</f>
        <v>7.8730602594015236E-4</v>
      </c>
      <c r="R160" s="1">
        <f>P133*'Pay Table'!E16/100</f>
        <v>5.248706839601016E-3</v>
      </c>
      <c r="S160" s="1">
        <f>Q133*'Pay Table'!F16/100</f>
        <v>6.2984482075212189E-3</v>
      </c>
      <c r="T160" s="1">
        <f>R133*'Pay Table'!G16/100</f>
        <v>3.9365301297007611E-3</v>
      </c>
      <c r="BB160" s="59" t="str">
        <f>IFERROR($BC$3&amp;VLOOKUP(B162,'Pay Table'!$M$3:$N$18,2,FALSE)&amp;$BB$3&amp;C162&amp;$BD$3,"")</f>
        <v/>
      </c>
      <c r="BC160" s="49" t="str">
        <f>IFERROR($BC$3&amp;VLOOKUP(D162,'Pay Table'!$M$3:$N$18,2,FALSE)&amp;$BB$3&amp;E162&amp;$BD$3,"")</f>
        <v/>
      </c>
      <c r="BD160" s="49" t="str">
        <f>IFERROR($BC$3&amp;VLOOKUP(F162,'Pay Table'!$M$3:$N$18,2,FALSE)&amp;$BB$3&amp;G162&amp;$BD$3,"")</f>
        <v/>
      </c>
      <c r="BE160" s="49" t="str">
        <f>IFERROR($BC$3&amp;VLOOKUP(H162,'Pay Table'!$M$3:$N$18,2,FALSE)&amp;$BB$3&amp;I162&amp;$BD$3,"")</f>
        <v/>
      </c>
      <c r="BF160" s="60" t="str">
        <f>IFERROR($BC$3&amp;VLOOKUP(J162,'Pay Table'!$M$3:$N$18,2,FALSE)&amp;$BB$3&amp;K162&amp;$BD$3,"")</f>
        <v/>
      </c>
    </row>
    <row r="161" spans="1:58" ht="17.100000000000001" customHeight="1" x14ac:dyDescent="0.15">
      <c r="A161" s="14">
        <v>156</v>
      </c>
      <c r="N161" s="1" t="s">
        <v>243</v>
      </c>
      <c r="O161" s="9">
        <f>O160</f>
        <v>0.31698209999999999</v>
      </c>
      <c r="BB161" s="59" t="str">
        <f>IFERROR($BC$3&amp;VLOOKUP(B163,'Pay Table'!$M$3:$N$18,2,FALSE)&amp;$BB$3&amp;C163&amp;$BD$3,"")</f>
        <v/>
      </c>
      <c r="BC161" s="49" t="str">
        <f>IFERROR($BC$3&amp;VLOOKUP(D163,'Pay Table'!$M$3:$N$18,2,FALSE)&amp;$BB$3&amp;E163&amp;$BD$3,"")</f>
        <v/>
      </c>
      <c r="BD161" s="49" t="str">
        <f>IFERROR($BC$3&amp;VLOOKUP(F163,'Pay Table'!$M$3:$N$18,2,FALSE)&amp;$BB$3&amp;G163&amp;$BD$3,"")</f>
        <v/>
      </c>
      <c r="BE161" s="49" t="str">
        <f>IFERROR($BC$3&amp;VLOOKUP(H163,'Pay Table'!$M$3:$N$18,2,FALSE)&amp;$BB$3&amp;I163&amp;$BD$3,"")</f>
        <v/>
      </c>
      <c r="BF161" s="60" t="str">
        <f>IFERROR($BC$3&amp;VLOOKUP(J163,'Pay Table'!$M$3:$N$18,2,FALSE)&amp;$BB$3&amp;K163&amp;$BD$3,"")</f>
        <v/>
      </c>
    </row>
    <row r="162" spans="1:58" ht="17.100000000000001" customHeight="1" x14ac:dyDescent="0.15">
      <c r="A162" s="14">
        <v>157</v>
      </c>
      <c r="N162" s="1" t="s">
        <v>349</v>
      </c>
      <c r="O162" s="1">
        <f>SUM(Q160:T160)</f>
        <v>1.6270991202763149E-2</v>
      </c>
      <c r="BB162" s="59" t="str">
        <f>IFERROR($BC$3&amp;VLOOKUP(B164,'Pay Table'!$M$3:$N$18,2,FALSE)&amp;$BB$3&amp;C164&amp;$BD$3,"")</f>
        <v/>
      </c>
      <c r="BC162" s="49" t="str">
        <f>IFERROR($BC$3&amp;VLOOKUP(D164,'Pay Table'!$M$3:$N$18,2,FALSE)&amp;$BB$3&amp;E164&amp;$BD$3,"")</f>
        <v/>
      </c>
      <c r="BD162" s="49" t="str">
        <f>IFERROR($BC$3&amp;VLOOKUP(F164,'Pay Table'!$M$3:$N$18,2,FALSE)&amp;$BB$3&amp;G164&amp;$BD$3,"")</f>
        <v/>
      </c>
      <c r="BE162" s="49" t="str">
        <f>IFERROR($BC$3&amp;VLOOKUP(H164,'Pay Table'!$M$3:$N$18,2,FALSE)&amp;$BB$3&amp;I164&amp;$BD$3,"")</f>
        <v/>
      </c>
      <c r="BF162" s="60" t="str">
        <f>IFERROR($BC$3&amp;VLOOKUP(J164,'Pay Table'!$M$3:$N$18,2,FALSE)&amp;$BB$3&amp;K164&amp;$BD$3,"")</f>
        <v/>
      </c>
    </row>
    <row r="163" spans="1:58" ht="17.100000000000001" customHeight="1" x14ac:dyDescent="0.15">
      <c r="A163" s="14">
        <v>158</v>
      </c>
      <c r="N163" s="1" t="s">
        <v>39</v>
      </c>
      <c r="O163" s="1">
        <f>SUM(Q127:S127)</f>
        <v>6.2984482075212189E-3</v>
      </c>
      <c r="BB163" s="59" t="str">
        <f>IFERROR($BC$3&amp;VLOOKUP(B165,'Pay Table'!$M$3:$N$18,2,FALSE)&amp;$BB$3&amp;C165&amp;$BD$3,"")</f>
        <v/>
      </c>
      <c r="BC163" s="49" t="str">
        <f>IFERROR($BC$3&amp;VLOOKUP(D165,'Pay Table'!$M$3:$N$18,2,FALSE)&amp;$BB$3&amp;E165&amp;$BD$3,"")</f>
        <v/>
      </c>
      <c r="BD163" s="49" t="str">
        <f>IFERROR($BC$3&amp;VLOOKUP(F165,'Pay Table'!$M$3:$N$18,2,FALSE)&amp;$BB$3&amp;G165&amp;$BD$3,"")</f>
        <v/>
      </c>
      <c r="BE163" s="49" t="str">
        <f>IFERROR($BC$3&amp;VLOOKUP(H165,'Pay Table'!$M$3:$N$18,2,FALSE)&amp;$BB$3&amp;I165&amp;$BD$3,"")</f>
        <v/>
      </c>
      <c r="BF163" s="60" t="str">
        <f>IFERROR($BC$3&amp;VLOOKUP(J165,'Pay Table'!$M$3:$N$18,2,FALSE)&amp;$BB$3&amp;K165&amp;$BD$3,"")</f>
        <v/>
      </c>
    </row>
    <row r="164" spans="1:58" ht="17.100000000000001" customHeight="1" x14ac:dyDescent="0.15">
      <c r="A164" s="14">
        <v>159</v>
      </c>
      <c r="N164" s="1" t="s">
        <v>40</v>
      </c>
      <c r="O164" s="1">
        <f>1/O163</f>
        <v>158.76926618303563</v>
      </c>
      <c r="BB164" s="59" t="str">
        <f>IFERROR($BC$3&amp;VLOOKUP(B166,'Pay Table'!$M$3:$N$18,2,FALSE)&amp;$BB$3&amp;C166&amp;$BD$3,"")</f>
        <v/>
      </c>
      <c r="BC164" s="49" t="str">
        <f>IFERROR($BC$3&amp;VLOOKUP(D166,'Pay Table'!$M$3:$N$18,2,FALSE)&amp;$BB$3&amp;E166&amp;$BD$3,"")</f>
        <v/>
      </c>
      <c r="BD164" s="49" t="str">
        <f>IFERROR($BC$3&amp;VLOOKUP(F166,'Pay Table'!$M$3:$N$18,2,FALSE)&amp;$BB$3&amp;G166&amp;$BD$3,"")</f>
        <v/>
      </c>
      <c r="BE164" s="49" t="str">
        <f>IFERROR($BC$3&amp;VLOOKUP(H166,'Pay Table'!$M$3:$N$18,2,FALSE)&amp;$BB$3&amp;I166&amp;$BD$3,"")</f>
        <v/>
      </c>
      <c r="BF164" s="60" t="str">
        <f>IFERROR($BC$3&amp;VLOOKUP(J166,'Pay Table'!$M$3:$N$18,2,FALSE)&amp;$BB$3&amp;K166&amp;$BD$3,"")</f>
        <v/>
      </c>
    </row>
    <row r="165" spans="1:58" ht="17.100000000000001" customHeight="1" x14ac:dyDescent="0.15">
      <c r="A165" s="14">
        <v>160</v>
      </c>
      <c r="BB165" s="59" t="str">
        <f>IFERROR($BC$3&amp;VLOOKUP(B167,'Pay Table'!$M$3:$N$18,2,FALSE)&amp;$BB$3&amp;C167&amp;$BD$3,"")</f>
        <v/>
      </c>
      <c r="BC165" s="49" t="str">
        <f>IFERROR($BC$3&amp;VLOOKUP(D167,'Pay Table'!$M$3:$N$18,2,FALSE)&amp;$BB$3&amp;E167&amp;$BD$3,"")</f>
        <v/>
      </c>
      <c r="BD165" s="49" t="str">
        <f>IFERROR($BC$3&amp;VLOOKUP(F167,'Pay Table'!$M$3:$N$18,2,FALSE)&amp;$BB$3&amp;G167&amp;$BD$3,"")</f>
        <v/>
      </c>
      <c r="BE165" s="49" t="str">
        <f>IFERROR($BC$3&amp;VLOOKUP(H167,'Pay Table'!$M$3:$N$18,2,FALSE)&amp;$BB$3&amp;I167&amp;$BD$3,"")</f>
        <v/>
      </c>
      <c r="BF165" s="60" t="str">
        <f>IFERROR($BC$3&amp;VLOOKUP(J167,'Pay Table'!$M$3:$N$18,2,FALSE)&amp;$BB$3&amp;K167&amp;$BD$3,"")</f>
        <v/>
      </c>
    </row>
    <row r="166" spans="1:58" ht="17.100000000000001" customHeight="1" x14ac:dyDescent="0.25">
      <c r="A166" s="14">
        <v>161</v>
      </c>
      <c r="K166" s="39"/>
      <c r="N166" s="1" t="s">
        <v>71</v>
      </c>
      <c r="O166" s="1">
        <f>SUM(U146:AD146)+T147+S147+R147+T157</f>
        <v>1.8650174271837829E-2</v>
      </c>
      <c r="P166" s="110">
        <f>T157/O166</f>
        <v>0.32458266417428144</v>
      </c>
      <c r="BB166" s="59" t="str">
        <f>IFERROR($BC$3&amp;VLOOKUP(B168,'Pay Table'!$M$3:$N$18,2,FALSE)&amp;$BB$3&amp;C168&amp;$BD$3,"")</f>
        <v/>
      </c>
      <c r="BC166" s="49" t="str">
        <f>IFERROR($BC$3&amp;VLOOKUP(D168,'Pay Table'!$M$3:$N$18,2,FALSE)&amp;$BB$3&amp;E168&amp;$BD$3,"")</f>
        <v/>
      </c>
      <c r="BD166" s="49" t="str">
        <f>IFERROR($BC$3&amp;VLOOKUP(F168,'Pay Table'!$M$3:$N$18,2,FALSE)&amp;$BB$3&amp;G168&amp;$BD$3,"")</f>
        <v/>
      </c>
      <c r="BE166" s="49" t="str">
        <f>IFERROR($BC$3&amp;VLOOKUP(H168,'Pay Table'!$M$3:$N$18,2,FALSE)&amp;$BB$3&amp;I168&amp;$BD$3,"")</f>
        <v/>
      </c>
      <c r="BF166" s="60" t="str">
        <f>IFERROR($BC$3&amp;VLOOKUP(J168,'Pay Table'!$M$3:$N$18,2,FALSE)&amp;$BB$3&amp;K168&amp;$BD$3,"")</f>
        <v/>
      </c>
    </row>
    <row r="167" spans="1:58" ht="17.100000000000001" customHeight="1" x14ac:dyDescent="0.25">
      <c r="A167" s="14">
        <v>162</v>
      </c>
      <c r="K167" s="39"/>
      <c r="N167" s="1" t="s">
        <v>72</v>
      </c>
      <c r="O167" s="1">
        <f>1/O166</f>
        <v>53.618801917042774</v>
      </c>
      <c r="P167" s="110">
        <f>1-P166</f>
        <v>0.6754173358257185</v>
      </c>
      <c r="BB167" s="59" t="str">
        <f>IFERROR($BC$3&amp;VLOOKUP(B169,'Pay Table'!$M$3:$N$18,2,FALSE)&amp;$BB$3&amp;C169&amp;$BD$3,"")</f>
        <v/>
      </c>
      <c r="BC167" s="49" t="str">
        <f>IFERROR($BC$3&amp;VLOOKUP(D169,'Pay Table'!$M$3:$N$18,2,FALSE)&amp;$BB$3&amp;E169&amp;$BD$3,"")</f>
        <v/>
      </c>
      <c r="BD167" s="49" t="str">
        <f>IFERROR($BC$3&amp;VLOOKUP(F169,'Pay Table'!$M$3:$N$18,2,FALSE)&amp;$BB$3&amp;G169&amp;$BD$3,"")</f>
        <v/>
      </c>
      <c r="BE167" s="49" t="str">
        <f>IFERROR($BC$3&amp;VLOOKUP(H169,'Pay Table'!$M$3:$N$18,2,FALSE)&amp;$BB$3&amp;I169&amp;$BD$3,"")</f>
        <v/>
      </c>
      <c r="BF167" s="60" t="str">
        <f>IFERROR($BC$3&amp;VLOOKUP(J169,'Pay Table'!$M$3:$N$18,2,FALSE)&amp;$BB$3&amp;K169&amp;$BD$3,"")</f>
        <v/>
      </c>
    </row>
    <row r="168" spans="1:58" ht="17.100000000000001" customHeight="1" x14ac:dyDescent="0.25">
      <c r="A168" s="14">
        <v>163</v>
      </c>
      <c r="K168" s="39"/>
      <c r="BB168" s="59" t="str">
        <f>IFERROR($BC$3&amp;VLOOKUP(B170,'Pay Table'!$M$3:$N$18,2,FALSE)&amp;$BB$3&amp;C170&amp;$BD$3,"")</f>
        <v/>
      </c>
      <c r="BC168" s="49" t="str">
        <f>IFERROR($BC$3&amp;VLOOKUP(D170,'Pay Table'!$M$3:$N$18,2,FALSE)&amp;$BB$3&amp;E170&amp;$BD$3,"")</f>
        <v/>
      </c>
      <c r="BD168" s="49" t="str">
        <f>IFERROR($BC$3&amp;VLOOKUP(F170,'Pay Table'!$M$3:$N$18,2,FALSE)&amp;$BB$3&amp;G170&amp;$BD$3,"")</f>
        <v/>
      </c>
      <c r="BE168" s="49" t="str">
        <f>IFERROR($BC$3&amp;VLOOKUP(H170,'Pay Table'!$M$3:$N$18,2,FALSE)&amp;$BB$3&amp;I170&amp;$BD$3,"")</f>
        <v/>
      </c>
      <c r="BF168" s="60" t="str">
        <f>IFERROR($BC$3&amp;VLOOKUP(J170,'Pay Table'!$M$3:$N$18,2,FALSE)&amp;$BB$3&amp;K170&amp;$BD$3,"")</f>
        <v/>
      </c>
    </row>
    <row r="169" spans="1:58" ht="17.100000000000001" customHeight="1" x14ac:dyDescent="0.25">
      <c r="A169" s="14">
        <v>164</v>
      </c>
      <c r="K169" s="39"/>
      <c r="BB169" s="59" t="str">
        <f>IFERROR($BC$3&amp;VLOOKUP(B171,'Pay Table'!$M$3:$N$18,2,FALSE)&amp;$BB$3&amp;C171&amp;$BD$3,"")</f>
        <v/>
      </c>
      <c r="BC169" s="49" t="str">
        <f>IFERROR($BC$3&amp;VLOOKUP(D171,'Pay Table'!$M$3:$N$18,2,FALSE)&amp;$BB$3&amp;E171&amp;$BD$3,"")</f>
        <v/>
      </c>
      <c r="BD169" s="49" t="str">
        <f>IFERROR($BC$3&amp;VLOOKUP(F171,'Pay Table'!$M$3:$N$18,2,FALSE)&amp;$BB$3&amp;G171&amp;$BD$3,"")</f>
        <v/>
      </c>
      <c r="BE169" s="49" t="str">
        <f>IFERROR($BC$3&amp;VLOOKUP(H171,'Pay Table'!$M$3:$N$18,2,FALSE)&amp;$BB$3&amp;I171&amp;$BD$3,"")</f>
        <v/>
      </c>
      <c r="BF169" s="60" t="str">
        <f>IFERROR($BC$3&amp;VLOOKUP(J171,'Pay Table'!$M$3:$N$18,2,FALSE)&amp;$BB$3&amp;K171&amp;$BD$3,"")</f>
        <v/>
      </c>
    </row>
    <row r="170" spans="1:58" ht="17.100000000000001" customHeight="1" x14ac:dyDescent="0.25">
      <c r="A170" s="14">
        <v>165</v>
      </c>
      <c r="K170" s="39"/>
      <c r="BB170" s="59" t="str">
        <f>IFERROR($BC$3&amp;VLOOKUP(B172,'Pay Table'!$M$3:$N$18,2,FALSE)&amp;$BB$3&amp;C172&amp;$BD$3,"")</f>
        <v/>
      </c>
      <c r="BC170" s="49" t="str">
        <f>IFERROR($BC$3&amp;VLOOKUP(D172,'Pay Table'!$M$3:$N$18,2,FALSE)&amp;$BB$3&amp;E172&amp;$BD$3,"")</f>
        <v/>
      </c>
      <c r="BD170" s="49" t="str">
        <f>IFERROR($BC$3&amp;VLOOKUP(F172,'Pay Table'!$M$3:$N$18,2,FALSE)&amp;$BB$3&amp;G172&amp;$BD$3,"")</f>
        <v/>
      </c>
      <c r="BE170" s="49" t="str">
        <f>IFERROR($BC$3&amp;VLOOKUP(H172,'Pay Table'!$M$3:$N$18,2,FALSE)&amp;$BB$3&amp;I172&amp;$BD$3,"")</f>
        <v/>
      </c>
      <c r="BF170" s="60" t="str">
        <f>IFERROR($BC$3&amp;VLOOKUP(J172,'Pay Table'!$M$3:$N$18,2,FALSE)&amp;$BB$3&amp;K172&amp;$BD$3,"")</f>
        <v/>
      </c>
    </row>
    <row r="171" spans="1:58" ht="17.100000000000001" customHeight="1" x14ac:dyDescent="0.15">
      <c r="A171" s="14">
        <v>166</v>
      </c>
      <c r="BB171" s="59" t="str">
        <f>IFERROR($BC$3&amp;VLOOKUP(B173,'Pay Table'!$M$3:$N$18,2,FALSE)&amp;$BB$3&amp;C173&amp;$BD$3,"")</f>
        <v/>
      </c>
      <c r="BC171" s="49" t="str">
        <f>IFERROR($BC$3&amp;VLOOKUP(D173,'Pay Table'!$M$3:$N$18,2,FALSE)&amp;$BB$3&amp;E173&amp;$BD$3,"")</f>
        <v/>
      </c>
      <c r="BD171" s="49" t="str">
        <f>IFERROR($BC$3&amp;VLOOKUP(F173,'Pay Table'!$M$3:$N$18,2,FALSE)&amp;$BB$3&amp;G173&amp;$BD$3,"")</f>
        <v/>
      </c>
      <c r="BE171" s="49" t="str">
        <f>IFERROR($BC$3&amp;VLOOKUP(H173,'Pay Table'!$M$3:$N$18,2,FALSE)&amp;$BB$3&amp;I173&amp;$BD$3,"")</f>
        <v/>
      </c>
      <c r="BF171" s="60" t="str">
        <f>IFERROR($BC$3&amp;VLOOKUP(J173,'Pay Table'!$M$3:$N$18,2,FALSE)&amp;$BB$3&amp;K173&amp;$BD$3,"")</f>
        <v/>
      </c>
    </row>
    <row r="172" spans="1:58" ht="17.100000000000001" customHeight="1" x14ac:dyDescent="0.15">
      <c r="A172" s="14">
        <v>167</v>
      </c>
      <c r="BB172" s="59" t="str">
        <f>IFERROR($BC$3&amp;VLOOKUP(B174,'Pay Table'!$M$3:$N$18,2,FALSE)&amp;$BB$3&amp;C174&amp;$BD$3,"")</f>
        <v/>
      </c>
      <c r="BC172" s="49" t="str">
        <f>IFERROR($BC$3&amp;VLOOKUP(D174,'Pay Table'!$M$3:$N$18,2,FALSE)&amp;$BB$3&amp;E174&amp;$BD$3,"")</f>
        <v/>
      </c>
      <c r="BD172" s="49" t="str">
        <f>IFERROR($BC$3&amp;VLOOKUP(F174,'Pay Table'!$M$3:$N$18,2,FALSE)&amp;$BB$3&amp;G174&amp;$BD$3,"")</f>
        <v/>
      </c>
      <c r="BE172" s="49" t="str">
        <f>IFERROR($BC$3&amp;VLOOKUP(H174,'Pay Table'!$M$3:$N$18,2,FALSE)&amp;$BB$3&amp;I174&amp;$BD$3,"")</f>
        <v/>
      </c>
      <c r="BF172" s="60" t="str">
        <f>IFERROR($BC$3&amp;VLOOKUP(J174,'Pay Table'!$M$3:$N$18,2,FALSE)&amp;$BB$3&amp;K174&amp;$BD$3,"")</f>
        <v/>
      </c>
    </row>
    <row r="173" spans="1:58" ht="17.100000000000001" customHeight="1" x14ac:dyDescent="0.15">
      <c r="A173" s="14">
        <v>168</v>
      </c>
      <c r="BB173" s="59" t="str">
        <f>IFERROR($BC$3&amp;VLOOKUP(B175,'Pay Table'!$M$3:$N$18,2,FALSE)&amp;$BB$3&amp;C175&amp;$BD$3,"")</f>
        <v/>
      </c>
      <c r="BC173" s="49" t="str">
        <f>IFERROR($BC$3&amp;VLOOKUP(D175,'Pay Table'!$M$3:$N$18,2,FALSE)&amp;$BB$3&amp;E175&amp;$BD$3,"")</f>
        <v/>
      </c>
      <c r="BD173" s="49" t="str">
        <f>IFERROR($BC$3&amp;VLOOKUP(F175,'Pay Table'!$M$3:$N$18,2,FALSE)&amp;$BB$3&amp;G175&amp;$BD$3,"")</f>
        <v/>
      </c>
      <c r="BE173" s="49" t="str">
        <f>IFERROR($BC$3&amp;VLOOKUP(H175,'Pay Table'!$M$3:$N$18,2,FALSE)&amp;$BB$3&amp;I175&amp;$BD$3,"")</f>
        <v/>
      </c>
      <c r="BF173" s="60" t="str">
        <f>IFERROR($BC$3&amp;VLOOKUP(J175,'Pay Table'!$M$3:$N$18,2,FALSE)&amp;$BB$3&amp;K175&amp;$BD$3,"")</f>
        <v/>
      </c>
    </row>
    <row r="174" spans="1:58" ht="17.100000000000001" customHeight="1" x14ac:dyDescent="0.15">
      <c r="A174" s="14">
        <v>169</v>
      </c>
      <c r="BB174" s="59" t="str">
        <f>IFERROR($BC$3&amp;VLOOKUP(B176,'Pay Table'!$M$3:$N$18,2,FALSE)&amp;$BB$3&amp;C176&amp;$BD$3,"")</f>
        <v/>
      </c>
      <c r="BC174" s="49" t="str">
        <f>IFERROR($BC$3&amp;VLOOKUP(D176,'Pay Table'!$M$3:$N$18,2,FALSE)&amp;$BB$3&amp;E176&amp;$BD$3,"")</f>
        <v/>
      </c>
      <c r="BD174" s="49" t="str">
        <f>IFERROR($BC$3&amp;VLOOKUP(F176,'Pay Table'!$M$3:$N$18,2,FALSE)&amp;$BB$3&amp;G176&amp;$BD$3,"")</f>
        <v/>
      </c>
      <c r="BE174" s="49" t="str">
        <f>IFERROR($BC$3&amp;VLOOKUP(H176,'Pay Table'!$M$3:$N$18,2,FALSE)&amp;$BB$3&amp;I176&amp;$BD$3,"")</f>
        <v/>
      </c>
      <c r="BF174" s="60" t="str">
        <f>IFERROR($BC$3&amp;VLOOKUP(J176,'Pay Table'!$M$3:$N$18,2,FALSE)&amp;$BB$3&amp;K176&amp;$BD$3,"")</f>
        <v/>
      </c>
    </row>
    <row r="175" spans="1:58" ht="17.100000000000001" customHeight="1" x14ac:dyDescent="0.15">
      <c r="A175" s="14">
        <v>170</v>
      </c>
      <c r="BB175" s="59" t="str">
        <f>IFERROR($BC$3&amp;VLOOKUP(B177,'Pay Table'!$M$3:$N$18,2,FALSE)&amp;$BB$3&amp;C177&amp;$BD$3,"")</f>
        <v/>
      </c>
      <c r="BC175" s="49" t="str">
        <f>IFERROR($BC$3&amp;VLOOKUP(D177,'Pay Table'!$M$3:$N$18,2,FALSE)&amp;$BB$3&amp;E177&amp;$BD$3,"")</f>
        <v/>
      </c>
      <c r="BD175" s="49" t="str">
        <f>IFERROR($BC$3&amp;VLOOKUP(F177,'Pay Table'!$M$3:$N$18,2,FALSE)&amp;$BB$3&amp;G177&amp;$BD$3,"")</f>
        <v/>
      </c>
      <c r="BE175" s="49" t="str">
        <f>IFERROR($BC$3&amp;VLOOKUP(H177,'Pay Table'!$M$3:$N$18,2,FALSE)&amp;$BB$3&amp;I177&amp;$BD$3,"")</f>
        <v/>
      </c>
      <c r="BF175" s="60" t="str">
        <f>IFERROR($BC$3&amp;VLOOKUP(J177,'Pay Table'!$M$3:$N$18,2,FALSE)&amp;$BB$3&amp;K177&amp;$BD$3,"")</f>
        <v/>
      </c>
    </row>
    <row r="176" spans="1:58" ht="17.100000000000001" customHeight="1" x14ac:dyDescent="0.15">
      <c r="A176" s="14">
        <v>171</v>
      </c>
      <c r="BB176" s="59" t="str">
        <f>IFERROR($BC$3&amp;VLOOKUP(B178,'Pay Table'!$M$3:$N$18,2,FALSE)&amp;$BB$3&amp;C178&amp;$BD$3,"")</f>
        <v/>
      </c>
      <c r="BC176" s="49" t="str">
        <f>IFERROR($BC$3&amp;VLOOKUP(D178,'Pay Table'!$M$3:$N$18,2,FALSE)&amp;$BB$3&amp;E178&amp;$BD$3,"")</f>
        <v/>
      </c>
      <c r="BD176" s="49" t="str">
        <f>IFERROR($BC$3&amp;VLOOKUP(F178,'Pay Table'!$M$3:$N$18,2,FALSE)&amp;$BB$3&amp;G178&amp;$BD$3,"")</f>
        <v/>
      </c>
      <c r="BE176" s="49" t="str">
        <f>IFERROR($BC$3&amp;VLOOKUP(H178,'Pay Table'!$M$3:$N$18,2,FALSE)&amp;$BB$3&amp;I178&amp;$BD$3,"")</f>
        <v/>
      </c>
      <c r="BF176" s="60" t="str">
        <f>IFERROR($BC$3&amp;VLOOKUP(J178,'Pay Table'!$M$3:$N$18,2,FALSE)&amp;$BB$3&amp;K178&amp;$BD$3,"")</f>
        <v/>
      </c>
    </row>
    <row r="177" spans="1:58" ht="17.100000000000001" customHeight="1" x14ac:dyDescent="0.15">
      <c r="A177" s="14">
        <v>172</v>
      </c>
      <c r="BB177" s="59" t="str">
        <f>IFERROR($BC$3&amp;VLOOKUP(B179,'Pay Table'!$M$3:$N$18,2,FALSE)&amp;$BB$3&amp;C179&amp;$BD$3,"")</f>
        <v/>
      </c>
      <c r="BC177" s="49" t="str">
        <f>IFERROR($BC$3&amp;VLOOKUP(D179,'Pay Table'!$M$3:$N$18,2,FALSE)&amp;$BB$3&amp;E179&amp;$BD$3,"")</f>
        <v/>
      </c>
      <c r="BD177" s="49" t="str">
        <f>IFERROR($BC$3&amp;VLOOKUP(F179,'Pay Table'!$M$3:$N$18,2,FALSE)&amp;$BB$3&amp;G179&amp;$BD$3,"")</f>
        <v/>
      </c>
      <c r="BE177" s="49" t="str">
        <f>IFERROR($BC$3&amp;VLOOKUP(H179,'Pay Table'!$M$3:$N$18,2,FALSE)&amp;$BB$3&amp;I179&amp;$BD$3,"")</f>
        <v/>
      </c>
      <c r="BF177" s="60" t="str">
        <f>IFERROR($BC$3&amp;VLOOKUP(J179,'Pay Table'!$M$3:$N$18,2,FALSE)&amp;$BB$3&amp;K179&amp;$BD$3,"")</f>
        <v/>
      </c>
    </row>
    <row r="178" spans="1:58" ht="17.100000000000001" customHeight="1" x14ac:dyDescent="0.15">
      <c r="A178" s="14">
        <v>173</v>
      </c>
      <c r="BB178" s="59" t="str">
        <f>IFERROR($BC$3&amp;VLOOKUP(B180,'Pay Table'!$M$3:$N$18,2,FALSE)&amp;$BB$3&amp;C180&amp;$BD$3,"")</f>
        <v/>
      </c>
      <c r="BC178" s="49" t="str">
        <f>IFERROR($BC$3&amp;VLOOKUP(D180,'Pay Table'!$M$3:$N$18,2,FALSE)&amp;$BB$3&amp;E180&amp;$BD$3,"")</f>
        <v/>
      </c>
      <c r="BD178" s="49" t="str">
        <f>IFERROR($BC$3&amp;VLOOKUP(F180,'Pay Table'!$M$3:$N$18,2,FALSE)&amp;$BB$3&amp;G180&amp;$BD$3,"")</f>
        <v/>
      </c>
      <c r="BE178" s="49" t="str">
        <f>IFERROR($BC$3&amp;VLOOKUP(H180,'Pay Table'!$M$3:$N$18,2,FALSE)&amp;$BB$3&amp;I180&amp;$BD$3,"")</f>
        <v/>
      </c>
      <c r="BF178" s="60" t="str">
        <f>IFERROR($BC$3&amp;VLOOKUP(J180,'Pay Table'!$M$3:$N$18,2,FALSE)&amp;$BB$3&amp;K180&amp;$BD$3,"")</f>
        <v/>
      </c>
    </row>
    <row r="179" spans="1:58" ht="17.100000000000001" customHeight="1" x14ac:dyDescent="0.15">
      <c r="A179" s="14">
        <v>174</v>
      </c>
      <c r="BB179" s="59" t="str">
        <f>IFERROR($BC$3&amp;VLOOKUP(B181,'Pay Table'!$M$3:$N$18,2,FALSE)&amp;$BB$3&amp;C181&amp;$BD$3,"")</f>
        <v/>
      </c>
      <c r="BC179" s="49" t="str">
        <f>IFERROR($BC$3&amp;VLOOKUP(D181,'Pay Table'!$M$3:$N$18,2,FALSE)&amp;$BB$3&amp;E181&amp;$BD$3,"")</f>
        <v/>
      </c>
      <c r="BD179" s="49" t="str">
        <f>IFERROR($BC$3&amp;VLOOKUP(F181,'Pay Table'!$M$3:$N$18,2,FALSE)&amp;$BB$3&amp;G181&amp;$BD$3,"")</f>
        <v/>
      </c>
      <c r="BE179" s="49" t="str">
        <f>IFERROR($BC$3&amp;VLOOKUP(H181,'Pay Table'!$M$3:$N$18,2,FALSE)&amp;$BB$3&amp;I181&amp;$BD$3,"")</f>
        <v/>
      </c>
      <c r="BF179" s="60" t="str">
        <f>IFERROR($BC$3&amp;VLOOKUP(J181,'Pay Table'!$M$3:$N$18,2,FALSE)&amp;$BB$3&amp;K181&amp;$BD$3,"")</f>
        <v/>
      </c>
    </row>
    <row r="180" spans="1:58" ht="17.100000000000001" customHeight="1" x14ac:dyDescent="0.15">
      <c r="A180" s="14">
        <v>175</v>
      </c>
      <c r="BB180" s="59" t="str">
        <f>IFERROR($BC$3&amp;VLOOKUP(B182,'Pay Table'!$M$3:$N$18,2,FALSE)&amp;$BB$3&amp;C182&amp;$BD$3,"")</f>
        <v/>
      </c>
      <c r="BC180" s="49" t="str">
        <f>IFERROR($BC$3&amp;VLOOKUP(D182,'Pay Table'!$M$3:$N$18,2,FALSE)&amp;$BB$3&amp;E182&amp;$BD$3,"")</f>
        <v/>
      </c>
      <c r="BD180" s="49" t="str">
        <f>IFERROR($BC$3&amp;VLOOKUP(F182,'Pay Table'!$M$3:$N$18,2,FALSE)&amp;$BB$3&amp;G182&amp;$BD$3,"")</f>
        <v/>
      </c>
      <c r="BE180" s="49" t="str">
        <f>IFERROR($BC$3&amp;VLOOKUP(H182,'Pay Table'!$M$3:$N$18,2,FALSE)&amp;$BB$3&amp;I182&amp;$BD$3,"")</f>
        <v/>
      </c>
      <c r="BF180" s="60" t="str">
        <f>IFERROR($BC$3&amp;VLOOKUP(J182,'Pay Table'!$M$3:$N$18,2,FALSE)&amp;$BB$3&amp;K182&amp;$BD$3,"")</f>
        <v/>
      </c>
    </row>
    <row r="181" spans="1:58" ht="17.100000000000001" customHeight="1" x14ac:dyDescent="0.15">
      <c r="A181" s="14">
        <v>176</v>
      </c>
      <c r="BB181" s="59" t="str">
        <f>IFERROR($BC$3&amp;VLOOKUP(B183,'Pay Table'!$M$3:$N$18,2,FALSE)&amp;$BB$3&amp;C183&amp;$BD$3,"")</f>
        <v/>
      </c>
      <c r="BC181" s="49" t="str">
        <f>IFERROR($BC$3&amp;VLOOKUP(D183,'Pay Table'!$M$3:$N$18,2,FALSE)&amp;$BB$3&amp;E183&amp;$BD$3,"")</f>
        <v/>
      </c>
      <c r="BD181" s="49" t="str">
        <f>IFERROR($BC$3&amp;VLOOKUP(F183,'Pay Table'!$M$3:$N$18,2,FALSE)&amp;$BB$3&amp;G183&amp;$BD$3,"")</f>
        <v/>
      </c>
      <c r="BE181" s="49" t="str">
        <f>IFERROR($BC$3&amp;VLOOKUP(H183,'Pay Table'!$M$3:$N$18,2,FALSE)&amp;$BB$3&amp;I183&amp;$BD$3,"")</f>
        <v/>
      </c>
      <c r="BF181" s="60" t="str">
        <f>IFERROR($BC$3&amp;VLOOKUP(J183,'Pay Table'!$M$3:$N$18,2,FALSE)&amp;$BB$3&amp;K183&amp;$BD$3,"")</f>
        <v/>
      </c>
    </row>
    <row r="182" spans="1:58" ht="17.100000000000001" customHeight="1" x14ac:dyDescent="0.15">
      <c r="A182" s="14">
        <v>177</v>
      </c>
      <c r="BB182" s="59" t="str">
        <f>IFERROR($BC$3&amp;VLOOKUP(B184,'Pay Table'!$M$3:$N$18,2,FALSE)&amp;$BB$3&amp;C184&amp;$BD$3,"")</f>
        <v/>
      </c>
      <c r="BC182" s="49" t="str">
        <f>IFERROR($BC$3&amp;VLOOKUP(D184,'Pay Table'!$M$3:$N$18,2,FALSE)&amp;$BB$3&amp;E184&amp;$BD$3,"")</f>
        <v/>
      </c>
      <c r="BD182" s="49" t="str">
        <f>IFERROR($BC$3&amp;VLOOKUP(F184,'Pay Table'!$M$3:$N$18,2,FALSE)&amp;$BB$3&amp;G184&amp;$BD$3,"")</f>
        <v/>
      </c>
      <c r="BE182" s="49" t="str">
        <f>IFERROR($BC$3&amp;VLOOKUP(H184,'Pay Table'!$M$3:$N$18,2,FALSE)&amp;$BB$3&amp;I184&amp;$BD$3,"")</f>
        <v/>
      </c>
      <c r="BF182" s="60" t="str">
        <f>IFERROR($BC$3&amp;VLOOKUP(J184,'Pay Table'!$M$3:$N$18,2,FALSE)&amp;$BB$3&amp;K184&amp;$BD$3,"")</f>
        <v/>
      </c>
    </row>
    <row r="183" spans="1:58" ht="17.100000000000001" customHeight="1" x14ac:dyDescent="0.15">
      <c r="A183" s="14">
        <v>178</v>
      </c>
      <c r="BB183" s="59" t="str">
        <f>IFERROR($BC$3&amp;VLOOKUP(B185,'Pay Table'!$M$3:$N$18,2,FALSE)&amp;$BB$3&amp;C185&amp;$BD$3,"")</f>
        <v/>
      </c>
      <c r="BC183" s="49" t="str">
        <f>IFERROR($BC$3&amp;VLOOKUP(D185,'Pay Table'!$M$3:$N$18,2,FALSE)&amp;$BB$3&amp;E185&amp;$BD$3,"")</f>
        <v/>
      </c>
      <c r="BD183" s="49" t="str">
        <f>IFERROR($BC$3&amp;VLOOKUP(F185,'Pay Table'!$M$3:$N$18,2,FALSE)&amp;$BB$3&amp;G185&amp;$BD$3,"")</f>
        <v/>
      </c>
      <c r="BE183" s="49" t="str">
        <f>IFERROR($BC$3&amp;VLOOKUP(H185,'Pay Table'!$M$3:$N$18,2,FALSE)&amp;$BB$3&amp;I185&amp;$BD$3,"")</f>
        <v/>
      </c>
      <c r="BF183" s="60" t="str">
        <f>IFERROR($BC$3&amp;VLOOKUP(J185,'Pay Table'!$M$3:$N$18,2,FALSE)&amp;$BB$3&amp;K185&amp;$BD$3,"")</f>
        <v/>
      </c>
    </row>
    <row r="184" spans="1:58" ht="17.100000000000001" customHeight="1" x14ac:dyDescent="0.15">
      <c r="A184" s="14">
        <v>179</v>
      </c>
      <c r="BB184" s="59" t="str">
        <f>IFERROR($BC$3&amp;VLOOKUP(B186,'Pay Table'!$M$3:$N$18,2,FALSE)&amp;$BB$3&amp;C186&amp;$BD$3,"")</f>
        <v/>
      </c>
      <c r="BC184" s="49" t="str">
        <f>IFERROR($BC$3&amp;VLOOKUP(D186,'Pay Table'!$M$3:$N$18,2,FALSE)&amp;$BB$3&amp;E186&amp;$BD$3,"")</f>
        <v/>
      </c>
      <c r="BD184" s="49" t="str">
        <f>IFERROR($BC$3&amp;VLOOKUP(F186,'Pay Table'!$M$3:$N$18,2,FALSE)&amp;$BB$3&amp;G186&amp;$BD$3,"")</f>
        <v/>
      </c>
      <c r="BE184" s="49" t="str">
        <f>IFERROR($BC$3&amp;VLOOKUP(H186,'Pay Table'!$M$3:$N$18,2,FALSE)&amp;$BB$3&amp;I186&amp;$BD$3,"")</f>
        <v/>
      </c>
      <c r="BF184" s="60" t="str">
        <f>IFERROR($BC$3&amp;VLOOKUP(J186,'Pay Table'!$M$3:$N$18,2,FALSE)&amp;$BB$3&amp;K186&amp;$BD$3,"")</f>
        <v/>
      </c>
    </row>
    <row r="185" spans="1:58" ht="17.100000000000001" customHeight="1" x14ac:dyDescent="0.15">
      <c r="A185" s="14">
        <v>180</v>
      </c>
      <c r="BB185" s="59" t="str">
        <f>IFERROR($BC$3&amp;VLOOKUP(B187,'Pay Table'!$M$3:$N$18,2,FALSE)&amp;$BB$3&amp;C187&amp;$BD$3,"")</f>
        <v/>
      </c>
      <c r="BC185" s="49" t="str">
        <f>IFERROR($BC$3&amp;VLOOKUP(D187,'Pay Table'!$M$3:$N$18,2,FALSE)&amp;$BB$3&amp;E187&amp;$BD$3,"")</f>
        <v/>
      </c>
      <c r="BD185" s="49" t="str">
        <f>IFERROR($BC$3&amp;VLOOKUP(F187,'Pay Table'!$M$3:$N$18,2,FALSE)&amp;$BB$3&amp;G187&amp;$BD$3,"")</f>
        <v/>
      </c>
      <c r="BE185" s="49" t="str">
        <f>IFERROR($BC$3&amp;VLOOKUP(H187,'Pay Table'!$M$3:$N$18,2,FALSE)&amp;$BB$3&amp;I187&amp;$BD$3,"")</f>
        <v/>
      </c>
      <c r="BF185" s="60" t="str">
        <f>IFERROR($BC$3&amp;VLOOKUP(J187,'Pay Table'!$M$3:$N$18,2,FALSE)&amp;$BB$3&amp;K187&amp;$BD$3,"")</f>
        <v/>
      </c>
    </row>
    <row r="186" spans="1:58" ht="17.100000000000001" customHeight="1" x14ac:dyDescent="0.15">
      <c r="A186" s="14">
        <v>181</v>
      </c>
      <c r="BB186" s="59" t="str">
        <f>IFERROR($BC$3&amp;VLOOKUP(B188,'Pay Table'!$M$3:$N$18,2,FALSE)&amp;$BB$3&amp;C188&amp;$BD$3,"")</f>
        <v/>
      </c>
      <c r="BC186" s="49" t="str">
        <f>IFERROR($BC$3&amp;VLOOKUP(D188,'Pay Table'!$M$3:$N$18,2,FALSE)&amp;$BB$3&amp;E188&amp;$BD$3,"")</f>
        <v/>
      </c>
      <c r="BD186" s="49" t="str">
        <f>IFERROR($BC$3&amp;VLOOKUP(F188,'Pay Table'!$M$3:$N$18,2,FALSE)&amp;$BB$3&amp;G188&amp;$BD$3,"")</f>
        <v/>
      </c>
      <c r="BE186" s="49" t="str">
        <f>IFERROR($BC$3&amp;VLOOKUP(H188,'Pay Table'!$M$3:$N$18,2,FALSE)&amp;$BB$3&amp;I188&amp;$BD$3,"")</f>
        <v/>
      </c>
      <c r="BF186" s="60" t="str">
        <f>IFERROR($BC$3&amp;VLOOKUP(J188,'Pay Table'!$M$3:$N$18,2,FALSE)&amp;$BB$3&amp;K188&amp;$BD$3,"")</f>
        <v/>
      </c>
    </row>
    <row r="187" spans="1:58" ht="17.100000000000001" customHeight="1" x14ac:dyDescent="0.15">
      <c r="A187" s="14">
        <v>182</v>
      </c>
      <c r="BB187" s="59" t="str">
        <f>IFERROR($BC$3&amp;VLOOKUP(B189,'Pay Table'!$M$3:$N$18,2,FALSE)&amp;$BB$3&amp;C189&amp;$BD$3,"")</f>
        <v/>
      </c>
      <c r="BC187" s="49" t="str">
        <f>IFERROR($BC$3&amp;VLOOKUP(D189,'Pay Table'!$M$3:$N$18,2,FALSE)&amp;$BB$3&amp;E189&amp;$BD$3,"")</f>
        <v/>
      </c>
      <c r="BD187" s="49" t="str">
        <f>IFERROR($BC$3&amp;VLOOKUP(F189,'Pay Table'!$M$3:$N$18,2,FALSE)&amp;$BB$3&amp;G189&amp;$BD$3,"")</f>
        <v/>
      </c>
      <c r="BE187" s="49" t="str">
        <f>IFERROR($BC$3&amp;VLOOKUP(H189,'Pay Table'!$M$3:$N$18,2,FALSE)&amp;$BB$3&amp;I189&amp;$BD$3,"")</f>
        <v/>
      </c>
      <c r="BF187" s="60" t="str">
        <f>IFERROR($BC$3&amp;VLOOKUP(J189,'Pay Table'!$M$3:$N$18,2,FALSE)&amp;$BB$3&amp;K189&amp;$BD$3,"")</f>
        <v/>
      </c>
    </row>
    <row r="188" spans="1:58" ht="17.100000000000001" customHeight="1" x14ac:dyDescent="0.15">
      <c r="A188" s="14">
        <v>183</v>
      </c>
      <c r="BB188" s="59" t="str">
        <f>IFERROR($BC$3&amp;VLOOKUP(B190,'Pay Table'!$M$3:$N$18,2,FALSE)&amp;$BB$3&amp;C190&amp;$BD$3,"")</f>
        <v/>
      </c>
      <c r="BC188" s="49" t="str">
        <f>IFERROR($BC$3&amp;VLOOKUP(D190,'Pay Table'!$M$3:$N$18,2,FALSE)&amp;$BB$3&amp;E190&amp;$BD$3,"")</f>
        <v/>
      </c>
      <c r="BD188" s="49" t="str">
        <f>IFERROR($BC$3&amp;VLOOKUP(F190,'Pay Table'!$M$3:$N$18,2,FALSE)&amp;$BB$3&amp;G190&amp;$BD$3,"")</f>
        <v/>
      </c>
      <c r="BE188" s="49" t="str">
        <f>IFERROR($BC$3&amp;VLOOKUP(H190,'Pay Table'!$M$3:$N$18,2,FALSE)&amp;$BB$3&amp;I190&amp;$BD$3,"")</f>
        <v/>
      </c>
      <c r="BF188" s="60" t="str">
        <f>IFERROR($BC$3&amp;VLOOKUP(J190,'Pay Table'!$M$3:$N$18,2,FALSE)&amp;$BB$3&amp;K190&amp;$BD$3,"")</f>
        <v/>
      </c>
    </row>
    <row r="189" spans="1:58" ht="17.100000000000001" customHeight="1" x14ac:dyDescent="0.15">
      <c r="A189" s="14">
        <v>184</v>
      </c>
      <c r="BB189" s="59" t="str">
        <f>IFERROR($BC$3&amp;VLOOKUP(B191,'Pay Table'!$M$3:$N$18,2,FALSE)&amp;$BB$3&amp;C191&amp;$BD$3,"")</f>
        <v/>
      </c>
      <c r="BC189" s="49" t="str">
        <f>IFERROR($BC$3&amp;VLOOKUP(D191,'Pay Table'!$M$3:$N$18,2,FALSE)&amp;$BB$3&amp;E191&amp;$BD$3,"")</f>
        <v/>
      </c>
      <c r="BD189" s="49" t="str">
        <f>IFERROR($BC$3&amp;VLOOKUP(F191,'Pay Table'!$M$3:$N$18,2,FALSE)&amp;$BB$3&amp;G191&amp;$BD$3,"")</f>
        <v/>
      </c>
      <c r="BE189" s="49" t="str">
        <f>IFERROR($BC$3&amp;VLOOKUP(H191,'Pay Table'!$M$3:$N$18,2,FALSE)&amp;$BB$3&amp;I191&amp;$BD$3,"")</f>
        <v/>
      </c>
      <c r="BF189" s="60" t="str">
        <f>IFERROR($BC$3&amp;VLOOKUP(J191,'Pay Table'!$M$3:$N$18,2,FALSE)&amp;$BB$3&amp;K191&amp;$BD$3,"")</f>
        <v/>
      </c>
    </row>
    <row r="190" spans="1:58" ht="17.100000000000001" customHeight="1" x14ac:dyDescent="0.15">
      <c r="A190" s="14">
        <v>185</v>
      </c>
      <c r="BB190" s="59" t="str">
        <f>IFERROR($BC$3&amp;VLOOKUP(B192,'Pay Table'!$M$3:$N$18,2,FALSE)&amp;$BB$3&amp;C192&amp;$BD$3,"")</f>
        <v/>
      </c>
      <c r="BC190" s="49" t="str">
        <f>IFERROR($BC$3&amp;VLOOKUP(D192,'Pay Table'!$M$3:$N$18,2,FALSE)&amp;$BB$3&amp;E192&amp;$BD$3,"")</f>
        <v/>
      </c>
      <c r="BD190" s="49" t="str">
        <f>IFERROR($BC$3&amp;VLOOKUP(F192,'Pay Table'!$M$3:$N$18,2,FALSE)&amp;$BB$3&amp;G192&amp;$BD$3,"")</f>
        <v/>
      </c>
      <c r="BE190" s="49" t="str">
        <f>IFERROR($BC$3&amp;VLOOKUP(H192,'Pay Table'!$M$3:$N$18,2,FALSE)&amp;$BB$3&amp;I192&amp;$BD$3,"")</f>
        <v/>
      </c>
      <c r="BF190" s="60" t="str">
        <f>IFERROR($BC$3&amp;VLOOKUP(J192,'Pay Table'!$M$3:$N$18,2,FALSE)&amp;$BB$3&amp;K192&amp;$BD$3,"")</f>
        <v/>
      </c>
    </row>
    <row r="191" spans="1:58" ht="17.100000000000001" customHeight="1" x14ac:dyDescent="0.15">
      <c r="A191" s="14">
        <v>186</v>
      </c>
      <c r="BB191" s="59" t="str">
        <f>IFERROR($BC$3&amp;VLOOKUP(B193,'Pay Table'!$M$3:$N$18,2,FALSE)&amp;$BB$3&amp;C193&amp;$BD$3,"")</f>
        <v/>
      </c>
      <c r="BC191" s="49" t="str">
        <f>IFERROR($BC$3&amp;VLOOKUP(D193,'Pay Table'!$M$3:$N$18,2,FALSE)&amp;$BB$3&amp;E193&amp;$BD$3,"")</f>
        <v/>
      </c>
      <c r="BD191" s="49" t="str">
        <f>IFERROR($BC$3&amp;VLOOKUP(F193,'Pay Table'!$M$3:$N$18,2,FALSE)&amp;$BB$3&amp;G193&amp;$BD$3,"")</f>
        <v/>
      </c>
      <c r="BE191" s="49" t="str">
        <f>IFERROR($BC$3&amp;VLOOKUP(H193,'Pay Table'!$M$3:$N$18,2,FALSE)&amp;$BB$3&amp;I193&amp;$BD$3,"")</f>
        <v/>
      </c>
      <c r="BF191" s="60" t="str">
        <f>IFERROR($BC$3&amp;VLOOKUP(J193,'Pay Table'!$M$3:$N$18,2,FALSE)&amp;$BB$3&amp;K193&amp;$BD$3,"")</f>
        <v/>
      </c>
    </row>
    <row r="192" spans="1:58" ht="17.100000000000001" customHeight="1" x14ac:dyDescent="0.15">
      <c r="A192" s="14">
        <v>187</v>
      </c>
      <c r="BB192" s="59" t="str">
        <f>IFERROR($BC$3&amp;VLOOKUP(B194,'Pay Table'!$M$3:$N$18,2,FALSE)&amp;$BB$3&amp;C194&amp;$BD$3,"")</f>
        <v/>
      </c>
      <c r="BC192" s="49" t="str">
        <f>IFERROR($BC$3&amp;VLOOKUP(D194,'Pay Table'!$M$3:$N$18,2,FALSE)&amp;$BB$3&amp;E194&amp;$BD$3,"")</f>
        <v/>
      </c>
      <c r="BD192" s="49" t="str">
        <f>IFERROR($BC$3&amp;VLOOKUP(F194,'Pay Table'!$M$3:$N$18,2,FALSE)&amp;$BB$3&amp;G194&amp;$BD$3,"")</f>
        <v/>
      </c>
      <c r="BE192" s="49" t="str">
        <f>IFERROR($BC$3&amp;VLOOKUP(H194,'Pay Table'!$M$3:$N$18,2,FALSE)&amp;$BB$3&amp;I194&amp;$BD$3,"")</f>
        <v/>
      </c>
      <c r="BF192" s="60" t="str">
        <f>IFERROR($BC$3&amp;VLOOKUP(J194,'Pay Table'!$M$3:$N$18,2,FALSE)&amp;$BB$3&amp;K194&amp;$BD$3,"")</f>
        <v/>
      </c>
    </row>
    <row r="193" spans="1:58" ht="17.100000000000001" customHeight="1" x14ac:dyDescent="0.15">
      <c r="A193" s="14">
        <v>188</v>
      </c>
      <c r="BB193" s="59" t="str">
        <f>IFERROR($BC$3&amp;VLOOKUP(B195,'Pay Table'!$M$3:$N$18,2,FALSE)&amp;$BB$3&amp;C195&amp;$BD$3,"")</f>
        <v/>
      </c>
      <c r="BC193" s="49" t="str">
        <f>IFERROR($BC$3&amp;VLOOKUP(D195,'Pay Table'!$M$3:$N$18,2,FALSE)&amp;$BB$3&amp;E195&amp;$BD$3,"")</f>
        <v/>
      </c>
      <c r="BD193" s="49" t="str">
        <f>IFERROR($BC$3&amp;VLOOKUP(F195,'Pay Table'!$M$3:$N$18,2,FALSE)&amp;$BB$3&amp;G195&amp;$BD$3,"")</f>
        <v/>
      </c>
      <c r="BE193" s="49" t="str">
        <f>IFERROR($BC$3&amp;VLOOKUP(H195,'Pay Table'!$M$3:$N$18,2,FALSE)&amp;$BB$3&amp;I195&amp;$BD$3,"")</f>
        <v/>
      </c>
      <c r="BF193" s="60" t="str">
        <f>IFERROR($BC$3&amp;VLOOKUP(J195,'Pay Table'!$M$3:$N$18,2,FALSE)&amp;$BB$3&amp;K195&amp;$BD$3,"")</f>
        <v/>
      </c>
    </row>
    <row r="194" spans="1:58" ht="17.100000000000001" customHeight="1" x14ac:dyDescent="0.15">
      <c r="A194" s="14">
        <v>189</v>
      </c>
      <c r="BB194" s="59" t="str">
        <f>IFERROR($BC$3&amp;VLOOKUP(B196,'Pay Table'!$M$3:$N$18,2,FALSE)&amp;$BB$3&amp;C196&amp;$BD$3,"")</f>
        <v/>
      </c>
      <c r="BC194" s="49" t="str">
        <f>IFERROR($BC$3&amp;VLOOKUP(D196,'Pay Table'!$M$3:$N$18,2,FALSE)&amp;$BB$3&amp;E196&amp;$BD$3,"")</f>
        <v/>
      </c>
      <c r="BD194" s="49" t="str">
        <f>IFERROR($BC$3&amp;VLOOKUP(F196,'Pay Table'!$M$3:$N$18,2,FALSE)&amp;$BB$3&amp;G196&amp;$BD$3,"")</f>
        <v/>
      </c>
      <c r="BE194" s="49" t="str">
        <f>IFERROR($BC$3&amp;VLOOKUP(H196,'Pay Table'!$M$3:$N$18,2,FALSE)&amp;$BB$3&amp;I196&amp;$BD$3,"")</f>
        <v/>
      </c>
      <c r="BF194" s="60" t="str">
        <f>IFERROR($BC$3&amp;VLOOKUP(J196,'Pay Table'!$M$3:$N$18,2,FALSE)&amp;$BB$3&amp;K196&amp;$BD$3,"")</f>
        <v/>
      </c>
    </row>
    <row r="195" spans="1:58" ht="17.100000000000001" customHeight="1" x14ac:dyDescent="0.15">
      <c r="A195" s="14">
        <v>190</v>
      </c>
      <c r="BB195" s="59" t="str">
        <f>IFERROR($BC$3&amp;VLOOKUP(B197,'Pay Table'!$M$3:$N$18,2,FALSE)&amp;$BB$3&amp;C197&amp;$BD$3,"")</f>
        <v/>
      </c>
      <c r="BC195" s="49" t="str">
        <f>IFERROR($BC$3&amp;VLOOKUP(D197,'Pay Table'!$M$3:$N$18,2,FALSE)&amp;$BB$3&amp;E197&amp;$BD$3,"")</f>
        <v/>
      </c>
      <c r="BD195" s="49" t="str">
        <f>IFERROR($BC$3&amp;VLOOKUP(F197,'Pay Table'!$M$3:$N$18,2,FALSE)&amp;$BB$3&amp;G197&amp;$BD$3,"")</f>
        <v/>
      </c>
      <c r="BE195" s="49" t="str">
        <f>IFERROR($BC$3&amp;VLOOKUP(H197,'Pay Table'!$M$3:$N$18,2,FALSE)&amp;$BB$3&amp;I197&amp;$BD$3,"")</f>
        <v/>
      </c>
      <c r="BF195" s="60" t="str">
        <f>IFERROR($BC$3&amp;VLOOKUP(J197,'Pay Table'!$M$3:$N$18,2,FALSE)&amp;$BB$3&amp;K197&amp;$BD$3,"")</f>
        <v/>
      </c>
    </row>
    <row r="196" spans="1:58" ht="17.100000000000001" customHeight="1" x14ac:dyDescent="0.15">
      <c r="A196" s="14">
        <v>191</v>
      </c>
      <c r="BB196" s="59" t="str">
        <f>IFERROR($BC$3&amp;VLOOKUP(B198,'Pay Table'!$M$3:$N$18,2,FALSE)&amp;$BB$3&amp;C198&amp;$BD$3,"")</f>
        <v/>
      </c>
      <c r="BC196" s="49" t="str">
        <f>IFERROR($BC$3&amp;VLOOKUP(D198,'Pay Table'!$M$3:$N$18,2,FALSE)&amp;$BB$3&amp;E198&amp;$BD$3,"")</f>
        <v/>
      </c>
      <c r="BD196" s="49" t="str">
        <f>IFERROR($BC$3&amp;VLOOKUP(F198,'Pay Table'!$M$3:$N$18,2,FALSE)&amp;$BB$3&amp;G198&amp;$BD$3,"")</f>
        <v/>
      </c>
      <c r="BE196" s="49" t="str">
        <f>IFERROR($BC$3&amp;VLOOKUP(H198,'Pay Table'!$M$3:$N$18,2,FALSE)&amp;$BB$3&amp;I198&amp;$BD$3,"")</f>
        <v/>
      </c>
      <c r="BF196" s="60" t="str">
        <f>IFERROR($BC$3&amp;VLOOKUP(J198,'Pay Table'!$M$3:$N$18,2,FALSE)&amp;$BB$3&amp;K198&amp;$BD$3,"")</f>
        <v/>
      </c>
    </row>
    <row r="197" spans="1:58" ht="17.100000000000001" customHeight="1" x14ac:dyDescent="0.15">
      <c r="A197" s="14">
        <v>192</v>
      </c>
      <c r="BB197" s="59" t="str">
        <f>IFERROR($BC$3&amp;VLOOKUP(B199,'Pay Table'!$M$3:$N$18,2,FALSE)&amp;$BB$3&amp;C199&amp;$BD$3,"")</f>
        <v/>
      </c>
      <c r="BC197" s="49" t="str">
        <f>IFERROR($BC$3&amp;VLOOKUP(D199,'Pay Table'!$M$3:$N$18,2,FALSE)&amp;$BB$3&amp;E199&amp;$BD$3,"")</f>
        <v/>
      </c>
      <c r="BD197" s="49" t="str">
        <f>IFERROR($BC$3&amp;VLOOKUP(F199,'Pay Table'!$M$3:$N$18,2,FALSE)&amp;$BB$3&amp;G199&amp;$BD$3,"")</f>
        <v/>
      </c>
      <c r="BE197" s="49" t="str">
        <f>IFERROR($BC$3&amp;VLOOKUP(H199,'Pay Table'!$M$3:$N$18,2,FALSE)&amp;$BB$3&amp;I199&amp;$BD$3,"")</f>
        <v/>
      </c>
      <c r="BF197" s="60" t="str">
        <f>IFERROR($BC$3&amp;VLOOKUP(J199,'Pay Table'!$M$3:$N$18,2,FALSE)&amp;$BB$3&amp;K199&amp;$BD$3,"")</f>
        <v/>
      </c>
    </row>
    <row r="198" spans="1:58" ht="17.100000000000001" customHeight="1" x14ac:dyDescent="0.15">
      <c r="A198" s="14">
        <v>193</v>
      </c>
      <c r="BB198" s="59" t="str">
        <f>IFERROR($BC$3&amp;VLOOKUP(B200,'Pay Table'!$M$3:$N$18,2,FALSE)&amp;$BB$3&amp;C200&amp;$BD$3,"")</f>
        <v/>
      </c>
      <c r="BC198" s="49" t="str">
        <f>IFERROR($BC$3&amp;VLOOKUP(D200,'Pay Table'!$M$3:$N$18,2,FALSE)&amp;$BB$3&amp;E200&amp;$BD$3,"")</f>
        <v/>
      </c>
      <c r="BD198" s="49" t="str">
        <f>IFERROR($BC$3&amp;VLOOKUP(F200,'Pay Table'!$M$3:$N$18,2,FALSE)&amp;$BB$3&amp;G200&amp;$BD$3,"")</f>
        <v/>
      </c>
      <c r="BE198" s="49" t="str">
        <f>IFERROR($BC$3&amp;VLOOKUP(H200,'Pay Table'!$M$3:$N$18,2,FALSE)&amp;$BB$3&amp;I200&amp;$BD$3,"")</f>
        <v/>
      </c>
      <c r="BF198" s="60" t="str">
        <f>IFERROR($BC$3&amp;VLOOKUP(J200,'Pay Table'!$M$3:$N$18,2,FALSE)&amp;$BB$3&amp;K200&amp;$BD$3,"")</f>
        <v/>
      </c>
    </row>
    <row r="199" spans="1:58" ht="17.100000000000001" customHeight="1" x14ac:dyDescent="0.15">
      <c r="A199" s="14">
        <v>194</v>
      </c>
      <c r="BB199" s="59" t="str">
        <f>IFERROR($BC$3&amp;VLOOKUP(B201,'Pay Table'!$M$3:$N$18,2,FALSE)&amp;$BB$3&amp;C201&amp;$BD$3,"")</f>
        <v/>
      </c>
      <c r="BC199" s="49" t="str">
        <f>IFERROR($BC$3&amp;VLOOKUP(D201,'Pay Table'!$M$3:$N$18,2,FALSE)&amp;$BB$3&amp;E201&amp;$BD$3,"")</f>
        <v/>
      </c>
      <c r="BD199" s="49" t="str">
        <f>IFERROR($BC$3&amp;VLOOKUP(F201,'Pay Table'!$M$3:$N$18,2,FALSE)&amp;$BB$3&amp;G201&amp;$BD$3,"")</f>
        <v/>
      </c>
      <c r="BE199" s="49" t="str">
        <f>IFERROR($BC$3&amp;VLOOKUP(H201,'Pay Table'!$M$3:$N$18,2,FALSE)&amp;$BB$3&amp;I201&amp;$BD$3,"")</f>
        <v/>
      </c>
      <c r="BF199" s="60" t="str">
        <f>IFERROR($BC$3&amp;VLOOKUP(J201,'Pay Table'!$M$3:$N$18,2,FALSE)&amp;$BB$3&amp;K201&amp;$BD$3,"")</f>
        <v/>
      </c>
    </row>
    <row r="200" spans="1:58" ht="17.100000000000001" customHeight="1" x14ac:dyDescent="0.15">
      <c r="A200" s="14">
        <v>195</v>
      </c>
      <c r="BB200" s="59" t="str">
        <f>IFERROR($BC$3&amp;VLOOKUP(B202,'Pay Table'!$M$3:$N$18,2,FALSE)&amp;$BB$3&amp;C202&amp;$BD$3,"")</f>
        <v/>
      </c>
      <c r="BC200" s="49" t="str">
        <f>IFERROR($BC$3&amp;VLOOKUP(D202,'Pay Table'!$M$3:$N$18,2,FALSE)&amp;$BB$3&amp;E202&amp;$BD$3,"")</f>
        <v/>
      </c>
      <c r="BD200" s="49" t="str">
        <f>IFERROR($BC$3&amp;VLOOKUP(F202,'Pay Table'!$M$3:$N$18,2,FALSE)&amp;$BB$3&amp;G202&amp;$BD$3,"")</f>
        <v/>
      </c>
      <c r="BE200" s="49" t="str">
        <f>IFERROR($BC$3&amp;VLOOKUP(H202,'Pay Table'!$M$3:$N$18,2,FALSE)&amp;$BB$3&amp;I202&amp;$BD$3,"")</f>
        <v/>
      </c>
      <c r="BF200" s="60" t="str">
        <f>IFERROR($BC$3&amp;VLOOKUP(J202,'Pay Table'!$M$3:$N$18,2,FALSE)&amp;$BB$3&amp;K202&amp;$BD$3,"")</f>
        <v/>
      </c>
    </row>
    <row r="201" spans="1:58" ht="17.100000000000001" customHeight="1" x14ac:dyDescent="0.15">
      <c r="A201" s="14">
        <v>196</v>
      </c>
      <c r="BB201" s="26" t="str">
        <f>IFERROR($BC$3&amp;VLOOKUP(B203,'Pay Table'!$M$3:$N$18,2,FALSE)&amp;$BB$3&amp;C203&amp;$BD$3,"")</f>
        <v/>
      </c>
      <c r="BC201" s="1" t="str">
        <f>IFERROR($BC$3&amp;VLOOKUP(D203,'Pay Table'!$M$3:$N$18,2,FALSE)&amp;$BB$3&amp;E203&amp;$BD$3,"")</f>
        <v/>
      </c>
      <c r="BD201" s="1" t="str">
        <f>IFERROR($BC$3&amp;VLOOKUP(F203,'Pay Table'!$M$3:$N$18,2,FALSE)&amp;$BB$3&amp;G203&amp;$BD$3,"")</f>
        <v/>
      </c>
      <c r="BE201" s="1" t="str">
        <f>IFERROR($BC$3&amp;VLOOKUP(H203,'Pay Table'!$M$3:$N$18,2,FALSE)&amp;$BB$3&amp;I203&amp;$BD$3,"")</f>
        <v/>
      </c>
      <c r="BF201" s="27" t="str">
        <f>IFERROR($BC$3&amp;VLOOKUP(J203,'Pay Table'!$M$3:$N$18,2,FALSE)&amp;$BB$3&amp;K203&amp;$BD$3,"")</f>
        <v/>
      </c>
    </row>
    <row r="202" spans="1:58" ht="17.100000000000001" customHeight="1" x14ac:dyDescent="0.15">
      <c r="A202" s="14">
        <v>197</v>
      </c>
      <c r="BB202" s="26" t="str">
        <f>IFERROR($BC$3&amp;VLOOKUP(B204,'Pay Table'!$M$3:$N$18,2,FALSE)&amp;$BB$3&amp;C204&amp;$BD$3,"")</f>
        <v/>
      </c>
      <c r="BC202" s="1" t="str">
        <f>IFERROR($BC$3&amp;VLOOKUP(D204,'Pay Table'!$M$3:$N$18,2,FALSE)&amp;$BB$3&amp;E204&amp;$BD$3,"")</f>
        <v/>
      </c>
      <c r="BD202" s="1" t="str">
        <f>IFERROR($BC$3&amp;VLOOKUP(F204,'Pay Table'!$M$3:$N$18,2,FALSE)&amp;$BB$3&amp;G204&amp;$BD$3,"")</f>
        <v/>
      </c>
      <c r="BE202" s="1" t="str">
        <f>IFERROR($BC$3&amp;VLOOKUP(H204,'Pay Table'!$M$3:$N$18,2,FALSE)&amp;$BB$3&amp;I204&amp;$BD$3,"")</f>
        <v/>
      </c>
      <c r="BF202" s="27" t="str">
        <f>IFERROR($BC$3&amp;VLOOKUP(J204,'Pay Table'!$M$3:$N$18,2,FALSE)&amp;$BB$3&amp;K204&amp;$BD$3,"")</f>
        <v/>
      </c>
    </row>
    <row r="203" spans="1:58" ht="17.100000000000001" customHeight="1" x14ac:dyDescent="0.15">
      <c r="A203" s="14">
        <v>198</v>
      </c>
      <c r="BB203" s="26" t="str">
        <f>IFERROR($BC$3&amp;VLOOKUP(B205,'Pay Table'!$M$3:$N$18,2,FALSE)&amp;$BB$3&amp;C205&amp;$BD$3,"")</f>
        <v/>
      </c>
      <c r="BC203" s="1" t="str">
        <f>IFERROR($BC$3&amp;VLOOKUP(D205,'Pay Table'!$M$3:$N$18,2,FALSE)&amp;$BB$3&amp;E205&amp;$BD$3,"")</f>
        <v/>
      </c>
      <c r="BD203" s="1" t="str">
        <f>IFERROR($BC$3&amp;VLOOKUP(F205,'Pay Table'!$M$3:$N$18,2,FALSE)&amp;$BB$3&amp;G205&amp;$BD$3,"")</f>
        <v/>
      </c>
      <c r="BE203" s="1" t="str">
        <f>IFERROR($BC$3&amp;VLOOKUP(H205,'Pay Table'!$M$3:$N$18,2,FALSE)&amp;$BB$3&amp;I205&amp;$BD$3,"")</f>
        <v/>
      </c>
      <c r="BF203" s="27" t="str">
        <f>IFERROR($BC$3&amp;VLOOKUP(J205,'Pay Table'!$M$3:$N$18,2,FALSE)&amp;$BB$3&amp;K205&amp;$BD$3,"")</f>
        <v/>
      </c>
    </row>
    <row r="204" spans="1:58" ht="17.100000000000001" customHeight="1" x14ac:dyDescent="0.15">
      <c r="A204" s="14">
        <v>199</v>
      </c>
      <c r="BB204" s="26" t="str">
        <f>IFERROR($BC$3&amp;VLOOKUP(B206,'Pay Table'!$M$3:$N$18,2,FALSE)&amp;$BB$3&amp;C206&amp;$BD$3,"")</f>
        <v/>
      </c>
      <c r="BC204" s="1" t="str">
        <f>IFERROR($BC$3&amp;VLOOKUP(D206,'Pay Table'!$M$3:$N$18,2,FALSE)&amp;$BB$3&amp;E206&amp;$BD$3,"")</f>
        <v/>
      </c>
      <c r="BD204" s="1" t="str">
        <f>IFERROR($BC$3&amp;VLOOKUP(F206,'Pay Table'!$M$3:$N$18,2,FALSE)&amp;$BB$3&amp;G206&amp;$BD$3,"")</f>
        <v/>
      </c>
      <c r="BE204" s="1" t="str">
        <f>IFERROR($BC$3&amp;VLOOKUP(H206,'Pay Table'!$M$3:$N$18,2,FALSE)&amp;$BB$3&amp;I206&amp;$BD$3,"")</f>
        <v/>
      </c>
      <c r="BF204" s="27" t="str">
        <f>IFERROR($BC$3&amp;VLOOKUP(J206,'Pay Table'!$M$3:$N$18,2,FALSE)&amp;$BB$3&amp;K206&amp;$BD$3,"")</f>
        <v/>
      </c>
    </row>
    <row r="205" spans="1:58" ht="17.100000000000001" customHeight="1" x14ac:dyDescent="0.15">
      <c r="A205" s="14">
        <v>200</v>
      </c>
      <c r="BB205" s="26" t="str">
        <f>IFERROR($BC$3&amp;VLOOKUP(B207,'Pay Table'!$M$3:$N$18,2,FALSE)&amp;$BB$3&amp;C207&amp;$BD$3,"")</f>
        <v/>
      </c>
      <c r="BC205" s="1" t="str">
        <f>IFERROR($BC$3&amp;VLOOKUP(D207,'Pay Table'!$M$3:$N$18,2,FALSE)&amp;$BB$3&amp;E207&amp;$BD$3,"")</f>
        <v/>
      </c>
      <c r="BD205" s="1" t="str">
        <f>IFERROR($BC$3&amp;VLOOKUP(F207,'Pay Table'!$M$3:$N$18,2,FALSE)&amp;$BB$3&amp;G207&amp;$BD$3,"")</f>
        <v/>
      </c>
      <c r="BE205" s="1" t="str">
        <f>IFERROR($BC$3&amp;VLOOKUP(H207,'Pay Table'!$M$3:$N$18,2,FALSE)&amp;$BB$3&amp;I207&amp;$BD$3,"")</f>
        <v/>
      </c>
      <c r="BF205" s="27" t="str">
        <f>IFERROR($BC$3&amp;VLOOKUP(J207,'Pay Table'!$M$3:$N$18,2,FALSE)&amp;$BB$3&amp;K207&amp;$BD$3,"")</f>
        <v/>
      </c>
    </row>
    <row r="206" spans="1:58" ht="17.100000000000001" customHeight="1" x14ac:dyDescent="0.15">
      <c r="A206" s="14">
        <v>201</v>
      </c>
      <c r="BB206" s="26" t="str">
        <f>IFERROR($BC$3&amp;VLOOKUP(B208,'Pay Table'!$M$3:$N$18,2,FALSE)&amp;$BB$3&amp;C208&amp;$BD$3,"")</f>
        <v/>
      </c>
      <c r="BC206" s="1" t="str">
        <f>IFERROR($BC$3&amp;VLOOKUP(D208,'Pay Table'!$M$3:$N$18,2,FALSE)&amp;$BB$3&amp;E208&amp;$BD$3,"")</f>
        <v/>
      </c>
      <c r="BD206" s="1" t="str">
        <f>IFERROR($BC$3&amp;VLOOKUP(F208,'Pay Table'!$M$3:$N$18,2,FALSE)&amp;$BB$3&amp;G208&amp;$BD$3,"")</f>
        <v/>
      </c>
      <c r="BE206" s="1" t="str">
        <f>IFERROR($BC$3&amp;VLOOKUP(H208,'Pay Table'!$M$3:$N$18,2,FALSE)&amp;$BB$3&amp;I208&amp;$BD$3,"")</f>
        <v/>
      </c>
      <c r="BF206" s="27" t="str">
        <f>IFERROR($BC$3&amp;VLOOKUP(J208,'Pay Table'!$M$3:$N$18,2,FALSE)&amp;$BB$3&amp;K208&amp;$BD$3,"")</f>
        <v/>
      </c>
    </row>
    <row r="207" spans="1:58" ht="17.100000000000001" customHeight="1" x14ac:dyDescent="0.15">
      <c r="A207" s="14">
        <v>202</v>
      </c>
      <c r="BB207" s="26" t="str">
        <f>IFERROR($BC$3&amp;VLOOKUP(B209,'Pay Table'!$M$3:$N$18,2,FALSE)&amp;$BB$3&amp;C209&amp;$BD$3,"")</f>
        <v/>
      </c>
      <c r="BC207" s="1" t="str">
        <f>IFERROR($BC$3&amp;VLOOKUP(D209,'Pay Table'!$M$3:$N$18,2,FALSE)&amp;$BB$3&amp;E209&amp;$BD$3,"")</f>
        <v/>
      </c>
      <c r="BD207" s="1" t="str">
        <f>IFERROR($BC$3&amp;VLOOKUP(F209,'Pay Table'!$M$3:$N$18,2,FALSE)&amp;$BB$3&amp;G209&amp;$BD$3,"")</f>
        <v/>
      </c>
      <c r="BE207" s="1" t="str">
        <f>IFERROR($BC$3&amp;VLOOKUP(H209,'Pay Table'!$M$3:$N$18,2,FALSE)&amp;$BB$3&amp;I209&amp;$BD$3,"")</f>
        <v/>
      </c>
      <c r="BF207" s="27" t="str">
        <f>IFERROR($BC$3&amp;VLOOKUP(J209,'Pay Table'!$M$3:$N$18,2,FALSE)&amp;$BB$3&amp;K209&amp;$BD$3,"")</f>
        <v/>
      </c>
    </row>
    <row r="208" spans="1:58" ht="17.100000000000001" customHeight="1" x14ac:dyDescent="0.15">
      <c r="A208" s="14">
        <v>203</v>
      </c>
      <c r="BB208" s="26" t="str">
        <f>IFERROR($BC$3&amp;VLOOKUP(B210,'Pay Table'!$M$3:$N$18,2,FALSE)&amp;$BB$3&amp;C210&amp;$BD$3,"")</f>
        <v/>
      </c>
      <c r="BC208" s="1" t="str">
        <f>IFERROR($BC$3&amp;VLOOKUP(D210,'Pay Table'!$M$3:$N$18,2,FALSE)&amp;$BB$3&amp;E210&amp;$BD$3,"")</f>
        <v/>
      </c>
      <c r="BD208" s="1" t="str">
        <f>IFERROR($BC$3&amp;VLOOKUP(F210,'Pay Table'!$M$3:$N$18,2,FALSE)&amp;$BB$3&amp;G210&amp;$BD$3,"")</f>
        <v/>
      </c>
      <c r="BE208" s="1" t="str">
        <f>IFERROR($BC$3&amp;VLOOKUP(H210,'Pay Table'!$M$3:$N$18,2,FALSE)&amp;$BB$3&amp;I210&amp;$BD$3,"")</f>
        <v/>
      </c>
      <c r="BF208" s="27" t="str">
        <f>IFERROR($BC$3&amp;VLOOKUP(J210,'Pay Table'!$M$3:$N$18,2,FALSE)&amp;$BB$3&amp;K210&amp;$BD$3,"")</f>
        <v/>
      </c>
    </row>
    <row r="209" spans="1:58" ht="17.100000000000001" customHeight="1" x14ac:dyDescent="0.15">
      <c r="A209" s="14">
        <v>204</v>
      </c>
      <c r="BB209" s="26" t="str">
        <f>IFERROR($BC$3&amp;VLOOKUP(B211,'Pay Table'!$M$3:$N$18,2,FALSE)&amp;$BB$3&amp;C211&amp;$BD$3,"")</f>
        <v/>
      </c>
      <c r="BC209" s="1" t="str">
        <f>IFERROR($BC$3&amp;VLOOKUP(D211,'Pay Table'!$M$3:$N$18,2,FALSE)&amp;$BB$3&amp;E211&amp;$BD$3,"")</f>
        <v/>
      </c>
      <c r="BD209" s="1" t="str">
        <f>IFERROR($BC$3&amp;VLOOKUP(F211,'Pay Table'!$M$3:$N$18,2,FALSE)&amp;$BB$3&amp;G211&amp;$BD$3,"")</f>
        <v/>
      </c>
      <c r="BE209" s="1" t="str">
        <f>IFERROR($BC$3&amp;VLOOKUP(H211,'Pay Table'!$M$3:$N$18,2,FALSE)&amp;$BB$3&amp;I211&amp;$BD$3,"")</f>
        <v/>
      </c>
      <c r="BF209" s="27" t="str">
        <f>IFERROR($BC$3&amp;VLOOKUP(J211,'Pay Table'!$M$3:$N$18,2,FALSE)&amp;$BB$3&amp;K211&amp;$BD$3,"")</f>
        <v/>
      </c>
    </row>
    <row r="210" spans="1:58" ht="17.100000000000001" customHeight="1" x14ac:dyDescent="0.15">
      <c r="A210" s="14">
        <v>205</v>
      </c>
      <c r="BB210" s="26" t="str">
        <f>IFERROR($BC$3&amp;VLOOKUP(B212,'Pay Table'!$M$3:$N$18,2,FALSE)&amp;$BB$3&amp;C212&amp;$BD$3,"")</f>
        <v/>
      </c>
      <c r="BC210" s="1" t="str">
        <f>IFERROR($BC$3&amp;VLOOKUP(D212,'Pay Table'!$M$3:$N$18,2,FALSE)&amp;$BB$3&amp;E212&amp;$BD$3,"")</f>
        <v/>
      </c>
      <c r="BD210" s="1" t="str">
        <f>IFERROR($BC$3&amp;VLOOKUP(F212,'Pay Table'!$M$3:$N$18,2,FALSE)&amp;$BB$3&amp;G212&amp;$BD$3,"")</f>
        <v/>
      </c>
      <c r="BE210" s="1" t="str">
        <f>IFERROR($BC$3&amp;VLOOKUP(H212,'Pay Table'!$M$3:$N$18,2,FALSE)&amp;$BB$3&amp;I212&amp;$BD$3,"")</f>
        <v/>
      </c>
      <c r="BF210" s="27" t="str">
        <f>IFERROR($BC$3&amp;VLOOKUP(J212,'Pay Table'!$M$3:$N$18,2,FALSE)&amp;$BB$3&amp;K212&amp;$BD$3,"")</f>
        <v/>
      </c>
    </row>
    <row r="211" spans="1:58" ht="17.100000000000001" customHeight="1" x14ac:dyDescent="0.15">
      <c r="A211" s="14">
        <v>206</v>
      </c>
      <c r="BB211" s="26" t="str">
        <f>IFERROR($BC$3&amp;VLOOKUP(B213,'Pay Table'!$M$3:$N$18,2,FALSE)&amp;$BB$3&amp;C213&amp;$BD$3,"")</f>
        <v/>
      </c>
      <c r="BC211" s="1" t="str">
        <f>IFERROR($BC$3&amp;VLOOKUP(D213,'Pay Table'!$M$3:$N$18,2,FALSE)&amp;$BB$3&amp;E213&amp;$BD$3,"")</f>
        <v/>
      </c>
      <c r="BD211" s="1" t="str">
        <f>IFERROR($BC$3&amp;VLOOKUP(F213,'Pay Table'!$M$3:$N$18,2,FALSE)&amp;$BB$3&amp;G213&amp;$BD$3,"")</f>
        <v/>
      </c>
      <c r="BE211" s="1" t="str">
        <f>IFERROR($BC$3&amp;VLOOKUP(H213,'Pay Table'!$M$3:$N$18,2,FALSE)&amp;$BB$3&amp;I213&amp;$BD$3,"")</f>
        <v/>
      </c>
      <c r="BF211" s="27" t="str">
        <f>IFERROR($BC$3&amp;VLOOKUP(J213,'Pay Table'!$M$3:$N$18,2,FALSE)&amp;$BB$3&amp;K213&amp;$BD$3,"")</f>
        <v/>
      </c>
    </row>
    <row r="212" spans="1:58" ht="17.100000000000001" customHeight="1" x14ac:dyDescent="0.15">
      <c r="A212" s="14">
        <v>207</v>
      </c>
      <c r="BB212" s="26" t="str">
        <f>IFERROR($BC$3&amp;VLOOKUP(B214,'Pay Table'!$M$3:$N$18,2,FALSE)&amp;$BB$3&amp;C214&amp;$BD$3,"")</f>
        <v/>
      </c>
      <c r="BC212" s="1" t="str">
        <f>IFERROR($BC$3&amp;VLOOKUP(D214,'Pay Table'!$M$3:$N$18,2,FALSE)&amp;$BB$3&amp;E214&amp;$BD$3,"")</f>
        <v/>
      </c>
      <c r="BD212" s="1" t="str">
        <f>IFERROR($BC$3&amp;VLOOKUP(F214,'Pay Table'!$M$3:$N$18,2,FALSE)&amp;$BB$3&amp;G214&amp;$BD$3,"")</f>
        <v/>
      </c>
      <c r="BE212" s="1" t="str">
        <f>IFERROR($BC$3&amp;VLOOKUP(H214,'Pay Table'!$M$3:$N$18,2,FALSE)&amp;$BB$3&amp;I214&amp;$BD$3,"")</f>
        <v/>
      </c>
      <c r="BF212" s="27" t="str">
        <f>IFERROR($BC$3&amp;VLOOKUP(J214,'Pay Table'!$M$3:$N$18,2,FALSE)&amp;$BB$3&amp;K214&amp;$BD$3,"")</f>
        <v/>
      </c>
    </row>
    <row r="213" spans="1:58" ht="17.100000000000001" customHeight="1" x14ac:dyDescent="0.15">
      <c r="A213" s="14">
        <v>208</v>
      </c>
      <c r="BB213" s="26" t="str">
        <f>IFERROR($BC$3&amp;VLOOKUP(B215,'Pay Table'!$M$3:$N$18,2,FALSE)&amp;$BB$3&amp;C215&amp;$BD$3,"")</f>
        <v/>
      </c>
      <c r="BC213" s="1" t="str">
        <f>IFERROR($BC$3&amp;VLOOKUP(D215,'Pay Table'!$M$3:$N$18,2,FALSE)&amp;$BB$3&amp;E215&amp;$BD$3,"")</f>
        <v/>
      </c>
      <c r="BD213" s="1" t="str">
        <f>IFERROR($BC$3&amp;VLOOKUP(F215,'Pay Table'!$M$3:$N$18,2,FALSE)&amp;$BB$3&amp;G215&amp;$BD$3,"")</f>
        <v/>
      </c>
      <c r="BE213" s="1" t="str">
        <f>IFERROR($BC$3&amp;VLOOKUP(H215,'Pay Table'!$M$3:$N$18,2,FALSE)&amp;$BB$3&amp;I215&amp;$BD$3,"")</f>
        <v/>
      </c>
      <c r="BF213" s="27" t="str">
        <f>IFERROR($BC$3&amp;VLOOKUP(J215,'Pay Table'!$M$3:$N$18,2,FALSE)&amp;$BB$3&amp;K215&amp;$BD$3,"")</f>
        <v/>
      </c>
    </row>
    <row r="214" spans="1:58" ht="17.100000000000001" customHeight="1" x14ac:dyDescent="0.15">
      <c r="A214" s="14">
        <v>209</v>
      </c>
      <c r="BB214" s="26" t="str">
        <f>IFERROR($BC$3&amp;VLOOKUP(B216,'Pay Table'!$M$3:$N$18,2,FALSE)&amp;$BB$3&amp;C216&amp;$BD$3,"")</f>
        <v/>
      </c>
      <c r="BC214" s="1" t="str">
        <f>IFERROR($BC$3&amp;VLOOKUP(D216,'Pay Table'!$M$3:$N$18,2,FALSE)&amp;$BB$3&amp;E216&amp;$BD$3,"")</f>
        <v/>
      </c>
      <c r="BD214" s="1" t="str">
        <f>IFERROR($BC$3&amp;VLOOKUP(F216,'Pay Table'!$M$3:$N$18,2,FALSE)&amp;$BB$3&amp;G216&amp;$BD$3,"")</f>
        <v/>
      </c>
      <c r="BE214" s="1" t="str">
        <f>IFERROR($BC$3&amp;VLOOKUP(H216,'Pay Table'!$M$3:$N$18,2,FALSE)&amp;$BB$3&amp;I216&amp;$BD$3,"")</f>
        <v/>
      </c>
      <c r="BF214" s="27" t="str">
        <f>IFERROR($BC$3&amp;VLOOKUP(J216,'Pay Table'!$M$3:$N$18,2,FALSE)&amp;$BB$3&amp;K216&amp;$BD$3,"")</f>
        <v/>
      </c>
    </row>
    <row r="215" spans="1:58" ht="17.100000000000001" customHeight="1" x14ac:dyDescent="0.15">
      <c r="A215" s="14">
        <v>210</v>
      </c>
      <c r="BB215" s="26" t="str">
        <f>IFERROR($BC$3&amp;VLOOKUP(B217,'Pay Table'!$M$3:$N$18,2,FALSE)&amp;$BB$3&amp;C217&amp;$BD$3,"")</f>
        <v/>
      </c>
      <c r="BC215" s="1" t="str">
        <f>IFERROR($BC$3&amp;VLOOKUP(D217,'Pay Table'!$M$3:$N$18,2,FALSE)&amp;$BB$3&amp;E217&amp;$BD$3,"")</f>
        <v/>
      </c>
      <c r="BD215" s="1" t="str">
        <f>IFERROR($BC$3&amp;VLOOKUP(F217,'Pay Table'!$M$3:$N$18,2,FALSE)&amp;$BB$3&amp;G217&amp;$BD$3,"")</f>
        <v/>
      </c>
      <c r="BE215" s="1" t="str">
        <f>IFERROR($BC$3&amp;VLOOKUP(H217,'Pay Table'!$M$3:$N$18,2,FALSE)&amp;$BB$3&amp;I217&amp;$BD$3,"")</f>
        <v/>
      </c>
      <c r="BF215" s="27" t="str">
        <f>IFERROR($BC$3&amp;VLOOKUP(J217,'Pay Table'!$M$3:$N$18,2,FALSE)&amp;$BB$3&amp;K217&amp;$BD$3,"")</f>
        <v/>
      </c>
    </row>
    <row r="216" spans="1:58" ht="17.100000000000001" customHeight="1" x14ac:dyDescent="0.15">
      <c r="A216" s="14">
        <v>211</v>
      </c>
      <c r="BB216" s="26" t="str">
        <f>IFERROR($BC$3&amp;VLOOKUP(B218,'Pay Table'!$M$3:$N$18,2,FALSE)&amp;$BB$3&amp;C218&amp;$BD$3,"")</f>
        <v/>
      </c>
      <c r="BC216" s="1" t="str">
        <f>IFERROR($BC$3&amp;VLOOKUP(D218,'Pay Table'!$M$3:$N$18,2,FALSE)&amp;$BB$3&amp;E218&amp;$BD$3,"")</f>
        <v/>
      </c>
      <c r="BD216" s="1" t="str">
        <f>IFERROR($BC$3&amp;VLOOKUP(F218,'Pay Table'!$M$3:$N$18,2,FALSE)&amp;$BB$3&amp;G218&amp;$BD$3,"")</f>
        <v/>
      </c>
      <c r="BE216" s="1" t="str">
        <f>IFERROR($BC$3&amp;VLOOKUP(H218,'Pay Table'!$M$3:$N$18,2,FALSE)&amp;$BB$3&amp;I218&amp;$BD$3,"")</f>
        <v/>
      </c>
      <c r="BF216" s="27" t="str">
        <f>IFERROR($BC$3&amp;VLOOKUP(J218,'Pay Table'!$M$3:$N$18,2,FALSE)&amp;$BB$3&amp;K218&amp;$BD$3,"")</f>
        <v/>
      </c>
    </row>
    <row r="217" spans="1:58" ht="17.100000000000001" customHeight="1" x14ac:dyDescent="0.15">
      <c r="A217" s="14">
        <v>212</v>
      </c>
      <c r="BB217" s="26" t="str">
        <f>IFERROR($BC$3&amp;VLOOKUP(B219,'Pay Table'!$M$3:$N$18,2,FALSE)&amp;$BB$3&amp;C219&amp;$BD$3,"")</f>
        <v/>
      </c>
      <c r="BC217" s="1" t="str">
        <f>IFERROR($BC$3&amp;VLOOKUP(D219,'Pay Table'!$M$3:$N$18,2,FALSE)&amp;$BB$3&amp;E219&amp;$BD$3,"")</f>
        <v/>
      </c>
      <c r="BD217" s="1" t="str">
        <f>IFERROR($BC$3&amp;VLOOKUP(F219,'Pay Table'!$M$3:$N$18,2,FALSE)&amp;$BB$3&amp;G219&amp;$BD$3,"")</f>
        <v/>
      </c>
      <c r="BE217" s="1" t="str">
        <f>IFERROR($BC$3&amp;VLOOKUP(H219,'Pay Table'!$M$3:$N$18,2,FALSE)&amp;$BB$3&amp;I219&amp;$BD$3,"")</f>
        <v/>
      </c>
      <c r="BF217" s="27" t="str">
        <f>IFERROR($BC$3&amp;VLOOKUP(J219,'Pay Table'!$M$3:$N$18,2,FALSE)&amp;$BB$3&amp;K219&amp;$BD$3,"")</f>
        <v/>
      </c>
    </row>
    <row r="218" spans="1:58" ht="17.100000000000001" customHeight="1" x14ac:dyDescent="0.15">
      <c r="A218" s="14">
        <v>213</v>
      </c>
      <c r="BB218" s="26" t="str">
        <f>IFERROR($BC$3&amp;VLOOKUP(B220,'Pay Table'!$M$3:$N$18,2,FALSE)&amp;$BB$3&amp;C220&amp;$BD$3,"")</f>
        <v/>
      </c>
      <c r="BC218" s="1" t="str">
        <f>IFERROR($BC$3&amp;VLOOKUP(D220,'Pay Table'!$M$3:$N$18,2,FALSE)&amp;$BB$3&amp;E220&amp;$BD$3,"")</f>
        <v/>
      </c>
      <c r="BD218" s="1" t="str">
        <f>IFERROR($BC$3&amp;VLOOKUP(F220,'Pay Table'!$M$3:$N$18,2,FALSE)&amp;$BB$3&amp;G220&amp;$BD$3,"")</f>
        <v/>
      </c>
      <c r="BE218" s="1" t="str">
        <f>IFERROR($BC$3&amp;VLOOKUP(H220,'Pay Table'!$M$3:$N$18,2,FALSE)&amp;$BB$3&amp;I220&amp;$BD$3,"")</f>
        <v/>
      </c>
      <c r="BF218" s="27" t="str">
        <f>IFERROR($BC$3&amp;VLOOKUP(J220,'Pay Table'!$M$3:$N$18,2,FALSE)&amp;$BB$3&amp;K220&amp;$BD$3,"")</f>
        <v/>
      </c>
    </row>
    <row r="219" spans="1:58" ht="17.100000000000001" customHeight="1" x14ac:dyDescent="0.15">
      <c r="A219" s="14">
        <v>214</v>
      </c>
      <c r="BB219" s="26" t="str">
        <f>IFERROR($BC$3&amp;VLOOKUP(B221,'Pay Table'!$M$3:$N$18,2,FALSE)&amp;$BB$3&amp;C221&amp;$BD$3,"")</f>
        <v/>
      </c>
      <c r="BC219" s="1" t="str">
        <f>IFERROR($BC$3&amp;VLOOKUP(D221,'Pay Table'!$M$3:$N$18,2,FALSE)&amp;$BB$3&amp;E221&amp;$BD$3,"")</f>
        <v/>
      </c>
      <c r="BD219" s="1" t="str">
        <f>IFERROR($BC$3&amp;VLOOKUP(F221,'Pay Table'!$M$3:$N$18,2,FALSE)&amp;$BB$3&amp;G221&amp;$BD$3,"")</f>
        <v/>
      </c>
      <c r="BE219" s="1" t="str">
        <f>IFERROR($BC$3&amp;VLOOKUP(H221,'Pay Table'!$M$3:$N$18,2,FALSE)&amp;$BB$3&amp;I221&amp;$BD$3,"")</f>
        <v/>
      </c>
      <c r="BF219" s="27" t="str">
        <f>IFERROR($BC$3&amp;VLOOKUP(J221,'Pay Table'!$M$3:$N$18,2,FALSE)&amp;$BB$3&amp;K221&amp;$BD$3,"")</f>
        <v/>
      </c>
    </row>
    <row r="220" spans="1:58" ht="17.100000000000001" customHeight="1" x14ac:dyDescent="0.15">
      <c r="A220" s="14">
        <v>215</v>
      </c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BB220" s="26" t="str">
        <f>IFERROR($BC$3&amp;VLOOKUP(B222,'Pay Table'!$M$3:$N$18,2,FALSE)&amp;$BB$3&amp;C222&amp;$BD$3,"")</f>
        <v/>
      </c>
      <c r="BC220" s="1" t="str">
        <f>IFERROR($BC$3&amp;VLOOKUP(D222,'Pay Table'!$M$3:$N$18,2,FALSE)&amp;$BB$3&amp;E222&amp;$BD$3,"")</f>
        <v/>
      </c>
      <c r="BD220" s="1" t="str">
        <f>IFERROR($BC$3&amp;VLOOKUP(F222,'Pay Table'!$M$3:$N$18,2,FALSE)&amp;$BB$3&amp;G222&amp;$BD$3,"")</f>
        <v/>
      </c>
      <c r="BE220" s="1" t="str">
        <f>IFERROR($BC$3&amp;VLOOKUP(H222,'Pay Table'!$M$3:$N$18,2,FALSE)&amp;$BB$3&amp;I222&amp;$BD$3,"")</f>
        <v/>
      </c>
      <c r="BF220" s="27" t="str">
        <f>IFERROR($BC$3&amp;VLOOKUP(J222,'Pay Table'!$M$3:$N$18,2,FALSE)&amp;$BB$3&amp;K222&amp;$BD$3,"")</f>
        <v/>
      </c>
    </row>
    <row r="221" spans="1:58" ht="17.100000000000001" customHeight="1" x14ac:dyDescent="0.15">
      <c r="A221" s="14">
        <v>216</v>
      </c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BB221" s="26" t="str">
        <f>IFERROR($BC$3&amp;VLOOKUP(B223,'Pay Table'!$M$3:$N$18,2,FALSE)&amp;$BB$3&amp;C223&amp;$BD$3,"")</f>
        <v/>
      </c>
      <c r="BC221" s="1" t="str">
        <f>IFERROR($BC$3&amp;VLOOKUP(D223,'Pay Table'!$M$3:$N$18,2,FALSE)&amp;$BB$3&amp;E223&amp;$BD$3,"")</f>
        <v/>
      </c>
      <c r="BD221" s="1" t="str">
        <f>IFERROR($BC$3&amp;VLOOKUP(F223,'Pay Table'!$M$3:$N$18,2,FALSE)&amp;$BB$3&amp;G223&amp;$BD$3,"")</f>
        <v/>
      </c>
      <c r="BE221" s="1" t="str">
        <f>IFERROR($BC$3&amp;VLOOKUP(H223,'Pay Table'!$M$3:$N$18,2,FALSE)&amp;$BB$3&amp;I223&amp;$BD$3,"")</f>
        <v/>
      </c>
      <c r="BF221" s="27" t="str">
        <f>IFERROR($BC$3&amp;VLOOKUP(J223,'Pay Table'!$M$3:$N$18,2,FALSE)&amp;$BB$3&amp;K223&amp;$BD$3,"")</f>
        <v/>
      </c>
    </row>
    <row r="222" spans="1:58" ht="17.100000000000001" customHeight="1" x14ac:dyDescent="0.15">
      <c r="A222" s="14">
        <v>217</v>
      </c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BB222" s="26" t="str">
        <f>IFERROR($BC$3&amp;VLOOKUP(B224,'Pay Table'!$M$3:$N$18,2,FALSE)&amp;$BB$3&amp;C224&amp;$BD$3,"")</f>
        <v/>
      </c>
      <c r="BC222" s="1" t="str">
        <f>IFERROR($BC$3&amp;VLOOKUP(D224,'Pay Table'!$M$3:$N$18,2,FALSE)&amp;$BB$3&amp;E224&amp;$BD$3,"")</f>
        <v/>
      </c>
      <c r="BD222" s="1" t="str">
        <f>IFERROR($BC$3&amp;VLOOKUP(F224,'Pay Table'!$M$3:$N$18,2,FALSE)&amp;$BB$3&amp;G224&amp;$BD$3,"")</f>
        <v/>
      </c>
      <c r="BE222" s="1" t="str">
        <f>IFERROR($BC$3&amp;VLOOKUP(H224,'Pay Table'!$M$3:$N$18,2,FALSE)&amp;$BB$3&amp;I224&amp;$BD$3,"")</f>
        <v/>
      </c>
      <c r="BF222" s="27" t="str">
        <f>IFERROR($BC$3&amp;VLOOKUP(J224,'Pay Table'!$M$3:$N$18,2,FALSE)&amp;$BB$3&amp;K224&amp;$BD$3,"")</f>
        <v/>
      </c>
    </row>
    <row r="223" spans="1:58" ht="17.100000000000001" customHeight="1" x14ac:dyDescent="0.15">
      <c r="A223" s="14">
        <v>218</v>
      </c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BB223" s="26" t="str">
        <f>IFERROR($BC$3&amp;VLOOKUP(B225,'Pay Table'!$M$3:$N$18,2,FALSE)&amp;$BB$3&amp;C225&amp;$BD$3,"")</f>
        <v/>
      </c>
      <c r="BC223" s="1" t="str">
        <f>IFERROR($BC$3&amp;VLOOKUP(D225,'Pay Table'!$M$3:$N$18,2,FALSE)&amp;$BB$3&amp;E225&amp;$BD$3,"")</f>
        <v/>
      </c>
      <c r="BD223" s="1" t="str">
        <f>IFERROR($BC$3&amp;VLOOKUP(F225,'Pay Table'!$M$3:$N$18,2,FALSE)&amp;$BB$3&amp;G225&amp;$BD$3,"")</f>
        <v/>
      </c>
      <c r="BE223" s="1" t="str">
        <f>IFERROR($BC$3&amp;VLOOKUP(H225,'Pay Table'!$M$3:$N$18,2,FALSE)&amp;$BB$3&amp;I225&amp;$BD$3,"")</f>
        <v/>
      </c>
      <c r="BF223" s="27" t="str">
        <f>IFERROR($BC$3&amp;VLOOKUP(J225,'Pay Table'!$M$3:$N$18,2,FALSE)&amp;$BB$3&amp;K225&amp;$BD$3,"")</f>
        <v/>
      </c>
    </row>
    <row r="224" spans="1:58" ht="17.100000000000001" customHeight="1" x14ac:dyDescent="0.15">
      <c r="BB224" s="26" t="str">
        <f>IFERROR($BC$3&amp;VLOOKUP(B226,'Pay Table'!$M$3:$N$18,2,FALSE)&amp;$BB$3&amp;C226&amp;$BD$3,"")</f>
        <v/>
      </c>
      <c r="BC224" s="1" t="str">
        <f>IFERROR($BC$3&amp;VLOOKUP(D226,'Pay Table'!$M$3:$N$18,2,FALSE)&amp;$BB$3&amp;E226&amp;$BD$3,"")</f>
        <v/>
      </c>
      <c r="BD224" s="1" t="str">
        <f>IFERROR($BC$3&amp;VLOOKUP(F226,'Pay Table'!$M$3:$N$18,2,FALSE)&amp;$BB$3&amp;G226&amp;$BD$3,"")</f>
        <v/>
      </c>
      <c r="BE224" s="1" t="str">
        <f>IFERROR($BC$3&amp;VLOOKUP(H226,'Pay Table'!$M$3:$N$18,2,FALSE)&amp;$BB$3&amp;I226&amp;$BD$3,"")</f>
        <v/>
      </c>
      <c r="BF224" s="27" t="str">
        <f>IFERROR($BC$3&amp;VLOOKUP(J226,'Pay Table'!$M$3:$N$18,2,FALSE)&amp;$BB$3&amp;K226&amp;$BD$3,"")</f>
        <v/>
      </c>
    </row>
    <row r="225" spans="54:58" ht="17.100000000000001" customHeight="1" x14ac:dyDescent="0.15">
      <c r="BB225" s="26" t="str">
        <f>IFERROR($BC$3&amp;VLOOKUP(B227,'Pay Table'!$M$3:$N$18,2,FALSE)&amp;$BB$3&amp;C227&amp;$BD$3,"")</f>
        <v/>
      </c>
      <c r="BC225" s="1" t="str">
        <f>IFERROR($BC$3&amp;VLOOKUP(D227,'Pay Table'!$M$3:$N$18,2,FALSE)&amp;$BB$3&amp;E227&amp;$BD$3,"")</f>
        <v/>
      </c>
      <c r="BD225" s="1" t="str">
        <f>IFERROR($BC$3&amp;VLOOKUP(F227,'Pay Table'!$M$3:$N$18,2,FALSE)&amp;$BB$3&amp;G227&amp;$BD$3,"")</f>
        <v/>
      </c>
      <c r="BE225" s="1" t="str">
        <f>IFERROR($BC$3&amp;VLOOKUP(H227,'Pay Table'!$M$3:$N$18,2,FALSE)&amp;$BB$3&amp;I227&amp;$BD$3,"")</f>
        <v/>
      </c>
      <c r="BF225" s="27" t="str">
        <f>IFERROR($BC$3&amp;VLOOKUP(J227,'Pay Table'!$M$3:$N$18,2,FALSE)&amp;$BB$3&amp;K227&amp;$BD$3,"")</f>
        <v/>
      </c>
    </row>
    <row r="226" spans="54:58" ht="17.100000000000001" customHeight="1" x14ac:dyDescent="0.15">
      <c r="BB226" s="26" t="str">
        <f>IFERROR($BC$3&amp;VLOOKUP(B228,'Pay Table'!$M$3:$N$18,2,FALSE)&amp;$BB$3&amp;C228&amp;$BD$3,"")</f>
        <v/>
      </c>
      <c r="BC226" s="1" t="str">
        <f>IFERROR($BC$3&amp;VLOOKUP(D228,'Pay Table'!$M$3:$N$18,2,FALSE)&amp;$BB$3&amp;E228&amp;$BD$3,"")</f>
        <v/>
      </c>
      <c r="BD226" s="1" t="str">
        <f>IFERROR($BC$3&amp;VLOOKUP(F228,'Pay Table'!$M$3:$N$18,2,FALSE)&amp;$BB$3&amp;G228&amp;$BD$3,"")</f>
        <v/>
      </c>
      <c r="BE226" s="1" t="str">
        <f>IFERROR($BC$3&amp;VLOOKUP(H228,'Pay Table'!$M$3:$N$18,2,FALSE)&amp;$BB$3&amp;I228&amp;$BD$3,"")</f>
        <v/>
      </c>
      <c r="BF226" s="27" t="str">
        <f>IFERROR($BC$3&amp;VLOOKUP(J228,'Pay Table'!$M$3:$N$18,2,FALSE)&amp;$BB$3&amp;K228&amp;$BD$3,"")</f>
        <v/>
      </c>
    </row>
    <row r="227" spans="54:58" ht="17.100000000000001" customHeight="1" x14ac:dyDescent="0.15">
      <c r="BB227" s="26" t="str">
        <f>IFERROR($BC$3&amp;VLOOKUP(B229,'Pay Table'!$M$3:$N$18,2,FALSE)&amp;$BB$3&amp;C229&amp;$BD$3,"")</f>
        <v/>
      </c>
      <c r="BC227" s="1" t="str">
        <f>IFERROR($BC$3&amp;VLOOKUP(D229,'Pay Table'!$M$3:$N$18,2,FALSE)&amp;$BB$3&amp;E229&amp;$BD$3,"")</f>
        <v/>
      </c>
      <c r="BD227" s="1" t="str">
        <f>IFERROR($BC$3&amp;VLOOKUP(F229,'Pay Table'!$M$3:$N$18,2,FALSE)&amp;$BB$3&amp;G229&amp;$BD$3,"")</f>
        <v/>
      </c>
      <c r="BE227" s="1" t="str">
        <f>IFERROR($BC$3&amp;VLOOKUP(H229,'Pay Table'!$M$3:$N$18,2,FALSE)&amp;$BB$3&amp;I229&amp;$BD$3,"")</f>
        <v/>
      </c>
      <c r="BF227" s="27" t="str">
        <f>IFERROR($BC$3&amp;VLOOKUP(J229,'Pay Table'!$M$3:$N$18,2,FALSE)&amp;$BB$3&amp;K229&amp;$BD$3,"")</f>
        <v/>
      </c>
    </row>
    <row r="228" spans="54:58" ht="17.100000000000001" customHeight="1" x14ac:dyDescent="0.15">
      <c r="BB228" s="26" t="str">
        <f>IFERROR($BC$3&amp;VLOOKUP(B230,'Pay Table'!$M$3:$N$18,2,FALSE)&amp;$BB$3&amp;C230&amp;$BD$3,"")</f>
        <v/>
      </c>
      <c r="BC228" s="1" t="str">
        <f>IFERROR($BC$3&amp;VLOOKUP(D230,'Pay Table'!$M$3:$N$18,2,FALSE)&amp;$BB$3&amp;E230&amp;$BD$3,"")</f>
        <v/>
      </c>
      <c r="BD228" s="1" t="str">
        <f>IFERROR($BC$3&amp;VLOOKUP(F230,'Pay Table'!$M$3:$N$18,2,FALSE)&amp;$BB$3&amp;G230&amp;$BD$3,"")</f>
        <v/>
      </c>
      <c r="BE228" s="1" t="str">
        <f>IFERROR($BC$3&amp;VLOOKUP(H230,'Pay Table'!$M$3:$N$18,2,FALSE)&amp;$BB$3&amp;I230&amp;$BD$3,"")</f>
        <v/>
      </c>
      <c r="BF228" s="27" t="str">
        <f>IFERROR($BC$3&amp;VLOOKUP(J230,'Pay Table'!$M$3:$N$18,2,FALSE)&amp;$BB$3&amp;K230&amp;$BD$3,"")</f>
        <v/>
      </c>
    </row>
    <row r="229" spans="54:58" ht="17.100000000000001" customHeight="1" x14ac:dyDescent="0.15">
      <c r="BB229" s="26" t="str">
        <f>IFERROR($BC$3&amp;VLOOKUP(B231,'Pay Table'!$M$3:$N$18,2,FALSE)&amp;$BB$3&amp;C231&amp;$BD$3,"")</f>
        <v/>
      </c>
      <c r="BC229" s="1" t="str">
        <f>IFERROR($BC$3&amp;VLOOKUP(D231,'Pay Table'!$M$3:$N$18,2,FALSE)&amp;$BB$3&amp;E231&amp;$BD$3,"")</f>
        <v/>
      </c>
      <c r="BD229" s="1" t="str">
        <f>IFERROR($BC$3&amp;VLOOKUP(F231,'Pay Table'!$M$3:$N$18,2,FALSE)&amp;$BB$3&amp;G231&amp;$BD$3,"")</f>
        <v/>
      </c>
      <c r="BE229" s="1" t="str">
        <f>IFERROR($BC$3&amp;VLOOKUP(H231,'Pay Table'!$M$3:$N$18,2,FALSE)&amp;$BB$3&amp;I231&amp;$BD$3,"")</f>
        <v/>
      </c>
      <c r="BF229" s="27" t="str">
        <f>IFERROR($BC$3&amp;VLOOKUP(J231,'Pay Table'!$M$3:$N$18,2,FALSE)&amp;$BB$3&amp;K231&amp;$BD$3,"")</f>
        <v/>
      </c>
    </row>
    <row r="230" spans="54:58" ht="17.100000000000001" customHeight="1" x14ac:dyDescent="0.15">
      <c r="BB230" s="26" t="str">
        <f>IFERROR($BC$3&amp;VLOOKUP(B232,'Pay Table'!$M$3:$N$18,2,FALSE)&amp;$BB$3&amp;C232&amp;$BD$3,"")</f>
        <v/>
      </c>
      <c r="BC230" s="1" t="str">
        <f>IFERROR($BC$3&amp;VLOOKUP(D232,'Pay Table'!$M$3:$N$18,2,FALSE)&amp;$BB$3&amp;E232&amp;$BD$3,"")</f>
        <v/>
      </c>
      <c r="BD230" s="1" t="str">
        <f>IFERROR($BC$3&amp;VLOOKUP(F232,'Pay Table'!$M$3:$N$18,2,FALSE)&amp;$BB$3&amp;G232&amp;$BD$3,"")</f>
        <v/>
      </c>
      <c r="BE230" s="1" t="str">
        <f>IFERROR($BC$3&amp;VLOOKUP(H232,'Pay Table'!$M$3:$N$18,2,FALSE)&amp;$BB$3&amp;I232&amp;$BD$3,"")</f>
        <v/>
      </c>
      <c r="BF230" s="27" t="str">
        <f>IFERROR($BC$3&amp;VLOOKUP(J232,'Pay Table'!$M$3:$N$18,2,FALSE)&amp;$BB$3&amp;K232&amp;$BD$3,"")</f>
        <v/>
      </c>
    </row>
    <row r="231" spans="54:58" ht="17.100000000000001" customHeight="1" x14ac:dyDescent="0.15">
      <c r="BB231" s="26" t="str">
        <f>IFERROR($BC$3&amp;VLOOKUP(B233,'Pay Table'!$M$3:$N$18,2,FALSE)&amp;$BB$3&amp;C233&amp;$BD$3,"")</f>
        <v/>
      </c>
      <c r="BC231" s="1" t="str">
        <f>IFERROR($BC$3&amp;VLOOKUP(D233,'Pay Table'!$M$3:$N$18,2,FALSE)&amp;$BB$3&amp;E233&amp;$BD$3,"")</f>
        <v/>
      </c>
      <c r="BD231" s="1" t="str">
        <f>IFERROR($BC$3&amp;VLOOKUP(F233,'Pay Table'!$M$3:$N$18,2,FALSE)&amp;$BB$3&amp;G233&amp;$BD$3,"")</f>
        <v/>
      </c>
      <c r="BE231" s="1" t="str">
        <f>IFERROR($BC$3&amp;VLOOKUP(H233,'Pay Table'!$M$3:$N$18,2,FALSE)&amp;$BB$3&amp;I233&amp;$BD$3,"")</f>
        <v/>
      </c>
      <c r="BF231" s="27" t="str">
        <f>IFERROR($BC$3&amp;VLOOKUP(J233,'Pay Table'!$M$3:$N$18,2,FALSE)&amp;$BB$3&amp;K233&amp;$BD$3,"")</f>
        <v/>
      </c>
    </row>
    <row r="232" spans="54:58" ht="17.100000000000001" customHeight="1" x14ac:dyDescent="0.15">
      <c r="BB232" s="26" t="str">
        <f>IFERROR($BC$3&amp;VLOOKUP(B234,'Pay Table'!$M$3:$N$18,2,FALSE)&amp;$BB$3&amp;C234&amp;$BD$3,"")</f>
        <v/>
      </c>
      <c r="BC232" s="1" t="str">
        <f>IFERROR($BC$3&amp;VLOOKUP(D234,'Pay Table'!$M$3:$N$18,2,FALSE)&amp;$BB$3&amp;E234&amp;$BD$3,"")</f>
        <v/>
      </c>
      <c r="BD232" s="1" t="str">
        <f>IFERROR($BC$3&amp;VLOOKUP(F234,'Pay Table'!$M$3:$N$18,2,FALSE)&amp;$BB$3&amp;G234&amp;$BD$3,"")</f>
        <v/>
      </c>
      <c r="BE232" s="1" t="str">
        <f>IFERROR($BC$3&amp;VLOOKUP(H234,'Pay Table'!$M$3:$N$18,2,FALSE)&amp;$BB$3&amp;I234&amp;$BD$3,"")</f>
        <v/>
      </c>
      <c r="BF232" s="27" t="str">
        <f>IFERROR($BC$3&amp;VLOOKUP(J234,'Pay Table'!$M$3:$N$18,2,FALSE)&amp;$BB$3&amp;K234&amp;$BD$3,"")</f>
        <v/>
      </c>
    </row>
    <row r="233" spans="54:58" ht="17.100000000000001" customHeight="1" x14ac:dyDescent="0.15">
      <c r="BB233" s="26" t="str">
        <f>IFERROR($BC$3&amp;VLOOKUP(B235,'Pay Table'!$M$3:$N$18,2,FALSE)&amp;$BB$3&amp;C235&amp;$BD$3,"")</f>
        <v/>
      </c>
      <c r="BC233" s="1" t="str">
        <f>IFERROR($BC$3&amp;VLOOKUP(D235,'Pay Table'!$M$3:$N$18,2,FALSE)&amp;$BB$3&amp;E235&amp;$BD$3,"")</f>
        <v/>
      </c>
      <c r="BD233" s="1" t="str">
        <f>IFERROR($BC$3&amp;VLOOKUP(F235,'Pay Table'!$M$3:$N$18,2,FALSE)&amp;$BB$3&amp;G235&amp;$BD$3,"")</f>
        <v/>
      </c>
      <c r="BE233" s="1" t="str">
        <f>IFERROR($BC$3&amp;VLOOKUP(H235,'Pay Table'!$M$3:$N$18,2,FALSE)&amp;$BB$3&amp;I235&amp;$BD$3,"")</f>
        <v/>
      </c>
      <c r="BF233" s="27" t="str">
        <f>IFERROR($BC$3&amp;VLOOKUP(J235,'Pay Table'!$M$3:$N$18,2,FALSE)&amp;$BB$3&amp;K235&amp;$BD$3,"")</f>
        <v/>
      </c>
    </row>
    <row r="234" spans="54:58" ht="17.100000000000001" customHeight="1" x14ac:dyDescent="0.15">
      <c r="BB234" s="26" t="str">
        <f>IFERROR($BC$3&amp;VLOOKUP(B236,'Pay Table'!$M$3:$N$18,2,FALSE)&amp;$BB$3&amp;C236&amp;$BD$3,"")</f>
        <v/>
      </c>
      <c r="BC234" s="1" t="str">
        <f>IFERROR($BC$3&amp;VLOOKUP(D236,'Pay Table'!$M$3:$N$18,2,FALSE)&amp;$BB$3&amp;E236&amp;$BD$3,"")</f>
        <v/>
      </c>
      <c r="BD234" s="1" t="str">
        <f>IFERROR($BC$3&amp;VLOOKUP(F236,'Pay Table'!$M$3:$N$18,2,FALSE)&amp;$BB$3&amp;G236&amp;$BD$3,"")</f>
        <v/>
      </c>
      <c r="BE234" s="1" t="str">
        <f>IFERROR($BC$3&amp;VLOOKUP(H236,'Pay Table'!$M$3:$N$18,2,FALSE)&amp;$BB$3&amp;I236&amp;$BD$3,"")</f>
        <v/>
      </c>
      <c r="BF234" s="27" t="str">
        <f>IFERROR($BC$3&amp;VLOOKUP(J236,'Pay Table'!$M$3:$N$18,2,FALSE)&amp;$BB$3&amp;K236&amp;$BD$3,"")</f>
        <v/>
      </c>
    </row>
    <row r="235" spans="54:58" ht="17.100000000000001" customHeight="1" x14ac:dyDescent="0.15">
      <c r="BB235" s="26" t="str">
        <f>IFERROR($BC$3&amp;VLOOKUP(B237,'Pay Table'!$M$3:$N$18,2,FALSE)&amp;$BB$3&amp;C237&amp;$BD$3,"")</f>
        <v/>
      </c>
      <c r="BC235" s="1" t="str">
        <f>IFERROR($BC$3&amp;VLOOKUP(D237,'Pay Table'!$M$3:$N$18,2,FALSE)&amp;$BB$3&amp;E237&amp;$BD$3,"")</f>
        <v/>
      </c>
      <c r="BD235" s="1" t="str">
        <f>IFERROR($BC$3&amp;VLOOKUP(F237,'Pay Table'!$M$3:$N$18,2,FALSE)&amp;$BB$3&amp;G237&amp;$BD$3,"")</f>
        <v/>
      </c>
      <c r="BE235" s="1" t="str">
        <f>IFERROR($BC$3&amp;VLOOKUP(H237,'Pay Table'!$M$3:$N$18,2,FALSE)&amp;$BB$3&amp;I237&amp;$BD$3,"")</f>
        <v/>
      </c>
      <c r="BF235" s="27" t="str">
        <f>IFERROR($BC$3&amp;VLOOKUP(J237,'Pay Table'!$M$3:$N$18,2,FALSE)&amp;$BB$3&amp;K237&amp;$BD$3,"")</f>
        <v/>
      </c>
    </row>
    <row r="236" spans="54:58" ht="17.100000000000001" customHeight="1" x14ac:dyDescent="0.15">
      <c r="BB236" s="26" t="str">
        <f>IFERROR($BC$3&amp;VLOOKUP(B238,'Pay Table'!$M$3:$N$18,2,FALSE)&amp;$BB$3&amp;C238&amp;$BD$3,"")</f>
        <v/>
      </c>
      <c r="BC236" s="1" t="str">
        <f>IFERROR($BC$3&amp;VLOOKUP(D238,'Pay Table'!$M$3:$N$18,2,FALSE)&amp;$BB$3&amp;E238&amp;$BD$3,"")</f>
        <v/>
      </c>
      <c r="BD236" s="1" t="str">
        <f>IFERROR($BC$3&amp;VLOOKUP(F238,'Pay Table'!$M$3:$N$18,2,FALSE)&amp;$BB$3&amp;G238&amp;$BD$3,"")</f>
        <v/>
      </c>
      <c r="BE236" s="1" t="str">
        <f>IFERROR($BC$3&amp;VLOOKUP(H238,'Pay Table'!$M$3:$N$18,2,FALSE)&amp;$BB$3&amp;I238&amp;$BD$3,"")</f>
        <v/>
      </c>
      <c r="BF236" s="27" t="str">
        <f>IFERROR($BC$3&amp;VLOOKUP(J238,'Pay Table'!$M$3:$N$18,2,FALSE)&amp;$BB$3&amp;K238&amp;$BD$3,"")</f>
        <v/>
      </c>
    </row>
    <row r="237" spans="54:58" ht="17.100000000000001" customHeight="1" x14ac:dyDescent="0.15">
      <c r="BB237" s="26" t="str">
        <f>IFERROR($BC$3&amp;VLOOKUP(B239,'Pay Table'!$M$3:$N$18,2,FALSE)&amp;$BB$3&amp;C239&amp;$BD$3,"")</f>
        <v/>
      </c>
      <c r="BC237" s="1" t="str">
        <f>IFERROR($BC$3&amp;VLOOKUP(D239,'Pay Table'!$M$3:$N$18,2,FALSE)&amp;$BB$3&amp;E239&amp;$BD$3,"")</f>
        <v/>
      </c>
      <c r="BD237" s="1" t="str">
        <f>IFERROR($BC$3&amp;VLOOKUP(F239,'Pay Table'!$M$3:$N$18,2,FALSE)&amp;$BB$3&amp;G239&amp;$BD$3,"")</f>
        <v/>
      </c>
      <c r="BE237" s="1" t="str">
        <f>IFERROR($BC$3&amp;VLOOKUP(H239,'Pay Table'!$M$3:$N$18,2,FALSE)&amp;$BB$3&amp;I239&amp;$BD$3,"")</f>
        <v/>
      </c>
      <c r="BF237" s="27" t="str">
        <f>IFERROR($BC$3&amp;VLOOKUP(J239,'Pay Table'!$M$3:$N$18,2,FALSE)&amp;$BB$3&amp;K239&amp;$BD$3,"")</f>
        <v/>
      </c>
    </row>
    <row r="238" spans="54:58" ht="17.100000000000001" customHeight="1" x14ac:dyDescent="0.15">
      <c r="BB238" s="26" t="str">
        <f>IFERROR($BC$3&amp;VLOOKUP(B240,'Pay Table'!$M$3:$N$18,2,FALSE)&amp;$BB$3&amp;C240&amp;$BD$3,"")</f>
        <v/>
      </c>
      <c r="BC238" s="1" t="str">
        <f>IFERROR($BC$3&amp;VLOOKUP(D240,'Pay Table'!$M$3:$N$18,2,FALSE)&amp;$BB$3&amp;E240&amp;$BD$3,"")</f>
        <v/>
      </c>
      <c r="BD238" s="1" t="str">
        <f>IFERROR($BC$3&amp;VLOOKUP(F240,'Pay Table'!$M$3:$N$18,2,FALSE)&amp;$BB$3&amp;G240&amp;$BD$3,"")</f>
        <v/>
      </c>
      <c r="BE238" s="1" t="str">
        <f>IFERROR($BC$3&amp;VLOOKUP(H240,'Pay Table'!$M$3:$N$18,2,FALSE)&amp;$BB$3&amp;I240&amp;$BD$3,"")</f>
        <v/>
      </c>
      <c r="BF238" s="27" t="str">
        <f>IFERROR($BC$3&amp;VLOOKUP(J240,'Pay Table'!$M$3:$N$18,2,FALSE)&amp;$BB$3&amp;K240&amp;$BD$3,"")</f>
        <v/>
      </c>
    </row>
    <row r="239" spans="54:58" ht="17.100000000000001" customHeight="1" x14ac:dyDescent="0.15">
      <c r="BB239" s="26" t="str">
        <f>IFERROR($BC$3&amp;VLOOKUP(B241,'Pay Table'!$M$3:$N$18,2,FALSE)&amp;$BB$3&amp;C241&amp;$BD$3,"")</f>
        <v/>
      </c>
      <c r="BC239" s="1" t="str">
        <f>IFERROR($BC$3&amp;VLOOKUP(D241,'Pay Table'!$M$3:$N$18,2,FALSE)&amp;$BB$3&amp;E241&amp;$BD$3,"")</f>
        <v/>
      </c>
      <c r="BD239" s="1" t="str">
        <f>IFERROR($BC$3&amp;VLOOKUP(F241,'Pay Table'!$M$3:$N$18,2,FALSE)&amp;$BB$3&amp;G241&amp;$BD$3,"")</f>
        <v/>
      </c>
      <c r="BE239" s="1" t="str">
        <f>IFERROR($BC$3&amp;VLOOKUP(H241,'Pay Table'!$M$3:$N$18,2,FALSE)&amp;$BB$3&amp;I241&amp;$BD$3,"")</f>
        <v/>
      </c>
      <c r="BF239" s="27" t="str">
        <f>IFERROR($BC$3&amp;VLOOKUP(J241,'Pay Table'!$M$3:$N$18,2,FALSE)&amp;$BB$3&amp;K241&amp;$BD$3,"")</f>
        <v/>
      </c>
    </row>
    <row r="240" spans="54:58" ht="17.100000000000001" customHeight="1" x14ac:dyDescent="0.15">
      <c r="BB240" s="26" t="str">
        <f>IFERROR($BC$3&amp;VLOOKUP(B242,'Pay Table'!$M$3:$N$18,2,FALSE)&amp;$BB$3&amp;C242&amp;$BD$3,"")</f>
        <v/>
      </c>
      <c r="BC240" s="1" t="str">
        <f>IFERROR($BC$3&amp;VLOOKUP(D242,'Pay Table'!$M$3:$N$18,2,FALSE)&amp;$BB$3&amp;E242&amp;$BD$3,"")</f>
        <v/>
      </c>
      <c r="BD240" s="1" t="str">
        <f>IFERROR($BC$3&amp;VLOOKUP(F242,'Pay Table'!$M$3:$N$18,2,FALSE)&amp;$BB$3&amp;G242&amp;$BD$3,"")</f>
        <v/>
      </c>
      <c r="BE240" s="1" t="str">
        <f>IFERROR($BC$3&amp;VLOOKUP(H242,'Pay Table'!$M$3:$N$18,2,FALSE)&amp;$BB$3&amp;I242&amp;$BD$3,"")</f>
        <v/>
      </c>
      <c r="BF240" s="27" t="str">
        <f>IFERROR($BC$3&amp;VLOOKUP(J242,'Pay Table'!$M$3:$N$18,2,FALSE)&amp;$BB$3&amp;K242&amp;$BD$3,"")</f>
        <v/>
      </c>
    </row>
    <row r="241" spans="54:58" ht="17.100000000000001" customHeight="1" x14ac:dyDescent="0.15">
      <c r="BB241" s="26" t="str">
        <f>IFERROR($BC$3&amp;VLOOKUP(B243,'Pay Table'!$M$3:$N$18,2,FALSE)&amp;$BB$3&amp;C243&amp;$BD$3,"")</f>
        <v/>
      </c>
      <c r="BC241" s="1" t="str">
        <f>IFERROR($BC$3&amp;VLOOKUP(D243,'Pay Table'!$M$3:$N$18,2,FALSE)&amp;$BB$3&amp;E243&amp;$BD$3,"")</f>
        <v/>
      </c>
      <c r="BD241" s="1" t="str">
        <f>IFERROR($BC$3&amp;VLOOKUP(F243,'Pay Table'!$M$3:$N$18,2,FALSE)&amp;$BB$3&amp;G243&amp;$BD$3,"")</f>
        <v/>
      </c>
      <c r="BE241" s="1" t="str">
        <f>IFERROR($BC$3&amp;VLOOKUP(H243,'Pay Table'!$M$3:$N$18,2,FALSE)&amp;$BB$3&amp;I243&amp;$BD$3,"")</f>
        <v/>
      </c>
      <c r="BF241" s="27" t="str">
        <f>IFERROR($BC$3&amp;VLOOKUP(J243,'Pay Table'!$M$3:$N$18,2,FALSE)&amp;$BB$3&amp;K243&amp;$BD$3,"")</f>
        <v/>
      </c>
    </row>
    <row r="242" spans="54:58" ht="17.100000000000001" customHeight="1" x14ac:dyDescent="0.15">
      <c r="BB242" s="26" t="str">
        <f>IFERROR($BC$3&amp;VLOOKUP(B244,'Pay Table'!$M$3:$N$18,2,FALSE)&amp;$BB$3&amp;C244&amp;$BD$3,"")</f>
        <v/>
      </c>
      <c r="BC242" s="1" t="str">
        <f>IFERROR($BC$3&amp;VLOOKUP(D244,'Pay Table'!$M$3:$N$18,2,FALSE)&amp;$BB$3&amp;E244&amp;$BD$3,"")</f>
        <v/>
      </c>
      <c r="BD242" s="1" t="str">
        <f>IFERROR($BC$3&amp;VLOOKUP(F244,'Pay Table'!$M$3:$N$18,2,FALSE)&amp;$BB$3&amp;G244&amp;$BD$3,"")</f>
        <v/>
      </c>
      <c r="BE242" s="1" t="str">
        <f>IFERROR($BC$3&amp;VLOOKUP(H244,'Pay Table'!$M$3:$N$18,2,FALSE)&amp;$BB$3&amp;I244&amp;$BD$3,"")</f>
        <v/>
      </c>
      <c r="BF242" s="27" t="str">
        <f>IFERROR($BC$3&amp;VLOOKUP(J244,'Pay Table'!$M$3:$N$18,2,FALSE)&amp;$BB$3&amp;K244&amp;$BD$3,"")</f>
        <v/>
      </c>
    </row>
    <row r="243" spans="54:58" ht="17.100000000000001" customHeight="1" x14ac:dyDescent="0.15">
      <c r="BB243" s="26" t="str">
        <f>IFERROR($BC$3&amp;VLOOKUP(B245,'Pay Table'!$M$3:$N$18,2,FALSE)&amp;$BB$3&amp;C245&amp;$BD$3,"")</f>
        <v/>
      </c>
      <c r="BC243" s="1" t="str">
        <f>IFERROR($BC$3&amp;VLOOKUP(D245,'Pay Table'!$M$3:$N$18,2,FALSE)&amp;$BB$3&amp;E245&amp;$BD$3,"")</f>
        <v/>
      </c>
      <c r="BD243" s="1" t="str">
        <f>IFERROR($BC$3&amp;VLOOKUP(F245,'Pay Table'!$M$3:$N$18,2,FALSE)&amp;$BB$3&amp;G245&amp;$BD$3,"")</f>
        <v/>
      </c>
      <c r="BE243" s="1" t="str">
        <f>IFERROR($BC$3&amp;VLOOKUP(H245,'Pay Table'!$M$3:$N$18,2,FALSE)&amp;$BB$3&amp;I245&amp;$BD$3,"")</f>
        <v/>
      </c>
      <c r="BF243" s="27" t="str">
        <f>IFERROR($BC$3&amp;VLOOKUP(J245,'Pay Table'!$M$3:$N$18,2,FALSE)&amp;$BB$3&amp;K245&amp;$BD$3,"")</f>
        <v/>
      </c>
    </row>
    <row r="244" spans="54:58" ht="17.100000000000001" customHeight="1" x14ac:dyDescent="0.15">
      <c r="BB244" s="26" t="str">
        <f>IFERROR($BC$3&amp;VLOOKUP(B246,'Pay Table'!$M$3:$N$18,2,FALSE)&amp;$BB$3&amp;C246&amp;$BD$3,"")</f>
        <v/>
      </c>
      <c r="BC244" s="1" t="str">
        <f>IFERROR($BC$3&amp;VLOOKUP(D246,'Pay Table'!$M$3:$N$18,2,FALSE)&amp;$BB$3&amp;E246&amp;$BD$3,"")</f>
        <v/>
      </c>
      <c r="BD244" s="1" t="str">
        <f>IFERROR($BC$3&amp;VLOOKUP(F246,'Pay Table'!$M$3:$N$18,2,FALSE)&amp;$BB$3&amp;G246&amp;$BD$3,"")</f>
        <v/>
      </c>
      <c r="BE244" s="1" t="str">
        <f>IFERROR($BC$3&amp;VLOOKUP(H246,'Pay Table'!$M$3:$N$18,2,FALSE)&amp;$BB$3&amp;I246&amp;$BD$3,"")</f>
        <v/>
      </c>
      <c r="BF244" s="27" t="str">
        <f>IFERROR($BC$3&amp;VLOOKUP(J246,'Pay Table'!$M$3:$N$18,2,FALSE)&amp;$BB$3&amp;K246&amp;$BD$3,"")</f>
        <v/>
      </c>
    </row>
    <row r="245" spans="54:58" ht="17.100000000000001" customHeight="1" x14ac:dyDescent="0.15">
      <c r="BB245" s="26" t="str">
        <f>IFERROR($BC$3&amp;VLOOKUP(B247,'Pay Table'!$M$3:$N$18,2,FALSE)&amp;$BB$3&amp;C247&amp;$BD$3,"")</f>
        <v/>
      </c>
      <c r="BC245" s="1" t="str">
        <f>IFERROR($BC$3&amp;VLOOKUP(D247,'Pay Table'!$M$3:$N$18,2,FALSE)&amp;$BB$3&amp;E247&amp;$BD$3,"")</f>
        <v/>
      </c>
      <c r="BD245" s="1" t="str">
        <f>IFERROR($BC$3&amp;VLOOKUP(F247,'Pay Table'!$M$3:$N$18,2,FALSE)&amp;$BB$3&amp;G247&amp;$BD$3,"")</f>
        <v/>
      </c>
      <c r="BE245" s="1" t="str">
        <f>IFERROR($BC$3&amp;VLOOKUP(H247,'Pay Table'!$M$3:$N$18,2,FALSE)&amp;$BB$3&amp;I247&amp;$BD$3,"")</f>
        <v/>
      </c>
      <c r="BF245" s="27" t="str">
        <f>IFERROR($BC$3&amp;VLOOKUP(J247,'Pay Table'!$M$3:$N$18,2,FALSE)&amp;$BB$3&amp;K247&amp;$BD$3,"")</f>
        <v/>
      </c>
    </row>
    <row r="246" spans="54:58" ht="17.100000000000001" customHeight="1" x14ac:dyDescent="0.15">
      <c r="BB246" s="26" t="str">
        <f>IFERROR($BC$3&amp;VLOOKUP(B248,'Pay Table'!$M$3:$N$18,2,FALSE)&amp;$BB$3&amp;C248&amp;$BD$3,"")</f>
        <v/>
      </c>
      <c r="BC246" s="1" t="str">
        <f>IFERROR($BC$3&amp;VLOOKUP(D248,'Pay Table'!$M$3:$N$18,2,FALSE)&amp;$BB$3&amp;E248&amp;$BD$3,"")</f>
        <v/>
      </c>
      <c r="BD246" s="1" t="str">
        <f>IFERROR($BC$3&amp;VLOOKUP(F248,'Pay Table'!$M$3:$N$18,2,FALSE)&amp;$BB$3&amp;G248&amp;$BD$3,"")</f>
        <v/>
      </c>
      <c r="BE246" s="1" t="str">
        <f>IFERROR($BC$3&amp;VLOOKUP(H248,'Pay Table'!$M$3:$N$18,2,FALSE)&amp;$BB$3&amp;I248&amp;$BD$3,"")</f>
        <v/>
      </c>
      <c r="BF246" s="27" t="str">
        <f>IFERROR($BC$3&amp;VLOOKUP(J248,'Pay Table'!$M$3:$N$18,2,FALSE)&amp;$BB$3&amp;K248&amp;$BD$3,"")</f>
        <v/>
      </c>
    </row>
    <row r="247" spans="54:58" ht="17.100000000000001" customHeight="1" x14ac:dyDescent="0.15">
      <c r="BB247" s="26" t="str">
        <f>IFERROR($BC$3&amp;VLOOKUP(B249,'Pay Table'!$M$3:$N$18,2,FALSE)&amp;$BB$3&amp;C249&amp;$BD$3,"")</f>
        <v/>
      </c>
      <c r="BC247" s="1" t="str">
        <f>IFERROR($BC$3&amp;VLOOKUP(D249,'Pay Table'!$M$3:$N$18,2,FALSE)&amp;$BB$3&amp;E249&amp;$BD$3,"")</f>
        <v/>
      </c>
      <c r="BD247" s="1" t="str">
        <f>IFERROR($BC$3&amp;VLOOKUP(F249,'Pay Table'!$M$3:$N$18,2,FALSE)&amp;$BB$3&amp;G249&amp;$BD$3,"")</f>
        <v/>
      </c>
      <c r="BE247" s="1" t="str">
        <f>IFERROR($BC$3&amp;VLOOKUP(H249,'Pay Table'!$M$3:$N$18,2,FALSE)&amp;$BB$3&amp;I249&amp;$BD$3,"")</f>
        <v/>
      </c>
      <c r="BF247" s="27" t="str">
        <f>IFERROR($BC$3&amp;VLOOKUP(J249,'Pay Table'!$M$3:$N$18,2,FALSE)&amp;$BB$3&amp;K249&amp;$BD$3,"")</f>
        <v/>
      </c>
    </row>
    <row r="248" spans="54:58" ht="17.100000000000001" customHeight="1" x14ac:dyDescent="0.15">
      <c r="BB248" s="26" t="str">
        <f>IFERROR($BC$3&amp;VLOOKUP(B250,'Pay Table'!$M$3:$N$18,2,FALSE)&amp;$BB$3&amp;C250&amp;$BD$3,"")</f>
        <v/>
      </c>
      <c r="BC248" s="1" t="str">
        <f>IFERROR($BC$3&amp;VLOOKUP(D250,'Pay Table'!$M$3:$N$18,2,FALSE)&amp;$BB$3&amp;E250&amp;$BD$3,"")</f>
        <v/>
      </c>
      <c r="BD248" s="1" t="str">
        <f>IFERROR($BC$3&amp;VLOOKUP(F250,'Pay Table'!$M$3:$N$18,2,FALSE)&amp;$BB$3&amp;G250&amp;$BD$3,"")</f>
        <v/>
      </c>
      <c r="BE248" s="1" t="str">
        <f>IFERROR($BC$3&amp;VLOOKUP(H250,'Pay Table'!$M$3:$N$18,2,FALSE)&amp;$BB$3&amp;I250&amp;$BD$3,"")</f>
        <v/>
      </c>
      <c r="BF248" s="27" t="str">
        <f>IFERROR($BC$3&amp;VLOOKUP(J250,'Pay Table'!$M$3:$N$18,2,FALSE)&amp;$BB$3&amp;K250&amp;$BD$3,"")</f>
        <v/>
      </c>
    </row>
    <row r="249" spans="54:58" ht="17.100000000000001" customHeight="1" x14ac:dyDescent="0.15">
      <c r="BB249" s="26" t="str">
        <f>IFERROR($BC$3&amp;VLOOKUP(B251,'Pay Table'!$M$3:$N$18,2,FALSE)&amp;$BB$3&amp;C251&amp;$BD$3,"")</f>
        <v/>
      </c>
      <c r="BC249" s="1" t="str">
        <f>IFERROR($BC$3&amp;VLOOKUP(D251,'Pay Table'!$M$3:$N$18,2,FALSE)&amp;$BB$3&amp;E251&amp;$BD$3,"")</f>
        <v/>
      </c>
      <c r="BD249" s="1" t="str">
        <f>IFERROR($BC$3&amp;VLOOKUP(F251,'Pay Table'!$M$3:$N$18,2,FALSE)&amp;$BB$3&amp;G251&amp;$BD$3,"")</f>
        <v/>
      </c>
      <c r="BE249" s="1" t="str">
        <f>IFERROR($BC$3&amp;VLOOKUP(H251,'Pay Table'!$M$3:$N$18,2,FALSE)&amp;$BB$3&amp;I251&amp;$BD$3,"")</f>
        <v/>
      </c>
      <c r="BF249" s="27" t="str">
        <f>IFERROR($BC$3&amp;VLOOKUP(J251,'Pay Table'!$M$3:$N$18,2,FALSE)&amp;$BB$3&amp;K251&amp;$BD$3,"")</f>
        <v/>
      </c>
    </row>
    <row r="250" spans="54:58" ht="17.100000000000001" customHeight="1" x14ac:dyDescent="0.15">
      <c r="BB250" s="26" t="str">
        <f>IFERROR($BC$3&amp;VLOOKUP(B252,'Pay Table'!$M$3:$N$18,2,FALSE)&amp;$BB$3&amp;C252&amp;$BD$3,"")</f>
        <v/>
      </c>
      <c r="BC250" s="1" t="str">
        <f>IFERROR($BC$3&amp;VLOOKUP(D252,'Pay Table'!$M$3:$N$18,2,FALSE)&amp;$BB$3&amp;E252&amp;$BD$3,"")</f>
        <v/>
      </c>
      <c r="BD250" s="1" t="str">
        <f>IFERROR($BC$3&amp;VLOOKUP(F252,'Pay Table'!$M$3:$N$18,2,FALSE)&amp;$BB$3&amp;G252&amp;$BD$3,"")</f>
        <v/>
      </c>
      <c r="BE250" s="1" t="str">
        <f>IFERROR($BC$3&amp;VLOOKUP(H252,'Pay Table'!$M$3:$N$18,2,FALSE)&amp;$BB$3&amp;I252&amp;$BD$3,"")</f>
        <v/>
      </c>
      <c r="BF250" s="27" t="str">
        <f>IFERROR($BC$3&amp;VLOOKUP(J252,'Pay Table'!$M$3:$N$18,2,FALSE)&amp;$BB$3&amp;K252&amp;$BD$3,"")</f>
        <v/>
      </c>
    </row>
    <row r="251" spans="54:58" ht="17.100000000000001" customHeight="1" x14ac:dyDescent="0.15">
      <c r="BB251" s="26" t="str">
        <f>IFERROR($BC$3&amp;VLOOKUP(B253,'Pay Table'!$M$3:$N$18,2,FALSE)&amp;$BB$3&amp;C253&amp;$BD$3,"")</f>
        <v/>
      </c>
      <c r="BC251" s="1" t="str">
        <f>IFERROR($BC$3&amp;VLOOKUP(D253,'Pay Table'!$M$3:$N$18,2,FALSE)&amp;$BB$3&amp;E253&amp;$BD$3,"")</f>
        <v/>
      </c>
      <c r="BD251" s="1" t="str">
        <f>IFERROR($BC$3&amp;VLOOKUP(F253,'Pay Table'!$M$3:$N$18,2,FALSE)&amp;$BB$3&amp;G253&amp;$BD$3,"")</f>
        <v/>
      </c>
      <c r="BE251" s="1" t="str">
        <f>IFERROR($BC$3&amp;VLOOKUP(H253,'Pay Table'!$M$3:$N$18,2,FALSE)&amp;$BB$3&amp;I253&amp;$BD$3,"")</f>
        <v/>
      </c>
      <c r="BF251" s="27" t="str">
        <f>IFERROR($BC$3&amp;VLOOKUP(J253,'Pay Table'!$M$3:$N$18,2,FALSE)&amp;$BB$3&amp;K253&amp;$BD$3,"")</f>
        <v/>
      </c>
    </row>
    <row r="252" spans="54:58" ht="17.100000000000001" customHeight="1" x14ac:dyDescent="0.15">
      <c r="BB252" s="26" t="str">
        <f>IFERROR($BC$3&amp;VLOOKUP(B254,'Pay Table'!$M$3:$N$18,2,FALSE)&amp;$BB$3&amp;C254&amp;$BD$3,"")</f>
        <v/>
      </c>
      <c r="BC252" s="1" t="str">
        <f>IFERROR($BC$3&amp;VLOOKUP(D254,'Pay Table'!$M$3:$N$18,2,FALSE)&amp;$BB$3&amp;E254&amp;$BD$3,"")</f>
        <v/>
      </c>
      <c r="BD252" s="1" t="str">
        <f>IFERROR($BC$3&amp;VLOOKUP(F254,'Pay Table'!$M$3:$N$18,2,FALSE)&amp;$BB$3&amp;G254&amp;$BD$3,"")</f>
        <v/>
      </c>
      <c r="BE252" s="1" t="str">
        <f>IFERROR($BC$3&amp;VLOOKUP(H254,'Pay Table'!$M$3:$N$18,2,FALSE)&amp;$BB$3&amp;I254&amp;$BD$3,"")</f>
        <v/>
      </c>
      <c r="BF252" s="27" t="str">
        <f>IFERROR($BC$3&amp;VLOOKUP(J254,'Pay Table'!$M$3:$N$18,2,FALSE)&amp;$BB$3&amp;K254&amp;$BD$3,"")</f>
        <v/>
      </c>
    </row>
    <row r="253" spans="54:58" ht="17.100000000000001" customHeight="1" x14ac:dyDescent="0.15">
      <c r="BB253" s="26" t="str">
        <f>IFERROR($BC$3&amp;VLOOKUP(B255,'Pay Table'!$M$3:$N$18,2,FALSE)&amp;$BB$3&amp;C255&amp;$BD$3,"")</f>
        <v/>
      </c>
      <c r="BC253" s="1" t="str">
        <f>IFERROR($BC$3&amp;VLOOKUP(D255,'Pay Table'!$M$3:$N$18,2,FALSE)&amp;$BB$3&amp;E255&amp;$BD$3,"")</f>
        <v/>
      </c>
      <c r="BD253" s="1" t="str">
        <f>IFERROR($BC$3&amp;VLOOKUP(F255,'Pay Table'!$M$3:$N$18,2,FALSE)&amp;$BB$3&amp;G255&amp;$BD$3,"")</f>
        <v/>
      </c>
      <c r="BE253" s="1" t="str">
        <f>IFERROR($BC$3&amp;VLOOKUP(H255,'Pay Table'!$M$3:$N$18,2,FALSE)&amp;$BB$3&amp;I255&amp;$BD$3,"")</f>
        <v/>
      </c>
      <c r="BF253" s="27" t="str">
        <f>IFERROR($BC$3&amp;VLOOKUP(J255,'Pay Table'!$M$3:$N$18,2,FALSE)&amp;$BB$3&amp;K255&amp;$BD$3,"")</f>
        <v/>
      </c>
    </row>
    <row r="254" spans="54:58" ht="17.100000000000001" customHeight="1" x14ac:dyDescent="0.15">
      <c r="BB254" s="26" t="str">
        <f>IFERROR($BC$3&amp;VLOOKUP(B256,'Pay Table'!$M$3:$N$18,2,FALSE)&amp;$BB$3&amp;C256&amp;$BD$3,"")</f>
        <v/>
      </c>
      <c r="BC254" s="1" t="str">
        <f>IFERROR($BC$3&amp;VLOOKUP(D256,'Pay Table'!$M$3:$N$18,2,FALSE)&amp;$BB$3&amp;E256&amp;$BD$3,"")</f>
        <v/>
      </c>
      <c r="BD254" s="1" t="str">
        <f>IFERROR($BC$3&amp;VLOOKUP(F256,'Pay Table'!$M$3:$N$18,2,FALSE)&amp;$BB$3&amp;G256&amp;$BD$3,"")</f>
        <v/>
      </c>
      <c r="BE254" s="1" t="str">
        <f>IFERROR($BC$3&amp;VLOOKUP(H256,'Pay Table'!$M$3:$N$18,2,FALSE)&amp;$BB$3&amp;I256&amp;$BD$3,"")</f>
        <v/>
      </c>
      <c r="BF254" s="27" t="str">
        <f>IFERROR($BC$3&amp;VLOOKUP(J256,'Pay Table'!$M$3:$N$18,2,FALSE)&amp;$BB$3&amp;K256&amp;$BD$3,"")</f>
        <v/>
      </c>
    </row>
    <row r="255" spans="54:58" ht="17.100000000000001" customHeight="1" x14ac:dyDescent="0.15">
      <c r="BB255" s="26" t="str">
        <f>IFERROR($BC$3&amp;VLOOKUP(B257,'Pay Table'!$M$3:$N$18,2,FALSE)&amp;$BB$3&amp;C257&amp;$BD$3,"")</f>
        <v/>
      </c>
      <c r="BC255" s="1" t="str">
        <f>IFERROR($BC$3&amp;VLOOKUP(D257,'Pay Table'!$M$3:$N$18,2,FALSE)&amp;$BB$3&amp;E257&amp;$BD$3,"")</f>
        <v/>
      </c>
      <c r="BD255" s="1" t="str">
        <f>IFERROR($BC$3&amp;VLOOKUP(F257,'Pay Table'!$M$3:$N$18,2,FALSE)&amp;$BB$3&amp;G257&amp;$BD$3,"")</f>
        <v/>
      </c>
      <c r="BE255" s="1" t="str">
        <f>IFERROR($BC$3&amp;VLOOKUP(H257,'Pay Table'!$M$3:$N$18,2,FALSE)&amp;$BB$3&amp;I257&amp;$BD$3,"")</f>
        <v/>
      </c>
      <c r="BF255" s="27" t="str">
        <f>IFERROR($BC$3&amp;VLOOKUP(J257,'Pay Table'!$M$3:$N$18,2,FALSE)&amp;$BB$3&amp;K257&amp;$BD$3,"")</f>
        <v/>
      </c>
    </row>
    <row r="256" spans="54:58" ht="17.100000000000001" customHeight="1" x14ac:dyDescent="0.15">
      <c r="BB256" s="26" t="str">
        <f>IFERROR($BC$3&amp;VLOOKUP(B258,'Pay Table'!$M$3:$N$18,2,FALSE)&amp;$BB$3&amp;C258&amp;$BD$3,"")</f>
        <v/>
      </c>
      <c r="BC256" s="1" t="str">
        <f>IFERROR($BC$3&amp;VLOOKUP(D258,'Pay Table'!$M$3:$N$18,2,FALSE)&amp;$BB$3&amp;E258&amp;$BD$3,"")</f>
        <v/>
      </c>
      <c r="BD256" s="1" t="str">
        <f>IFERROR($BC$3&amp;VLOOKUP(F258,'Pay Table'!$M$3:$N$18,2,FALSE)&amp;$BB$3&amp;G258&amp;$BD$3,"")</f>
        <v/>
      </c>
      <c r="BE256" s="1" t="str">
        <f>IFERROR($BC$3&amp;VLOOKUP(H258,'Pay Table'!$M$3:$N$18,2,FALSE)&amp;$BB$3&amp;I258&amp;$BD$3,"")</f>
        <v/>
      </c>
      <c r="BF256" s="27" t="str">
        <f>IFERROR($BC$3&amp;VLOOKUP(J258,'Pay Table'!$M$3:$N$18,2,FALSE)&amp;$BB$3&amp;K258&amp;$BD$3,"")</f>
        <v/>
      </c>
    </row>
    <row r="257" spans="54:58" ht="17.100000000000001" customHeight="1" x14ac:dyDescent="0.15">
      <c r="BB257" s="26" t="str">
        <f>IFERROR($BC$3&amp;VLOOKUP(B259,'Pay Table'!$M$3:$N$18,2,FALSE)&amp;$BB$3&amp;C259&amp;$BD$3,"")</f>
        <v/>
      </c>
      <c r="BC257" s="1" t="str">
        <f>IFERROR($BC$3&amp;VLOOKUP(D259,'Pay Table'!$M$3:$N$18,2,FALSE)&amp;$BB$3&amp;E259&amp;$BD$3,"")</f>
        <v/>
      </c>
      <c r="BD257" s="1" t="str">
        <f>IFERROR($BC$3&amp;VLOOKUP(F259,'Pay Table'!$M$3:$N$18,2,FALSE)&amp;$BB$3&amp;G259&amp;$BD$3,"")</f>
        <v/>
      </c>
      <c r="BE257" s="1" t="str">
        <f>IFERROR($BC$3&amp;VLOOKUP(H259,'Pay Table'!$M$3:$N$18,2,FALSE)&amp;$BB$3&amp;I259&amp;$BD$3,"")</f>
        <v/>
      </c>
      <c r="BF257" s="27" t="str">
        <f>IFERROR($BC$3&amp;VLOOKUP(J259,'Pay Table'!$M$3:$N$18,2,FALSE)&amp;$BB$3&amp;K259&amp;$BD$3,"")</f>
        <v/>
      </c>
    </row>
    <row r="258" spans="54:58" ht="17.100000000000001" customHeight="1" x14ac:dyDescent="0.15">
      <c r="BB258" s="26" t="str">
        <f>IFERROR($BC$3&amp;VLOOKUP(B260,'Pay Table'!$M$3:$N$18,2,FALSE)&amp;$BB$3&amp;C260&amp;$BD$3,"")</f>
        <v/>
      </c>
      <c r="BC258" s="1" t="str">
        <f>IFERROR($BC$3&amp;VLOOKUP(D260,'Pay Table'!$M$3:$N$18,2,FALSE)&amp;$BB$3&amp;E260&amp;$BD$3,"")</f>
        <v/>
      </c>
      <c r="BD258" s="1" t="str">
        <f>IFERROR($BC$3&amp;VLOOKUP(F260,'Pay Table'!$M$3:$N$18,2,FALSE)&amp;$BB$3&amp;G260&amp;$BD$3,"")</f>
        <v/>
      </c>
      <c r="BE258" s="1" t="str">
        <f>IFERROR($BC$3&amp;VLOOKUP(H260,'Pay Table'!$M$3:$N$18,2,FALSE)&amp;$BB$3&amp;I260&amp;$BD$3,"")</f>
        <v/>
      </c>
      <c r="BF258" s="27" t="str">
        <f>IFERROR($BC$3&amp;VLOOKUP(J260,'Pay Table'!$M$3:$N$18,2,FALSE)&amp;$BB$3&amp;K260&amp;$BD$3,"")</f>
        <v/>
      </c>
    </row>
    <row r="259" spans="54:58" ht="17.100000000000001" customHeight="1" x14ac:dyDescent="0.15">
      <c r="BB259" s="26" t="str">
        <f>IFERROR($BC$3&amp;VLOOKUP(B261,'Pay Table'!$M$3:$N$18,2,FALSE)&amp;$BB$3&amp;C261&amp;$BD$3,"")</f>
        <v/>
      </c>
      <c r="BC259" s="1" t="str">
        <f>IFERROR($BC$3&amp;VLOOKUP(D261,'Pay Table'!$M$3:$N$18,2,FALSE)&amp;$BB$3&amp;E261&amp;$BD$3,"")</f>
        <v/>
      </c>
      <c r="BD259" s="1" t="str">
        <f>IFERROR($BC$3&amp;VLOOKUP(F261,'Pay Table'!$M$3:$N$18,2,FALSE)&amp;$BB$3&amp;G261&amp;$BD$3,"")</f>
        <v/>
      </c>
      <c r="BE259" s="1" t="str">
        <f>IFERROR($BC$3&amp;VLOOKUP(H261,'Pay Table'!$M$3:$N$18,2,FALSE)&amp;$BB$3&amp;I261&amp;$BD$3,"")</f>
        <v/>
      </c>
      <c r="BF259" s="27" t="str">
        <f>IFERROR($BC$3&amp;VLOOKUP(J261,'Pay Table'!$M$3:$N$18,2,FALSE)&amp;$BB$3&amp;K261&amp;$BD$3,"")</f>
        <v/>
      </c>
    </row>
    <row r="260" spans="54:58" ht="17.100000000000001" customHeight="1" x14ac:dyDescent="0.15">
      <c r="BB260" s="26" t="str">
        <f>IFERROR($BC$3&amp;VLOOKUP(B262,'Pay Table'!$M$3:$N$18,2,FALSE)&amp;$BB$3&amp;C262&amp;$BD$3,"")</f>
        <v/>
      </c>
      <c r="BC260" s="1" t="str">
        <f>IFERROR($BC$3&amp;VLOOKUP(D262,'Pay Table'!$M$3:$N$18,2,FALSE)&amp;$BB$3&amp;E262&amp;$BD$3,"")</f>
        <v/>
      </c>
      <c r="BD260" s="1" t="str">
        <f>IFERROR($BC$3&amp;VLOOKUP(F262,'Pay Table'!$M$3:$N$18,2,FALSE)&amp;$BB$3&amp;G262&amp;$BD$3,"")</f>
        <v/>
      </c>
      <c r="BE260" s="1" t="str">
        <f>IFERROR($BC$3&amp;VLOOKUP(H262,'Pay Table'!$M$3:$N$18,2,FALSE)&amp;$BB$3&amp;I262&amp;$BD$3,"")</f>
        <v/>
      </c>
      <c r="BF260" s="27" t="str">
        <f>IFERROR($BC$3&amp;VLOOKUP(J262,'Pay Table'!$M$3:$N$18,2,FALSE)&amp;$BB$3&amp;K262&amp;$BD$3,"")</f>
        <v/>
      </c>
    </row>
    <row r="261" spans="54:58" ht="17.100000000000001" customHeight="1" x14ac:dyDescent="0.15">
      <c r="BB261" s="26" t="str">
        <f>IFERROR($BC$3&amp;VLOOKUP(B263,'Pay Table'!$M$3:$N$18,2,FALSE)&amp;$BB$3&amp;C263&amp;$BD$3,"")</f>
        <v/>
      </c>
      <c r="BC261" s="1" t="str">
        <f>IFERROR($BC$3&amp;VLOOKUP(D263,'Pay Table'!$M$3:$N$18,2,FALSE)&amp;$BB$3&amp;E263&amp;$BD$3,"")</f>
        <v/>
      </c>
      <c r="BD261" s="1" t="str">
        <f>IFERROR($BC$3&amp;VLOOKUP(F263,'Pay Table'!$M$3:$N$18,2,FALSE)&amp;$BB$3&amp;G263&amp;$BD$3,"")</f>
        <v/>
      </c>
      <c r="BE261" s="1" t="str">
        <f>IFERROR($BC$3&amp;VLOOKUP(H263,'Pay Table'!$M$3:$N$18,2,FALSE)&amp;$BB$3&amp;I263&amp;$BD$3,"")</f>
        <v/>
      </c>
      <c r="BF261" s="27" t="str">
        <f>IFERROR($BC$3&amp;VLOOKUP(J263,'Pay Table'!$M$3:$N$18,2,FALSE)&amp;$BB$3&amp;K263&amp;$BD$3,"")</f>
        <v/>
      </c>
    </row>
    <row r="262" spans="54:58" ht="17.100000000000001" customHeight="1" x14ac:dyDescent="0.15">
      <c r="BB262" s="26" t="str">
        <f>IFERROR($BC$3&amp;VLOOKUP(B264,'Pay Table'!$M$3:$N$18,2,FALSE)&amp;$BB$3&amp;C264&amp;$BD$3,"")</f>
        <v/>
      </c>
      <c r="BC262" s="1" t="str">
        <f>IFERROR($BC$3&amp;VLOOKUP(D264,'Pay Table'!$M$3:$N$18,2,FALSE)&amp;$BB$3&amp;E264&amp;$BD$3,"")</f>
        <v/>
      </c>
      <c r="BD262" s="1" t="str">
        <f>IFERROR($BC$3&amp;VLOOKUP(F264,'Pay Table'!$M$3:$N$18,2,FALSE)&amp;$BB$3&amp;G264&amp;$BD$3,"")</f>
        <v/>
      </c>
      <c r="BE262" s="1" t="str">
        <f>IFERROR($BC$3&amp;VLOOKUP(H264,'Pay Table'!$M$3:$N$18,2,FALSE)&amp;$BB$3&amp;I264&amp;$BD$3,"")</f>
        <v/>
      </c>
      <c r="BF262" s="27" t="str">
        <f>IFERROR($BC$3&amp;VLOOKUP(J264,'Pay Table'!$M$3:$N$18,2,FALSE)&amp;$BB$3&amp;K264&amp;$BD$3,"")</f>
        <v/>
      </c>
    </row>
    <row r="263" spans="54:58" ht="17.100000000000001" customHeight="1" x14ac:dyDescent="0.15">
      <c r="BB263" s="26" t="str">
        <f>IFERROR($BC$3&amp;VLOOKUP(B265,'Pay Table'!$M$3:$N$18,2,FALSE)&amp;$BB$3&amp;C265&amp;$BD$3,"")</f>
        <v/>
      </c>
      <c r="BC263" s="1" t="str">
        <f>IFERROR($BC$3&amp;VLOOKUP(D265,'Pay Table'!$M$3:$N$18,2,FALSE)&amp;$BB$3&amp;E265&amp;$BD$3,"")</f>
        <v/>
      </c>
      <c r="BD263" s="1" t="str">
        <f>IFERROR($BC$3&amp;VLOOKUP(F265,'Pay Table'!$M$3:$N$18,2,FALSE)&amp;$BB$3&amp;G265&amp;$BD$3,"")</f>
        <v/>
      </c>
      <c r="BE263" s="1" t="str">
        <f>IFERROR($BC$3&amp;VLOOKUP(H265,'Pay Table'!$M$3:$N$18,2,FALSE)&amp;$BB$3&amp;I265&amp;$BD$3,"")</f>
        <v/>
      </c>
      <c r="BF263" s="27" t="str">
        <f>IFERROR($BC$3&amp;VLOOKUP(J265,'Pay Table'!$M$3:$N$18,2,FALSE)&amp;$BB$3&amp;K265&amp;$BD$3,"")</f>
        <v/>
      </c>
    </row>
    <row r="264" spans="54:58" ht="17.100000000000001" customHeight="1" x14ac:dyDescent="0.15">
      <c r="BB264" s="26" t="str">
        <f>IFERROR($BC$3&amp;VLOOKUP(B266,'Pay Table'!$M$3:$N$18,2,FALSE)&amp;$BB$3&amp;C266&amp;$BD$3,"")</f>
        <v/>
      </c>
      <c r="BC264" s="1" t="str">
        <f>IFERROR($BC$3&amp;VLOOKUP(D266,'Pay Table'!$M$3:$N$18,2,FALSE)&amp;$BB$3&amp;E266&amp;$BD$3,"")</f>
        <v/>
      </c>
      <c r="BD264" s="1" t="str">
        <f>IFERROR($BC$3&amp;VLOOKUP(F266,'Pay Table'!$M$3:$N$18,2,FALSE)&amp;$BB$3&amp;G266&amp;$BD$3,"")</f>
        <v/>
      </c>
      <c r="BE264" s="1" t="str">
        <f>IFERROR($BC$3&amp;VLOOKUP(H266,'Pay Table'!$M$3:$N$18,2,FALSE)&amp;$BB$3&amp;I266&amp;$BD$3,"")</f>
        <v/>
      </c>
      <c r="BF264" s="27" t="str">
        <f>IFERROR($BC$3&amp;VLOOKUP(J266,'Pay Table'!$M$3:$N$18,2,FALSE)&amp;$BB$3&amp;K266&amp;$BD$3,"")</f>
        <v/>
      </c>
    </row>
    <row r="265" spans="54:58" ht="17.100000000000001" customHeight="1" x14ac:dyDescent="0.15">
      <c r="BB265" s="26" t="str">
        <f>IFERROR($BC$3&amp;VLOOKUP(B267,'Pay Table'!$M$3:$N$18,2,FALSE)&amp;$BB$3&amp;C267&amp;$BD$3,"")</f>
        <v/>
      </c>
      <c r="BC265" s="1" t="str">
        <f>IFERROR($BC$3&amp;VLOOKUP(D267,'Pay Table'!$M$3:$N$18,2,FALSE)&amp;$BB$3&amp;E267&amp;$BD$3,"")</f>
        <v/>
      </c>
      <c r="BD265" s="1" t="str">
        <f>IFERROR($BC$3&amp;VLOOKUP(F267,'Pay Table'!$M$3:$N$18,2,FALSE)&amp;$BB$3&amp;G267&amp;$BD$3,"")</f>
        <v/>
      </c>
      <c r="BE265" s="1" t="str">
        <f>IFERROR($BC$3&amp;VLOOKUP(H267,'Pay Table'!$M$3:$N$18,2,FALSE)&amp;$BB$3&amp;I267&amp;$BD$3,"")</f>
        <v/>
      </c>
      <c r="BF265" s="27" t="str">
        <f>IFERROR($BC$3&amp;VLOOKUP(J267,'Pay Table'!$M$3:$N$18,2,FALSE)&amp;$BB$3&amp;K267&amp;$BD$3,"")</f>
        <v/>
      </c>
    </row>
    <row r="266" spans="54:58" ht="17.100000000000001" customHeight="1" x14ac:dyDescent="0.15">
      <c r="BB266" s="26" t="str">
        <f>IFERROR($BC$3&amp;VLOOKUP(B268,'Pay Table'!$M$3:$N$18,2,FALSE)&amp;$BB$3&amp;C268&amp;$BD$3,"")</f>
        <v/>
      </c>
      <c r="BC266" s="1" t="str">
        <f>IFERROR($BC$3&amp;VLOOKUP(D268,'Pay Table'!$M$3:$N$18,2,FALSE)&amp;$BB$3&amp;E268&amp;$BD$3,"")</f>
        <v/>
      </c>
      <c r="BD266" s="1" t="str">
        <f>IFERROR($BC$3&amp;VLOOKUP(F268,'Pay Table'!$M$3:$N$18,2,FALSE)&amp;$BB$3&amp;G268&amp;$BD$3,"")</f>
        <v/>
      </c>
      <c r="BE266" s="1" t="str">
        <f>IFERROR($BC$3&amp;VLOOKUP(H268,'Pay Table'!$M$3:$N$18,2,FALSE)&amp;$BB$3&amp;I268&amp;$BD$3,"")</f>
        <v/>
      </c>
      <c r="BF266" s="27" t="str">
        <f>IFERROR($BC$3&amp;VLOOKUP(J268,'Pay Table'!$M$3:$N$18,2,FALSE)&amp;$BB$3&amp;K268&amp;$BD$3,"")</f>
        <v/>
      </c>
    </row>
    <row r="267" spans="54:58" ht="17.100000000000001" customHeight="1" x14ac:dyDescent="0.15">
      <c r="BB267" s="26" t="str">
        <f>IFERROR($BC$3&amp;VLOOKUP(B269,'Pay Table'!$M$3:$N$18,2,FALSE)&amp;$BB$3&amp;C269&amp;$BD$3,"")</f>
        <v/>
      </c>
      <c r="BC267" s="1" t="str">
        <f>IFERROR($BC$3&amp;VLOOKUP(D269,'Pay Table'!$M$3:$N$18,2,FALSE)&amp;$BB$3&amp;E269&amp;$BD$3,"")</f>
        <v/>
      </c>
      <c r="BD267" s="1" t="str">
        <f>IFERROR($BC$3&amp;VLOOKUP(F269,'Pay Table'!$M$3:$N$18,2,FALSE)&amp;$BB$3&amp;G269&amp;$BD$3,"")</f>
        <v/>
      </c>
      <c r="BE267" s="1" t="str">
        <f>IFERROR($BC$3&amp;VLOOKUP(H269,'Pay Table'!$M$3:$N$18,2,FALSE)&amp;$BB$3&amp;I269&amp;$BD$3,"")</f>
        <v/>
      </c>
      <c r="BF267" s="27" t="str">
        <f>IFERROR($BC$3&amp;VLOOKUP(J269,'Pay Table'!$M$3:$N$18,2,FALSE)&amp;$BB$3&amp;K269&amp;$BD$3,"")</f>
        <v/>
      </c>
    </row>
    <row r="268" spans="54:58" ht="17.100000000000001" customHeight="1" x14ac:dyDescent="0.15">
      <c r="BB268" s="26" t="str">
        <f>IFERROR($BC$3&amp;VLOOKUP(B270,'Pay Table'!$M$3:$N$18,2,FALSE)&amp;$BB$3&amp;C270&amp;$BD$3,"")</f>
        <v/>
      </c>
      <c r="BC268" s="1" t="str">
        <f>IFERROR($BC$3&amp;VLOOKUP(D270,'Pay Table'!$M$3:$N$18,2,FALSE)&amp;$BB$3&amp;E270&amp;$BD$3,"")</f>
        <v/>
      </c>
      <c r="BD268" s="1" t="str">
        <f>IFERROR($BC$3&amp;VLOOKUP(F270,'Pay Table'!$M$3:$N$18,2,FALSE)&amp;$BB$3&amp;G270&amp;$BD$3,"")</f>
        <v/>
      </c>
      <c r="BE268" s="1" t="str">
        <f>IFERROR($BC$3&amp;VLOOKUP(H270,'Pay Table'!$M$3:$N$18,2,FALSE)&amp;$BB$3&amp;I270&amp;$BD$3,"")</f>
        <v/>
      </c>
      <c r="BF268" s="27" t="str">
        <f>IFERROR($BC$3&amp;VLOOKUP(J270,'Pay Table'!$M$3:$N$18,2,FALSE)&amp;$BB$3&amp;K270&amp;$BD$3,"")</f>
        <v/>
      </c>
    </row>
    <row r="269" spans="54:58" ht="17.100000000000001" customHeight="1" x14ac:dyDescent="0.15">
      <c r="BB269" s="26" t="str">
        <f>IFERROR($BC$3&amp;VLOOKUP(B271,'Pay Table'!$M$3:$N$18,2,FALSE)&amp;$BB$3&amp;C271&amp;$BD$3,"")</f>
        <v/>
      </c>
      <c r="BC269" s="1" t="str">
        <f>IFERROR($BC$3&amp;VLOOKUP(D271,'Pay Table'!$M$3:$N$18,2,FALSE)&amp;$BB$3&amp;E271&amp;$BD$3,"")</f>
        <v/>
      </c>
      <c r="BD269" s="1" t="str">
        <f>IFERROR($BC$3&amp;VLOOKUP(F271,'Pay Table'!$M$3:$N$18,2,FALSE)&amp;$BB$3&amp;G271&amp;$BD$3,"")</f>
        <v/>
      </c>
      <c r="BE269" s="1" t="str">
        <f>IFERROR($BC$3&amp;VLOOKUP(H271,'Pay Table'!$M$3:$N$18,2,FALSE)&amp;$BB$3&amp;I271&amp;$BD$3,"")</f>
        <v/>
      </c>
      <c r="BF269" s="27" t="str">
        <f>IFERROR($BC$3&amp;VLOOKUP(J271,'Pay Table'!$M$3:$N$18,2,FALSE)&amp;$BB$3&amp;K271&amp;$BD$3,"")</f>
        <v/>
      </c>
    </row>
    <row r="270" spans="54:58" ht="17.100000000000001" customHeight="1" x14ac:dyDescent="0.15">
      <c r="BB270" s="26" t="str">
        <f>IFERROR($BC$3&amp;VLOOKUP(B272,'Pay Table'!$M$3:$N$18,2,FALSE)&amp;$BB$3&amp;C272&amp;$BD$3,"")</f>
        <v/>
      </c>
      <c r="BC270" s="1" t="str">
        <f>IFERROR($BC$3&amp;VLOOKUP(D272,'Pay Table'!$M$3:$N$18,2,FALSE)&amp;$BB$3&amp;E272&amp;$BD$3,"")</f>
        <v/>
      </c>
      <c r="BD270" s="1" t="str">
        <f>IFERROR($BC$3&amp;VLOOKUP(F272,'Pay Table'!$M$3:$N$18,2,FALSE)&amp;$BB$3&amp;G272&amp;$BD$3,"")</f>
        <v/>
      </c>
      <c r="BE270" s="1" t="str">
        <f>IFERROR($BC$3&amp;VLOOKUP(H272,'Pay Table'!$M$3:$N$18,2,FALSE)&amp;$BB$3&amp;I272&amp;$BD$3,"")</f>
        <v/>
      </c>
      <c r="BF270" s="27" t="str">
        <f>IFERROR($BC$3&amp;VLOOKUP(J272,'Pay Table'!$M$3:$N$18,2,FALSE)&amp;$BB$3&amp;K272&amp;$BD$3,"")</f>
        <v/>
      </c>
    </row>
    <row r="271" spans="54:58" ht="17.100000000000001" customHeight="1" x14ac:dyDescent="0.15">
      <c r="BB271" s="26" t="str">
        <f>IFERROR($BC$3&amp;VLOOKUP(B273,'Pay Table'!$M$3:$N$18,2,FALSE)&amp;$BB$3&amp;C273&amp;$BD$3,"")</f>
        <v/>
      </c>
      <c r="BC271" s="1" t="str">
        <f>IFERROR($BC$3&amp;VLOOKUP(D273,'Pay Table'!$M$3:$N$18,2,FALSE)&amp;$BB$3&amp;E273&amp;$BD$3,"")</f>
        <v/>
      </c>
      <c r="BD271" s="1" t="str">
        <f>IFERROR($BC$3&amp;VLOOKUP(F273,'Pay Table'!$M$3:$N$18,2,FALSE)&amp;$BB$3&amp;G273&amp;$BD$3,"")</f>
        <v/>
      </c>
      <c r="BE271" s="1" t="str">
        <f>IFERROR($BC$3&amp;VLOOKUP(H273,'Pay Table'!$M$3:$N$18,2,FALSE)&amp;$BB$3&amp;I273&amp;$BD$3,"")</f>
        <v/>
      </c>
      <c r="BF271" s="27" t="str">
        <f>IFERROR($BC$3&amp;VLOOKUP(J273,'Pay Table'!$M$3:$N$18,2,FALSE)&amp;$BB$3&amp;K273&amp;$BD$3,"")</f>
        <v/>
      </c>
    </row>
    <row r="272" spans="54:58" ht="17.100000000000001" customHeight="1" x14ac:dyDescent="0.15">
      <c r="BB272" s="26" t="str">
        <f>IFERROR($BC$3&amp;VLOOKUP(B274,'Pay Table'!$M$3:$N$18,2,FALSE)&amp;$BB$3&amp;C274&amp;$BD$3,"")</f>
        <v/>
      </c>
      <c r="BC272" s="1" t="str">
        <f>IFERROR($BC$3&amp;VLOOKUP(D274,'Pay Table'!$M$3:$N$18,2,FALSE)&amp;$BB$3&amp;E274&amp;$BD$3,"")</f>
        <v/>
      </c>
      <c r="BD272" s="1" t="str">
        <f>IFERROR($BC$3&amp;VLOOKUP(F274,'Pay Table'!$M$3:$N$18,2,FALSE)&amp;$BB$3&amp;G274&amp;$BD$3,"")</f>
        <v/>
      </c>
      <c r="BE272" s="1" t="str">
        <f>IFERROR($BC$3&amp;VLOOKUP(H274,'Pay Table'!$M$3:$N$18,2,FALSE)&amp;$BB$3&amp;I274&amp;$BD$3,"")</f>
        <v/>
      </c>
      <c r="BF272" s="27" t="str">
        <f>IFERROR($BC$3&amp;VLOOKUP(J274,'Pay Table'!$M$3:$N$18,2,FALSE)&amp;$BB$3&amp;K274&amp;$BD$3,"")</f>
        <v/>
      </c>
    </row>
    <row r="273" spans="54:58" ht="17.100000000000001" customHeight="1" x14ac:dyDescent="0.15">
      <c r="BB273" s="26" t="str">
        <f>IFERROR($BC$3&amp;VLOOKUP(B275,'Pay Table'!$M$3:$N$18,2,FALSE)&amp;$BB$3&amp;C275&amp;$BD$3,"")</f>
        <v/>
      </c>
      <c r="BC273" s="1" t="str">
        <f>IFERROR($BC$3&amp;VLOOKUP(D275,'Pay Table'!$M$3:$N$18,2,FALSE)&amp;$BB$3&amp;E275&amp;$BD$3,"")</f>
        <v/>
      </c>
      <c r="BD273" s="1" t="str">
        <f>IFERROR($BC$3&amp;VLOOKUP(F275,'Pay Table'!$M$3:$N$18,2,FALSE)&amp;$BB$3&amp;G275&amp;$BD$3,"")</f>
        <v/>
      </c>
      <c r="BE273" s="1" t="str">
        <f>IFERROR($BC$3&amp;VLOOKUP(H275,'Pay Table'!$M$3:$N$18,2,FALSE)&amp;$BB$3&amp;I275&amp;$BD$3,"")</f>
        <v/>
      </c>
      <c r="BF273" s="27" t="str">
        <f>IFERROR($BC$3&amp;VLOOKUP(J275,'Pay Table'!$M$3:$N$18,2,FALSE)&amp;$BB$3&amp;K275&amp;$BD$3,"")</f>
        <v/>
      </c>
    </row>
    <row r="274" spans="54:58" ht="17.100000000000001" customHeight="1" x14ac:dyDescent="0.15">
      <c r="BB274" s="26" t="str">
        <f>IFERROR($BC$3&amp;VLOOKUP(B276,'Pay Table'!$M$3:$N$18,2,FALSE)&amp;$BB$3&amp;C276&amp;$BD$3,"")</f>
        <v/>
      </c>
      <c r="BC274" s="1" t="str">
        <f>IFERROR($BC$3&amp;VLOOKUP(D276,'Pay Table'!$M$3:$N$18,2,FALSE)&amp;$BB$3&amp;E276&amp;$BD$3,"")</f>
        <v/>
      </c>
      <c r="BD274" s="1" t="str">
        <f>IFERROR($BC$3&amp;VLOOKUP(F276,'Pay Table'!$M$3:$N$18,2,FALSE)&amp;$BB$3&amp;G276&amp;$BD$3,"")</f>
        <v/>
      </c>
      <c r="BE274" s="1" t="str">
        <f>IFERROR($BC$3&amp;VLOOKUP(H276,'Pay Table'!$M$3:$N$18,2,FALSE)&amp;$BB$3&amp;I276&amp;$BD$3,"")</f>
        <v/>
      </c>
      <c r="BF274" s="27" t="str">
        <f>IFERROR($BC$3&amp;VLOOKUP(J276,'Pay Table'!$M$3:$N$18,2,FALSE)&amp;$BB$3&amp;K276&amp;$BD$3,"")</f>
        <v/>
      </c>
    </row>
    <row r="275" spans="54:58" ht="17.100000000000001" customHeight="1" x14ac:dyDescent="0.15">
      <c r="BB275" s="26" t="str">
        <f>IFERROR($BC$3&amp;VLOOKUP(B277,'Pay Table'!$M$3:$N$18,2,FALSE)&amp;$BB$3&amp;C277&amp;$BD$3,"")</f>
        <v/>
      </c>
      <c r="BC275" s="1" t="str">
        <f>IFERROR($BC$3&amp;VLOOKUP(D277,'Pay Table'!$M$3:$N$18,2,FALSE)&amp;$BB$3&amp;E277&amp;$BD$3,"")</f>
        <v/>
      </c>
      <c r="BD275" s="1" t="str">
        <f>IFERROR($BC$3&amp;VLOOKUP(F277,'Pay Table'!$M$3:$N$18,2,FALSE)&amp;$BB$3&amp;G277&amp;$BD$3,"")</f>
        <v/>
      </c>
      <c r="BE275" s="1" t="str">
        <f>IFERROR($BC$3&amp;VLOOKUP(H277,'Pay Table'!$M$3:$N$18,2,FALSE)&amp;$BB$3&amp;I277&amp;$BD$3,"")</f>
        <v/>
      </c>
      <c r="BF275" s="27" t="str">
        <f>IFERROR($BC$3&amp;VLOOKUP(J277,'Pay Table'!$M$3:$N$18,2,FALSE)&amp;$BB$3&amp;K277&amp;$BD$3,"")</f>
        <v/>
      </c>
    </row>
    <row r="276" spans="54:58" ht="17.100000000000001" customHeight="1" x14ac:dyDescent="0.15">
      <c r="BB276" s="26" t="str">
        <f>IFERROR($BC$3&amp;VLOOKUP(B278,'Pay Table'!$M$3:$N$18,2,FALSE)&amp;$BB$3&amp;C278&amp;$BD$3,"")</f>
        <v/>
      </c>
      <c r="BC276" s="1" t="str">
        <f>IFERROR($BC$3&amp;VLOOKUP(D278,'Pay Table'!$M$3:$N$18,2,FALSE)&amp;$BB$3&amp;E278&amp;$BD$3,"")</f>
        <v/>
      </c>
      <c r="BD276" s="1" t="str">
        <f>IFERROR($BC$3&amp;VLOOKUP(F278,'Pay Table'!$M$3:$N$18,2,FALSE)&amp;$BB$3&amp;G278&amp;$BD$3,"")</f>
        <v/>
      </c>
      <c r="BE276" s="1" t="str">
        <f>IFERROR($BC$3&amp;VLOOKUP(H278,'Pay Table'!$M$3:$N$18,2,FALSE)&amp;$BB$3&amp;I278&amp;$BD$3,"")</f>
        <v/>
      </c>
      <c r="BF276" s="27" t="str">
        <f>IFERROR($BC$3&amp;VLOOKUP(J278,'Pay Table'!$M$3:$N$18,2,FALSE)&amp;$BB$3&amp;K278&amp;$BD$3,"")</f>
        <v/>
      </c>
    </row>
    <row r="277" spans="54:58" ht="17.100000000000001" customHeight="1" x14ac:dyDescent="0.15">
      <c r="BB277" s="26" t="str">
        <f>IFERROR($BC$3&amp;VLOOKUP(B279,'Pay Table'!$M$3:$N$18,2,FALSE)&amp;$BB$3&amp;C279&amp;$BD$3,"")</f>
        <v/>
      </c>
      <c r="BC277" s="1" t="str">
        <f>IFERROR($BC$3&amp;VLOOKUP(D279,'Pay Table'!$M$3:$N$18,2,FALSE)&amp;$BB$3&amp;E279&amp;$BD$3,"")</f>
        <v/>
      </c>
      <c r="BD277" s="1" t="str">
        <f>IFERROR($BC$3&amp;VLOOKUP(F279,'Pay Table'!$M$3:$N$18,2,FALSE)&amp;$BB$3&amp;G279&amp;$BD$3,"")</f>
        <v/>
      </c>
      <c r="BE277" s="1" t="str">
        <f>IFERROR($BC$3&amp;VLOOKUP(H279,'Pay Table'!$M$3:$N$18,2,FALSE)&amp;$BB$3&amp;I279&amp;$BD$3,"")</f>
        <v/>
      </c>
      <c r="BF277" s="27" t="str">
        <f>IFERROR($BC$3&amp;VLOOKUP(J279,'Pay Table'!$M$3:$N$18,2,FALSE)&amp;$BB$3&amp;K279&amp;$BD$3,"")</f>
        <v/>
      </c>
    </row>
    <row r="278" spans="54:58" ht="17.100000000000001" customHeight="1" x14ac:dyDescent="0.15">
      <c r="BB278" s="26" t="str">
        <f>IFERROR($BC$3&amp;VLOOKUP(B280,'Pay Table'!$M$3:$N$18,2,FALSE)&amp;$BB$3&amp;C280&amp;$BD$3,"")</f>
        <v/>
      </c>
      <c r="BC278" s="1" t="str">
        <f>IFERROR($BC$3&amp;VLOOKUP(D280,'Pay Table'!$M$3:$N$18,2,FALSE)&amp;$BB$3&amp;E280&amp;$BD$3,"")</f>
        <v/>
      </c>
      <c r="BD278" s="1" t="str">
        <f>IFERROR($BC$3&amp;VLOOKUP(F280,'Pay Table'!$M$3:$N$18,2,FALSE)&amp;$BB$3&amp;G280&amp;$BD$3,"")</f>
        <v/>
      </c>
      <c r="BE278" s="1" t="str">
        <f>IFERROR($BC$3&amp;VLOOKUP(H280,'Pay Table'!$M$3:$N$18,2,FALSE)&amp;$BB$3&amp;I280&amp;$BD$3,"")</f>
        <v/>
      </c>
      <c r="BF278" s="27" t="str">
        <f>IFERROR($BC$3&amp;VLOOKUP(J280,'Pay Table'!$M$3:$N$18,2,FALSE)&amp;$BB$3&amp;K280&amp;$BD$3,"")</f>
        <v/>
      </c>
    </row>
    <row r="279" spans="54:58" ht="17.100000000000001" customHeight="1" x14ac:dyDescent="0.15">
      <c r="BB279" s="26" t="str">
        <f>IFERROR($BC$3&amp;VLOOKUP(B281,'Pay Table'!$M$3:$N$18,2,FALSE)&amp;$BB$3&amp;C281&amp;$BD$3,"")</f>
        <v/>
      </c>
      <c r="BC279" s="1" t="str">
        <f>IFERROR($BC$3&amp;VLOOKUP(D281,'Pay Table'!$M$3:$N$18,2,FALSE)&amp;$BB$3&amp;E281&amp;$BD$3,"")</f>
        <v/>
      </c>
      <c r="BD279" s="1" t="str">
        <f>IFERROR($BC$3&amp;VLOOKUP(F281,'Pay Table'!$M$3:$N$18,2,FALSE)&amp;$BB$3&amp;G281&amp;$BD$3,"")</f>
        <v/>
      </c>
      <c r="BE279" s="1" t="str">
        <f>IFERROR($BC$3&amp;VLOOKUP(H281,'Pay Table'!$M$3:$N$18,2,FALSE)&amp;$BB$3&amp;I281&amp;$BD$3,"")</f>
        <v/>
      </c>
      <c r="BF279" s="27" t="str">
        <f>IFERROR($BC$3&amp;VLOOKUP(J281,'Pay Table'!$M$3:$N$18,2,FALSE)&amp;$BB$3&amp;K281&amp;$BD$3,"")</f>
        <v/>
      </c>
    </row>
    <row r="280" spans="54:58" ht="17.100000000000001" customHeight="1" x14ac:dyDescent="0.15">
      <c r="BB280" s="26" t="str">
        <f>IFERROR($BC$3&amp;VLOOKUP(B282,'Pay Table'!$M$3:$N$18,2,FALSE)&amp;$BB$3&amp;C282&amp;$BD$3,"")</f>
        <v/>
      </c>
      <c r="BC280" s="1" t="str">
        <f>IFERROR($BC$3&amp;VLOOKUP(D282,'Pay Table'!$M$3:$N$18,2,FALSE)&amp;$BB$3&amp;E282&amp;$BD$3,"")</f>
        <v/>
      </c>
      <c r="BD280" s="1" t="str">
        <f>IFERROR($BC$3&amp;VLOOKUP(F282,'Pay Table'!$M$3:$N$18,2,FALSE)&amp;$BB$3&amp;G282&amp;$BD$3,"")</f>
        <v/>
      </c>
      <c r="BE280" s="1" t="str">
        <f>IFERROR($BC$3&amp;VLOOKUP(H282,'Pay Table'!$M$3:$N$18,2,FALSE)&amp;$BB$3&amp;I282&amp;$BD$3,"")</f>
        <v/>
      </c>
      <c r="BF280" s="27" t="str">
        <f>IFERROR($BC$3&amp;VLOOKUP(J282,'Pay Table'!$M$3:$N$18,2,FALSE)&amp;$BB$3&amp;K282&amp;$BD$3,"")</f>
        <v/>
      </c>
    </row>
    <row r="281" spans="54:58" ht="17.100000000000001" customHeight="1" x14ac:dyDescent="0.15">
      <c r="BB281" s="26" t="str">
        <f>IFERROR($BC$3&amp;VLOOKUP(B283,'Pay Table'!$M$3:$N$18,2,FALSE)&amp;$BB$3&amp;C283&amp;$BD$3,"")</f>
        <v/>
      </c>
      <c r="BC281" s="1" t="str">
        <f>IFERROR($BC$3&amp;VLOOKUP(D283,'Pay Table'!$M$3:$N$18,2,FALSE)&amp;$BB$3&amp;E283&amp;$BD$3,"")</f>
        <v/>
      </c>
      <c r="BD281" s="1" t="str">
        <f>IFERROR($BC$3&amp;VLOOKUP(F283,'Pay Table'!$M$3:$N$18,2,FALSE)&amp;$BB$3&amp;G283&amp;$BD$3,"")</f>
        <v/>
      </c>
      <c r="BE281" s="1" t="str">
        <f>IFERROR($BC$3&amp;VLOOKUP(H283,'Pay Table'!$M$3:$N$18,2,FALSE)&amp;$BB$3&amp;I283&amp;$BD$3,"")</f>
        <v/>
      </c>
      <c r="BF281" s="27" t="str">
        <f>IFERROR($BC$3&amp;VLOOKUP(J283,'Pay Table'!$M$3:$N$18,2,FALSE)&amp;$BB$3&amp;K283&amp;$BD$3,"")</f>
        <v/>
      </c>
    </row>
    <row r="282" spans="54:58" ht="17.100000000000001" customHeight="1" x14ac:dyDescent="0.15">
      <c r="BB282" s="26" t="str">
        <f>IFERROR($BC$3&amp;VLOOKUP(B284,'Pay Table'!$M$3:$N$18,2,FALSE)&amp;$BB$3&amp;C284&amp;$BD$3,"")</f>
        <v/>
      </c>
      <c r="BC282" s="1" t="str">
        <f>IFERROR($BC$3&amp;VLOOKUP(D284,'Pay Table'!$M$3:$N$18,2,FALSE)&amp;$BB$3&amp;E284&amp;$BD$3,"")</f>
        <v/>
      </c>
      <c r="BD282" s="1" t="str">
        <f>IFERROR($BC$3&amp;VLOOKUP(F284,'Pay Table'!$M$3:$N$18,2,FALSE)&amp;$BB$3&amp;G284&amp;$BD$3,"")</f>
        <v/>
      </c>
      <c r="BE282" s="1" t="str">
        <f>IFERROR($BC$3&amp;VLOOKUP(H284,'Pay Table'!$M$3:$N$18,2,FALSE)&amp;$BB$3&amp;I284&amp;$BD$3,"")</f>
        <v/>
      </c>
      <c r="BF282" s="27" t="str">
        <f>IFERROR($BC$3&amp;VLOOKUP(J284,'Pay Table'!$M$3:$N$18,2,FALSE)&amp;$BB$3&amp;K284&amp;$BD$3,"")</f>
        <v/>
      </c>
    </row>
    <row r="283" spans="54:58" ht="17.100000000000001" customHeight="1" x14ac:dyDescent="0.15">
      <c r="BB283" s="26" t="str">
        <f>IFERROR($BC$3&amp;VLOOKUP(B285,'Pay Table'!$M$3:$N$18,2,FALSE)&amp;$BB$3&amp;C285&amp;$BD$3,"")</f>
        <v/>
      </c>
      <c r="BC283" s="1" t="str">
        <f>IFERROR($BC$3&amp;VLOOKUP(D285,'Pay Table'!$M$3:$N$18,2,FALSE)&amp;$BB$3&amp;E285&amp;$BD$3,"")</f>
        <v/>
      </c>
      <c r="BD283" s="1" t="str">
        <f>IFERROR($BC$3&amp;VLOOKUP(F285,'Pay Table'!$M$3:$N$18,2,FALSE)&amp;$BB$3&amp;G285&amp;$BD$3,"")</f>
        <v/>
      </c>
      <c r="BE283" s="1" t="str">
        <f>IFERROR($BC$3&amp;VLOOKUP(H285,'Pay Table'!$M$3:$N$18,2,FALSE)&amp;$BB$3&amp;I285&amp;$BD$3,"")</f>
        <v/>
      </c>
      <c r="BF283" s="27" t="str">
        <f>IFERROR($BC$3&amp;VLOOKUP(J285,'Pay Table'!$M$3:$N$18,2,FALSE)&amp;$BB$3&amp;K285&amp;$BD$3,"")</f>
        <v/>
      </c>
    </row>
    <row r="284" spans="54:58" ht="17.100000000000001" customHeight="1" x14ac:dyDescent="0.15">
      <c r="BB284" s="26" t="str">
        <f>IFERROR($BC$3&amp;VLOOKUP(B286,'Pay Table'!$M$3:$N$18,2,FALSE)&amp;$BB$3&amp;C286&amp;$BD$3,"")</f>
        <v/>
      </c>
      <c r="BC284" s="1" t="str">
        <f>IFERROR($BC$3&amp;VLOOKUP(D286,'Pay Table'!$M$3:$N$18,2,FALSE)&amp;$BB$3&amp;E286&amp;$BD$3,"")</f>
        <v/>
      </c>
      <c r="BD284" s="1" t="str">
        <f>IFERROR($BC$3&amp;VLOOKUP(F286,'Pay Table'!$M$3:$N$18,2,FALSE)&amp;$BB$3&amp;G286&amp;$BD$3,"")</f>
        <v/>
      </c>
      <c r="BE284" s="1" t="str">
        <f>IFERROR($BC$3&amp;VLOOKUP(H286,'Pay Table'!$M$3:$N$18,2,FALSE)&amp;$BB$3&amp;I286&amp;$BD$3,"")</f>
        <v/>
      </c>
      <c r="BF284" s="27" t="str">
        <f>IFERROR($BC$3&amp;VLOOKUP(J286,'Pay Table'!$M$3:$N$18,2,FALSE)&amp;$BB$3&amp;K286&amp;$BD$3,"")</f>
        <v/>
      </c>
    </row>
    <row r="285" spans="54:58" ht="17.100000000000001" customHeight="1" x14ac:dyDescent="0.15">
      <c r="BB285" s="26" t="str">
        <f>IFERROR($BC$3&amp;VLOOKUP(B287,'Pay Table'!$M$3:$N$18,2,FALSE)&amp;$BB$3&amp;C287&amp;$BD$3,"")</f>
        <v/>
      </c>
      <c r="BC285" s="1" t="str">
        <f>IFERROR($BC$3&amp;VLOOKUP(D287,'Pay Table'!$M$3:$N$18,2,FALSE)&amp;$BB$3&amp;E287&amp;$BD$3,"")</f>
        <v/>
      </c>
      <c r="BD285" s="1" t="str">
        <f>IFERROR($BC$3&amp;VLOOKUP(F287,'Pay Table'!$M$3:$N$18,2,FALSE)&amp;$BB$3&amp;G287&amp;$BD$3,"")</f>
        <v/>
      </c>
      <c r="BE285" s="1" t="str">
        <f>IFERROR($BC$3&amp;VLOOKUP(H287,'Pay Table'!$M$3:$N$18,2,FALSE)&amp;$BB$3&amp;I287&amp;$BD$3,"")</f>
        <v/>
      </c>
      <c r="BF285" s="27" t="str">
        <f>IFERROR($BC$3&amp;VLOOKUP(J287,'Pay Table'!$M$3:$N$18,2,FALSE)&amp;$BB$3&amp;K287&amp;$BD$3,"")</f>
        <v/>
      </c>
    </row>
    <row r="286" spans="54:58" ht="17.100000000000001" customHeight="1" x14ac:dyDescent="0.15">
      <c r="BB286" s="26" t="str">
        <f>IFERROR($BC$3&amp;VLOOKUP(B288,'Pay Table'!$M$3:$N$18,2,FALSE)&amp;$BB$3&amp;C288&amp;$BD$3,"")</f>
        <v/>
      </c>
      <c r="BC286" s="1" t="str">
        <f>IFERROR($BC$3&amp;VLOOKUP(D288,'Pay Table'!$M$3:$N$18,2,FALSE)&amp;$BB$3&amp;E288&amp;$BD$3,"")</f>
        <v/>
      </c>
      <c r="BD286" s="1" t="str">
        <f>IFERROR($BC$3&amp;VLOOKUP(F288,'Pay Table'!$M$3:$N$18,2,FALSE)&amp;$BB$3&amp;G288&amp;$BD$3,"")</f>
        <v/>
      </c>
      <c r="BE286" s="1" t="str">
        <f>IFERROR($BC$3&amp;VLOOKUP(H288,'Pay Table'!$M$3:$N$18,2,FALSE)&amp;$BB$3&amp;I288&amp;$BD$3,"")</f>
        <v/>
      </c>
      <c r="BF286" s="27" t="str">
        <f>IFERROR($BC$3&amp;VLOOKUP(J288,'Pay Table'!$M$3:$N$18,2,FALSE)&amp;$BB$3&amp;K288&amp;$BD$3,"")</f>
        <v/>
      </c>
    </row>
    <row r="287" spans="54:58" ht="17.100000000000001" customHeight="1" x14ac:dyDescent="0.15">
      <c r="BB287" s="26" t="str">
        <f>IFERROR($BC$3&amp;VLOOKUP(B289,'Pay Table'!$M$3:$N$18,2,FALSE)&amp;$BB$3&amp;C289&amp;$BD$3,"")</f>
        <v/>
      </c>
      <c r="BC287" s="1" t="str">
        <f>IFERROR($BC$3&amp;VLOOKUP(D289,'Pay Table'!$M$3:$N$18,2,FALSE)&amp;$BB$3&amp;E289&amp;$BD$3,"")</f>
        <v/>
      </c>
      <c r="BD287" s="1" t="str">
        <f>IFERROR($BC$3&amp;VLOOKUP(F289,'Pay Table'!$M$3:$N$18,2,FALSE)&amp;$BB$3&amp;G289&amp;$BD$3,"")</f>
        <v/>
      </c>
      <c r="BE287" s="1" t="str">
        <f>IFERROR($BC$3&amp;VLOOKUP(H289,'Pay Table'!$M$3:$N$18,2,FALSE)&amp;$BB$3&amp;I289&amp;$BD$3,"")</f>
        <v/>
      </c>
      <c r="BF287" s="27" t="str">
        <f>IFERROR($BC$3&amp;VLOOKUP(J289,'Pay Table'!$M$3:$N$18,2,FALSE)&amp;$BB$3&amp;K289&amp;$BD$3,"")</f>
        <v/>
      </c>
    </row>
    <row r="288" spans="54:58" ht="17.100000000000001" customHeight="1" x14ac:dyDescent="0.15">
      <c r="BB288" s="26" t="str">
        <f>IFERROR($BC$3&amp;VLOOKUP(B290,'Pay Table'!$M$3:$N$18,2,FALSE)&amp;$BB$3&amp;C290&amp;$BD$3,"")</f>
        <v/>
      </c>
      <c r="BC288" s="1" t="str">
        <f>IFERROR($BC$3&amp;VLOOKUP(D290,'Pay Table'!$M$3:$N$18,2,FALSE)&amp;$BB$3&amp;E290&amp;$BD$3,"")</f>
        <v/>
      </c>
      <c r="BD288" s="1" t="str">
        <f>IFERROR($BC$3&amp;VLOOKUP(F290,'Pay Table'!$M$3:$N$18,2,FALSE)&amp;$BB$3&amp;G290&amp;$BD$3,"")</f>
        <v/>
      </c>
      <c r="BE288" s="1" t="str">
        <f>IFERROR($BC$3&amp;VLOOKUP(H290,'Pay Table'!$M$3:$N$18,2,FALSE)&amp;$BB$3&amp;I290&amp;$BD$3,"")</f>
        <v/>
      </c>
      <c r="BF288" s="27" t="str">
        <f>IFERROR($BC$3&amp;VLOOKUP(J290,'Pay Table'!$M$3:$N$18,2,FALSE)&amp;$BB$3&amp;K290&amp;$BD$3,"")</f>
        <v/>
      </c>
    </row>
    <row r="289" spans="54:58" ht="17.100000000000001" customHeight="1" x14ac:dyDescent="0.15">
      <c r="BB289" s="26" t="str">
        <f>IFERROR($BC$3&amp;VLOOKUP(B291,'Pay Table'!$M$3:$N$18,2,FALSE)&amp;$BB$3&amp;C291&amp;$BD$3,"")</f>
        <v/>
      </c>
      <c r="BC289" s="1" t="str">
        <f>IFERROR($BC$3&amp;VLOOKUP(D291,'Pay Table'!$M$3:$N$18,2,FALSE)&amp;$BB$3&amp;E291&amp;$BD$3,"")</f>
        <v/>
      </c>
      <c r="BD289" s="1" t="str">
        <f>IFERROR($BC$3&amp;VLOOKUP(F291,'Pay Table'!$M$3:$N$18,2,FALSE)&amp;$BB$3&amp;G291&amp;$BD$3,"")</f>
        <v/>
      </c>
      <c r="BE289" s="1" t="str">
        <f>IFERROR($BC$3&amp;VLOOKUP(H291,'Pay Table'!$M$3:$N$18,2,FALSE)&amp;$BB$3&amp;I291&amp;$BD$3,"")</f>
        <v/>
      </c>
      <c r="BF289" s="27" t="str">
        <f>IFERROR($BC$3&amp;VLOOKUP(J291,'Pay Table'!$M$3:$N$18,2,FALSE)&amp;$BB$3&amp;K291&amp;$BD$3,"")</f>
        <v/>
      </c>
    </row>
    <row r="290" spans="54:58" x14ac:dyDescent="0.15">
      <c r="BB290" s="26" t="str">
        <f>IFERROR($BC$3&amp;VLOOKUP(B292,'Pay Table'!$M$3:$N$18,2,FALSE)&amp;$BB$3&amp;C292&amp;$BD$3,"")</f>
        <v/>
      </c>
      <c r="BC290" s="1" t="str">
        <f>IFERROR($BC$3&amp;VLOOKUP(D292,'Pay Table'!$M$3:$N$18,2,FALSE)&amp;$BB$3&amp;E292&amp;$BD$3,"")</f>
        <v/>
      </c>
      <c r="BD290" s="1" t="str">
        <f>IFERROR($BC$3&amp;VLOOKUP(F292,'Pay Table'!$M$3:$N$18,2,FALSE)&amp;$BB$3&amp;G292&amp;$BD$3,"")</f>
        <v/>
      </c>
      <c r="BE290" s="1" t="str">
        <f>IFERROR($BC$3&amp;VLOOKUP(H292,'Pay Table'!$M$3:$N$18,2,FALSE)&amp;$BB$3&amp;I292&amp;$BD$3,"")</f>
        <v/>
      </c>
      <c r="BF290" s="27" t="str">
        <f>IFERROR($BC$3&amp;VLOOKUP(J292,'Pay Table'!$M$3:$N$18,2,FALSE)&amp;$BB$3&amp;K292&amp;$BD$3,"")</f>
        <v/>
      </c>
    </row>
    <row r="291" spans="54:58" x14ac:dyDescent="0.15">
      <c r="BB291" s="26" t="str">
        <f>IFERROR($BC$3&amp;VLOOKUP(B293,'Pay Table'!$M$3:$N$18,2,FALSE)&amp;$BB$3&amp;C293&amp;$BD$3,"")</f>
        <v/>
      </c>
      <c r="BC291" s="1" t="str">
        <f>IFERROR($BC$3&amp;VLOOKUP(D293,'Pay Table'!$M$3:$N$18,2,FALSE)&amp;$BB$3&amp;E293&amp;$BD$3,"")</f>
        <v/>
      </c>
      <c r="BD291" s="1" t="str">
        <f>IFERROR($BC$3&amp;VLOOKUP(F293,'Pay Table'!$M$3:$N$18,2,FALSE)&amp;$BB$3&amp;G293&amp;$BD$3,"")</f>
        <v/>
      </c>
      <c r="BE291" s="1" t="str">
        <f>IFERROR($BC$3&amp;VLOOKUP(H293,'Pay Table'!$M$3:$N$18,2,FALSE)&amp;$BB$3&amp;I293&amp;$BD$3,"")</f>
        <v/>
      </c>
      <c r="BF291" s="27" t="str">
        <f>IFERROR($BC$3&amp;VLOOKUP(J293,'Pay Table'!$M$3:$N$18,2,FALSE)&amp;$BB$3&amp;K293&amp;$BD$3,"")</f>
        <v/>
      </c>
    </row>
    <row r="292" spans="54:58" x14ac:dyDescent="0.15">
      <c r="BB292" s="26" t="str">
        <f>IFERROR($BC$3&amp;VLOOKUP(B294,'Pay Table'!$M$3:$N$18,2,FALSE)&amp;$BB$3&amp;C294&amp;$BD$3,"")</f>
        <v/>
      </c>
      <c r="BC292" s="1" t="str">
        <f>IFERROR($BC$3&amp;VLOOKUP(D294,'Pay Table'!$M$3:$N$18,2,FALSE)&amp;$BB$3&amp;E294&amp;$BD$3,"")</f>
        <v/>
      </c>
      <c r="BD292" s="1" t="str">
        <f>IFERROR($BC$3&amp;VLOOKUP(F294,'Pay Table'!$M$3:$N$18,2,FALSE)&amp;$BB$3&amp;G294&amp;$BD$3,"")</f>
        <v/>
      </c>
      <c r="BE292" s="1" t="str">
        <f>IFERROR($BC$3&amp;VLOOKUP(H294,'Pay Table'!$M$3:$N$18,2,FALSE)&amp;$BB$3&amp;I294&amp;$BD$3,"")</f>
        <v/>
      </c>
      <c r="BF292" s="27" t="str">
        <f>IFERROR($BC$3&amp;VLOOKUP(J294,'Pay Table'!$M$3:$N$18,2,FALSE)&amp;$BB$3&amp;K294&amp;$BD$3,"")</f>
        <v/>
      </c>
    </row>
    <row r="293" spans="54:58" x14ac:dyDescent="0.15">
      <c r="BB293" s="26" t="str">
        <f>IFERROR($BC$3&amp;VLOOKUP(B295,'Pay Table'!$M$3:$N$18,2,FALSE)&amp;$BB$3&amp;C295&amp;$BD$3,"")</f>
        <v/>
      </c>
      <c r="BC293" s="1" t="str">
        <f>IFERROR($BC$3&amp;VLOOKUP(D295,'Pay Table'!$M$3:$N$18,2,FALSE)&amp;$BB$3&amp;E295&amp;$BD$3,"")</f>
        <v/>
      </c>
      <c r="BD293" s="1" t="str">
        <f>IFERROR($BC$3&amp;VLOOKUP(F295,'Pay Table'!$M$3:$N$18,2,FALSE)&amp;$BB$3&amp;G295&amp;$BD$3,"")</f>
        <v/>
      </c>
      <c r="BE293" s="1" t="str">
        <f>IFERROR($BC$3&amp;VLOOKUP(H295,'Pay Table'!$M$3:$N$18,2,FALSE)&amp;$BB$3&amp;I295&amp;$BD$3,"")</f>
        <v/>
      </c>
      <c r="BF293" s="27" t="str">
        <f>IFERROR($BC$3&amp;VLOOKUP(J295,'Pay Table'!$M$3:$N$18,2,FALSE)&amp;$BB$3&amp;K295&amp;$BD$3,"")</f>
        <v/>
      </c>
    </row>
    <row r="294" spans="54:58" x14ac:dyDescent="0.15">
      <c r="BB294" s="26" t="str">
        <f>IFERROR($BC$3&amp;VLOOKUP(B296,'Pay Table'!$M$3:$N$18,2,FALSE)&amp;$BB$3&amp;C296&amp;$BD$3,"")</f>
        <v/>
      </c>
      <c r="BC294" s="1" t="str">
        <f>IFERROR($BC$3&amp;VLOOKUP(D296,'Pay Table'!$M$3:$N$18,2,FALSE)&amp;$BB$3&amp;E296&amp;$BD$3,"")</f>
        <v/>
      </c>
      <c r="BD294" s="1" t="str">
        <f>IFERROR($BC$3&amp;VLOOKUP(F296,'Pay Table'!$M$3:$N$18,2,FALSE)&amp;$BB$3&amp;G296&amp;$BD$3,"")</f>
        <v/>
      </c>
      <c r="BE294" s="1" t="str">
        <f>IFERROR($BC$3&amp;VLOOKUP(H296,'Pay Table'!$M$3:$N$18,2,FALSE)&amp;$BB$3&amp;I296&amp;$BD$3,"")</f>
        <v/>
      </c>
      <c r="BF294" s="27" t="str">
        <f>IFERROR($BC$3&amp;VLOOKUP(J296,'Pay Table'!$M$3:$N$18,2,FALSE)&amp;$BB$3&amp;K296&amp;$BD$3,"")</f>
        <v/>
      </c>
    </row>
    <row r="295" spans="54:58" x14ac:dyDescent="0.15">
      <c r="BB295" s="26" t="str">
        <f>IFERROR($BC$3&amp;VLOOKUP(B297,'Pay Table'!$M$3:$N$18,2,FALSE)&amp;$BB$3&amp;C297&amp;$BD$3,"")</f>
        <v/>
      </c>
      <c r="BC295" s="1" t="str">
        <f>IFERROR($BC$3&amp;VLOOKUP(D297,'Pay Table'!$M$3:$N$18,2,FALSE)&amp;$BB$3&amp;E297&amp;$BD$3,"")</f>
        <v/>
      </c>
      <c r="BD295" s="1" t="str">
        <f>IFERROR($BC$3&amp;VLOOKUP(F297,'Pay Table'!$M$3:$N$18,2,FALSE)&amp;$BB$3&amp;G297&amp;$BD$3,"")</f>
        <v/>
      </c>
      <c r="BE295" s="1" t="str">
        <f>IFERROR($BC$3&amp;VLOOKUP(H297,'Pay Table'!$M$3:$N$18,2,FALSE)&amp;$BB$3&amp;I297&amp;$BD$3,"")</f>
        <v/>
      </c>
      <c r="BF295" s="27" t="str">
        <f>IFERROR($BC$3&amp;VLOOKUP(J297,'Pay Table'!$M$3:$N$18,2,FALSE)&amp;$BB$3&amp;K297&amp;$BD$3,"")</f>
        <v/>
      </c>
    </row>
    <row r="296" spans="54:58" x14ac:dyDescent="0.15">
      <c r="BB296" s="26" t="str">
        <f>IFERROR($BC$3&amp;VLOOKUP(B298,'Pay Table'!$M$3:$N$18,2,FALSE)&amp;$BB$3&amp;C298&amp;$BD$3,"")</f>
        <v/>
      </c>
      <c r="BC296" s="1" t="str">
        <f>IFERROR($BC$3&amp;VLOOKUP(D298,'Pay Table'!$M$3:$N$18,2,FALSE)&amp;$BB$3&amp;E298&amp;$BD$3,"")</f>
        <v/>
      </c>
      <c r="BD296" s="1" t="str">
        <f>IFERROR($BC$3&amp;VLOOKUP(F298,'Pay Table'!$M$3:$N$18,2,FALSE)&amp;$BB$3&amp;G298&amp;$BD$3,"")</f>
        <v/>
      </c>
      <c r="BE296" s="1" t="str">
        <f>IFERROR($BC$3&amp;VLOOKUP(H298,'Pay Table'!$M$3:$N$18,2,FALSE)&amp;$BB$3&amp;I298&amp;$BD$3,"")</f>
        <v/>
      </c>
      <c r="BF296" s="27" t="str">
        <f>IFERROR($BC$3&amp;VLOOKUP(J298,'Pay Table'!$M$3:$N$18,2,FALSE)&amp;$BB$3&amp;K298&amp;$BD$3,"")</f>
        <v/>
      </c>
    </row>
    <row r="297" spans="54:58" x14ac:dyDescent="0.15">
      <c r="BB297" s="26" t="str">
        <f>IFERROR($BC$3&amp;VLOOKUP(B299,'Pay Table'!$M$3:$N$18,2,FALSE)&amp;$BB$3&amp;C299&amp;$BD$3,"")</f>
        <v/>
      </c>
      <c r="BC297" s="1" t="str">
        <f>IFERROR($BC$3&amp;VLOOKUP(D299,'Pay Table'!$M$3:$N$18,2,FALSE)&amp;$BB$3&amp;E299&amp;$BD$3,"")</f>
        <v/>
      </c>
      <c r="BD297" s="1" t="str">
        <f>IFERROR($BC$3&amp;VLOOKUP(F299,'Pay Table'!$M$3:$N$18,2,FALSE)&amp;$BB$3&amp;G299&amp;$BD$3,"")</f>
        <v/>
      </c>
      <c r="BE297" s="1" t="str">
        <f>IFERROR($BC$3&amp;VLOOKUP(H299,'Pay Table'!$M$3:$N$18,2,FALSE)&amp;$BB$3&amp;I299&amp;$BD$3,"")</f>
        <v/>
      </c>
      <c r="BF297" s="27" t="str">
        <f>IFERROR($BC$3&amp;VLOOKUP(J299,'Pay Table'!$M$3:$N$18,2,FALSE)&amp;$BB$3&amp;K299&amp;$BD$3,"")</f>
        <v/>
      </c>
    </row>
    <row r="298" spans="54:58" x14ac:dyDescent="0.15">
      <c r="BB298" s="26" t="str">
        <f>IFERROR($BC$3&amp;VLOOKUP(B300,'Pay Table'!$M$3:$N$18,2,FALSE)&amp;$BB$3&amp;C300&amp;$BD$3,"")</f>
        <v/>
      </c>
      <c r="BC298" s="1" t="str">
        <f>IFERROR($BC$3&amp;VLOOKUP(D300,'Pay Table'!$M$3:$N$18,2,FALSE)&amp;$BB$3&amp;E300&amp;$BD$3,"")</f>
        <v/>
      </c>
      <c r="BD298" s="1" t="str">
        <f>IFERROR($BC$3&amp;VLOOKUP(F300,'Pay Table'!$M$3:$N$18,2,FALSE)&amp;$BB$3&amp;G300&amp;$BD$3,"")</f>
        <v/>
      </c>
      <c r="BE298" s="1" t="str">
        <f>IFERROR($BC$3&amp;VLOOKUP(H300,'Pay Table'!$M$3:$N$18,2,FALSE)&amp;$BB$3&amp;I300&amp;$BD$3,"")</f>
        <v/>
      </c>
      <c r="BF298" s="27" t="str">
        <f>IFERROR($BC$3&amp;VLOOKUP(J300,'Pay Table'!$M$3:$N$18,2,FALSE)&amp;$BB$3&amp;K300&amp;$BD$3,"")</f>
        <v/>
      </c>
    </row>
    <row r="299" spans="54:58" x14ac:dyDescent="0.15">
      <c r="BB299" s="26" t="str">
        <f>IFERROR($BC$3&amp;VLOOKUP(B301,'Pay Table'!$M$3:$N$18,2,FALSE)&amp;$BB$3&amp;C301&amp;$BD$3,"")</f>
        <v/>
      </c>
      <c r="BC299" s="1" t="str">
        <f>IFERROR($BC$3&amp;VLOOKUP(D301,'Pay Table'!$M$3:$N$18,2,FALSE)&amp;$BB$3&amp;E301&amp;$BD$3,"")</f>
        <v/>
      </c>
      <c r="BD299" s="1" t="str">
        <f>IFERROR($BC$3&amp;VLOOKUP(F301,'Pay Table'!$M$3:$N$18,2,FALSE)&amp;$BB$3&amp;G301&amp;$BD$3,"")</f>
        <v/>
      </c>
      <c r="BE299" s="1" t="str">
        <f>IFERROR($BC$3&amp;VLOOKUP(H301,'Pay Table'!$M$3:$N$18,2,FALSE)&amp;$BB$3&amp;I301&amp;$BD$3,"")</f>
        <v/>
      </c>
      <c r="BF299" s="27" t="str">
        <f>IFERROR($BC$3&amp;VLOOKUP(J301,'Pay Table'!$M$3:$N$18,2,FALSE)&amp;$BB$3&amp;K301&amp;$BD$3,"")</f>
        <v/>
      </c>
    </row>
    <row r="300" spans="54:58" x14ac:dyDescent="0.15">
      <c r="BB300" s="26" t="str">
        <f>IFERROR($BC$3&amp;VLOOKUP(B302,'Pay Table'!$M$3:$N$18,2,FALSE)&amp;$BB$3&amp;C302&amp;$BD$3,"")</f>
        <v/>
      </c>
      <c r="BC300" s="1" t="str">
        <f>IFERROR($BC$3&amp;VLOOKUP(D302,'Pay Table'!$M$3:$N$18,2,FALSE)&amp;$BB$3&amp;E302&amp;$BD$3,"")</f>
        <v/>
      </c>
      <c r="BD300" s="1" t="str">
        <f>IFERROR($BC$3&amp;VLOOKUP(F302,'Pay Table'!$M$3:$N$18,2,FALSE)&amp;$BB$3&amp;G302&amp;$BD$3,"")</f>
        <v/>
      </c>
      <c r="BE300" s="1" t="str">
        <f>IFERROR($BC$3&amp;VLOOKUP(H302,'Pay Table'!$M$3:$N$18,2,FALSE)&amp;$BB$3&amp;I302&amp;$BD$3,"")</f>
        <v/>
      </c>
      <c r="BF300" s="27" t="str">
        <f>IFERROR($BC$3&amp;VLOOKUP(J302,'Pay Table'!$M$3:$N$18,2,FALSE)&amp;$BB$3&amp;K302&amp;$BD$3,"")</f>
        <v/>
      </c>
    </row>
    <row r="301" spans="54:58" x14ac:dyDescent="0.15">
      <c r="BB301" s="26" t="str">
        <f>IFERROR($BC$3&amp;VLOOKUP(B303,'Pay Table'!$M$3:$N$18,2,FALSE)&amp;$BB$3&amp;C303&amp;$BD$3,"")</f>
        <v/>
      </c>
      <c r="BC301" s="1" t="str">
        <f>IFERROR($BC$3&amp;VLOOKUP(D303,'Pay Table'!$M$3:$N$18,2,FALSE)&amp;$BB$3&amp;E303&amp;$BD$3,"")</f>
        <v/>
      </c>
      <c r="BD301" s="1" t="str">
        <f>IFERROR($BC$3&amp;VLOOKUP(F303,'Pay Table'!$M$3:$N$18,2,FALSE)&amp;$BB$3&amp;G303&amp;$BD$3,"")</f>
        <v/>
      </c>
      <c r="BE301" s="1" t="str">
        <f>IFERROR($BC$3&amp;VLOOKUP(H303,'Pay Table'!$M$3:$N$18,2,FALSE)&amp;$BB$3&amp;I303&amp;$BD$3,"")</f>
        <v/>
      </c>
      <c r="BF301" s="27" t="str">
        <f>IFERROR($BC$3&amp;VLOOKUP(J303,'Pay Table'!$M$3:$N$18,2,FALSE)&amp;$BB$3&amp;K303&amp;$BD$3,"")</f>
        <v/>
      </c>
    </row>
    <row r="302" spans="54:58" x14ac:dyDescent="0.15">
      <c r="BB302" s="26" t="str">
        <f>IFERROR($BC$3&amp;VLOOKUP(B304,'Pay Table'!$M$3:$N$18,2,FALSE)&amp;$BB$3&amp;C304&amp;$BD$3,"")</f>
        <v/>
      </c>
      <c r="BC302" s="1" t="str">
        <f>IFERROR($BC$3&amp;VLOOKUP(D304,'Pay Table'!$M$3:$N$18,2,FALSE)&amp;$BB$3&amp;E304&amp;$BD$3,"")</f>
        <v/>
      </c>
      <c r="BD302" s="1" t="str">
        <f>IFERROR($BC$3&amp;VLOOKUP(F304,'Pay Table'!$M$3:$N$18,2,FALSE)&amp;$BB$3&amp;G304&amp;$BD$3,"")</f>
        <v/>
      </c>
      <c r="BE302" s="1" t="str">
        <f>IFERROR($BC$3&amp;VLOOKUP(H304,'Pay Table'!$M$3:$N$18,2,FALSE)&amp;$BB$3&amp;I304&amp;$BD$3,"")</f>
        <v/>
      </c>
      <c r="BF302" s="27" t="str">
        <f>IFERROR($BC$3&amp;VLOOKUP(J304,'Pay Table'!$M$3:$N$18,2,FALSE)&amp;$BB$3&amp;K304&amp;$BD$3,"")</f>
        <v/>
      </c>
    </row>
    <row r="303" spans="54:58" x14ac:dyDescent="0.15">
      <c r="BB303" s="26" t="str">
        <f>IFERROR($BC$3&amp;VLOOKUP(B305,'Pay Table'!$M$3:$N$18,2,FALSE)&amp;$BB$3&amp;C305&amp;$BD$3,"")</f>
        <v/>
      </c>
      <c r="BC303" s="1" t="str">
        <f>IFERROR($BC$3&amp;VLOOKUP(D305,'Pay Table'!$M$3:$N$18,2,FALSE)&amp;$BB$3&amp;E305&amp;$BD$3,"")</f>
        <v/>
      </c>
      <c r="BD303" s="1" t="str">
        <f>IFERROR($BC$3&amp;VLOOKUP(F305,'Pay Table'!$M$3:$N$18,2,FALSE)&amp;$BB$3&amp;G305&amp;$BD$3,"")</f>
        <v/>
      </c>
      <c r="BE303" s="1" t="str">
        <f>IFERROR($BC$3&amp;VLOOKUP(H305,'Pay Table'!$M$3:$N$18,2,FALSE)&amp;$BB$3&amp;I305&amp;$BD$3,"")</f>
        <v/>
      </c>
      <c r="BF303" s="27" t="str">
        <f>IFERROR($BC$3&amp;VLOOKUP(J305,'Pay Table'!$M$3:$N$18,2,FALSE)&amp;$BB$3&amp;K305&amp;$BD$3,"")</f>
        <v/>
      </c>
    </row>
    <row r="304" spans="54:58" x14ac:dyDescent="0.15">
      <c r="BB304" s="26" t="str">
        <f>IFERROR($BC$3&amp;VLOOKUP(B306,'Pay Table'!$M$3:$N$18,2,FALSE)&amp;$BB$3&amp;C306&amp;$BD$3,"")</f>
        <v/>
      </c>
      <c r="BC304" s="1" t="str">
        <f>IFERROR($BC$3&amp;VLOOKUP(D306,'Pay Table'!$M$3:$N$18,2,FALSE)&amp;$BB$3&amp;E306&amp;$BD$3,"")</f>
        <v/>
      </c>
      <c r="BD304" s="1" t="str">
        <f>IFERROR($BC$3&amp;VLOOKUP(F306,'Pay Table'!$M$3:$N$18,2,FALSE)&amp;$BB$3&amp;G306&amp;$BD$3,"")</f>
        <v/>
      </c>
      <c r="BE304" s="1" t="str">
        <f>IFERROR($BC$3&amp;VLOOKUP(H306,'Pay Table'!$M$3:$N$18,2,FALSE)&amp;$BB$3&amp;I306&amp;$BD$3,"")</f>
        <v/>
      </c>
      <c r="BF304" s="27" t="str">
        <f>IFERROR($BC$3&amp;VLOOKUP(J306,'Pay Table'!$M$3:$N$18,2,FALSE)&amp;$BB$3&amp;K306&amp;$BD$3,"")</f>
        <v/>
      </c>
    </row>
    <row r="305" spans="54:58" x14ac:dyDescent="0.15">
      <c r="BB305" s="26" t="str">
        <f>IFERROR($BC$3&amp;VLOOKUP(B307,'Pay Table'!$M$3:$N$18,2,FALSE)&amp;$BB$3&amp;C307&amp;$BD$3,"")</f>
        <v/>
      </c>
      <c r="BC305" s="1" t="str">
        <f>IFERROR($BC$3&amp;VLOOKUP(D307,'Pay Table'!$M$3:$N$18,2,FALSE)&amp;$BB$3&amp;E307&amp;$BD$3,"")</f>
        <v/>
      </c>
      <c r="BD305" s="1" t="str">
        <f>IFERROR($BC$3&amp;VLOOKUP(F307,'Pay Table'!$M$3:$N$18,2,FALSE)&amp;$BB$3&amp;G307&amp;$BD$3,"")</f>
        <v/>
      </c>
      <c r="BE305" s="1" t="str">
        <f>IFERROR($BC$3&amp;VLOOKUP(H307,'Pay Table'!$M$3:$N$18,2,FALSE)&amp;$BB$3&amp;I307&amp;$BD$3,"")</f>
        <v/>
      </c>
      <c r="BF305" s="27" t="str">
        <f>IFERROR($BC$3&amp;VLOOKUP(J307,'Pay Table'!$M$3:$N$18,2,FALSE)&amp;$BB$3&amp;K307&amp;$BD$3,"")</f>
        <v/>
      </c>
    </row>
    <row r="306" spans="54:58" x14ac:dyDescent="0.15">
      <c r="BB306" s="26" t="str">
        <f>IFERROR($BC$3&amp;VLOOKUP(B308,'Pay Table'!$M$3:$N$18,2,FALSE)&amp;$BB$3&amp;C308&amp;$BD$3,"")</f>
        <v/>
      </c>
      <c r="BC306" s="1" t="str">
        <f>IFERROR($BC$3&amp;VLOOKUP(D308,'Pay Table'!$M$3:$N$18,2,FALSE)&amp;$BB$3&amp;E308&amp;$BD$3,"")</f>
        <v/>
      </c>
      <c r="BD306" s="1" t="str">
        <f>IFERROR($BC$3&amp;VLOOKUP(F308,'Pay Table'!$M$3:$N$18,2,FALSE)&amp;$BB$3&amp;G308&amp;$BD$3,"")</f>
        <v/>
      </c>
      <c r="BE306" s="1" t="str">
        <f>IFERROR($BC$3&amp;VLOOKUP(H308,'Pay Table'!$M$3:$N$18,2,FALSE)&amp;$BB$3&amp;I308&amp;$BD$3,"")</f>
        <v/>
      </c>
      <c r="BF306" s="27" t="str">
        <f>IFERROR($BC$3&amp;VLOOKUP(J308,'Pay Table'!$M$3:$N$18,2,FALSE)&amp;$BB$3&amp;K308&amp;$BD$3,"")</f>
        <v/>
      </c>
    </row>
    <row r="307" spans="54:58" x14ac:dyDescent="0.15">
      <c r="BB307" s="26" t="str">
        <f>IFERROR($BC$3&amp;VLOOKUP(B309,'Pay Table'!$M$3:$N$18,2,FALSE)&amp;$BB$3&amp;C309&amp;$BD$3,"")</f>
        <v/>
      </c>
      <c r="BC307" s="1" t="str">
        <f>IFERROR($BC$3&amp;VLOOKUP(D309,'Pay Table'!$M$3:$N$18,2,FALSE)&amp;$BB$3&amp;E309&amp;$BD$3,"")</f>
        <v/>
      </c>
      <c r="BD307" s="1" t="str">
        <f>IFERROR($BC$3&amp;VLOOKUP(F309,'Pay Table'!$M$3:$N$18,2,FALSE)&amp;$BB$3&amp;G309&amp;$BD$3,"")</f>
        <v/>
      </c>
      <c r="BE307" s="1" t="str">
        <f>IFERROR($BC$3&amp;VLOOKUP(H309,'Pay Table'!$M$3:$N$18,2,FALSE)&amp;$BB$3&amp;I309&amp;$BD$3,"")</f>
        <v/>
      </c>
      <c r="BF307" s="27" t="str">
        <f>IFERROR($BC$3&amp;VLOOKUP(J309,'Pay Table'!$M$3:$N$18,2,FALSE)&amp;$BB$3&amp;K309&amp;$BD$3,"")</f>
        <v/>
      </c>
    </row>
    <row r="308" spans="54:58" x14ac:dyDescent="0.15">
      <c r="BB308" s="26" t="str">
        <f>IFERROR($BC$3&amp;VLOOKUP(B310,'Pay Table'!$M$3:$N$18,2,FALSE)&amp;$BB$3&amp;C310&amp;$BD$3,"")</f>
        <v/>
      </c>
      <c r="BC308" s="1" t="str">
        <f>IFERROR($BC$3&amp;VLOOKUP(D310,'Pay Table'!$M$3:$N$18,2,FALSE)&amp;$BB$3&amp;E310&amp;$BD$3,"")</f>
        <v/>
      </c>
      <c r="BD308" s="1" t="str">
        <f>IFERROR($BC$3&amp;VLOOKUP(F310,'Pay Table'!$M$3:$N$18,2,FALSE)&amp;$BB$3&amp;G310&amp;$BD$3,"")</f>
        <v/>
      </c>
      <c r="BE308" s="1" t="str">
        <f>IFERROR($BC$3&amp;VLOOKUP(H310,'Pay Table'!$M$3:$N$18,2,FALSE)&amp;$BB$3&amp;I310&amp;$BD$3,"")</f>
        <v/>
      </c>
      <c r="BF308" s="27" t="str">
        <f>IFERROR($BC$3&amp;VLOOKUP(J310,'Pay Table'!$M$3:$N$18,2,FALSE)&amp;$BB$3&amp;K310&amp;$BD$3,"")</f>
        <v/>
      </c>
    </row>
    <row r="309" spans="54:58" x14ac:dyDescent="0.15">
      <c r="BB309" s="26" t="str">
        <f>IFERROR($BC$3&amp;VLOOKUP(B311,'Pay Table'!$M$3:$N$18,2,FALSE)&amp;$BB$3&amp;C311&amp;$BD$3,"")</f>
        <v/>
      </c>
      <c r="BC309" s="1" t="str">
        <f>IFERROR($BC$3&amp;VLOOKUP(D311,'Pay Table'!$M$3:$N$18,2,FALSE)&amp;$BB$3&amp;E311&amp;$BD$3,"")</f>
        <v/>
      </c>
      <c r="BD309" s="1" t="str">
        <f>IFERROR($BC$3&amp;VLOOKUP(F311,'Pay Table'!$M$3:$N$18,2,FALSE)&amp;$BB$3&amp;G311&amp;$BD$3,"")</f>
        <v/>
      </c>
      <c r="BE309" s="1" t="str">
        <f>IFERROR($BC$3&amp;VLOOKUP(H311,'Pay Table'!$M$3:$N$18,2,FALSE)&amp;$BB$3&amp;I311&amp;$BD$3,"")</f>
        <v/>
      </c>
      <c r="BF309" s="27" t="str">
        <f>IFERROR($BC$3&amp;VLOOKUP(J311,'Pay Table'!$M$3:$N$18,2,FALSE)&amp;$BB$3&amp;K311&amp;$BD$3,"")</f>
        <v/>
      </c>
    </row>
    <row r="310" spans="54:58" x14ac:dyDescent="0.15">
      <c r="BB310" s="26" t="str">
        <f>IFERROR($BC$3&amp;VLOOKUP(B312,'Pay Table'!$M$3:$N$18,2,FALSE)&amp;$BB$3&amp;C312&amp;$BD$3,"")</f>
        <v/>
      </c>
      <c r="BC310" s="1" t="str">
        <f>IFERROR($BC$3&amp;VLOOKUP(D312,'Pay Table'!$M$3:$N$18,2,FALSE)&amp;$BB$3&amp;E312&amp;$BD$3,"")</f>
        <v/>
      </c>
      <c r="BD310" s="1" t="str">
        <f>IFERROR($BC$3&amp;VLOOKUP(F312,'Pay Table'!$M$3:$N$18,2,FALSE)&amp;$BB$3&amp;G312&amp;$BD$3,"")</f>
        <v/>
      </c>
      <c r="BE310" s="1" t="str">
        <f>IFERROR($BC$3&amp;VLOOKUP(H312,'Pay Table'!$M$3:$N$18,2,FALSE)&amp;$BB$3&amp;I312&amp;$BD$3,"")</f>
        <v/>
      </c>
      <c r="BF310" s="27" t="str">
        <f>IFERROR($BC$3&amp;VLOOKUP(J312,'Pay Table'!$M$3:$N$18,2,FALSE)&amp;$BB$3&amp;K312&amp;$BD$3,"")</f>
        <v/>
      </c>
    </row>
    <row r="311" spans="54:58" x14ac:dyDescent="0.15">
      <c r="BB311" s="26" t="str">
        <f>IFERROR($BC$3&amp;VLOOKUP(B313,'Pay Table'!$M$3:$N$18,2,FALSE)&amp;$BB$3&amp;C313&amp;$BD$3,"")</f>
        <v/>
      </c>
      <c r="BC311" s="1" t="str">
        <f>IFERROR($BC$3&amp;VLOOKUP(D313,'Pay Table'!$M$3:$N$18,2,FALSE)&amp;$BB$3&amp;E313&amp;$BD$3,"")</f>
        <v/>
      </c>
      <c r="BD311" s="1" t="str">
        <f>IFERROR($BC$3&amp;VLOOKUP(F313,'Pay Table'!$M$3:$N$18,2,FALSE)&amp;$BB$3&amp;G313&amp;$BD$3,"")</f>
        <v/>
      </c>
      <c r="BE311" s="1" t="str">
        <f>IFERROR($BC$3&amp;VLOOKUP(H313,'Pay Table'!$M$3:$N$18,2,FALSE)&amp;$BB$3&amp;I313&amp;$BD$3,"")</f>
        <v/>
      </c>
      <c r="BF311" s="27" t="str">
        <f>IFERROR($BC$3&amp;VLOOKUP(J313,'Pay Table'!$M$3:$N$18,2,FALSE)&amp;$BB$3&amp;K313&amp;$BD$3,"")</f>
        <v/>
      </c>
    </row>
    <row r="312" spans="54:58" x14ac:dyDescent="0.15">
      <c r="BB312" s="26" t="str">
        <f>IFERROR($BC$3&amp;VLOOKUP(B314,'Pay Table'!$M$3:$N$18,2,FALSE)&amp;$BB$3&amp;C314&amp;$BD$3,"")</f>
        <v/>
      </c>
      <c r="BC312" s="1" t="str">
        <f>IFERROR($BC$3&amp;VLOOKUP(D314,'Pay Table'!$M$3:$N$18,2,FALSE)&amp;$BB$3&amp;E314&amp;$BD$3,"")</f>
        <v/>
      </c>
      <c r="BD312" s="1" t="str">
        <f>IFERROR($BC$3&amp;VLOOKUP(F314,'Pay Table'!$M$3:$N$18,2,FALSE)&amp;$BB$3&amp;G314&amp;$BD$3,"")</f>
        <v/>
      </c>
      <c r="BE312" s="1" t="str">
        <f>IFERROR($BC$3&amp;VLOOKUP(H314,'Pay Table'!$M$3:$N$18,2,FALSE)&amp;$BB$3&amp;I314&amp;$BD$3,"")</f>
        <v/>
      </c>
      <c r="BF312" s="27" t="str">
        <f>IFERROR($BC$3&amp;VLOOKUP(J314,'Pay Table'!$M$3:$N$18,2,FALSE)&amp;$BB$3&amp;K314&amp;$BD$3,"")</f>
        <v/>
      </c>
    </row>
    <row r="313" spans="54:58" x14ac:dyDescent="0.15">
      <c r="BB313" s="26" t="str">
        <f>IFERROR($BC$3&amp;VLOOKUP(B315,'Pay Table'!$M$3:$N$18,2,FALSE)&amp;$BB$3&amp;C315&amp;$BD$3,"")</f>
        <v/>
      </c>
      <c r="BC313" s="1" t="str">
        <f>IFERROR($BC$3&amp;VLOOKUP(D315,'Pay Table'!$M$3:$N$18,2,FALSE)&amp;$BB$3&amp;E315&amp;$BD$3,"")</f>
        <v/>
      </c>
      <c r="BD313" s="1" t="str">
        <f>IFERROR($BC$3&amp;VLOOKUP(F315,'Pay Table'!$M$3:$N$18,2,FALSE)&amp;$BB$3&amp;G315&amp;$BD$3,"")</f>
        <v/>
      </c>
      <c r="BE313" s="1" t="str">
        <f>IFERROR($BC$3&amp;VLOOKUP(H315,'Pay Table'!$M$3:$N$18,2,FALSE)&amp;$BB$3&amp;I315&amp;$BD$3,"")</f>
        <v/>
      </c>
      <c r="BF313" s="27" t="str">
        <f>IFERROR($BC$3&amp;VLOOKUP(J315,'Pay Table'!$M$3:$N$18,2,FALSE)&amp;$BB$3&amp;K315&amp;$BD$3,"")</f>
        <v/>
      </c>
    </row>
    <row r="314" spans="54:58" x14ac:dyDescent="0.15">
      <c r="BB314" s="26" t="str">
        <f>IFERROR($BC$3&amp;VLOOKUP(B316,'Pay Table'!$M$3:$N$18,2,FALSE)&amp;$BB$3&amp;C316&amp;$BD$3,"")</f>
        <v/>
      </c>
      <c r="BC314" s="1" t="str">
        <f>IFERROR($BC$3&amp;VLOOKUP(D316,'Pay Table'!$M$3:$N$18,2,FALSE)&amp;$BB$3&amp;E316&amp;$BD$3,"")</f>
        <v/>
      </c>
      <c r="BD314" s="1" t="str">
        <f>IFERROR($BC$3&amp;VLOOKUP(F316,'Pay Table'!$M$3:$N$18,2,FALSE)&amp;$BB$3&amp;G316&amp;$BD$3,"")</f>
        <v/>
      </c>
      <c r="BE314" s="1" t="str">
        <f>IFERROR($BC$3&amp;VLOOKUP(H316,'Pay Table'!$M$3:$N$18,2,FALSE)&amp;$BB$3&amp;I316&amp;$BD$3,"")</f>
        <v/>
      </c>
      <c r="BF314" s="27" t="str">
        <f>IFERROR($BC$3&amp;VLOOKUP(J316,'Pay Table'!$M$3:$N$18,2,FALSE)&amp;$BB$3&amp;K316&amp;$BD$3,"")</f>
        <v/>
      </c>
    </row>
    <row r="315" spans="54:58" x14ac:dyDescent="0.15">
      <c r="BB315" s="26" t="str">
        <f>IFERROR($BC$3&amp;VLOOKUP(B317,'Pay Table'!$M$3:$N$18,2,FALSE)&amp;$BB$3&amp;C317&amp;$BD$3,"")</f>
        <v/>
      </c>
      <c r="BC315" s="1" t="str">
        <f>IFERROR($BC$3&amp;VLOOKUP(D317,'Pay Table'!$M$3:$N$18,2,FALSE)&amp;$BB$3&amp;E317&amp;$BD$3,"")</f>
        <v/>
      </c>
      <c r="BD315" s="1" t="str">
        <f>IFERROR($BC$3&amp;VLOOKUP(F317,'Pay Table'!$M$3:$N$18,2,FALSE)&amp;$BB$3&amp;G317&amp;$BD$3,"")</f>
        <v/>
      </c>
      <c r="BE315" s="1" t="str">
        <f>IFERROR($BC$3&amp;VLOOKUP(H317,'Pay Table'!$M$3:$N$18,2,FALSE)&amp;$BB$3&amp;I317&amp;$BD$3,"")</f>
        <v/>
      </c>
      <c r="BF315" s="27" t="str">
        <f>IFERROR($BC$3&amp;VLOOKUP(J317,'Pay Table'!$M$3:$N$18,2,FALSE)&amp;$BB$3&amp;K317&amp;$BD$3,"")</f>
        <v/>
      </c>
    </row>
    <row r="316" spans="54:58" x14ac:dyDescent="0.15">
      <c r="BB316" s="26" t="str">
        <f>IFERROR($BC$3&amp;VLOOKUP(B318,'Pay Table'!$M$3:$N$18,2,FALSE)&amp;$BB$3&amp;C318&amp;$BD$3,"")</f>
        <v/>
      </c>
      <c r="BC316" s="1" t="str">
        <f>IFERROR($BC$3&amp;VLOOKUP(D318,'Pay Table'!$M$3:$N$18,2,FALSE)&amp;$BB$3&amp;E318&amp;$BD$3,"")</f>
        <v/>
      </c>
      <c r="BD316" s="1" t="str">
        <f>IFERROR($BC$3&amp;VLOOKUP(F318,'Pay Table'!$M$3:$N$18,2,FALSE)&amp;$BB$3&amp;G318&amp;$BD$3,"")</f>
        <v/>
      </c>
      <c r="BE316" s="1" t="str">
        <f>IFERROR($BC$3&amp;VLOOKUP(H318,'Pay Table'!$M$3:$N$18,2,FALSE)&amp;$BB$3&amp;I318&amp;$BD$3,"")</f>
        <v/>
      </c>
      <c r="BF316" s="27" t="str">
        <f>IFERROR($BC$3&amp;VLOOKUP(J318,'Pay Table'!$M$3:$N$18,2,FALSE)&amp;$BB$3&amp;K318&amp;$BD$3,"")</f>
        <v/>
      </c>
    </row>
    <row r="317" spans="54:58" x14ac:dyDescent="0.15">
      <c r="BB317" s="26" t="str">
        <f>IFERROR($BC$3&amp;VLOOKUP(B319,'Pay Table'!$M$3:$N$18,2,FALSE)&amp;$BB$3&amp;C319&amp;$BD$3,"")</f>
        <v/>
      </c>
      <c r="BC317" s="1" t="str">
        <f>IFERROR($BC$3&amp;VLOOKUP(D319,'Pay Table'!$M$3:$N$18,2,FALSE)&amp;$BB$3&amp;E319&amp;$BD$3,"")</f>
        <v/>
      </c>
      <c r="BD317" s="1" t="str">
        <f>IFERROR($BC$3&amp;VLOOKUP(F319,'Pay Table'!$M$3:$N$18,2,FALSE)&amp;$BB$3&amp;G319&amp;$BD$3,"")</f>
        <v/>
      </c>
      <c r="BE317" s="1" t="str">
        <f>IFERROR($BC$3&amp;VLOOKUP(H319,'Pay Table'!$M$3:$N$18,2,FALSE)&amp;$BB$3&amp;I319&amp;$BD$3,"")</f>
        <v/>
      </c>
      <c r="BF317" s="27" t="str">
        <f>IFERROR($BC$3&amp;VLOOKUP(J319,'Pay Table'!$M$3:$N$18,2,FALSE)&amp;$BB$3&amp;K319&amp;$BD$3,"")</f>
        <v/>
      </c>
    </row>
    <row r="318" spans="54:58" x14ac:dyDescent="0.15">
      <c r="BB318" s="26" t="str">
        <f>IFERROR($BC$3&amp;VLOOKUP(B320,'Pay Table'!$M$3:$N$18,2,FALSE)&amp;$BB$3&amp;C320&amp;$BD$3,"")</f>
        <v/>
      </c>
      <c r="BC318" s="1" t="str">
        <f>IFERROR($BC$3&amp;VLOOKUP(D320,'Pay Table'!$M$3:$N$18,2,FALSE)&amp;$BB$3&amp;E320&amp;$BD$3,"")</f>
        <v/>
      </c>
      <c r="BD318" s="1" t="str">
        <f>IFERROR($BC$3&amp;VLOOKUP(F320,'Pay Table'!$M$3:$N$18,2,FALSE)&amp;$BB$3&amp;G320&amp;$BD$3,"")</f>
        <v/>
      </c>
      <c r="BE318" s="1" t="str">
        <f>IFERROR($BC$3&amp;VLOOKUP(H320,'Pay Table'!$M$3:$N$18,2,FALSE)&amp;$BB$3&amp;I320&amp;$BD$3,"")</f>
        <v/>
      </c>
      <c r="BF318" s="27" t="str">
        <f>IFERROR($BC$3&amp;VLOOKUP(J320,'Pay Table'!$M$3:$N$18,2,FALSE)&amp;$BB$3&amp;K320&amp;$BD$3,"")</f>
        <v/>
      </c>
    </row>
    <row r="319" spans="54:58" x14ac:dyDescent="0.15">
      <c r="BB319" s="26" t="str">
        <f>IFERROR($BC$3&amp;VLOOKUP(B321,'Pay Table'!$M$3:$N$18,2,FALSE)&amp;$BB$3&amp;C321&amp;$BD$3,"")</f>
        <v/>
      </c>
      <c r="BC319" s="1" t="str">
        <f>IFERROR($BC$3&amp;VLOOKUP(D321,'Pay Table'!$M$3:$N$18,2,FALSE)&amp;$BB$3&amp;E321&amp;$BD$3,"")</f>
        <v/>
      </c>
      <c r="BD319" s="1" t="str">
        <f>IFERROR($BC$3&amp;VLOOKUP(F321,'Pay Table'!$M$3:$N$18,2,FALSE)&amp;$BB$3&amp;G321&amp;$BD$3,"")</f>
        <v/>
      </c>
      <c r="BE319" s="1" t="str">
        <f>IFERROR($BC$3&amp;VLOOKUP(H321,'Pay Table'!$M$3:$N$18,2,FALSE)&amp;$BB$3&amp;I321&amp;$BD$3,"")</f>
        <v/>
      </c>
      <c r="BF319" s="27" t="str">
        <f>IFERROR($BC$3&amp;VLOOKUP(J321,'Pay Table'!$M$3:$N$18,2,FALSE)&amp;$BB$3&amp;K321&amp;$BD$3,"")</f>
        <v/>
      </c>
    </row>
    <row r="320" spans="54:58" x14ac:dyDescent="0.15">
      <c r="BB320" s="26" t="str">
        <f>IFERROR($BC$3&amp;VLOOKUP(B322,'Pay Table'!$M$3:$N$18,2,FALSE)&amp;$BB$3&amp;C322&amp;$BD$3,"")</f>
        <v/>
      </c>
      <c r="BC320" s="1" t="str">
        <f>IFERROR($BC$3&amp;VLOOKUP(D322,'Pay Table'!$M$3:$N$18,2,FALSE)&amp;$BB$3&amp;E322&amp;$BD$3,"")</f>
        <v/>
      </c>
      <c r="BD320" s="1" t="str">
        <f>IFERROR($BC$3&amp;VLOOKUP(F322,'Pay Table'!$M$3:$N$18,2,FALSE)&amp;$BB$3&amp;G322&amp;$BD$3,"")</f>
        <v/>
      </c>
      <c r="BE320" s="1" t="str">
        <f>IFERROR($BC$3&amp;VLOOKUP(H322,'Pay Table'!$M$3:$N$18,2,FALSE)&amp;$BB$3&amp;I322&amp;$BD$3,"")</f>
        <v/>
      </c>
      <c r="BF320" s="27" t="str">
        <f>IFERROR($BC$3&amp;VLOOKUP(J322,'Pay Table'!$M$3:$N$18,2,FALSE)&amp;$BB$3&amp;K322&amp;$BD$3,"")</f>
        <v/>
      </c>
    </row>
    <row r="321" spans="54:58" x14ac:dyDescent="0.15">
      <c r="BB321" s="26" t="str">
        <f>IFERROR($BC$3&amp;VLOOKUP(B323,'Pay Table'!$M$3:$N$18,2,FALSE)&amp;$BB$3&amp;C323&amp;$BD$3,"")</f>
        <v/>
      </c>
      <c r="BC321" s="1" t="str">
        <f>IFERROR($BC$3&amp;VLOOKUP(D323,'Pay Table'!$M$3:$N$18,2,FALSE)&amp;$BB$3&amp;E323&amp;$BD$3,"")</f>
        <v/>
      </c>
      <c r="BD321" s="1" t="str">
        <f>IFERROR($BC$3&amp;VLOOKUP(F323,'Pay Table'!$M$3:$N$18,2,FALSE)&amp;$BB$3&amp;G323&amp;$BD$3,"")</f>
        <v/>
      </c>
      <c r="BE321" s="1" t="str">
        <f>IFERROR($BC$3&amp;VLOOKUP(H323,'Pay Table'!$M$3:$N$18,2,FALSE)&amp;$BB$3&amp;I323&amp;$BD$3,"")</f>
        <v/>
      </c>
      <c r="BF321" s="27" t="str">
        <f>IFERROR($BC$3&amp;VLOOKUP(J323,'Pay Table'!$M$3:$N$18,2,FALSE)&amp;$BB$3&amp;K323&amp;$BD$3,"")</f>
        <v/>
      </c>
    </row>
    <row r="322" spans="54:58" x14ac:dyDescent="0.15">
      <c r="BB322" s="26" t="str">
        <f>IFERROR($BC$3&amp;VLOOKUP(B324,'Pay Table'!$M$3:$N$18,2,FALSE)&amp;$BB$3&amp;C324&amp;$BD$3,"")</f>
        <v/>
      </c>
      <c r="BC322" s="1" t="str">
        <f>IFERROR($BC$3&amp;VLOOKUP(D324,'Pay Table'!$M$3:$N$18,2,FALSE)&amp;$BB$3&amp;E324&amp;$BD$3,"")</f>
        <v/>
      </c>
      <c r="BD322" s="1" t="str">
        <f>IFERROR($BC$3&amp;VLOOKUP(F324,'Pay Table'!$M$3:$N$18,2,FALSE)&amp;$BB$3&amp;G324&amp;$BD$3,"")</f>
        <v/>
      </c>
      <c r="BE322" s="1" t="str">
        <f>IFERROR($BC$3&amp;VLOOKUP(H324,'Pay Table'!$M$3:$N$18,2,FALSE)&amp;$BB$3&amp;I324&amp;$BD$3,"")</f>
        <v/>
      </c>
      <c r="BF322" s="27" t="str">
        <f>IFERROR($BC$3&amp;VLOOKUP(J324,'Pay Table'!$M$3:$N$18,2,FALSE)&amp;$BB$3&amp;K324&amp;$BD$3,"")</f>
        <v/>
      </c>
    </row>
    <row r="323" spans="54:58" x14ac:dyDescent="0.15">
      <c r="BB323" s="26" t="str">
        <f>IFERROR($BC$3&amp;VLOOKUP(B325,'Pay Table'!$M$3:$N$18,2,FALSE)&amp;$BB$3&amp;C325&amp;$BD$3,"")</f>
        <v/>
      </c>
      <c r="BC323" s="1" t="str">
        <f>IFERROR($BC$3&amp;VLOOKUP(D325,'Pay Table'!$M$3:$N$18,2,FALSE)&amp;$BB$3&amp;E325&amp;$BD$3,"")</f>
        <v/>
      </c>
      <c r="BD323" s="1" t="str">
        <f>IFERROR($BC$3&amp;VLOOKUP(F325,'Pay Table'!$M$3:$N$18,2,FALSE)&amp;$BB$3&amp;G325&amp;$BD$3,"")</f>
        <v/>
      </c>
      <c r="BE323" s="1" t="str">
        <f>IFERROR($BC$3&amp;VLOOKUP(H325,'Pay Table'!$M$3:$N$18,2,FALSE)&amp;$BB$3&amp;I325&amp;$BD$3,"")</f>
        <v/>
      </c>
      <c r="BF323" s="27" t="str">
        <f>IFERROR($BC$3&amp;VLOOKUP(J325,'Pay Table'!$M$3:$N$18,2,FALSE)&amp;$BB$3&amp;K325&amp;$BD$3,"")</f>
        <v/>
      </c>
    </row>
    <row r="324" spans="54:58" x14ac:dyDescent="0.15">
      <c r="BB324" s="26" t="str">
        <f>IFERROR($BC$3&amp;VLOOKUP(B326,'Pay Table'!$M$3:$N$18,2,FALSE)&amp;$BB$3&amp;C326&amp;$BD$3,"")</f>
        <v/>
      </c>
      <c r="BC324" s="1" t="str">
        <f>IFERROR($BC$3&amp;VLOOKUP(D326,'Pay Table'!$M$3:$N$18,2,FALSE)&amp;$BB$3&amp;E326&amp;$BD$3,"")</f>
        <v/>
      </c>
      <c r="BD324" s="1" t="str">
        <f>IFERROR($BC$3&amp;VLOOKUP(F326,'Pay Table'!$M$3:$N$18,2,FALSE)&amp;$BB$3&amp;G326&amp;$BD$3,"")</f>
        <v/>
      </c>
      <c r="BE324" s="1" t="str">
        <f>IFERROR($BC$3&amp;VLOOKUP(H326,'Pay Table'!$M$3:$N$18,2,FALSE)&amp;$BB$3&amp;I326&amp;$BD$3,"")</f>
        <v/>
      </c>
      <c r="BF324" s="27" t="str">
        <f>IFERROR($BC$3&amp;VLOOKUP(J326,'Pay Table'!$M$3:$N$18,2,FALSE)&amp;$BB$3&amp;K326&amp;$BD$3,"")</f>
        <v/>
      </c>
    </row>
    <row r="325" spans="54:58" x14ac:dyDescent="0.15">
      <c r="BB325" s="26" t="str">
        <f>IFERROR($BC$3&amp;VLOOKUP(B327,'Pay Table'!$M$3:$N$18,2,FALSE)&amp;$BB$3&amp;C327&amp;$BD$3,"")</f>
        <v/>
      </c>
      <c r="BC325" s="1" t="str">
        <f>IFERROR($BC$3&amp;VLOOKUP(D327,'Pay Table'!$M$3:$N$18,2,FALSE)&amp;$BB$3&amp;E327&amp;$BD$3,"")</f>
        <v/>
      </c>
      <c r="BD325" s="1" t="str">
        <f>IFERROR($BC$3&amp;VLOOKUP(F327,'Pay Table'!$M$3:$N$18,2,FALSE)&amp;$BB$3&amp;G327&amp;$BD$3,"")</f>
        <v/>
      </c>
      <c r="BE325" s="1" t="str">
        <f>IFERROR($BC$3&amp;VLOOKUP(H327,'Pay Table'!$M$3:$N$18,2,FALSE)&amp;$BB$3&amp;I327&amp;$BD$3,"")</f>
        <v/>
      </c>
      <c r="BF325" s="27" t="str">
        <f>IFERROR($BC$3&amp;VLOOKUP(J327,'Pay Table'!$M$3:$N$18,2,FALSE)&amp;$BB$3&amp;K327&amp;$BD$3,"")</f>
        <v/>
      </c>
    </row>
    <row r="326" spans="54:58" x14ac:dyDescent="0.15">
      <c r="BB326" s="26" t="str">
        <f>IFERROR($BC$3&amp;VLOOKUP(B328,'Pay Table'!$M$3:$N$18,2,FALSE)&amp;$BB$3&amp;C328&amp;$BD$3,"")</f>
        <v/>
      </c>
      <c r="BC326" s="1" t="str">
        <f>IFERROR($BC$3&amp;VLOOKUP(D328,'Pay Table'!$M$3:$N$18,2,FALSE)&amp;$BB$3&amp;E328&amp;$BD$3,"")</f>
        <v/>
      </c>
      <c r="BD326" s="1" t="str">
        <f>IFERROR($BC$3&amp;VLOOKUP(F328,'Pay Table'!$M$3:$N$18,2,FALSE)&amp;$BB$3&amp;G328&amp;$BD$3,"")</f>
        <v/>
      </c>
      <c r="BE326" s="1" t="str">
        <f>IFERROR($BC$3&amp;VLOOKUP(H328,'Pay Table'!$M$3:$N$18,2,FALSE)&amp;$BB$3&amp;I328&amp;$BD$3,"")</f>
        <v/>
      </c>
      <c r="BF326" s="27" t="str">
        <f>IFERROR($BC$3&amp;VLOOKUP(J328,'Pay Table'!$M$3:$N$18,2,FALSE)&amp;$BB$3&amp;K328&amp;$BD$3,"")</f>
        <v/>
      </c>
    </row>
    <row r="327" spans="54:58" x14ac:dyDescent="0.15">
      <c r="BB327" s="26" t="str">
        <f>IFERROR($BC$3&amp;VLOOKUP(B329,'Pay Table'!$M$3:$N$18,2,FALSE)&amp;$BB$3&amp;C329&amp;$BD$3,"")</f>
        <v/>
      </c>
      <c r="BC327" s="1" t="str">
        <f>IFERROR($BC$3&amp;VLOOKUP(D329,'Pay Table'!$M$3:$N$18,2,FALSE)&amp;$BB$3&amp;E329&amp;$BD$3,"")</f>
        <v/>
      </c>
      <c r="BD327" s="1" t="str">
        <f>IFERROR($BC$3&amp;VLOOKUP(F329,'Pay Table'!$M$3:$N$18,2,FALSE)&amp;$BB$3&amp;G329&amp;$BD$3,"")</f>
        <v/>
      </c>
      <c r="BE327" s="1" t="str">
        <f>IFERROR($BC$3&amp;VLOOKUP(H329,'Pay Table'!$M$3:$N$18,2,FALSE)&amp;$BB$3&amp;I329&amp;$BD$3,"")</f>
        <v/>
      </c>
      <c r="BF327" s="27" t="str">
        <f>IFERROR($BC$3&amp;VLOOKUP(J329,'Pay Table'!$M$3:$N$18,2,FALSE)&amp;$BB$3&amp;K329&amp;$BD$3,"")</f>
        <v/>
      </c>
    </row>
    <row r="328" spans="54:58" x14ac:dyDescent="0.15">
      <c r="BB328" s="26" t="str">
        <f>IFERROR($BC$3&amp;VLOOKUP(B330,'Pay Table'!$M$3:$N$18,2,FALSE)&amp;$BB$3&amp;C330&amp;$BD$3,"")</f>
        <v/>
      </c>
      <c r="BC328" s="1" t="str">
        <f>IFERROR($BC$3&amp;VLOOKUP(D330,'Pay Table'!$M$3:$N$18,2,FALSE)&amp;$BB$3&amp;E330&amp;$BD$3,"")</f>
        <v/>
      </c>
      <c r="BD328" s="1" t="str">
        <f>IFERROR($BC$3&amp;VLOOKUP(F330,'Pay Table'!$M$3:$N$18,2,FALSE)&amp;$BB$3&amp;G330&amp;$BD$3,"")</f>
        <v/>
      </c>
      <c r="BE328" s="1" t="str">
        <f>IFERROR($BC$3&amp;VLOOKUP(H330,'Pay Table'!$M$3:$N$18,2,FALSE)&amp;$BB$3&amp;I330&amp;$BD$3,"")</f>
        <v/>
      </c>
      <c r="BF328" s="27" t="str">
        <f>IFERROR($BC$3&amp;VLOOKUP(J330,'Pay Table'!$M$3:$N$18,2,FALSE)&amp;$BB$3&amp;K330&amp;$BD$3,"")</f>
        <v/>
      </c>
    </row>
    <row r="329" spans="54:58" x14ac:dyDescent="0.15">
      <c r="BB329" s="26" t="str">
        <f>IFERROR($BC$3&amp;VLOOKUP(B331,'Pay Table'!$M$3:$N$18,2,FALSE)&amp;$BB$3&amp;C331&amp;$BD$3,"")</f>
        <v/>
      </c>
      <c r="BC329" s="1" t="str">
        <f>IFERROR($BC$3&amp;VLOOKUP(D331,'Pay Table'!$M$3:$N$18,2,FALSE)&amp;$BB$3&amp;E331&amp;$BD$3,"")</f>
        <v/>
      </c>
      <c r="BD329" s="1" t="str">
        <f>IFERROR($BC$3&amp;VLOOKUP(F331,'Pay Table'!$M$3:$N$18,2,FALSE)&amp;$BB$3&amp;G331&amp;$BD$3,"")</f>
        <v/>
      </c>
      <c r="BE329" s="1" t="str">
        <f>IFERROR($BC$3&amp;VLOOKUP(H331,'Pay Table'!$M$3:$N$18,2,FALSE)&amp;$BB$3&amp;I331&amp;$BD$3,"")</f>
        <v/>
      </c>
      <c r="BF329" s="27" t="str">
        <f>IFERROR($BC$3&amp;VLOOKUP(J331,'Pay Table'!$M$3:$N$18,2,FALSE)&amp;$BB$3&amp;K331&amp;$BD$3,"")</f>
        <v/>
      </c>
    </row>
    <row r="330" spans="54:58" x14ac:dyDescent="0.15">
      <c r="BB330" s="26" t="str">
        <f>IFERROR($BC$3&amp;VLOOKUP(B332,'Pay Table'!$M$3:$N$18,2,FALSE)&amp;$BB$3&amp;C332&amp;$BD$3,"")</f>
        <v/>
      </c>
      <c r="BC330" s="1" t="str">
        <f>IFERROR($BC$3&amp;VLOOKUP(D332,'Pay Table'!$M$3:$N$18,2,FALSE)&amp;$BB$3&amp;E332&amp;$BD$3,"")</f>
        <v/>
      </c>
      <c r="BD330" s="1" t="str">
        <f>IFERROR($BC$3&amp;VLOOKUP(F332,'Pay Table'!$M$3:$N$18,2,FALSE)&amp;$BB$3&amp;G332&amp;$BD$3,"")</f>
        <v/>
      </c>
      <c r="BE330" s="1" t="str">
        <f>IFERROR($BC$3&amp;VLOOKUP(H332,'Pay Table'!$M$3:$N$18,2,FALSE)&amp;$BB$3&amp;I332&amp;$BD$3,"")</f>
        <v/>
      </c>
      <c r="BF330" s="27" t="str">
        <f>IFERROR($BC$3&amp;VLOOKUP(J332,'Pay Table'!$M$3:$N$18,2,FALSE)&amp;$BB$3&amp;K332&amp;$BD$3,"")</f>
        <v/>
      </c>
    </row>
    <row r="331" spans="54:58" x14ac:dyDescent="0.15">
      <c r="BB331" s="26" t="str">
        <f>IFERROR($BC$3&amp;VLOOKUP(B333,'Pay Table'!$M$3:$N$18,2,FALSE)&amp;$BB$3&amp;C333&amp;$BD$3,"")</f>
        <v/>
      </c>
      <c r="BC331" s="1" t="str">
        <f>IFERROR($BC$3&amp;VLOOKUP(D333,'Pay Table'!$M$3:$N$18,2,FALSE)&amp;$BB$3&amp;E333&amp;$BD$3,"")</f>
        <v/>
      </c>
      <c r="BD331" s="1" t="str">
        <f>IFERROR($BC$3&amp;VLOOKUP(F333,'Pay Table'!$M$3:$N$18,2,FALSE)&amp;$BB$3&amp;G333&amp;$BD$3,"")</f>
        <v/>
      </c>
      <c r="BE331" s="1" t="str">
        <f>IFERROR($BC$3&amp;VLOOKUP(H333,'Pay Table'!$M$3:$N$18,2,FALSE)&amp;$BB$3&amp;I333&amp;$BD$3,"")</f>
        <v/>
      </c>
      <c r="BF331" s="27" t="str">
        <f>IFERROR($BC$3&amp;VLOOKUP(J333,'Pay Table'!$M$3:$N$18,2,FALSE)&amp;$BB$3&amp;K333&amp;$BD$3,"")</f>
        <v/>
      </c>
    </row>
    <row r="332" spans="54:58" x14ac:dyDescent="0.15">
      <c r="BB332" s="26" t="str">
        <f>IFERROR($BC$3&amp;VLOOKUP(B334,'Pay Table'!$M$3:$N$18,2,FALSE)&amp;$BB$3&amp;C334&amp;$BD$3,"")</f>
        <v/>
      </c>
      <c r="BC332" s="1" t="str">
        <f>IFERROR($BC$3&amp;VLOOKUP(D334,'Pay Table'!$M$3:$N$18,2,FALSE)&amp;$BB$3&amp;E334&amp;$BD$3,"")</f>
        <v/>
      </c>
      <c r="BD332" s="1" t="str">
        <f>IFERROR($BC$3&amp;VLOOKUP(F334,'Pay Table'!$M$3:$N$18,2,FALSE)&amp;$BB$3&amp;G334&amp;$BD$3,"")</f>
        <v/>
      </c>
      <c r="BE332" s="1" t="str">
        <f>IFERROR($BC$3&amp;VLOOKUP(H334,'Pay Table'!$M$3:$N$18,2,FALSE)&amp;$BB$3&amp;I334&amp;$BD$3,"")</f>
        <v/>
      </c>
      <c r="BF332" s="27" t="str">
        <f>IFERROR($BC$3&amp;VLOOKUP(J334,'Pay Table'!$M$3:$N$18,2,FALSE)&amp;$BB$3&amp;K334&amp;$BD$3,"")</f>
        <v/>
      </c>
    </row>
    <row r="333" spans="54:58" x14ac:dyDescent="0.15">
      <c r="BB333" s="26" t="str">
        <f>IFERROR($BC$3&amp;VLOOKUP(B335,'Pay Table'!$M$3:$N$18,2,FALSE)&amp;$BB$3&amp;C335&amp;$BD$3,"")</f>
        <v/>
      </c>
      <c r="BC333" s="1" t="str">
        <f>IFERROR($BC$3&amp;VLOOKUP(D335,'Pay Table'!$M$3:$N$18,2,FALSE)&amp;$BB$3&amp;E335&amp;$BD$3,"")</f>
        <v/>
      </c>
      <c r="BD333" s="1" t="str">
        <f>IFERROR($BC$3&amp;VLOOKUP(F335,'Pay Table'!$M$3:$N$18,2,FALSE)&amp;$BB$3&amp;G335&amp;$BD$3,"")</f>
        <v/>
      </c>
      <c r="BE333" s="1" t="str">
        <f>IFERROR($BC$3&amp;VLOOKUP(H335,'Pay Table'!$M$3:$N$18,2,FALSE)&amp;$BB$3&amp;I335&amp;$BD$3,"")</f>
        <v/>
      </c>
      <c r="BF333" s="27" t="str">
        <f>IFERROR($BC$3&amp;VLOOKUP(J335,'Pay Table'!$M$3:$N$18,2,FALSE)&amp;$BB$3&amp;K335&amp;$BD$3,"")</f>
        <v/>
      </c>
    </row>
    <row r="334" spans="54:58" x14ac:dyDescent="0.15">
      <c r="BB334" s="26" t="str">
        <f>IFERROR($BC$3&amp;VLOOKUP(B336,'Pay Table'!$M$3:$N$18,2,FALSE)&amp;$BB$3&amp;C336&amp;$BD$3,"")</f>
        <v/>
      </c>
      <c r="BC334" s="1" t="str">
        <f>IFERROR($BC$3&amp;VLOOKUP(D336,'Pay Table'!$M$3:$N$18,2,FALSE)&amp;$BB$3&amp;E336&amp;$BD$3,"")</f>
        <v/>
      </c>
      <c r="BD334" s="1" t="str">
        <f>IFERROR($BC$3&amp;VLOOKUP(F336,'Pay Table'!$M$3:$N$18,2,FALSE)&amp;$BB$3&amp;G336&amp;$BD$3,"")</f>
        <v/>
      </c>
      <c r="BE334" s="1" t="str">
        <f>IFERROR($BC$3&amp;VLOOKUP(H336,'Pay Table'!$M$3:$N$18,2,FALSE)&amp;$BB$3&amp;I336&amp;$BD$3,"")</f>
        <v/>
      </c>
      <c r="BF334" s="27" t="str">
        <f>IFERROR($BC$3&amp;VLOOKUP(J336,'Pay Table'!$M$3:$N$18,2,FALSE)&amp;$BB$3&amp;K336&amp;$BD$3,"")</f>
        <v/>
      </c>
    </row>
    <row r="335" spans="54:58" x14ac:dyDescent="0.15">
      <c r="BB335" s="26" t="str">
        <f>IFERROR($BC$3&amp;VLOOKUP(B337,'Pay Table'!$M$3:$N$18,2,FALSE)&amp;$BB$3&amp;C337&amp;$BD$3,"")</f>
        <v/>
      </c>
      <c r="BC335" s="1" t="str">
        <f>IFERROR($BC$3&amp;VLOOKUP(D337,'Pay Table'!$M$3:$N$18,2,FALSE)&amp;$BB$3&amp;E337&amp;$BD$3,"")</f>
        <v/>
      </c>
      <c r="BD335" s="1" t="str">
        <f>IFERROR($BC$3&amp;VLOOKUP(F337,'Pay Table'!$M$3:$N$18,2,FALSE)&amp;$BB$3&amp;G337&amp;$BD$3,"")</f>
        <v/>
      </c>
      <c r="BE335" s="1" t="str">
        <f>IFERROR($BC$3&amp;VLOOKUP(H337,'Pay Table'!$M$3:$N$18,2,FALSE)&amp;$BB$3&amp;I337&amp;$BD$3,"")</f>
        <v/>
      </c>
      <c r="BF335" s="27" t="str">
        <f>IFERROR($BC$3&amp;VLOOKUP(J337,'Pay Table'!$M$3:$N$18,2,FALSE)&amp;$BB$3&amp;K337&amp;$BD$3,"")</f>
        <v/>
      </c>
    </row>
    <row r="336" spans="54:58" x14ac:dyDescent="0.15">
      <c r="BB336" s="26" t="str">
        <f>IFERROR($BC$3&amp;VLOOKUP(B338,'Pay Table'!$M$3:$N$18,2,FALSE)&amp;$BB$3&amp;C338&amp;$BD$3,"")</f>
        <v/>
      </c>
      <c r="BC336" s="1" t="str">
        <f>IFERROR($BC$3&amp;VLOOKUP(D338,'Pay Table'!$M$3:$N$18,2,FALSE)&amp;$BB$3&amp;E338&amp;$BD$3,"")</f>
        <v/>
      </c>
      <c r="BD336" s="1" t="str">
        <f>IFERROR($BC$3&amp;VLOOKUP(F338,'Pay Table'!$M$3:$N$18,2,FALSE)&amp;$BB$3&amp;G338&amp;$BD$3,"")</f>
        <v/>
      </c>
      <c r="BE336" s="1" t="str">
        <f>IFERROR($BC$3&amp;VLOOKUP(H338,'Pay Table'!$M$3:$N$18,2,FALSE)&amp;$BB$3&amp;I338&amp;$BD$3,"")</f>
        <v/>
      </c>
      <c r="BF336" s="27" t="str">
        <f>IFERROR($BC$3&amp;VLOOKUP(J338,'Pay Table'!$M$3:$N$18,2,FALSE)&amp;$BB$3&amp;K338&amp;$BD$3,"")</f>
        <v/>
      </c>
    </row>
    <row r="337" spans="54:58" x14ac:dyDescent="0.15">
      <c r="BB337" s="26" t="str">
        <f>IFERROR($BC$3&amp;VLOOKUP(B339,'Pay Table'!$M$3:$N$18,2,FALSE)&amp;$BB$3&amp;C339&amp;$BD$3,"")</f>
        <v/>
      </c>
      <c r="BC337" s="1" t="str">
        <f>IFERROR($BC$3&amp;VLOOKUP(D339,'Pay Table'!$M$3:$N$18,2,FALSE)&amp;$BB$3&amp;E339&amp;$BD$3,"")</f>
        <v/>
      </c>
      <c r="BD337" s="1" t="str">
        <f>IFERROR($BC$3&amp;VLOOKUP(F339,'Pay Table'!$M$3:$N$18,2,FALSE)&amp;$BB$3&amp;G339&amp;$BD$3,"")</f>
        <v/>
      </c>
      <c r="BE337" s="1" t="str">
        <f>IFERROR($BC$3&amp;VLOOKUP(H339,'Pay Table'!$M$3:$N$18,2,FALSE)&amp;$BB$3&amp;I339&amp;$BD$3,"")</f>
        <v/>
      </c>
      <c r="BF337" s="27" t="str">
        <f>IFERROR($BC$3&amp;VLOOKUP(J339,'Pay Table'!$M$3:$N$18,2,FALSE)&amp;$BB$3&amp;K339&amp;$BD$3,"")</f>
        <v/>
      </c>
    </row>
    <row r="338" spans="54:58" x14ac:dyDescent="0.15">
      <c r="BB338" s="26" t="str">
        <f>IFERROR($BC$3&amp;VLOOKUP(B340,'Pay Table'!$M$3:$N$18,2,FALSE)&amp;$BB$3&amp;C340&amp;$BD$3,"")</f>
        <v/>
      </c>
      <c r="BC338" s="1" t="str">
        <f>IFERROR($BC$3&amp;VLOOKUP(D340,'Pay Table'!$M$3:$N$18,2,FALSE)&amp;$BB$3&amp;E340&amp;$BD$3,"")</f>
        <v/>
      </c>
      <c r="BD338" s="1" t="str">
        <f>IFERROR($BC$3&amp;VLOOKUP(F340,'Pay Table'!$M$3:$N$18,2,FALSE)&amp;$BB$3&amp;G340&amp;$BD$3,"")</f>
        <v/>
      </c>
      <c r="BE338" s="1" t="str">
        <f>IFERROR($BC$3&amp;VLOOKUP(H340,'Pay Table'!$M$3:$N$18,2,FALSE)&amp;$BB$3&amp;I340&amp;$BD$3,"")</f>
        <v/>
      </c>
      <c r="BF338" s="27" t="str">
        <f>IFERROR($BC$3&amp;VLOOKUP(J340,'Pay Table'!$M$3:$N$18,2,FALSE)&amp;$BB$3&amp;K340&amp;$BD$3,"")</f>
        <v/>
      </c>
    </row>
    <row r="339" spans="54:58" x14ac:dyDescent="0.15">
      <c r="BB339" s="26" t="str">
        <f>IFERROR($BC$3&amp;VLOOKUP(B341,'Pay Table'!$M$3:$N$18,2,FALSE)&amp;$BB$3&amp;C341&amp;$BD$3,"")</f>
        <v/>
      </c>
      <c r="BC339" s="1" t="str">
        <f>IFERROR($BC$3&amp;VLOOKUP(D341,'Pay Table'!$M$3:$N$18,2,FALSE)&amp;$BB$3&amp;E341&amp;$BD$3,"")</f>
        <v/>
      </c>
      <c r="BD339" s="1" t="str">
        <f>IFERROR($BC$3&amp;VLOOKUP(F341,'Pay Table'!$M$3:$N$18,2,FALSE)&amp;$BB$3&amp;G341&amp;$BD$3,"")</f>
        <v/>
      </c>
      <c r="BE339" s="1" t="str">
        <f>IFERROR($BC$3&amp;VLOOKUP(H341,'Pay Table'!$M$3:$N$18,2,FALSE)&amp;$BB$3&amp;I341&amp;$BD$3,"")</f>
        <v/>
      </c>
      <c r="BF339" s="27" t="str">
        <f>IFERROR($BC$3&amp;VLOOKUP(J341,'Pay Table'!$M$3:$N$18,2,FALSE)&amp;$BB$3&amp;K341&amp;$BD$3,"")</f>
        <v/>
      </c>
    </row>
    <row r="340" spans="54:58" x14ac:dyDescent="0.15">
      <c r="BB340" s="26" t="str">
        <f>IFERROR($BC$3&amp;VLOOKUP(B342,'Pay Table'!$M$3:$N$18,2,FALSE)&amp;$BB$3&amp;C342&amp;$BD$3,"")</f>
        <v/>
      </c>
      <c r="BC340" s="1" t="str">
        <f>IFERROR($BC$3&amp;VLOOKUP(D342,'Pay Table'!$M$3:$N$18,2,FALSE)&amp;$BB$3&amp;E342&amp;$BD$3,"")</f>
        <v/>
      </c>
      <c r="BD340" s="1" t="str">
        <f>IFERROR($BC$3&amp;VLOOKUP(F342,'Pay Table'!$M$3:$N$18,2,FALSE)&amp;$BB$3&amp;G342&amp;$BD$3,"")</f>
        <v/>
      </c>
      <c r="BE340" s="1" t="str">
        <f>IFERROR($BC$3&amp;VLOOKUP(H342,'Pay Table'!$M$3:$N$18,2,FALSE)&amp;$BB$3&amp;I342&amp;$BD$3,"")</f>
        <v/>
      </c>
      <c r="BF340" s="27" t="str">
        <f>IFERROR($BC$3&amp;VLOOKUP(J342,'Pay Table'!$M$3:$N$18,2,FALSE)&amp;$BB$3&amp;K342&amp;$BD$3,"")</f>
        <v/>
      </c>
    </row>
    <row r="341" spans="54:58" x14ac:dyDescent="0.15">
      <c r="BB341" s="26" t="str">
        <f>IFERROR($BC$3&amp;VLOOKUP(B343,'Pay Table'!$M$3:$N$18,2,FALSE)&amp;$BB$3&amp;C343&amp;$BD$3,"")</f>
        <v/>
      </c>
      <c r="BC341" s="1" t="str">
        <f>IFERROR($BC$3&amp;VLOOKUP(D343,'Pay Table'!$M$3:$N$18,2,FALSE)&amp;$BB$3&amp;E343&amp;$BD$3,"")</f>
        <v/>
      </c>
      <c r="BD341" s="1" t="str">
        <f>IFERROR($BC$3&amp;VLOOKUP(F343,'Pay Table'!$M$3:$N$18,2,FALSE)&amp;$BB$3&amp;G343&amp;$BD$3,"")</f>
        <v/>
      </c>
      <c r="BE341" s="1" t="str">
        <f>IFERROR($BC$3&amp;VLOOKUP(H343,'Pay Table'!$M$3:$N$18,2,FALSE)&amp;$BB$3&amp;I343&amp;$BD$3,"")</f>
        <v/>
      </c>
      <c r="BF341" s="27" t="str">
        <f>IFERROR($BC$3&amp;VLOOKUP(J343,'Pay Table'!$M$3:$N$18,2,FALSE)&amp;$BB$3&amp;K343&amp;$BD$3,"")</f>
        <v/>
      </c>
    </row>
    <row r="342" spans="54:58" x14ac:dyDescent="0.15">
      <c r="BB342" s="26" t="str">
        <f>IFERROR($BC$3&amp;VLOOKUP(B344,'Pay Table'!$M$3:$N$18,2,FALSE)&amp;$BB$3&amp;C344&amp;$BD$3,"")</f>
        <v/>
      </c>
      <c r="BC342" s="1" t="str">
        <f>IFERROR($BC$3&amp;VLOOKUP(D344,'Pay Table'!$M$3:$N$18,2,FALSE)&amp;$BB$3&amp;E344&amp;$BD$3,"")</f>
        <v/>
      </c>
      <c r="BD342" s="1" t="str">
        <f>IFERROR($BC$3&amp;VLOOKUP(F344,'Pay Table'!$M$3:$N$18,2,FALSE)&amp;$BB$3&amp;G344&amp;$BD$3,"")</f>
        <v/>
      </c>
      <c r="BE342" s="1" t="str">
        <f>IFERROR($BC$3&amp;VLOOKUP(H344,'Pay Table'!$M$3:$N$18,2,FALSE)&amp;$BB$3&amp;I344&amp;$BD$3,"")</f>
        <v/>
      </c>
      <c r="BF342" s="27" t="str">
        <f>IFERROR($BC$3&amp;VLOOKUP(J344,'Pay Table'!$M$3:$N$18,2,FALSE)&amp;$BB$3&amp;K344&amp;$BD$3,"")</f>
        <v/>
      </c>
    </row>
    <row r="343" spans="54:58" x14ac:dyDescent="0.15">
      <c r="BB343" s="26" t="str">
        <f>IFERROR($BC$3&amp;VLOOKUP(B345,'Pay Table'!$M$3:$N$18,2,FALSE)&amp;$BB$3&amp;C345&amp;$BD$3,"")</f>
        <v/>
      </c>
      <c r="BC343" s="1" t="str">
        <f>IFERROR($BC$3&amp;VLOOKUP(D345,'Pay Table'!$M$3:$N$18,2,FALSE)&amp;$BB$3&amp;E345&amp;$BD$3,"")</f>
        <v/>
      </c>
      <c r="BD343" s="1" t="str">
        <f>IFERROR($BC$3&amp;VLOOKUP(F345,'Pay Table'!$M$3:$N$18,2,FALSE)&amp;$BB$3&amp;G345&amp;$BD$3,"")</f>
        <v/>
      </c>
      <c r="BE343" s="1" t="str">
        <f>IFERROR($BC$3&amp;VLOOKUP(H345,'Pay Table'!$M$3:$N$18,2,FALSE)&amp;$BB$3&amp;I345&amp;$BD$3,"")</f>
        <v/>
      </c>
      <c r="BF343" s="27" t="str">
        <f>IFERROR($BC$3&amp;VLOOKUP(J345,'Pay Table'!$M$3:$N$18,2,FALSE)&amp;$BB$3&amp;K345&amp;$BD$3,"")</f>
        <v/>
      </c>
    </row>
    <row r="344" spans="54:58" x14ac:dyDescent="0.15">
      <c r="BB344" s="26" t="str">
        <f>IFERROR($BC$3&amp;VLOOKUP(B346,'Pay Table'!$M$3:$N$18,2,FALSE)&amp;$BB$3&amp;C346&amp;$BD$3,"")</f>
        <v/>
      </c>
      <c r="BC344" s="1" t="str">
        <f>IFERROR($BC$3&amp;VLOOKUP(D346,'Pay Table'!$M$3:$N$18,2,FALSE)&amp;$BB$3&amp;E346&amp;$BD$3,"")</f>
        <v/>
      </c>
      <c r="BD344" s="1" t="str">
        <f>IFERROR($BC$3&amp;VLOOKUP(F346,'Pay Table'!$M$3:$N$18,2,FALSE)&amp;$BB$3&amp;G346&amp;$BD$3,"")</f>
        <v/>
      </c>
      <c r="BE344" s="1" t="str">
        <f>IFERROR($BC$3&amp;VLOOKUP(H346,'Pay Table'!$M$3:$N$18,2,FALSE)&amp;$BB$3&amp;I346&amp;$BD$3,"")</f>
        <v/>
      </c>
      <c r="BF344" s="27" t="str">
        <f>IFERROR($BC$3&amp;VLOOKUP(J346,'Pay Table'!$M$3:$N$18,2,FALSE)&amp;$BB$3&amp;K346&amp;$BD$3,"")</f>
        <v/>
      </c>
    </row>
    <row r="345" spans="54:58" x14ac:dyDescent="0.15">
      <c r="BB345" s="26" t="str">
        <f>IFERROR($BC$3&amp;VLOOKUP(B347,'Pay Table'!$M$3:$N$18,2,FALSE)&amp;$BB$3&amp;C347&amp;$BD$3,"")</f>
        <v/>
      </c>
      <c r="BC345" s="1" t="str">
        <f>IFERROR($BC$3&amp;VLOOKUP(D347,'Pay Table'!$M$3:$N$18,2,FALSE)&amp;$BB$3&amp;E347&amp;$BD$3,"")</f>
        <v/>
      </c>
      <c r="BD345" s="1" t="str">
        <f>IFERROR($BC$3&amp;VLOOKUP(F347,'Pay Table'!$M$3:$N$18,2,FALSE)&amp;$BB$3&amp;G347&amp;$BD$3,"")</f>
        <v/>
      </c>
      <c r="BE345" s="1" t="str">
        <f>IFERROR($BC$3&amp;VLOOKUP(H347,'Pay Table'!$M$3:$N$18,2,FALSE)&amp;$BB$3&amp;I347&amp;$BD$3,"")</f>
        <v/>
      </c>
      <c r="BF345" s="27" t="str">
        <f>IFERROR($BC$3&amp;VLOOKUP(J347,'Pay Table'!$M$3:$N$18,2,FALSE)&amp;$BB$3&amp;K347&amp;$BD$3,"")</f>
        <v/>
      </c>
    </row>
    <row r="346" spans="54:58" x14ac:dyDescent="0.15">
      <c r="BB346" s="26" t="str">
        <f>IFERROR($BC$3&amp;VLOOKUP(B348,'Pay Table'!$M$3:$N$18,2,FALSE)&amp;$BB$3&amp;C348&amp;$BD$3,"")</f>
        <v/>
      </c>
      <c r="BC346" s="1" t="str">
        <f>IFERROR($BC$3&amp;VLOOKUP(D348,'Pay Table'!$M$3:$N$18,2,FALSE)&amp;$BB$3&amp;E348&amp;$BD$3,"")</f>
        <v/>
      </c>
      <c r="BD346" s="1" t="str">
        <f>IFERROR($BC$3&amp;VLOOKUP(F348,'Pay Table'!$M$3:$N$18,2,FALSE)&amp;$BB$3&amp;G348&amp;$BD$3,"")</f>
        <v/>
      </c>
      <c r="BE346" s="1" t="str">
        <f>IFERROR($BC$3&amp;VLOOKUP(H348,'Pay Table'!$M$3:$N$18,2,FALSE)&amp;$BB$3&amp;I348&amp;$BD$3,"")</f>
        <v/>
      </c>
      <c r="BF346" s="27" t="str">
        <f>IFERROR($BC$3&amp;VLOOKUP(J348,'Pay Table'!$M$3:$N$18,2,FALSE)&amp;$BB$3&amp;K348&amp;$BD$3,"")</f>
        <v/>
      </c>
    </row>
    <row r="347" spans="54:58" x14ac:dyDescent="0.15">
      <c r="BB347" s="26" t="str">
        <f>IFERROR($BC$3&amp;VLOOKUP(B349,'Pay Table'!$M$3:$N$18,2,FALSE)&amp;$BB$3&amp;C349&amp;$BD$3,"")</f>
        <v/>
      </c>
      <c r="BC347" s="1" t="str">
        <f>IFERROR($BC$3&amp;VLOOKUP(D349,'Pay Table'!$M$3:$N$18,2,FALSE)&amp;$BB$3&amp;E349&amp;$BD$3,"")</f>
        <v/>
      </c>
      <c r="BD347" s="1" t="str">
        <f>IFERROR($BC$3&amp;VLOOKUP(F349,'Pay Table'!$M$3:$N$18,2,FALSE)&amp;$BB$3&amp;G349&amp;$BD$3,"")</f>
        <v/>
      </c>
      <c r="BE347" s="1" t="str">
        <f>IFERROR($BC$3&amp;VLOOKUP(H349,'Pay Table'!$M$3:$N$18,2,FALSE)&amp;$BB$3&amp;I349&amp;$BD$3,"")</f>
        <v/>
      </c>
      <c r="BF347" s="27" t="str">
        <f>IFERROR($BC$3&amp;VLOOKUP(J349,'Pay Table'!$M$3:$N$18,2,FALSE)&amp;$BB$3&amp;K349&amp;$BD$3,"")</f>
        <v/>
      </c>
    </row>
    <row r="348" spans="54:58" x14ac:dyDescent="0.15">
      <c r="BB348" s="26" t="str">
        <f>IFERROR($BC$3&amp;VLOOKUP(B350,'Pay Table'!$M$3:$N$18,2,FALSE)&amp;$BB$3&amp;C350&amp;$BD$3,"")</f>
        <v/>
      </c>
      <c r="BC348" s="1" t="str">
        <f>IFERROR($BC$3&amp;VLOOKUP(D350,'Pay Table'!$M$3:$N$18,2,FALSE)&amp;$BB$3&amp;E350&amp;$BD$3,"")</f>
        <v/>
      </c>
      <c r="BD348" s="1" t="str">
        <f>IFERROR($BC$3&amp;VLOOKUP(F350,'Pay Table'!$M$3:$N$18,2,FALSE)&amp;$BB$3&amp;G350&amp;$BD$3,"")</f>
        <v/>
      </c>
      <c r="BE348" s="1" t="str">
        <f>IFERROR($BC$3&amp;VLOOKUP(H350,'Pay Table'!$M$3:$N$18,2,FALSE)&amp;$BB$3&amp;I350&amp;$BD$3,"")</f>
        <v/>
      </c>
      <c r="BF348" s="27" t="str">
        <f>IFERROR($BC$3&amp;VLOOKUP(J350,'Pay Table'!$M$3:$N$18,2,FALSE)&amp;$BB$3&amp;K350&amp;$BD$3,"")</f>
        <v/>
      </c>
    </row>
    <row r="349" spans="54:58" x14ac:dyDescent="0.15">
      <c r="BB349" s="26" t="str">
        <f>IFERROR($BC$3&amp;VLOOKUP(B351,'Pay Table'!$M$3:$N$18,2,FALSE)&amp;$BB$3&amp;C351&amp;$BD$3,"")</f>
        <v/>
      </c>
      <c r="BC349" s="1" t="str">
        <f>IFERROR($BC$3&amp;VLOOKUP(D351,'Pay Table'!$M$3:$N$18,2,FALSE)&amp;$BB$3&amp;E351&amp;$BD$3,"")</f>
        <v/>
      </c>
      <c r="BD349" s="1" t="str">
        <f>IFERROR($BC$3&amp;VLOOKUP(F351,'Pay Table'!$M$3:$N$18,2,FALSE)&amp;$BB$3&amp;G351&amp;$BD$3,"")</f>
        <v/>
      </c>
      <c r="BE349" s="1" t="str">
        <f>IFERROR($BC$3&amp;VLOOKUP(H351,'Pay Table'!$M$3:$N$18,2,FALSE)&amp;$BB$3&amp;I351&amp;$BD$3,"")</f>
        <v/>
      </c>
      <c r="BF349" s="27" t="str">
        <f>IFERROR($BC$3&amp;VLOOKUP(J351,'Pay Table'!$M$3:$N$18,2,FALSE)&amp;$BB$3&amp;K351&amp;$BD$3,"")</f>
        <v/>
      </c>
    </row>
    <row r="350" spans="54:58" x14ac:dyDescent="0.15">
      <c r="BB350" s="26" t="str">
        <f>IFERROR($BC$3&amp;VLOOKUP(B352,'Pay Table'!$M$3:$N$18,2,FALSE)&amp;$BB$3&amp;C352&amp;$BD$3,"")</f>
        <v/>
      </c>
      <c r="BC350" s="1" t="str">
        <f>IFERROR($BC$3&amp;VLOOKUP(D352,'Pay Table'!$M$3:$N$18,2,FALSE)&amp;$BB$3&amp;E352&amp;$BD$3,"")</f>
        <v/>
      </c>
      <c r="BD350" s="1" t="str">
        <f>IFERROR($BC$3&amp;VLOOKUP(F352,'Pay Table'!$M$3:$N$18,2,FALSE)&amp;$BB$3&amp;G352&amp;$BD$3,"")</f>
        <v/>
      </c>
      <c r="BE350" s="1" t="str">
        <f>IFERROR($BC$3&amp;VLOOKUP(H352,'Pay Table'!$M$3:$N$18,2,FALSE)&amp;$BB$3&amp;I352&amp;$BD$3,"")</f>
        <v/>
      </c>
      <c r="BF350" s="27" t="str">
        <f>IFERROR($BC$3&amp;VLOOKUP(J352,'Pay Table'!$M$3:$N$18,2,FALSE)&amp;$BB$3&amp;K352&amp;$BD$3,"")</f>
        <v/>
      </c>
    </row>
    <row r="351" spans="54:58" x14ac:dyDescent="0.15">
      <c r="BB351" s="26" t="str">
        <f>IFERROR($BC$3&amp;VLOOKUP(B353,'Pay Table'!$M$3:$N$18,2,FALSE)&amp;$BB$3&amp;C353&amp;$BD$3,"")</f>
        <v/>
      </c>
      <c r="BC351" s="1" t="str">
        <f>IFERROR($BC$3&amp;VLOOKUP(D353,'Pay Table'!$M$3:$N$18,2,FALSE)&amp;$BB$3&amp;E353&amp;$BD$3,"")</f>
        <v/>
      </c>
      <c r="BD351" s="1" t="str">
        <f>IFERROR($BC$3&amp;VLOOKUP(F353,'Pay Table'!$M$3:$N$18,2,FALSE)&amp;$BB$3&amp;G353&amp;$BD$3,"")</f>
        <v/>
      </c>
      <c r="BE351" s="1" t="str">
        <f>IFERROR($BC$3&amp;VLOOKUP(H353,'Pay Table'!$M$3:$N$18,2,FALSE)&amp;$BB$3&amp;I353&amp;$BD$3,"")</f>
        <v/>
      </c>
      <c r="BF351" s="27" t="str">
        <f>IFERROR($BC$3&amp;VLOOKUP(J353,'Pay Table'!$M$3:$N$18,2,FALSE)&amp;$BB$3&amp;K353&amp;$BD$3,"")</f>
        <v/>
      </c>
    </row>
    <row r="352" spans="54:58" x14ac:dyDescent="0.15">
      <c r="BB352" s="26" t="str">
        <f>IFERROR($BC$3&amp;VLOOKUP(B354,'Pay Table'!$M$3:$N$18,2,FALSE)&amp;$BB$3&amp;C354&amp;$BD$3,"")</f>
        <v/>
      </c>
      <c r="BC352" s="1" t="str">
        <f>IFERROR($BC$3&amp;VLOOKUP(D354,'Pay Table'!$M$3:$N$18,2,FALSE)&amp;$BB$3&amp;E354&amp;$BD$3,"")</f>
        <v/>
      </c>
      <c r="BD352" s="1" t="str">
        <f>IFERROR($BC$3&amp;VLOOKUP(F354,'Pay Table'!$M$3:$N$18,2,FALSE)&amp;$BB$3&amp;G354&amp;$BD$3,"")</f>
        <v/>
      </c>
      <c r="BE352" s="1" t="str">
        <f>IFERROR($BC$3&amp;VLOOKUP(H354,'Pay Table'!$M$3:$N$18,2,FALSE)&amp;$BB$3&amp;I354&amp;$BD$3,"")</f>
        <v/>
      </c>
      <c r="BF352" s="27" t="str">
        <f>IFERROR($BC$3&amp;VLOOKUP(J354,'Pay Table'!$M$3:$N$18,2,FALSE)&amp;$BB$3&amp;K354&amp;$BD$3,"")</f>
        <v/>
      </c>
    </row>
    <row r="353" spans="54:58" x14ac:dyDescent="0.15">
      <c r="BB353" s="26" t="str">
        <f>IFERROR($BC$3&amp;VLOOKUP(B355,'Pay Table'!$M$3:$N$18,2,FALSE)&amp;$BB$3&amp;C355&amp;$BD$3,"")</f>
        <v/>
      </c>
      <c r="BC353" s="1" t="str">
        <f>IFERROR($BC$3&amp;VLOOKUP(D355,'Pay Table'!$M$3:$N$18,2,FALSE)&amp;$BB$3&amp;E355&amp;$BD$3,"")</f>
        <v/>
      </c>
      <c r="BD353" s="1" t="str">
        <f>IFERROR($BC$3&amp;VLOOKUP(F355,'Pay Table'!$M$3:$N$18,2,FALSE)&amp;$BB$3&amp;G355&amp;$BD$3,"")</f>
        <v/>
      </c>
      <c r="BE353" s="1" t="str">
        <f>IFERROR($BC$3&amp;VLOOKUP(H355,'Pay Table'!$M$3:$N$18,2,FALSE)&amp;$BB$3&amp;I355&amp;$BD$3,"")</f>
        <v/>
      </c>
      <c r="BF353" s="27" t="str">
        <f>IFERROR($BC$3&amp;VLOOKUP(J355,'Pay Table'!$M$3:$N$18,2,FALSE)&amp;$BB$3&amp;K355&amp;$BD$3,"")</f>
        <v/>
      </c>
    </row>
    <row r="354" spans="54:58" x14ac:dyDescent="0.15">
      <c r="BB354" s="26" t="str">
        <f>IFERROR($BC$3&amp;VLOOKUP(B356,'Pay Table'!$M$3:$N$18,2,FALSE)&amp;$BB$3&amp;C356&amp;$BD$3,"")</f>
        <v/>
      </c>
      <c r="BC354" s="1" t="str">
        <f>IFERROR($BC$3&amp;VLOOKUP(D356,'Pay Table'!$M$3:$N$18,2,FALSE)&amp;$BB$3&amp;E356&amp;$BD$3,"")</f>
        <v/>
      </c>
      <c r="BD354" s="1" t="str">
        <f>IFERROR($BC$3&amp;VLOOKUP(F356,'Pay Table'!$M$3:$N$18,2,FALSE)&amp;$BB$3&amp;G356&amp;$BD$3,"")</f>
        <v/>
      </c>
      <c r="BE354" s="1" t="str">
        <f>IFERROR($BC$3&amp;VLOOKUP(H356,'Pay Table'!$M$3:$N$18,2,FALSE)&amp;$BB$3&amp;I356&amp;$BD$3,"")</f>
        <v/>
      </c>
      <c r="BF354" s="27" t="str">
        <f>IFERROR($BC$3&amp;VLOOKUP(J356,'Pay Table'!$M$3:$N$18,2,FALSE)&amp;$BB$3&amp;K356&amp;$BD$3,"")</f>
        <v/>
      </c>
    </row>
    <row r="355" spans="54:58" x14ac:dyDescent="0.15">
      <c r="BB355" s="26" t="str">
        <f>IFERROR($BC$3&amp;VLOOKUP(B357,'Pay Table'!$M$3:$N$18,2,FALSE)&amp;$BB$3&amp;C357&amp;$BD$3,"")</f>
        <v/>
      </c>
      <c r="BC355" s="1" t="str">
        <f>IFERROR($BC$3&amp;VLOOKUP(D357,'Pay Table'!$M$3:$N$18,2,FALSE)&amp;$BB$3&amp;E357&amp;$BD$3,"")</f>
        <v/>
      </c>
      <c r="BD355" s="1" t="str">
        <f>IFERROR($BC$3&amp;VLOOKUP(F357,'Pay Table'!$M$3:$N$18,2,FALSE)&amp;$BB$3&amp;G357&amp;$BD$3,"")</f>
        <v/>
      </c>
      <c r="BE355" s="1" t="str">
        <f>IFERROR($BC$3&amp;VLOOKUP(H357,'Pay Table'!$M$3:$N$18,2,FALSE)&amp;$BB$3&amp;I357&amp;$BD$3,"")</f>
        <v/>
      </c>
      <c r="BF355" s="27" t="str">
        <f>IFERROR($BC$3&amp;VLOOKUP(J357,'Pay Table'!$M$3:$N$18,2,FALSE)&amp;$BB$3&amp;K357&amp;$BD$3,"")</f>
        <v/>
      </c>
    </row>
    <row r="356" spans="54:58" x14ac:dyDescent="0.15">
      <c r="BB356" s="26" t="str">
        <f>IFERROR($BC$3&amp;VLOOKUP(B358,'Pay Table'!$M$3:$N$18,2,FALSE)&amp;$BB$3&amp;C358&amp;$BD$3,"")</f>
        <v/>
      </c>
      <c r="BC356" s="1" t="str">
        <f>IFERROR($BC$3&amp;VLOOKUP(D358,'Pay Table'!$M$3:$N$18,2,FALSE)&amp;$BB$3&amp;E358&amp;$BD$3,"")</f>
        <v/>
      </c>
      <c r="BD356" s="1" t="str">
        <f>IFERROR($BC$3&amp;VLOOKUP(F358,'Pay Table'!$M$3:$N$18,2,FALSE)&amp;$BB$3&amp;G358&amp;$BD$3,"")</f>
        <v/>
      </c>
      <c r="BE356" s="1" t="str">
        <f>IFERROR($BC$3&amp;VLOOKUP(H358,'Pay Table'!$M$3:$N$18,2,FALSE)&amp;$BB$3&amp;I358&amp;$BD$3,"")</f>
        <v/>
      </c>
      <c r="BF356" s="27" t="str">
        <f>IFERROR($BC$3&amp;VLOOKUP(J358,'Pay Table'!$M$3:$N$18,2,FALSE)&amp;$BB$3&amp;K358&amp;$BD$3,"")</f>
        <v/>
      </c>
    </row>
    <row r="357" spans="54:58" x14ac:dyDescent="0.15">
      <c r="BB357" s="26" t="str">
        <f>IFERROR($BC$3&amp;VLOOKUP(B359,'Pay Table'!$M$3:$N$18,2,FALSE)&amp;$BB$3&amp;C359&amp;$BD$3,"")</f>
        <v/>
      </c>
      <c r="BC357" s="1" t="str">
        <f>IFERROR($BC$3&amp;VLOOKUP(D359,'Pay Table'!$M$3:$N$18,2,FALSE)&amp;$BB$3&amp;E359&amp;$BD$3,"")</f>
        <v/>
      </c>
      <c r="BD357" s="1" t="str">
        <f>IFERROR($BC$3&amp;VLOOKUP(F359,'Pay Table'!$M$3:$N$18,2,FALSE)&amp;$BB$3&amp;G359&amp;$BD$3,"")</f>
        <v/>
      </c>
      <c r="BE357" s="1" t="str">
        <f>IFERROR($BC$3&amp;VLOOKUP(H359,'Pay Table'!$M$3:$N$18,2,FALSE)&amp;$BB$3&amp;I359&amp;$BD$3,"")</f>
        <v/>
      </c>
      <c r="BF357" s="27" t="str">
        <f>IFERROR($BC$3&amp;VLOOKUP(J359,'Pay Table'!$M$3:$N$18,2,FALSE)&amp;$BB$3&amp;K359&amp;$BD$3,"")</f>
        <v/>
      </c>
    </row>
    <row r="358" spans="54:58" x14ac:dyDescent="0.15">
      <c r="BB358" s="26" t="str">
        <f>IFERROR($BC$3&amp;VLOOKUP(B360,'Pay Table'!$M$3:$N$18,2,FALSE)&amp;$BB$3&amp;C360&amp;$BD$3,"")</f>
        <v/>
      </c>
      <c r="BC358" s="1" t="str">
        <f>IFERROR($BC$3&amp;VLOOKUP(D360,'Pay Table'!$M$3:$N$18,2,FALSE)&amp;$BB$3&amp;E360&amp;$BD$3,"")</f>
        <v/>
      </c>
      <c r="BD358" s="1" t="str">
        <f>IFERROR($BC$3&amp;VLOOKUP(F360,'Pay Table'!$M$3:$N$18,2,FALSE)&amp;$BB$3&amp;G360&amp;$BD$3,"")</f>
        <v/>
      </c>
      <c r="BE358" s="1" t="str">
        <f>IFERROR($BC$3&amp;VLOOKUP(H360,'Pay Table'!$M$3:$N$18,2,FALSE)&amp;$BB$3&amp;I360&amp;$BD$3,"")</f>
        <v/>
      </c>
      <c r="BF358" s="27" t="str">
        <f>IFERROR($BC$3&amp;VLOOKUP(J360,'Pay Table'!$M$3:$N$18,2,FALSE)&amp;$BB$3&amp;K360&amp;$BD$3,"")</f>
        <v/>
      </c>
    </row>
    <row r="359" spans="54:58" x14ac:dyDescent="0.15">
      <c r="BB359" s="26" t="str">
        <f>IFERROR($BC$3&amp;VLOOKUP(B361,'Pay Table'!$M$3:$N$18,2,FALSE)&amp;$BB$3&amp;C361&amp;$BD$3,"")</f>
        <v/>
      </c>
      <c r="BC359" s="1" t="str">
        <f>IFERROR($BC$3&amp;VLOOKUP(D361,'Pay Table'!$M$3:$N$18,2,FALSE)&amp;$BB$3&amp;E361&amp;$BD$3,"")</f>
        <v/>
      </c>
      <c r="BD359" s="1" t="str">
        <f>IFERROR($BC$3&amp;VLOOKUP(F361,'Pay Table'!$M$3:$N$18,2,FALSE)&amp;$BB$3&amp;G361&amp;$BD$3,"")</f>
        <v/>
      </c>
      <c r="BE359" s="1" t="str">
        <f>IFERROR($BC$3&amp;VLOOKUP(H361,'Pay Table'!$M$3:$N$18,2,FALSE)&amp;$BB$3&amp;I361&amp;$BD$3,"")</f>
        <v/>
      </c>
      <c r="BF359" s="27" t="str">
        <f>IFERROR($BC$3&amp;VLOOKUP(J361,'Pay Table'!$M$3:$N$18,2,FALSE)&amp;$BB$3&amp;K361&amp;$BD$3,"")</f>
        <v/>
      </c>
    </row>
    <row r="360" spans="54:58" x14ac:dyDescent="0.15">
      <c r="BB360" s="26" t="str">
        <f>IFERROR($BC$3&amp;VLOOKUP(B362,'Pay Table'!$M$3:$N$18,2,FALSE)&amp;$BB$3&amp;C362&amp;$BD$3,"")</f>
        <v/>
      </c>
      <c r="BC360" s="1" t="str">
        <f>IFERROR($BC$3&amp;VLOOKUP(D362,'Pay Table'!$M$3:$N$18,2,FALSE)&amp;$BB$3&amp;E362&amp;$BD$3,"")</f>
        <v/>
      </c>
      <c r="BD360" s="1" t="str">
        <f>IFERROR($BC$3&amp;VLOOKUP(F362,'Pay Table'!$M$3:$N$18,2,FALSE)&amp;$BB$3&amp;G362&amp;$BD$3,"")</f>
        <v/>
      </c>
      <c r="BE360" s="1" t="str">
        <f>IFERROR($BC$3&amp;VLOOKUP(H362,'Pay Table'!$M$3:$N$18,2,FALSE)&amp;$BB$3&amp;I362&amp;$BD$3,"")</f>
        <v/>
      </c>
      <c r="BF360" s="27" t="str">
        <f>IFERROR($BC$3&amp;VLOOKUP(J362,'Pay Table'!$M$3:$N$18,2,FALSE)&amp;$BB$3&amp;K362&amp;$BD$3,"")</f>
        <v/>
      </c>
    </row>
    <row r="361" spans="54:58" x14ac:dyDescent="0.15">
      <c r="BB361" s="26" t="str">
        <f>IFERROR($BC$3&amp;VLOOKUP(B363,'Pay Table'!$M$3:$N$18,2,FALSE)&amp;$BB$3&amp;C363&amp;$BD$3,"")</f>
        <v/>
      </c>
      <c r="BC361" s="1" t="str">
        <f>IFERROR($BC$3&amp;VLOOKUP(D363,'Pay Table'!$M$3:$N$18,2,FALSE)&amp;$BB$3&amp;E363&amp;$BD$3,"")</f>
        <v/>
      </c>
      <c r="BD361" s="1" t="str">
        <f>IFERROR($BC$3&amp;VLOOKUP(F363,'Pay Table'!$M$3:$N$18,2,FALSE)&amp;$BB$3&amp;G363&amp;$BD$3,"")</f>
        <v/>
      </c>
      <c r="BE361" s="1" t="str">
        <f>IFERROR($BC$3&amp;VLOOKUP(H363,'Pay Table'!$M$3:$N$18,2,FALSE)&amp;$BB$3&amp;I363&amp;$BD$3,"")</f>
        <v/>
      </c>
      <c r="BF361" s="27" t="str">
        <f>IFERROR($BC$3&amp;VLOOKUP(J363,'Pay Table'!$M$3:$N$18,2,FALSE)&amp;$BB$3&amp;K363&amp;$BD$3,"")</f>
        <v/>
      </c>
    </row>
    <row r="362" spans="54:58" x14ac:dyDescent="0.15">
      <c r="BB362" s="26" t="str">
        <f>IFERROR($BC$3&amp;VLOOKUP(B364,'Pay Table'!$M$3:$N$18,2,FALSE)&amp;$BB$3&amp;C364&amp;$BD$3,"")</f>
        <v/>
      </c>
      <c r="BC362" s="1" t="str">
        <f>IFERROR($BC$3&amp;VLOOKUP(D364,'Pay Table'!$M$3:$N$18,2,FALSE)&amp;$BB$3&amp;E364&amp;$BD$3,"")</f>
        <v/>
      </c>
      <c r="BD362" s="1" t="str">
        <f>IFERROR($BC$3&amp;VLOOKUP(F364,'Pay Table'!$M$3:$N$18,2,FALSE)&amp;$BB$3&amp;G364&amp;$BD$3,"")</f>
        <v/>
      </c>
      <c r="BE362" s="1" t="str">
        <f>IFERROR($BC$3&amp;VLOOKUP(H364,'Pay Table'!$M$3:$N$18,2,FALSE)&amp;$BB$3&amp;I364&amp;$BD$3,"")</f>
        <v/>
      </c>
      <c r="BF362" s="27" t="str">
        <f>IFERROR($BC$3&amp;VLOOKUP(J364,'Pay Table'!$M$3:$N$18,2,FALSE)&amp;$BB$3&amp;K364&amp;$BD$3,"")</f>
        <v/>
      </c>
    </row>
    <row r="363" spans="54:58" x14ac:dyDescent="0.15">
      <c r="BB363" s="26" t="str">
        <f>IFERROR($BC$3&amp;VLOOKUP(B365,'Pay Table'!$M$3:$N$18,2,FALSE)&amp;$BB$3&amp;C365&amp;$BD$3,"")</f>
        <v/>
      </c>
      <c r="BC363" s="1" t="str">
        <f>IFERROR($BC$3&amp;VLOOKUP(D365,'Pay Table'!$M$3:$N$18,2,FALSE)&amp;$BB$3&amp;E365&amp;$BD$3,"")</f>
        <v/>
      </c>
      <c r="BD363" s="1" t="str">
        <f>IFERROR($BC$3&amp;VLOOKUP(F365,'Pay Table'!$M$3:$N$18,2,FALSE)&amp;$BB$3&amp;G365&amp;$BD$3,"")</f>
        <v/>
      </c>
      <c r="BE363" s="1" t="str">
        <f>IFERROR($BC$3&amp;VLOOKUP(H365,'Pay Table'!$M$3:$N$18,2,FALSE)&amp;$BB$3&amp;I365&amp;$BD$3,"")</f>
        <v/>
      </c>
      <c r="BF363" s="27" t="str">
        <f>IFERROR($BC$3&amp;VLOOKUP(J365,'Pay Table'!$M$3:$N$18,2,FALSE)&amp;$BB$3&amp;K365&amp;$BD$3,"")</f>
        <v/>
      </c>
    </row>
    <row r="364" spans="54:58" x14ac:dyDescent="0.15">
      <c r="BB364" s="26" t="str">
        <f>IFERROR($BC$3&amp;VLOOKUP(B366,'Pay Table'!$M$3:$N$18,2,FALSE)&amp;$BB$3&amp;C366&amp;$BD$3,"")</f>
        <v/>
      </c>
      <c r="BC364" s="1" t="str">
        <f>IFERROR($BC$3&amp;VLOOKUP(D366,'Pay Table'!$M$3:$N$18,2,FALSE)&amp;$BB$3&amp;E366&amp;$BD$3,"")</f>
        <v/>
      </c>
      <c r="BD364" s="1" t="str">
        <f>IFERROR($BC$3&amp;VLOOKUP(F366,'Pay Table'!$M$3:$N$18,2,FALSE)&amp;$BB$3&amp;G366&amp;$BD$3,"")</f>
        <v/>
      </c>
      <c r="BE364" s="1" t="str">
        <f>IFERROR($BC$3&amp;VLOOKUP(H366,'Pay Table'!$M$3:$N$18,2,FALSE)&amp;$BB$3&amp;I366&amp;$BD$3,"")</f>
        <v/>
      </c>
      <c r="BF364" s="27" t="str">
        <f>IFERROR($BC$3&amp;VLOOKUP(J366,'Pay Table'!$M$3:$N$18,2,FALSE)&amp;$BB$3&amp;K366&amp;$BD$3,"")</f>
        <v/>
      </c>
    </row>
    <row r="365" spans="54:58" x14ac:dyDescent="0.15">
      <c r="BB365" s="26" t="str">
        <f>IFERROR($BC$3&amp;VLOOKUP(B367,'Pay Table'!$M$3:$N$18,2,FALSE)&amp;$BB$3&amp;C367&amp;$BD$3,"")</f>
        <v/>
      </c>
      <c r="BC365" s="1" t="str">
        <f>IFERROR($BC$3&amp;VLOOKUP(D367,'Pay Table'!$M$3:$N$18,2,FALSE)&amp;$BB$3&amp;E367&amp;$BD$3,"")</f>
        <v/>
      </c>
      <c r="BD365" s="1" t="str">
        <f>IFERROR($BC$3&amp;VLOOKUP(F367,'Pay Table'!$M$3:$N$18,2,FALSE)&amp;$BB$3&amp;G367&amp;$BD$3,"")</f>
        <v/>
      </c>
      <c r="BE365" s="1" t="str">
        <f>IFERROR($BC$3&amp;VLOOKUP(H367,'Pay Table'!$M$3:$N$18,2,FALSE)&amp;$BB$3&amp;I367&amp;$BD$3,"")</f>
        <v/>
      </c>
      <c r="BF365" s="27" t="str">
        <f>IFERROR($BC$3&amp;VLOOKUP(J367,'Pay Table'!$M$3:$N$18,2,FALSE)&amp;$BB$3&amp;K367&amp;$BD$3,"")</f>
        <v/>
      </c>
    </row>
    <row r="366" spans="54:58" x14ac:dyDescent="0.15">
      <c r="BB366" s="26" t="str">
        <f>IFERROR($BC$3&amp;VLOOKUP(B368,'Pay Table'!$M$3:$N$18,2,FALSE)&amp;$BB$3&amp;C368&amp;$BD$3,"")</f>
        <v/>
      </c>
      <c r="BC366" s="1" t="str">
        <f>IFERROR($BC$3&amp;VLOOKUP(D368,'Pay Table'!$M$3:$N$18,2,FALSE)&amp;$BB$3&amp;E368&amp;$BD$3,"")</f>
        <v/>
      </c>
      <c r="BD366" s="1" t="str">
        <f>IFERROR($BC$3&amp;VLOOKUP(F368,'Pay Table'!$M$3:$N$18,2,FALSE)&amp;$BB$3&amp;G368&amp;$BD$3,"")</f>
        <v/>
      </c>
      <c r="BE366" s="1" t="str">
        <f>IFERROR($BC$3&amp;VLOOKUP(H368,'Pay Table'!$M$3:$N$18,2,FALSE)&amp;$BB$3&amp;I368&amp;$BD$3,"")</f>
        <v/>
      </c>
      <c r="BF366" s="27" t="str">
        <f>IFERROR($BC$3&amp;VLOOKUP(J368,'Pay Table'!$M$3:$N$18,2,FALSE)&amp;$BB$3&amp;K368&amp;$BD$3,"")</f>
        <v/>
      </c>
    </row>
    <row r="367" spans="54:58" x14ac:dyDescent="0.15">
      <c r="BB367" s="26" t="str">
        <f>IFERROR($BC$3&amp;VLOOKUP(B369,'Pay Table'!$M$3:$N$18,2,FALSE)&amp;$BB$3&amp;C369&amp;$BD$3,"")</f>
        <v/>
      </c>
      <c r="BC367" s="1" t="str">
        <f>IFERROR($BC$3&amp;VLOOKUP(D369,'Pay Table'!$M$3:$N$18,2,FALSE)&amp;$BB$3&amp;E369&amp;$BD$3,"")</f>
        <v/>
      </c>
      <c r="BD367" s="1" t="str">
        <f>IFERROR($BC$3&amp;VLOOKUP(F369,'Pay Table'!$M$3:$N$18,2,FALSE)&amp;$BB$3&amp;G369&amp;$BD$3,"")</f>
        <v/>
      </c>
      <c r="BE367" s="1" t="str">
        <f>IFERROR($BC$3&amp;VLOOKUP(H369,'Pay Table'!$M$3:$N$18,2,FALSE)&amp;$BB$3&amp;I369&amp;$BD$3,"")</f>
        <v/>
      </c>
      <c r="BF367" s="27" t="str">
        <f>IFERROR($BC$3&amp;VLOOKUP(J369,'Pay Table'!$M$3:$N$18,2,FALSE)&amp;$BB$3&amp;K369&amp;$BD$3,"")</f>
        <v/>
      </c>
    </row>
    <row r="368" spans="54:58" x14ac:dyDescent="0.15">
      <c r="BB368" s="26" t="str">
        <f>IFERROR($BC$3&amp;VLOOKUP(B370,'Pay Table'!$M$3:$N$18,2,FALSE)&amp;$BB$3&amp;C370&amp;$BD$3,"")</f>
        <v/>
      </c>
      <c r="BC368" s="1" t="str">
        <f>IFERROR($BC$3&amp;VLOOKUP(D370,'Pay Table'!$M$3:$N$18,2,FALSE)&amp;$BB$3&amp;E370&amp;$BD$3,"")</f>
        <v/>
      </c>
      <c r="BD368" s="1" t="str">
        <f>IFERROR($BC$3&amp;VLOOKUP(F370,'Pay Table'!$M$3:$N$18,2,FALSE)&amp;$BB$3&amp;G370&amp;$BD$3,"")</f>
        <v/>
      </c>
      <c r="BE368" s="1" t="str">
        <f>IFERROR($BC$3&amp;VLOOKUP(H370,'Pay Table'!$M$3:$N$18,2,FALSE)&amp;$BB$3&amp;I370&amp;$BD$3,"")</f>
        <v/>
      </c>
      <c r="BF368" s="27" t="str">
        <f>IFERROR($BC$3&amp;VLOOKUP(J370,'Pay Table'!$M$3:$N$18,2,FALSE)&amp;$BB$3&amp;K370&amp;$BD$3,"")</f>
        <v/>
      </c>
    </row>
    <row r="369" spans="54:58" x14ac:dyDescent="0.15">
      <c r="BB369" s="26" t="str">
        <f>IFERROR($BC$3&amp;VLOOKUP(B371,'Pay Table'!$M$3:$N$18,2,FALSE)&amp;$BB$3&amp;C371&amp;$BD$3,"")</f>
        <v/>
      </c>
      <c r="BC369" s="1" t="str">
        <f>IFERROR($BC$3&amp;VLOOKUP(D371,'Pay Table'!$M$3:$N$18,2,FALSE)&amp;$BB$3&amp;E371&amp;$BD$3,"")</f>
        <v/>
      </c>
      <c r="BD369" s="1" t="str">
        <f>IFERROR($BC$3&amp;VLOOKUP(F371,'Pay Table'!$M$3:$N$18,2,FALSE)&amp;$BB$3&amp;G371&amp;$BD$3,"")</f>
        <v/>
      </c>
      <c r="BE369" s="1" t="str">
        <f>IFERROR($BC$3&amp;VLOOKUP(H371,'Pay Table'!$M$3:$N$18,2,FALSE)&amp;$BB$3&amp;I371&amp;$BD$3,"")</f>
        <v/>
      </c>
      <c r="BF369" s="27" t="str">
        <f>IFERROR($BC$3&amp;VLOOKUP(J371,'Pay Table'!$M$3:$N$18,2,FALSE)&amp;$BB$3&amp;K371&amp;$BD$3,"")</f>
        <v/>
      </c>
    </row>
    <row r="370" spans="54:58" x14ac:dyDescent="0.15">
      <c r="BB370" s="26" t="str">
        <f>IFERROR($BC$3&amp;VLOOKUP(B372,'Pay Table'!$M$3:$N$18,2,FALSE)&amp;$BB$3&amp;C372&amp;$BD$3,"")</f>
        <v/>
      </c>
      <c r="BC370" s="1" t="str">
        <f>IFERROR($BC$3&amp;VLOOKUP(D372,'Pay Table'!$M$3:$N$18,2,FALSE)&amp;$BB$3&amp;E372&amp;$BD$3,"")</f>
        <v/>
      </c>
      <c r="BD370" s="1" t="str">
        <f>IFERROR($BC$3&amp;VLOOKUP(F372,'Pay Table'!$M$3:$N$18,2,FALSE)&amp;$BB$3&amp;G372&amp;$BD$3,"")</f>
        <v/>
      </c>
      <c r="BE370" s="1" t="str">
        <f>IFERROR($BC$3&amp;VLOOKUP(H372,'Pay Table'!$M$3:$N$18,2,FALSE)&amp;$BB$3&amp;I372&amp;$BD$3,"")</f>
        <v/>
      </c>
      <c r="BF370" s="27" t="str">
        <f>IFERROR($BC$3&amp;VLOOKUP(J372,'Pay Table'!$M$3:$N$18,2,FALSE)&amp;$BB$3&amp;K372&amp;$BD$3,"")</f>
        <v/>
      </c>
    </row>
    <row r="371" spans="54:58" x14ac:dyDescent="0.15">
      <c r="BB371" s="26" t="str">
        <f>IFERROR($BC$3&amp;VLOOKUP(B373,'Pay Table'!$M$3:$N$18,2,FALSE)&amp;$BB$3&amp;C373&amp;$BD$3,"")</f>
        <v/>
      </c>
      <c r="BC371" s="1" t="str">
        <f>IFERROR($BC$3&amp;VLOOKUP(D373,'Pay Table'!$M$3:$N$18,2,FALSE)&amp;$BB$3&amp;E373&amp;$BD$3,"")</f>
        <v/>
      </c>
      <c r="BD371" s="1" t="str">
        <f>IFERROR($BC$3&amp;VLOOKUP(F373,'Pay Table'!$M$3:$N$18,2,FALSE)&amp;$BB$3&amp;G373&amp;$BD$3,"")</f>
        <v/>
      </c>
      <c r="BE371" s="1" t="str">
        <f>IFERROR($BC$3&amp;VLOOKUP(H373,'Pay Table'!$M$3:$N$18,2,FALSE)&amp;$BB$3&amp;I373&amp;$BD$3,"")</f>
        <v/>
      </c>
      <c r="BF371" s="27" t="str">
        <f>IFERROR($BC$3&amp;VLOOKUP(J373,'Pay Table'!$M$3:$N$18,2,FALSE)&amp;$BB$3&amp;K373&amp;$BD$3,"")</f>
        <v/>
      </c>
    </row>
    <row r="372" spans="54:58" x14ac:dyDescent="0.15">
      <c r="BB372" s="26" t="str">
        <f>IFERROR($BC$3&amp;VLOOKUP(B374,'Pay Table'!$M$3:$N$18,2,FALSE)&amp;$BB$3&amp;C374&amp;$BD$3,"")</f>
        <v/>
      </c>
      <c r="BC372" s="1" t="str">
        <f>IFERROR($BC$3&amp;VLOOKUP(D374,'Pay Table'!$M$3:$N$18,2,FALSE)&amp;$BB$3&amp;E374&amp;$BD$3,"")</f>
        <v/>
      </c>
      <c r="BD372" s="1" t="str">
        <f>IFERROR($BC$3&amp;VLOOKUP(F374,'Pay Table'!$M$3:$N$18,2,FALSE)&amp;$BB$3&amp;G374&amp;$BD$3,"")</f>
        <v/>
      </c>
      <c r="BE372" s="1" t="str">
        <f>IFERROR($BC$3&amp;VLOOKUP(H374,'Pay Table'!$M$3:$N$18,2,FALSE)&amp;$BB$3&amp;I374&amp;$BD$3,"")</f>
        <v/>
      </c>
      <c r="BF372" s="27" t="str">
        <f>IFERROR($BC$3&amp;VLOOKUP(J374,'Pay Table'!$M$3:$N$18,2,FALSE)&amp;$BB$3&amp;K374&amp;$BD$3,"")</f>
        <v/>
      </c>
    </row>
    <row r="373" spans="54:58" x14ac:dyDescent="0.15">
      <c r="BB373" s="26" t="str">
        <f>IFERROR($BC$3&amp;VLOOKUP(B375,'Pay Table'!$M$3:$N$18,2,FALSE)&amp;$BB$3&amp;C375&amp;$BD$3,"")</f>
        <v/>
      </c>
      <c r="BC373" s="1" t="str">
        <f>IFERROR($BC$3&amp;VLOOKUP(D375,'Pay Table'!$M$3:$N$18,2,FALSE)&amp;$BB$3&amp;E375&amp;$BD$3,"")</f>
        <v/>
      </c>
      <c r="BD373" s="1" t="str">
        <f>IFERROR($BC$3&amp;VLOOKUP(F375,'Pay Table'!$M$3:$N$18,2,FALSE)&amp;$BB$3&amp;G375&amp;$BD$3,"")</f>
        <v/>
      </c>
      <c r="BE373" s="1" t="str">
        <f>IFERROR($BC$3&amp;VLOOKUP(H375,'Pay Table'!$M$3:$N$18,2,FALSE)&amp;$BB$3&amp;I375&amp;$BD$3,"")</f>
        <v/>
      </c>
      <c r="BF373" s="27" t="str">
        <f>IFERROR($BC$3&amp;VLOOKUP(J375,'Pay Table'!$M$3:$N$18,2,FALSE)&amp;$BB$3&amp;K375&amp;$BD$3,"")</f>
        <v/>
      </c>
    </row>
    <row r="374" spans="54:58" x14ac:dyDescent="0.15">
      <c r="BB374" s="26" t="str">
        <f>IFERROR($BC$3&amp;VLOOKUP(B376,'Pay Table'!$M$3:$N$18,2,FALSE)&amp;$BB$3&amp;C376&amp;$BD$3,"")</f>
        <v/>
      </c>
      <c r="BC374" s="1" t="str">
        <f>IFERROR($BC$3&amp;VLOOKUP(D376,'Pay Table'!$M$3:$N$18,2,FALSE)&amp;$BB$3&amp;E376&amp;$BD$3,"")</f>
        <v/>
      </c>
      <c r="BD374" s="1" t="str">
        <f>IFERROR($BC$3&amp;VLOOKUP(F376,'Pay Table'!$M$3:$N$18,2,FALSE)&amp;$BB$3&amp;G376&amp;$BD$3,"")</f>
        <v/>
      </c>
      <c r="BE374" s="1" t="str">
        <f>IFERROR($BC$3&amp;VLOOKUP(H376,'Pay Table'!$M$3:$N$18,2,FALSE)&amp;$BB$3&amp;I376&amp;$BD$3,"")</f>
        <v/>
      </c>
      <c r="BF374" s="27" t="str">
        <f>IFERROR($BC$3&amp;VLOOKUP(J376,'Pay Table'!$M$3:$N$18,2,FALSE)&amp;$BB$3&amp;K376&amp;$BD$3,"")</f>
        <v/>
      </c>
    </row>
    <row r="375" spans="54:58" x14ac:dyDescent="0.15">
      <c r="BB375" s="26" t="str">
        <f>IFERROR($BC$3&amp;VLOOKUP(B377,'Pay Table'!$M$3:$N$18,2,FALSE)&amp;$BB$3&amp;C377&amp;$BD$3,"")</f>
        <v/>
      </c>
      <c r="BC375" s="1" t="str">
        <f>IFERROR($BC$3&amp;VLOOKUP(D377,'Pay Table'!$M$3:$N$18,2,FALSE)&amp;$BB$3&amp;E377&amp;$BD$3,"")</f>
        <v/>
      </c>
      <c r="BD375" s="1" t="str">
        <f>IFERROR($BC$3&amp;VLOOKUP(F377,'Pay Table'!$M$3:$N$18,2,FALSE)&amp;$BB$3&amp;G377&amp;$BD$3,"")</f>
        <v/>
      </c>
      <c r="BE375" s="1" t="str">
        <f>IFERROR($BC$3&amp;VLOOKUP(H377,'Pay Table'!$M$3:$N$18,2,FALSE)&amp;$BB$3&amp;I377&amp;$BD$3,"")</f>
        <v/>
      </c>
      <c r="BF375" s="27" t="str">
        <f>IFERROR($BC$3&amp;VLOOKUP(J377,'Pay Table'!$M$3:$N$18,2,FALSE)&amp;$BB$3&amp;K377&amp;$BD$3,"")</f>
        <v/>
      </c>
    </row>
    <row r="376" spans="54:58" x14ac:dyDescent="0.15">
      <c r="BB376" s="26" t="str">
        <f>IFERROR($BC$3&amp;VLOOKUP(B378,'Pay Table'!$M$3:$N$18,2,FALSE)&amp;$BB$3&amp;C378&amp;$BD$3,"")</f>
        <v/>
      </c>
      <c r="BC376" s="1" t="str">
        <f>IFERROR($BC$3&amp;VLOOKUP(D378,'Pay Table'!$M$3:$N$18,2,FALSE)&amp;$BB$3&amp;E378&amp;$BD$3,"")</f>
        <v/>
      </c>
      <c r="BD376" s="1" t="str">
        <f>IFERROR($BC$3&amp;VLOOKUP(F378,'Pay Table'!$M$3:$N$18,2,FALSE)&amp;$BB$3&amp;G378&amp;$BD$3,"")</f>
        <v/>
      </c>
      <c r="BE376" s="1" t="str">
        <f>IFERROR($BC$3&amp;VLOOKUP(H378,'Pay Table'!$M$3:$N$18,2,FALSE)&amp;$BB$3&amp;I378&amp;$BD$3,"")</f>
        <v/>
      </c>
      <c r="BF376" s="27" t="str">
        <f>IFERROR($BC$3&amp;VLOOKUP(J378,'Pay Table'!$M$3:$N$18,2,FALSE)&amp;$BB$3&amp;K378&amp;$BD$3,"")</f>
        <v/>
      </c>
    </row>
    <row r="377" spans="54:58" x14ac:dyDescent="0.15">
      <c r="BB377" s="26" t="str">
        <f>IFERROR($BC$3&amp;VLOOKUP(B379,'Pay Table'!$M$3:$N$18,2,FALSE)&amp;$BB$3&amp;C379&amp;$BD$3,"")</f>
        <v/>
      </c>
      <c r="BC377" s="1" t="str">
        <f>IFERROR($BC$3&amp;VLOOKUP(D379,'Pay Table'!$M$3:$N$18,2,FALSE)&amp;$BB$3&amp;E379&amp;$BD$3,"")</f>
        <v/>
      </c>
      <c r="BD377" s="1" t="str">
        <f>IFERROR($BC$3&amp;VLOOKUP(F379,'Pay Table'!$M$3:$N$18,2,FALSE)&amp;$BB$3&amp;G379&amp;$BD$3,"")</f>
        <v/>
      </c>
      <c r="BE377" s="1" t="str">
        <f>IFERROR($BC$3&amp;VLOOKUP(H379,'Pay Table'!$M$3:$N$18,2,FALSE)&amp;$BB$3&amp;I379&amp;$BD$3,"")</f>
        <v/>
      </c>
      <c r="BF377" s="27" t="str">
        <f>IFERROR($BC$3&amp;VLOOKUP(J379,'Pay Table'!$M$3:$N$18,2,FALSE)&amp;$BB$3&amp;K379&amp;$BD$3,"")</f>
        <v/>
      </c>
    </row>
    <row r="378" spans="54:58" x14ac:dyDescent="0.15">
      <c r="BB378" s="26" t="str">
        <f>IFERROR($BC$3&amp;VLOOKUP(B380,'Pay Table'!$M$3:$N$18,2,FALSE)&amp;$BB$3&amp;C380&amp;$BD$3,"")</f>
        <v/>
      </c>
      <c r="BC378" s="1" t="str">
        <f>IFERROR($BC$3&amp;VLOOKUP(D380,'Pay Table'!$M$3:$N$18,2,FALSE)&amp;$BB$3&amp;E380&amp;$BD$3,"")</f>
        <v/>
      </c>
      <c r="BD378" s="1" t="str">
        <f>IFERROR($BC$3&amp;VLOOKUP(F380,'Pay Table'!$M$3:$N$18,2,FALSE)&amp;$BB$3&amp;G380&amp;$BD$3,"")</f>
        <v/>
      </c>
      <c r="BE378" s="1" t="str">
        <f>IFERROR($BC$3&amp;VLOOKUP(H380,'Pay Table'!$M$3:$N$18,2,FALSE)&amp;$BB$3&amp;I380&amp;$BD$3,"")</f>
        <v/>
      </c>
      <c r="BF378" s="27" t="str">
        <f>IFERROR($BC$3&amp;VLOOKUP(J380,'Pay Table'!$M$3:$N$18,2,FALSE)&amp;$BB$3&amp;K380&amp;$BD$3,"")</f>
        <v/>
      </c>
    </row>
    <row r="379" spans="54:58" x14ac:dyDescent="0.15">
      <c r="BB379" s="26" t="str">
        <f>IFERROR($BC$3&amp;VLOOKUP(B381,'Pay Table'!$M$3:$N$18,2,FALSE)&amp;$BB$3&amp;C381&amp;$BD$3,"")</f>
        <v/>
      </c>
      <c r="BC379" s="1" t="str">
        <f>IFERROR($BC$3&amp;VLOOKUP(D381,'Pay Table'!$M$3:$N$18,2,FALSE)&amp;$BB$3&amp;E381&amp;$BD$3,"")</f>
        <v/>
      </c>
      <c r="BD379" s="1" t="str">
        <f>IFERROR($BC$3&amp;VLOOKUP(F381,'Pay Table'!$M$3:$N$18,2,FALSE)&amp;$BB$3&amp;G381&amp;$BD$3,"")</f>
        <v/>
      </c>
      <c r="BE379" s="1" t="str">
        <f>IFERROR($BC$3&amp;VLOOKUP(H381,'Pay Table'!$M$3:$N$18,2,FALSE)&amp;$BB$3&amp;I381&amp;$BD$3,"")</f>
        <v/>
      </c>
      <c r="BF379" s="27" t="str">
        <f>IFERROR($BC$3&amp;VLOOKUP(J381,'Pay Table'!$M$3:$N$18,2,FALSE)&amp;$BB$3&amp;K381&amp;$BD$3,"")</f>
        <v/>
      </c>
    </row>
    <row r="380" spans="54:58" x14ac:dyDescent="0.15">
      <c r="BB380" s="26" t="str">
        <f>IFERROR($BC$3&amp;VLOOKUP(B382,'Pay Table'!$M$3:$N$18,2,FALSE)&amp;$BB$3&amp;C382&amp;$BD$3,"")</f>
        <v/>
      </c>
      <c r="BC380" s="1" t="str">
        <f>IFERROR($BC$3&amp;VLOOKUP(D382,'Pay Table'!$M$3:$N$18,2,FALSE)&amp;$BB$3&amp;E382&amp;$BD$3,"")</f>
        <v/>
      </c>
      <c r="BD380" s="1" t="str">
        <f>IFERROR($BC$3&amp;VLOOKUP(F382,'Pay Table'!$M$3:$N$18,2,FALSE)&amp;$BB$3&amp;G382&amp;$BD$3,"")</f>
        <v/>
      </c>
      <c r="BE380" s="1" t="str">
        <f>IFERROR($BC$3&amp;VLOOKUP(H382,'Pay Table'!$M$3:$N$18,2,FALSE)&amp;$BB$3&amp;I382&amp;$BD$3,"")</f>
        <v/>
      </c>
      <c r="BF380" s="27" t="str">
        <f>IFERROR($BC$3&amp;VLOOKUP(J382,'Pay Table'!$M$3:$N$18,2,FALSE)&amp;$BB$3&amp;K382&amp;$BD$3,"")</f>
        <v/>
      </c>
    </row>
    <row r="381" spans="54:58" x14ac:dyDescent="0.15">
      <c r="BB381" s="26" t="str">
        <f>IFERROR($BC$3&amp;VLOOKUP(B383,'Pay Table'!$M$3:$N$18,2,FALSE)&amp;$BB$3&amp;C383&amp;$BD$3,"")</f>
        <v/>
      </c>
      <c r="BC381" s="1" t="str">
        <f>IFERROR($BC$3&amp;VLOOKUP(D383,'Pay Table'!$M$3:$N$18,2,FALSE)&amp;$BB$3&amp;E383&amp;$BD$3,"")</f>
        <v/>
      </c>
      <c r="BD381" s="1" t="str">
        <f>IFERROR($BC$3&amp;VLOOKUP(F383,'Pay Table'!$M$3:$N$18,2,FALSE)&amp;$BB$3&amp;G383&amp;$BD$3,"")</f>
        <v/>
      </c>
      <c r="BE381" s="1" t="str">
        <f>IFERROR($BC$3&amp;VLOOKUP(H383,'Pay Table'!$M$3:$N$18,2,FALSE)&amp;$BB$3&amp;I383&amp;$BD$3,"")</f>
        <v/>
      </c>
      <c r="BF381" s="27" t="str">
        <f>IFERROR($BC$3&amp;VLOOKUP(J383,'Pay Table'!$M$3:$N$18,2,FALSE)&amp;$BB$3&amp;K383&amp;$BD$3,"")</f>
        <v/>
      </c>
    </row>
    <row r="382" spans="54:58" x14ac:dyDescent="0.15">
      <c r="BB382" s="26" t="str">
        <f>IFERROR($BC$3&amp;VLOOKUP(B384,'Pay Table'!$M$3:$N$18,2,FALSE)&amp;$BB$3&amp;C384&amp;$BD$3,"")</f>
        <v/>
      </c>
      <c r="BC382" s="1" t="str">
        <f>IFERROR($BC$3&amp;VLOOKUP(D384,'Pay Table'!$M$3:$N$18,2,FALSE)&amp;$BB$3&amp;E384&amp;$BD$3,"")</f>
        <v/>
      </c>
      <c r="BD382" s="1" t="str">
        <f>IFERROR($BC$3&amp;VLOOKUP(F384,'Pay Table'!$M$3:$N$18,2,FALSE)&amp;$BB$3&amp;G384&amp;$BD$3,"")</f>
        <v/>
      </c>
      <c r="BE382" s="1" t="str">
        <f>IFERROR($BC$3&amp;VLOOKUP(H384,'Pay Table'!$M$3:$N$18,2,FALSE)&amp;$BB$3&amp;I384&amp;$BD$3,"")</f>
        <v/>
      </c>
      <c r="BF382" s="27" t="str">
        <f>IFERROR($BC$3&amp;VLOOKUP(J384,'Pay Table'!$M$3:$N$18,2,FALSE)&amp;$BB$3&amp;K384&amp;$BD$3,"")</f>
        <v/>
      </c>
    </row>
    <row r="383" spans="54:58" x14ac:dyDescent="0.15">
      <c r="BB383" s="26" t="str">
        <f>IFERROR($BC$3&amp;VLOOKUP(B385,'Pay Table'!$M$3:$N$18,2,FALSE)&amp;$BB$3&amp;C385&amp;$BD$3,"")</f>
        <v/>
      </c>
      <c r="BC383" s="1" t="str">
        <f>IFERROR($BC$3&amp;VLOOKUP(D385,'Pay Table'!$M$3:$N$18,2,FALSE)&amp;$BB$3&amp;E385&amp;$BD$3,"")</f>
        <v/>
      </c>
      <c r="BD383" s="1" t="str">
        <f>IFERROR($BC$3&amp;VLOOKUP(F385,'Pay Table'!$M$3:$N$18,2,FALSE)&amp;$BB$3&amp;G385&amp;$BD$3,"")</f>
        <v/>
      </c>
      <c r="BE383" s="1" t="str">
        <f>IFERROR($BC$3&amp;VLOOKUP(H385,'Pay Table'!$M$3:$N$18,2,FALSE)&amp;$BB$3&amp;I385&amp;$BD$3,"")</f>
        <v/>
      </c>
      <c r="BF383" s="27" t="str">
        <f>IFERROR($BC$3&amp;VLOOKUP(J385,'Pay Table'!$M$3:$N$18,2,FALSE)&amp;$BB$3&amp;K385&amp;$BD$3,"")</f>
        <v/>
      </c>
    </row>
    <row r="384" spans="54:58" x14ac:dyDescent="0.15">
      <c r="BB384" s="26" t="str">
        <f>IFERROR($BC$3&amp;VLOOKUP(B386,'Pay Table'!$M$3:$N$18,2,FALSE)&amp;$BB$3&amp;C386&amp;$BD$3,"")</f>
        <v/>
      </c>
      <c r="BC384" s="1" t="str">
        <f>IFERROR($BC$3&amp;VLOOKUP(D386,'Pay Table'!$M$3:$N$18,2,FALSE)&amp;$BB$3&amp;E386&amp;$BD$3,"")</f>
        <v/>
      </c>
      <c r="BD384" s="1" t="str">
        <f>IFERROR($BC$3&amp;VLOOKUP(F386,'Pay Table'!$M$3:$N$18,2,FALSE)&amp;$BB$3&amp;G386&amp;$BD$3,"")</f>
        <v/>
      </c>
      <c r="BE384" s="1" t="str">
        <f>IFERROR($BC$3&amp;VLOOKUP(H386,'Pay Table'!$M$3:$N$18,2,FALSE)&amp;$BB$3&amp;I386&amp;$BD$3,"")</f>
        <v/>
      </c>
      <c r="BF384" s="27" t="str">
        <f>IFERROR($BC$3&amp;VLOOKUP(J386,'Pay Table'!$M$3:$N$18,2,FALSE)&amp;$BB$3&amp;K386&amp;$BD$3,"")</f>
        <v/>
      </c>
    </row>
    <row r="385" spans="54:58" x14ac:dyDescent="0.15">
      <c r="BB385" s="26" t="str">
        <f>IFERROR($BC$3&amp;VLOOKUP(B387,'Pay Table'!$M$3:$N$18,2,FALSE)&amp;$BB$3&amp;C387&amp;$BD$3,"")</f>
        <v/>
      </c>
      <c r="BC385" s="1" t="str">
        <f>IFERROR($BC$3&amp;VLOOKUP(D387,'Pay Table'!$M$3:$N$18,2,FALSE)&amp;$BB$3&amp;E387&amp;$BD$3,"")</f>
        <v/>
      </c>
      <c r="BD385" s="1" t="str">
        <f>IFERROR($BC$3&amp;VLOOKUP(F387,'Pay Table'!$M$3:$N$18,2,FALSE)&amp;$BB$3&amp;G387&amp;$BD$3,"")</f>
        <v/>
      </c>
      <c r="BE385" s="1" t="str">
        <f>IFERROR($BC$3&amp;VLOOKUP(H387,'Pay Table'!$M$3:$N$18,2,FALSE)&amp;$BB$3&amp;I387&amp;$BD$3,"")</f>
        <v/>
      </c>
      <c r="BF385" s="27" t="str">
        <f>IFERROR($BC$3&amp;VLOOKUP(J387,'Pay Table'!$M$3:$N$18,2,FALSE)&amp;$BB$3&amp;K387&amp;$BD$3,"")</f>
        <v/>
      </c>
    </row>
    <row r="386" spans="54:58" x14ac:dyDescent="0.15">
      <c r="BB386" s="26" t="str">
        <f>IFERROR($BC$3&amp;VLOOKUP(B388,'Pay Table'!$M$3:$N$18,2,FALSE)&amp;$BB$3&amp;C388&amp;$BD$3,"")</f>
        <v/>
      </c>
      <c r="BC386" s="1" t="str">
        <f>IFERROR($BC$3&amp;VLOOKUP(D388,'Pay Table'!$M$3:$N$18,2,FALSE)&amp;$BB$3&amp;E388&amp;$BD$3,"")</f>
        <v/>
      </c>
      <c r="BD386" s="1" t="str">
        <f>IFERROR($BC$3&amp;VLOOKUP(F388,'Pay Table'!$M$3:$N$18,2,FALSE)&amp;$BB$3&amp;G388&amp;$BD$3,"")</f>
        <v/>
      </c>
      <c r="BE386" s="1" t="str">
        <f>IFERROR($BC$3&amp;VLOOKUP(H388,'Pay Table'!$M$3:$N$18,2,FALSE)&amp;$BB$3&amp;I388&amp;$BD$3,"")</f>
        <v/>
      </c>
      <c r="BF386" s="27" t="str">
        <f>IFERROR($BC$3&amp;VLOOKUP(J388,'Pay Table'!$M$3:$N$18,2,FALSE)&amp;$BB$3&amp;K388&amp;$BD$3,"")</f>
        <v/>
      </c>
    </row>
    <row r="387" spans="54:58" x14ac:dyDescent="0.15">
      <c r="BB387" s="26" t="str">
        <f>IFERROR($BC$3&amp;VLOOKUP(B389,'Pay Table'!$M$3:$N$18,2,FALSE)&amp;$BB$3&amp;C389&amp;$BD$3,"")</f>
        <v/>
      </c>
      <c r="BC387" s="1" t="str">
        <f>IFERROR($BC$3&amp;VLOOKUP(D389,'Pay Table'!$M$3:$N$18,2,FALSE)&amp;$BB$3&amp;E389&amp;$BD$3,"")</f>
        <v/>
      </c>
      <c r="BD387" s="1" t="str">
        <f>IFERROR($BC$3&amp;VLOOKUP(F389,'Pay Table'!$M$3:$N$18,2,FALSE)&amp;$BB$3&amp;G389&amp;$BD$3,"")</f>
        <v/>
      </c>
      <c r="BE387" s="1" t="str">
        <f>IFERROR($BC$3&amp;VLOOKUP(H389,'Pay Table'!$M$3:$N$18,2,FALSE)&amp;$BB$3&amp;I389&amp;$BD$3,"")</f>
        <v/>
      </c>
      <c r="BF387" s="27" t="str">
        <f>IFERROR($BC$3&amp;VLOOKUP(J389,'Pay Table'!$M$3:$N$18,2,FALSE)&amp;$BB$3&amp;K389&amp;$BD$3,"")</f>
        <v/>
      </c>
    </row>
    <row r="388" spans="54:58" x14ac:dyDescent="0.15">
      <c r="BB388" s="26" t="str">
        <f>IFERROR($BC$3&amp;VLOOKUP(B390,'Pay Table'!$M$3:$N$18,2,FALSE)&amp;$BB$3&amp;C390&amp;$BD$3,"")</f>
        <v/>
      </c>
      <c r="BC388" s="1" t="str">
        <f>IFERROR($BC$3&amp;VLOOKUP(D390,'Pay Table'!$M$3:$N$18,2,FALSE)&amp;$BB$3&amp;E390&amp;$BD$3,"")</f>
        <v/>
      </c>
      <c r="BD388" s="1" t="str">
        <f>IFERROR($BC$3&amp;VLOOKUP(F390,'Pay Table'!$M$3:$N$18,2,FALSE)&amp;$BB$3&amp;G390&amp;$BD$3,"")</f>
        <v/>
      </c>
      <c r="BE388" s="1" t="str">
        <f>IFERROR($BC$3&amp;VLOOKUP(H390,'Pay Table'!$M$3:$N$18,2,FALSE)&amp;$BB$3&amp;I390&amp;$BD$3,"")</f>
        <v/>
      </c>
      <c r="BF388" s="27" t="str">
        <f>IFERROR($BC$3&amp;VLOOKUP(J390,'Pay Table'!$M$3:$N$18,2,FALSE)&amp;$BB$3&amp;K390&amp;$BD$3,"")</f>
        <v/>
      </c>
    </row>
    <row r="389" spans="54:58" x14ac:dyDescent="0.15">
      <c r="BB389" s="26" t="str">
        <f>IFERROR($BC$3&amp;VLOOKUP(B391,'Pay Table'!$M$3:$N$18,2,FALSE)&amp;$BB$3&amp;C391&amp;$BD$3,"")</f>
        <v/>
      </c>
      <c r="BC389" s="1" t="str">
        <f>IFERROR($BC$3&amp;VLOOKUP(D391,'Pay Table'!$M$3:$N$18,2,FALSE)&amp;$BB$3&amp;E391&amp;$BD$3,"")</f>
        <v/>
      </c>
      <c r="BD389" s="1" t="str">
        <f>IFERROR($BC$3&amp;VLOOKUP(F391,'Pay Table'!$M$3:$N$18,2,FALSE)&amp;$BB$3&amp;G391&amp;$BD$3,"")</f>
        <v/>
      </c>
      <c r="BE389" s="1" t="str">
        <f>IFERROR($BC$3&amp;VLOOKUP(H391,'Pay Table'!$M$3:$N$18,2,FALSE)&amp;$BB$3&amp;I391&amp;$BD$3,"")</f>
        <v/>
      </c>
      <c r="BF389" s="27" t="str">
        <f>IFERROR($BC$3&amp;VLOOKUP(J391,'Pay Table'!$M$3:$N$18,2,FALSE)&amp;$BB$3&amp;K391&amp;$BD$3,"")</f>
        <v/>
      </c>
    </row>
    <row r="390" spans="54:58" x14ac:dyDescent="0.15">
      <c r="BB390" s="26" t="str">
        <f>IFERROR($BC$3&amp;VLOOKUP(B392,'Pay Table'!$M$3:$N$18,2,FALSE)&amp;$BB$3&amp;C392&amp;$BD$3,"")</f>
        <v/>
      </c>
      <c r="BC390" s="1" t="str">
        <f>IFERROR($BC$3&amp;VLOOKUP(D392,'Pay Table'!$M$3:$N$18,2,FALSE)&amp;$BB$3&amp;E392&amp;$BD$3,"")</f>
        <v/>
      </c>
      <c r="BD390" s="1" t="str">
        <f>IFERROR($BC$3&amp;VLOOKUP(F392,'Pay Table'!$M$3:$N$18,2,FALSE)&amp;$BB$3&amp;G392&amp;$BD$3,"")</f>
        <v/>
      </c>
      <c r="BE390" s="1" t="str">
        <f>IFERROR($BC$3&amp;VLOOKUP(H392,'Pay Table'!$M$3:$N$18,2,FALSE)&amp;$BB$3&amp;I392&amp;$BD$3,"")</f>
        <v/>
      </c>
      <c r="BF390" s="27" t="str">
        <f>IFERROR($BC$3&amp;VLOOKUP(J392,'Pay Table'!$M$3:$N$18,2,FALSE)&amp;$BB$3&amp;K392&amp;$BD$3,"")</f>
        <v/>
      </c>
    </row>
    <row r="391" spans="54:58" x14ac:dyDescent="0.15">
      <c r="BB391" s="26" t="str">
        <f>IFERROR($BC$3&amp;VLOOKUP(B393,'Pay Table'!$M$3:$N$18,2,FALSE)&amp;$BB$3&amp;C393&amp;$BD$3,"")</f>
        <v/>
      </c>
      <c r="BC391" s="1" t="str">
        <f>IFERROR($BC$3&amp;VLOOKUP(D393,'Pay Table'!$M$3:$N$18,2,FALSE)&amp;$BB$3&amp;E393&amp;$BD$3,"")</f>
        <v/>
      </c>
      <c r="BD391" s="1" t="str">
        <f>IFERROR($BC$3&amp;VLOOKUP(F393,'Pay Table'!$M$3:$N$18,2,FALSE)&amp;$BB$3&amp;G393&amp;$BD$3,"")</f>
        <v/>
      </c>
      <c r="BE391" s="1" t="str">
        <f>IFERROR($BC$3&amp;VLOOKUP(H393,'Pay Table'!$M$3:$N$18,2,FALSE)&amp;$BB$3&amp;I393&amp;$BD$3,"")</f>
        <v/>
      </c>
      <c r="BF391" s="27" t="str">
        <f>IFERROR($BC$3&amp;VLOOKUP(J393,'Pay Table'!$M$3:$N$18,2,FALSE)&amp;$BB$3&amp;K393&amp;$BD$3,"")</f>
        <v/>
      </c>
    </row>
    <row r="392" spans="54:58" x14ac:dyDescent="0.15">
      <c r="BB392" s="26" t="str">
        <f>IFERROR($BC$3&amp;VLOOKUP(B394,'Pay Table'!$M$3:$N$18,2,FALSE)&amp;$BB$3&amp;C394&amp;$BD$3,"")</f>
        <v/>
      </c>
      <c r="BC392" s="1" t="str">
        <f>IFERROR($BC$3&amp;VLOOKUP(D394,'Pay Table'!$M$3:$N$18,2,FALSE)&amp;$BB$3&amp;E394&amp;$BD$3,"")</f>
        <v/>
      </c>
      <c r="BD392" s="1" t="str">
        <f>IFERROR($BC$3&amp;VLOOKUP(F394,'Pay Table'!$M$3:$N$18,2,FALSE)&amp;$BB$3&amp;G394&amp;$BD$3,"")</f>
        <v/>
      </c>
      <c r="BE392" s="1" t="str">
        <f>IFERROR($BC$3&amp;VLOOKUP(H394,'Pay Table'!$M$3:$N$18,2,FALSE)&amp;$BB$3&amp;I394&amp;$BD$3,"")</f>
        <v/>
      </c>
      <c r="BF392" s="27" t="str">
        <f>IFERROR($BC$3&amp;VLOOKUP(J394,'Pay Table'!$M$3:$N$18,2,FALSE)&amp;$BB$3&amp;K394&amp;$BD$3,"")</f>
        <v/>
      </c>
    </row>
    <row r="393" spans="54:58" x14ac:dyDescent="0.15">
      <c r="BB393" s="26" t="str">
        <f>IFERROR($BC$3&amp;VLOOKUP(B395,'Pay Table'!$M$3:$N$18,2,FALSE)&amp;$BB$3&amp;C395&amp;$BD$3,"")</f>
        <v/>
      </c>
      <c r="BC393" s="1" t="str">
        <f>IFERROR($BC$3&amp;VLOOKUP(D395,'Pay Table'!$M$3:$N$18,2,FALSE)&amp;$BB$3&amp;E395&amp;$BD$3,"")</f>
        <v/>
      </c>
      <c r="BD393" s="1" t="str">
        <f>IFERROR($BC$3&amp;VLOOKUP(F395,'Pay Table'!$M$3:$N$18,2,FALSE)&amp;$BB$3&amp;G395&amp;$BD$3,"")</f>
        <v/>
      </c>
      <c r="BE393" s="1" t="str">
        <f>IFERROR($BC$3&amp;VLOOKUP(H395,'Pay Table'!$M$3:$N$18,2,FALSE)&amp;$BB$3&amp;I395&amp;$BD$3,"")</f>
        <v/>
      </c>
      <c r="BF393" s="27" t="str">
        <f>IFERROR($BC$3&amp;VLOOKUP(J395,'Pay Table'!$M$3:$N$18,2,FALSE)&amp;$BB$3&amp;K395&amp;$BD$3,"")</f>
        <v/>
      </c>
    </row>
    <row r="394" spans="54:58" x14ac:dyDescent="0.15">
      <c r="BB394" s="26" t="str">
        <f>IFERROR($BC$3&amp;VLOOKUP(B396,'Pay Table'!$M$3:$N$18,2,FALSE)&amp;$BB$3&amp;C396&amp;$BD$3,"")</f>
        <v/>
      </c>
      <c r="BC394" s="1" t="str">
        <f>IFERROR($BC$3&amp;VLOOKUP(D396,'Pay Table'!$M$3:$N$18,2,FALSE)&amp;$BB$3&amp;E396&amp;$BD$3,"")</f>
        <v/>
      </c>
      <c r="BD394" s="1" t="str">
        <f>IFERROR($BC$3&amp;VLOOKUP(F396,'Pay Table'!$M$3:$N$18,2,FALSE)&amp;$BB$3&amp;G396&amp;$BD$3,"")</f>
        <v/>
      </c>
      <c r="BE394" s="1" t="str">
        <f>IFERROR($BC$3&amp;VLOOKUP(H396,'Pay Table'!$M$3:$N$18,2,FALSE)&amp;$BB$3&amp;I396&amp;$BD$3,"")</f>
        <v/>
      </c>
      <c r="BF394" s="27" t="str">
        <f>IFERROR($BC$3&amp;VLOOKUP(J396,'Pay Table'!$M$3:$N$18,2,FALSE)&amp;$BB$3&amp;K396&amp;$BD$3,"")</f>
        <v/>
      </c>
    </row>
    <row r="395" spans="54:58" x14ac:dyDescent="0.15">
      <c r="BB395" s="26" t="str">
        <f>IFERROR($BC$3&amp;VLOOKUP(B397,'Pay Table'!$M$3:$N$18,2,FALSE)&amp;$BB$3&amp;C397&amp;$BD$3,"")</f>
        <v/>
      </c>
      <c r="BC395" s="1" t="str">
        <f>IFERROR($BC$3&amp;VLOOKUP(D397,'Pay Table'!$M$3:$N$18,2,FALSE)&amp;$BB$3&amp;E397&amp;$BD$3,"")</f>
        <v/>
      </c>
      <c r="BD395" s="1" t="str">
        <f>IFERROR($BC$3&amp;VLOOKUP(F397,'Pay Table'!$M$3:$N$18,2,FALSE)&amp;$BB$3&amp;G397&amp;$BD$3,"")</f>
        <v/>
      </c>
      <c r="BE395" s="1" t="str">
        <f>IFERROR($BC$3&amp;VLOOKUP(H397,'Pay Table'!$M$3:$N$18,2,FALSE)&amp;$BB$3&amp;I397&amp;$BD$3,"")</f>
        <v/>
      </c>
      <c r="BF395" s="27" t="str">
        <f>IFERROR($BC$3&amp;VLOOKUP(J397,'Pay Table'!$M$3:$N$18,2,FALSE)&amp;$BB$3&amp;K397&amp;$BD$3,"")</f>
        <v/>
      </c>
    </row>
    <row r="396" spans="54:58" x14ac:dyDescent="0.15">
      <c r="BB396" s="26" t="str">
        <f>IFERROR($BC$3&amp;VLOOKUP(B398,'Pay Table'!$M$3:$N$18,2,FALSE)&amp;$BB$3&amp;C398&amp;$BD$3,"")</f>
        <v/>
      </c>
      <c r="BC396" s="1" t="str">
        <f>IFERROR($BC$3&amp;VLOOKUP(D398,'Pay Table'!$M$3:$N$18,2,FALSE)&amp;$BB$3&amp;E398&amp;$BD$3,"")</f>
        <v/>
      </c>
      <c r="BD396" s="1" t="str">
        <f>IFERROR($BC$3&amp;VLOOKUP(F398,'Pay Table'!$M$3:$N$18,2,FALSE)&amp;$BB$3&amp;G398&amp;$BD$3,"")</f>
        <v/>
      </c>
      <c r="BE396" s="1" t="str">
        <f>IFERROR($BC$3&amp;VLOOKUP(H398,'Pay Table'!$M$3:$N$18,2,FALSE)&amp;$BB$3&amp;I398&amp;$BD$3,"")</f>
        <v/>
      </c>
      <c r="BF396" s="27" t="str">
        <f>IFERROR($BC$3&amp;VLOOKUP(J398,'Pay Table'!$M$3:$N$18,2,FALSE)&amp;$BB$3&amp;K398&amp;$BD$3,"")</f>
        <v/>
      </c>
    </row>
    <row r="397" spans="54:58" x14ac:dyDescent="0.15">
      <c r="BB397" s="26" t="str">
        <f>IFERROR($BC$3&amp;VLOOKUP(B399,'Pay Table'!$M$3:$N$18,2,FALSE)&amp;$BB$3&amp;C399&amp;$BD$3,"")</f>
        <v/>
      </c>
      <c r="BC397" s="1" t="str">
        <f>IFERROR($BC$3&amp;VLOOKUP(D399,'Pay Table'!$M$3:$N$18,2,FALSE)&amp;$BB$3&amp;E399&amp;$BD$3,"")</f>
        <v/>
      </c>
      <c r="BD397" s="1" t="str">
        <f>IFERROR($BC$3&amp;VLOOKUP(F399,'Pay Table'!$M$3:$N$18,2,FALSE)&amp;$BB$3&amp;G399&amp;$BD$3,"")</f>
        <v/>
      </c>
      <c r="BE397" s="1" t="str">
        <f>IFERROR($BC$3&amp;VLOOKUP(H399,'Pay Table'!$M$3:$N$18,2,FALSE)&amp;$BB$3&amp;I399&amp;$BD$3,"")</f>
        <v/>
      </c>
      <c r="BF397" s="27" t="str">
        <f>IFERROR($BC$3&amp;VLOOKUP(J399,'Pay Table'!$M$3:$N$18,2,FALSE)&amp;$BB$3&amp;K399&amp;$BD$3,"")</f>
        <v/>
      </c>
    </row>
    <row r="398" spans="54:58" x14ac:dyDescent="0.15">
      <c r="BB398" s="26" t="str">
        <f>IFERROR($BC$3&amp;VLOOKUP(B400,'Pay Table'!$M$3:$N$18,2,FALSE)&amp;$BB$3&amp;C400&amp;$BD$3,"")</f>
        <v/>
      </c>
      <c r="BC398" s="1" t="str">
        <f>IFERROR($BC$3&amp;VLOOKUP(D400,'Pay Table'!$M$3:$N$18,2,FALSE)&amp;$BB$3&amp;E400&amp;$BD$3,"")</f>
        <v/>
      </c>
      <c r="BD398" s="1" t="str">
        <f>IFERROR($BC$3&amp;VLOOKUP(F400,'Pay Table'!$M$3:$N$18,2,FALSE)&amp;$BB$3&amp;G400&amp;$BD$3,"")</f>
        <v/>
      </c>
      <c r="BE398" s="1" t="str">
        <f>IFERROR($BC$3&amp;VLOOKUP(H400,'Pay Table'!$M$3:$N$18,2,FALSE)&amp;$BB$3&amp;I400&amp;$BD$3,"")</f>
        <v/>
      </c>
      <c r="BF398" s="27" t="str">
        <f>IFERROR($BC$3&amp;VLOOKUP(J400,'Pay Table'!$M$3:$N$18,2,FALSE)&amp;$BB$3&amp;K400&amp;$BD$3,"")</f>
        <v/>
      </c>
    </row>
    <row r="399" spans="54:58" x14ac:dyDescent="0.15">
      <c r="BB399" s="26" t="str">
        <f>IFERROR($BC$3&amp;VLOOKUP(B401,'Pay Table'!$M$3:$N$18,2,FALSE)&amp;$BB$3&amp;C401&amp;$BD$3,"")</f>
        <v/>
      </c>
      <c r="BC399" s="1" t="str">
        <f>IFERROR($BC$3&amp;VLOOKUP(D401,'Pay Table'!$M$3:$N$18,2,FALSE)&amp;$BB$3&amp;E401&amp;$BD$3,"")</f>
        <v/>
      </c>
      <c r="BD399" s="1" t="str">
        <f>IFERROR($BC$3&amp;VLOOKUP(F401,'Pay Table'!$M$3:$N$18,2,FALSE)&amp;$BB$3&amp;G401&amp;$BD$3,"")</f>
        <v/>
      </c>
      <c r="BE399" s="1" t="str">
        <f>IFERROR($BC$3&amp;VLOOKUP(H401,'Pay Table'!$M$3:$N$18,2,FALSE)&amp;$BB$3&amp;I401&amp;$BD$3,"")</f>
        <v/>
      </c>
      <c r="BF399" s="27" t="str">
        <f>IFERROR($BC$3&amp;VLOOKUP(J401,'Pay Table'!$M$3:$N$18,2,FALSE)&amp;$BB$3&amp;K401&amp;$BD$3,"")</f>
        <v/>
      </c>
    </row>
    <row r="400" spans="54:58" x14ac:dyDescent="0.15">
      <c r="BB400" s="26" t="str">
        <f>IFERROR($BC$3&amp;VLOOKUP(B402,'Pay Table'!$M$3:$N$18,2,FALSE)&amp;$BB$3&amp;C402&amp;$BD$3,"")</f>
        <v/>
      </c>
      <c r="BC400" s="1" t="str">
        <f>IFERROR($BC$3&amp;VLOOKUP(D402,'Pay Table'!$M$3:$N$18,2,FALSE)&amp;$BB$3&amp;E402&amp;$BD$3,"")</f>
        <v/>
      </c>
      <c r="BD400" s="1" t="str">
        <f>IFERROR($BC$3&amp;VLOOKUP(F402,'Pay Table'!$M$3:$N$18,2,FALSE)&amp;$BB$3&amp;G402&amp;$BD$3,"")</f>
        <v/>
      </c>
      <c r="BE400" s="1" t="str">
        <f>IFERROR($BC$3&amp;VLOOKUP(H402,'Pay Table'!$M$3:$N$18,2,FALSE)&amp;$BB$3&amp;I402&amp;$BD$3,"")</f>
        <v/>
      </c>
      <c r="BF400" s="27" t="str">
        <f>IFERROR($BC$3&amp;VLOOKUP(J402,'Pay Table'!$M$3:$N$18,2,FALSE)&amp;$BB$3&amp;K402&amp;$BD$3,"")</f>
        <v/>
      </c>
    </row>
    <row r="401" spans="54:58" x14ac:dyDescent="0.15">
      <c r="BB401" s="26" t="str">
        <f>IFERROR($BC$3&amp;VLOOKUP(B403,'Pay Table'!$M$3:$N$18,2,FALSE)&amp;$BB$3&amp;C403&amp;$BD$3,"")</f>
        <v/>
      </c>
      <c r="BC401" s="1" t="str">
        <f>IFERROR($BC$3&amp;VLOOKUP(D403,'Pay Table'!$M$3:$N$18,2,FALSE)&amp;$BB$3&amp;E403&amp;$BD$3,"")</f>
        <v/>
      </c>
      <c r="BD401" s="1" t="str">
        <f>IFERROR($BC$3&amp;VLOOKUP(F403,'Pay Table'!$M$3:$N$18,2,FALSE)&amp;$BB$3&amp;G403&amp;$BD$3,"")</f>
        <v/>
      </c>
      <c r="BE401" s="1" t="str">
        <f>IFERROR($BC$3&amp;VLOOKUP(H403,'Pay Table'!$M$3:$N$18,2,FALSE)&amp;$BB$3&amp;I403&amp;$BD$3,"")</f>
        <v/>
      </c>
      <c r="BF401" s="27" t="str">
        <f>IFERROR($BC$3&amp;VLOOKUP(J403,'Pay Table'!$M$3:$N$18,2,FALSE)&amp;$BB$3&amp;K403&amp;$BD$3,"")</f>
        <v/>
      </c>
    </row>
    <row r="402" spans="54:58" x14ac:dyDescent="0.15">
      <c r="BB402" s="26" t="str">
        <f>IFERROR($BC$3&amp;VLOOKUP(B404,'Pay Table'!$M$3:$N$18,2,FALSE)&amp;$BB$3&amp;C404&amp;$BD$3,"")</f>
        <v/>
      </c>
      <c r="BC402" s="1" t="str">
        <f>IFERROR($BC$3&amp;VLOOKUP(D404,'Pay Table'!$M$3:$N$18,2,FALSE)&amp;$BB$3&amp;E404&amp;$BD$3,"")</f>
        <v/>
      </c>
      <c r="BD402" s="1" t="str">
        <f>IFERROR($BC$3&amp;VLOOKUP(F404,'Pay Table'!$M$3:$N$18,2,FALSE)&amp;$BB$3&amp;G404&amp;$BD$3,"")</f>
        <v/>
      </c>
      <c r="BE402" s="1" t="str">
        <f>IFERROR($BC$3&amp;VLOOKUP(H404,'Pay Table'!$M$3:$N$18,2,FALSE)&amp;$BB$3&amp;I404&amp;$BD$3,"")</f>
        <v/>
      </c>
      <c r="BF402" s="27" t="str">
        <f>IFERROR($BC$3&amp;VLOOKUP(J404,'Pay Table'!$M$3:$N$18,2,FALSE)&amp;$BB$3&amp;K404&amp;$BD$3,"")</f>
        <v/>
      </c>
    </row>
    <row r="403" spans="54:58" x14ac:dyDescent="0.15">
      <c r="BB403" s="26" t="str">
        <f>IFERROR($BC$3&amp;VLOOKUP(B405,'Pay Table'!$M$3:$N$18,2,FALSE)&amp;$BB$3&amp;C405&amp;$BD$3,"")</f>
        <v/>
      </c>
      <c r="BC403" s="1" t="str">
        <f>IFERROR($BC$3&amp;VLOOKUP(D405,'Pay Table'!$M$3:$N$18,2,FALSE)&amp;$BB$3&amp;E405&amp;$BD$3,"")</f>
        <v/>
      </c>
      <c r="BD403" s="1" t="str">
        <f>IFERROR($BC$3&amp;VLOOKUP(F405,'Pay Table'!$M$3:$N$18,2,FALSE)&amp;$BB$3&amp;G405&amp;$BD$3,"")</f>
        <v/>
      </c>
      <c r="BE403" s="1" t="str">
        <f>IFERROR($BC$3&amp;VLOOKUP(H405,'Pay Table'!$M$3:$N$18,2,FALSE)&amp;$BB$3&amp;I405&amp;$BD$3,"")</f>
        <v/>
      </c>
      <c r="BF403" s="27" t="str">
        <f>IFERROR($BC$3&amp;VLOOKUP(J405,'Pay Table'!$M$3:$N$18,2,FALSE)&amp;$BB$3&amp;K405&amp;$BD$3,"")</f>
        <v/>
      </c>
    </row>
    <row r="404" spans="54:58" x14ac:dyDescent="0.15">
      <c r="BB404" s="26" t="str">
        <f>IFERROR($BC$3&amp;VLOOKUP(B406,'Pay Table'!$M$3:$N$18,2,FALSE)&amp;$BB$3&amp;C406&amp;$BD$3,"")</f>
        <v/>
      </c>
      <c r="BC404" s="1" t="str">
        <f>IFERROR($BC$3&amp;VLOOKUP(D406,'Pay Table'!$M$3:$N$18,2,FALSE)&amp;$BB$3&amp;E406&amp;$BD$3,"")</f>
        <v/>
      </c>
      <c r="BD404" s="1" t="str">
        <f>IFERROR($BC$3&amp;VLOOKUP(F406,'Pay Table'!$M$3:$N$18,2,FALSE)&amp;$BB$3&amp;G406&amp;$BD$3,"")</f>
        <v/>
      </c>
      <c r="BE404" s="1" t="str">
        <f>IFERROR($BC$3&amp;VLOOKUP(H406,'Pay Table'!$M$3:$N$18,2,FALSE)&amp;$BB$3&amp;I406&amp;$BD$3,"")</f>
        <v/>
      </c>
      <c r="BF404" s="27" t="str">
        <f>IFERROR($BC$3&amp;VLOOKUP(J406,'Pay Table'!$M$3:$N$18,2,FALSE)&amp;$BB$3&amp;K406&amp;$BD$3,"")</f>
        <v/>
      </c>
    </row>
    <row r="405" spans="54:58" x14ac:dyDescent="0.15">
      <c r="BB405" s="26" t="str">
        <f>IFERROR($BC$3&amp;VLOOKUP(B407,'Pay Table'!$M$3:$N$18,2,FALSE)&amp;$BB$3&amp;C407&amp;$BD$3,"")</f>
        <v/>
      </c>
      <c r="BC405" s="1" t="str">
        <f>IFERROR($BC$3&amp;VLOOKUP(D407,'Pay Table'!$M$3:$N$18,2,FALSE)&amp;$BB$3&amp;E407&amp;$BD$3,"")</f>
        <v/>
      </c>
      <c r="BD405" s="1" t="str">
        <f>IFERROR($BC$3&amp;VLOOKUP(F407,'Pay Table'!$M$3:$N$18,2,FALSE)&amp;$BB$3&amp;G407&amp;$BD$3,"")</f>
        <v/>
      </c>
      <c r="BE405" s="1" t="str">
        <f>IFERROR($BC$3&amp;VLOOKUP(H407,'Pay Table'!$M$3:$N$18,2,FALSE)&amp;$BB$3&amp;I407&amp;$BD$3,"")</f>
        <v/>
      </c>
      <c r="BF405" s="27" t="str">
        <f>IFERROR($BC$3&amp;VLOOKUP(J407,'Pay Table'!$M$3:$N$18,2,FALSE)&amp;$BB$3&amp;K407&amp;$BD$3,"")</f>
        <v/>
      </c>
    </row>
    <row r="406" spans="54:58" x14ac:dyDescent="0.15">
      <c r="BB406" s="26" t="str">
        <f>IFERROR($BC$3&amp;VLOOKUP(B408,'Pay Table'!$M$3:$N$18,2,FALSE)&amp;$BB$3&amp;C408&amp;$BD$3,"")</f>
        <v/>
      </c>
      <c r="BC406" s="1" t="str">
        <f>IFERROR($BC$3&amp;VLOOKUP(D408,'Pay Table'!$M$3:$N$18,2,FALSE)&amp;$BB$3&amp;E408&amp;$BD$3,"")</f>
        <v/>
      </c>
      <c r="BD406" s="1" t="str">
        <f>IFERROR($BC$3&amp;VLOOKUP(F408,'Pay Table'!$M$3:$N$18,2,FALSE)&amp;$BB$3&amp;G408&amp;$BD$3,"")</f>
        <v/>
      </c>
      <c r="BE406" s="1" t="str">
        <f>IFERROR($BC$3&amp;VLOOKUP(H408,'Pay Table'!$M$3:$N$18,2,FALSE)&amp;$BB$3&amp;I408&amp;$BD$3,"")</f>
        <v/>
      </c>
      <c r="BF406" s="27" t="str">
        <f>IFERROR($BC$3&amp;VLOOKUP(J408,'Pay Table'!$M$3:$N$18,2,FALSE)&amp;$BB$3&amp;K408&amp;$BD$3,"")</f>
        <v/>
      </c>
    </row>
    <row r="407" spans="54:58" x14ac:dyDescent="0.15">
      <c r="BB407" s="26" t="str">
        <f>IFERROR($BC$3&amp;VLOOKUP(B409,'Pay Table'!$M$3:$N$18,2,FALSE)&amp;$BB$3&amp;C409&amp;$BD$3,"")</f>
        <v/>
      </c>
      <c r="BC407" s="1" t="str">
        <f>IFERROR($BC$3&amp;VLOOKUP(D409,'Pay Table'!$M$3:$N$18,2,FALSE)&amp;$BB$3&amp;E409&amp;$BD$3,"")</f>
        <v/>
      </c>
      <c r="BD407" s="1" t="str">
        <f>IFERROR($BC$3&amp;VLOOKUP(F409,'Pay Table'!$M$3:$N$18,2,FALSE)&amp;$BB$3&amp;G409&amp;$BD$3,"")</f>
        <v/>
      </c>
      <c r="BE407" s="1" t="str">
        <f>IFERROR($BC$3&amp;VLOOKUP(H409,'Pay Table'!$M$3:$N$18,2,FALSE)&amp;$BB$3&amp;I409&amp;$BD$3,"")</f>
        <v/>
      </c>
      <c r="BF407" s="27" t="str">
        <f>IFERROR($BC$3&amp;VLOOKUP(J409,'Pay Table'!$M$3:$N$18,2,FALSE)&amp;$BB$3&amp;K409&amp;$BD$3,"")</f>
        <v/>
      </c>
    </row>
    <row r="408" spans="54:58" x14ac:dyDescent="0.15">
      <c r="BB408" s="26" t="str">
        <f>IFERROR($BC$3&amp;VLOOKUP(B410,'Pay Table'!$M$3:$N$18,2,FALSE)&amp;$BB$3&amp;C410&amp;$BD$3,"")</f>
        <v/>
      </c>
      <c r="BC408" s="1" t="str">
        <f>IFERROR($BC$3&amp;VLOOKUP(D410,'Pay Table'!$M$3:$N$18,2,FALSE)&amp;$BB$3&amp;E410&amp;$BD$3,"")</f>
        <v/>
      </c>
      <c r="BD408" s="1" t="str">
        <f>IFERROR($BC$3&amp;VLOOKUP(F410,'Pay Table'!$M$3:$N$18,2,FALSE)&amp;$BB$3&amp;G410&amp;$BD$3,"")</f>
        <v/>
      </c>
      <c r="BE408" s="1" t="str">
        <f>IFERROR($BC$3&amp;VLOOKUP(H410,'Pay Table'!$M$3:$N$18,2,FALSE)&amp;$BB$3&amp;I410&amp;$BD$3,"")</f>
        <v/>
      </c>
      <c r="BF408" s="27" t="str">
        <f>IFERROR($BC$3&amp;VLOOKUP(J410,'Pay Table'!$M$3:$N$18,2,FALSE)&amp;$BB$3&amp;K410&amp;$BD$3,"")</f>
        <v/>
      </c>
    </row>
    <row r="409" spans="54:58" x14ac:dyDescent="0.15">
      <c r="BB409" s="26" t="str">
        <f>IFERROR($BC$3&amp;VLOOKUP(B411,'Pay Table'!$M$3:$N$18,2,FALSE)&amp;$BB$3&amp;C411&amp;$BD$3,"")</f>
        <v/>
      </c>
      <c r="BC409" s="1" t="str">
        <f>IFERROR($BC$3&amp;VLOOKUP(D411,'Pay Table'!$M$3:$N$18,2,FALSE)&amp;$BB$3&amp;E411&amp;$BD$3,"")</f>
        <v/>
      </c>
      <c r="BD409" s="1" t="str">
        <f>IFERROR($BC$3&amp;VLOOKUP(F411,'Pay Table'!$M$3:$N$18,2,FALSE)&amp;$BB$3&amp;G411&amp;$BD$3,"")</f>
        <v/>
      </c>
      <c r="BE409" s="1" t="str">
        <f>IFERROR($BC$3&amp;VLOOKUP(H411,'Pay Table'!$M$3:$N$18,2,FALSE)&amp;$BB$3&amp;I411&amp;$BD$3,"")</f>
        <v/>
      </c>
      <c r="BF409" s="27" t="str">
        <f>IFERROR($BC$3&amp;VLOOKUP(J411,'Pay Table'!$M$3:$N$18,2,FALSE)&amp;$BB$3&amp;K411&amp;$BD$3,"")</f>
        <v/>
      </c>
    </row>
    <row r="410" spans="54:58" x14ac:dyDescent="0.15">
      <c r="BB410" s="26" t="str">
        <f>IFERROR($BC$3&amp;VLOOKUP(B412,'Pay Table'!$M$3:$N$18,2,FALSE)&amp;$BB$3&amp;C412&amp;$BD$3,"")</f>
        <v/>
      </c>
      <c r="BC410" s="1" t="str">
        <f>IFERROR($BC$3&amp;VLOOKUP(D412,'Pay Table'!$M$3:$N$18,2,FALSE)&amp;$BB$3&amp;E412&amp;$BD$3,"")</f>
        <v/>
      </c>
      <c r="BD410" s="1" t="str">
        <f>IFERROR($BC$3&amp;VLOOKUP(F412,'Pay Table'!$M$3:$N$18,2,FALSE)&amp;$BB$3&amp;G412&amp;$BD$3,"")</f>
        <v/>
      </c>
      <c r="BE410" s="1" t="str">
        <f>IFERROR($BC$3&amp;VLOOKUP(H412,'Pay Table'!$M$3:$N$18,2,FALSE)&amp;$BB$3&amp;I412&amp;$BD$3,"")</f>
        <v/>
      </c>
      <c r="BF410" s="27" t="str">
        <f>IFERROR($BC$3&amp;VLOOKUP(J412,'Pay Table'!$M$3:$N$18,2,FALSE)&amp;$BB$3&amp;K412&amp;$BD$3,"")</f>
        <v/>
      </c>
    </row>
    <row r="411" spans="54:58" x14ac:dyDescent="0.15">
      <c r="BB411" s="26" t="str">
        <f>IFERROR($BC$3&amp;VLOOKUP(B413,'Pay Table'!$M$3:$N$18,2,FALSE)&amp;$BB$3&amp;C413&amp;$BD$3,"")</f>
        <v/>
      </c>
      <c r="BC411" s="1" t="str">
        <f>IFERROR($BC$3&amp;VLOOKUP(D413,'Pay Table'!$M$3:$N$18,2,FALSE)&amp;$BB$3&amp;E413&amp;$BD$3,"")</f>
        <v/>
      </c>
      <c r="BD411" s="1" t="str">
        <f>IFERROR($BC$3&amp;VLOOKUP(F413,'Pay Table'!$M$3:$N$18,2,FALSE)&amp;$BB$3&amp;G413&amp;$BD$3,"")</f>
        <v/>
      </c>
      <c r="BE411" s="1" t="str">
        <f>IFERROR($BC$3&amp;VLOOKUP(H413,'Pay Table'!$M$3:$N$18,2,FALSE)&amp;$BB$3&amp;I413&amp;$BD$3,"")</f>
        <v/>
      </c>
      <c r="BF411" s="27" t="str">
        <f>IFERROR($BC$3&amp;VLOOKUP(J413,'Pay Table'!$M$3:$N$18,2,FALSE)&amp;$BB$3&amp;K413&amp;$BD$3,"")</f>
        <v/>
      </c>
    </row>
    <row r="412" spans="54:58" x14ac:dyDescent="0.15">
      <c r="BB412" s="26" t="str">
        <f>IFERROR($BC$3&amp;VLOOKUP(B414,'Pay Table'!$M$3:$N$18,2,FALSE)&amp;$BB$3&amp;C414&amp;$BD$3,"")</f>
        <v/>
      </c>
      <c r="BC412" s="1" t="str">
        <f>IFERROR($BC$3&amp;VLOOKUP(D414,'Pay Table'!$M$3:$N$18,2,FALSE)&amp;$BB$3&amp;E414&amp;$BD$3,"")</f>
        <v/>
      </c>
      <c r="BD412" s="1" t="str">
        <f>IFERROR($BC$3&amp;VLOOKUP(F414,'Pay Table'!$M$3:$N$18,2,FALSE)&amp;$BB$3&amp;G414&amp;$BD$3,"")</f>
        <v/>
      </c>
      <c r="BE412" s="1" t="str">
        <f>IFERROR($BC$3&amp;VLOOKUP(H414,'Pay Table'!$M$3:$N$18,2,FALSE)&amp;$BB$3&amp;I414&amp;$BD$3,"")</f>
        <v/>
      </c>
      <c r="BF412" s="27" t="str">
        <f>IFERROR($BC$3&amp;VLOOKUP(J414,'Pay Table'!$M$3:$N$18,2,FALSE)&amp;$BB$3&amp;K414&amp;$BD$3,"")</f>
        <v/>
      </c>
    </row>
    <row r="413" spans="54:58" x14ac:dyDescent="0.15">
      <c r="BB413" s="26" t="str">
        <f>IFERROR($BC$3&amp;VLOOKUP(B415,'Pay Table'!$M$3:$N$18,2,FALSE)&amp;$BB$3&amp;C415&amp;$BD$3,"")</f>
        <v/>
      </c>
      <c r="BC413" s="1" t="str">
        <f>IFERROR($BC$3&amp;VLOOKUP(D415,'Pay Table'!$M$3:$N$18,2,FALSE)&amp;$BB$3&amp;E415&amp;$BD$3,"")</f>
        <v/>
      </c>
      <c r="BD413" s="1" t="str">
        <f>IFERROR($BC$3&amp;VLOOKUP(F415,'Pay Table'!$M$3:$N$18,2,FALSE)&amp;$BB$3&amp;G415&amp;$BD$3,"")</f>
        <v/>
      </c>
      <c r="BE413" s="1" t="str">
        <f>IFERROR($BC$3&amp;VLOOKUP(H415,'Pay Table'!$M$3:$N$18,2,FALSE)&amp;$BB$3&amp;I415&amp;$BD$3,"")</f>
        <v/>
      </c>
      <c r="BF413" s="27" t="str">
        <f>IFERROR($BC$3&amp;VLOOKUP(J415,'Pay Table'!$M$3:$N$18,2,FALSE)&amp;$BB$3&amp;K415&amp;$BD$3,"")</f>
        <v/>
      </c>
    </row>
    <row r="414" spans="54:58" x14ac:dyDescent="0.15">
      <c r="BB414" s="26" t="str">
        <f>IFERROR($BC$3&amp;VLOOKUP(B416,'Pay Table'!$M$3:$N$18,2,FALSE)&amp;$BB$3&amp;C416&amp;$BD$3,"")</f>
        <v/>
      </c>
      <c r="BC414" s="1" t="str">
        <f>IFERROR($BC$3&amp;VLOOKUP(D416,'Pay Table'!$M$3:$N$18,2,FALSE)&amp;$BB$3&amp;E416&amp;$BD$3,"")</f>
        <v/>
      </c>
      <c r="BD414" s="1" t="str">
        <f>IFERROR($BC$3&amp;VLOOKUP(F416,'Pay Table'!$M$3:$N$18,2,FALSE)&amp;$BB$3&amp;G416&amp;$BD$3,"")</f>
        <v/>
      </c>
      <c r="BE414" s="1" t="str">
        <f>IFERROR($BC$3&amp;VLOOKUP(H416,'Pay Table'!$M$3:$N$18,2,FALSE)&amp;$BB$3&amp;I416&amp;$BD$3,"")</f>
        <v/>
      </c>
      <c r="BF414" s="27" t="str">
        <f>IFERROR($BC$3&amp;VLOOKUP(J416,'Pay Table'!$M$3:$N$18,2,FALSE)&amp;$BB$3&amp;K416&amp;$BD$3,"")</f>
        <v/>
      </c>
    </row>
    <row r="415" spans="54:58" x14ac:dyDescent="0.15">
      <c r="BB415" s="26" t="str">
        <f>IFERROR($BC$3&amp;VLOOKUP(B417,'Pay Table'!$M$3:$N$18,2,FALSE)&amp;$BB$3&amp;C417&amp;$BD$3,"")</f>
        <v/>
      </c>
      <c r="BC415" s="1" t="str">
        <f>IFERROR($BC$3&amp;VLOOKUP(D417,'Pay Table'!$M$3:$N$18,2,FALSE)&amp;$BB$3&amp;E417&amp;$BD$3,"")</f>
        <v/>
      </c>
      <c r="BD415" s="1" t="str">
        <f>IFERROR($BC$3&amp;VLOOKUP(F417,'Pay Table'!$M$3:$N$18,2,FALSE)&amp;$BB$3&amp;G417&amp;$BD$3,"")</f>
        <v/>
      </c>
      <c r="BE415" s="1" t="str">
        <f>IFERROR($BC$3&amp;VLOOKUP(H417,'Pay Table'!$M$3:$N$18,2,FALSE)&amp;$BB$3&amp;I417&amp;$BD$3,"")</f>
        <v/>
      </c>
      <c r="BF415" s="27" t="str">
        <f>IFERROR($BC$3&amp;VLOOKUP(J417,'Pay Table'!$M$3:$N$18,2,FALSE)&amp;$BB$3&amp;K417&amp;$BD$3,"")</f>
        <v/>
      </c>
    </row>
    <row r="416" spans="54:58" x14ac:dyDescent="0.15">
      <c r="BB416" s="26" t="str">
        <f>IFERROR($BC$3&amp;VLOOKUP(B418,'Pay Table'!$M$3:$N$18,2,FALSE)&amp;$BB$3&amp;C418&amp;$BD$3,"")</f>
        <v/>
      </c>
      <c r="BC416" s="1" t="str">
        <f>IFERROR($BC$3&amp;VLOOKUP(D418,'Pay Table'!$M$3:$N$18,2,FALSE)&amp;$BB$3&amp;E418&amp;$BD$3,"")</f>
        <v/>
      </c>
      <c r="BD416" s="1" t="str">
        <f>IFERROR($BC$3&amp;VLOOKUP(F418,'Pay Table'!$M$3:$N$18,2,FALSE)&amp;$BB$3&amp;G418&amp;$BD$3,"")</f>
        <v/>
      </c>
      <c r="BE416" s="1" t="str">
        <f>IFERROR($BC$3&amp;VLOOKUP(H418,'Pay Table'!$M$3:$N$18,2,FALSE)&amp;$BB$3&amp;I418&amp;$BD$3,"")</f>
        <v/>
      </c>
      <c r="BF416" s="27" t="str">
        <f>IFERROR($BC$3&amp;VLOOKUP(J418,'Pay Table'!$M$3:$N$18,2,FALSE)&amp;$BB$3&amp;K418&amp;$BD$3,"")</f>
        <v/>
      </c>
    </row>
    <row r="417" spans="54:58" x14ac:dyDescent="0.15">
      <c r="BB417" s="26" t="str">
        <f>IFERROR($BC$3&amp;VLOOKUP(B419,'Pay Table'!$M$3:$N$18,2,FALSE)&amp;$BB$3&amp;C419&amp;$BD$3,"")</f>
        <v/>
      </c>
      <c r="BC417" s="1" t="str">
        <f>IFERROR($BC$3&amp;VLOOKUP(D419,'Pay Table'!$M$3:$N$18,2,FALSE)&amp;$BB$3&amp;E419&amp;$BD$3,"")</f>
        <v/>
      </c>
      <c r="BD417" s="1" t="str">
        <f>IFERROR($BC$3&amp;VLOOKUP(F419,'Pay Table'!$M$3:$N$18,2,FALSE)&amp;$BB$3&amp;G419&amp;$BD$3,"")</f>
        <v/>
      </c>
      <c r="BE417" s="1" t="str">
        <f>IFERROR($BC$3&amp;VLOOKUP(H419,'Pay Table'!$M$3:$N$18,2,FALSE)&amp;$BB$3&amp;I419&amp;$BD$3,"")</f>
        <v/>
      </c>
      <c r="BF417" s="27" t="str">
        <f>IFERROR($BC$3&amp;VLOOKUP(J419,'Pay Table'!$M$3:$N$18,2,FALSE)&amp;$BB$3&amp;K419&amp;$BD$3,"")</f>
        <v/>
      </c>
    </row>
    <row r="418" spans="54:58" x14ac:dyDescent="0.15">
      <c r="BB418" s="26" t="str">
        <f>IFERROR($BC$3&amp;VLOOKUP(B420,'Pay Table'!$M$3:$N$18,2,FALSE)&amp;$BB$3&amp;C420&amp;$BD$3,"")</f>
        <v/>
      </c>
      <c r="BC418" s="1" t="str">
        <f>IFERROR($BC$3&amp;VLOOKUP(D420,'Pay Table'!$M$3:$N$18,2,FALSE)&amp;$BB$3&amp;E420&amp;$BD$3,"")</f>
        <v/>
      </c>
      <c r="BD418" s="1" t="str">
        <f>IFERROR($BC$3&amp;VLOOKUP(F420,'Pay Table'!$M$3:$N$18,2,FALSE)&amp;$BB$3&amp;G420&amp;$BD$3,"")</f>
        <v/>
      </c>
      <c r="BE418" s="1" t="str">
        <f>IFERROR($BC$3&amp;VLOOKUP(H420,'Pay Table'!$M$3:$N$18,2,FALSE)&amp;$BB$3&amp;I420&amp;$BD$3,"")</f>
        <v/>
      </c>
      <c r="BF418" s="27" t="str">
        <f>IFERROR($BC$3&amp;VLOOKUP(J420,'Pay Table'!$M$3:$N$18,2,FALSE)&amp;$BB$3&amp;K420&amp;$BD$3,"")</f>
        <v/>
      </c>
    </row>
    <row r="419" spans="54:58" x14ac:dyDescent="0.15">
      <c r="BB419" s="26" t="str">
        <f>IFERROR($BC$3&amp;VLOOKUP(B421,'Pay Table'!$M$3:$N$18,2,FALSE)&amp;$BB$3&amp;C421&amp;$BD$3,"")</f>
        <v/>
      </c>
      <c r="BC419" s="1" t="str">
        <f>IFERROR($BC$3&amp;VLOOKUP(D421,'Pay Table'!$M$3:$N$18,2,FALSE)&amp;$BB$3&amp;E421&amp;$BD$3,"")</f>
        <v/>
      </c>
      <c r="BD419" s="1" t="str">
        <f>IFERROR($BC$3&amp;VLOOKUP(F421,'Pay Table'!$M$3:$N$18,2,FALSE)&amp;$BB$3&amp;G421&amp;$BD$3,"")</f>
        <v/>
      </c>
      <c r="BE419" s="1" t="str">
        <f>IFERROR($BC$3&amp;VLOOKUP(H421,'Pay Table'!$M$3:$N$18,2,FALSE)&amp;$BB$3&amp;I421&amp;$BD$3,"")</f>
        <v/>
      </c>
      <c r="BF419" s="27" t="str">
        <f>IFERROR($BC$3&amp;VLOOKUP(J421,'Pay Table'!$M$3:$N$18,2,FALSE)&amp;$BB$3&amp;K421&amp;$BD$3,"")</f>
        <v/>
      </c>
    </row>
    <row r="420" spans="54:58" x14ac:dyDescent="0.15">
      <c r="BB420" s="26" t="str">
        <f>IFERROR($BC$3&amp;VLOOKUP(B422,'Pay Table'!$M$3:$N$18,2,FALSE)&amp;$BB$3&amp;C422&amp;$BD$3,"")</f>
        <v/>
      </c>
      <c r="BC420" s="1" t="str">
        <f>IFERROR($BC$3&amp;VLOOKUP(D422,'Pay Table'!$M$3:$N$18,2,FALSE)&amp;$BB$3&amp;E422&amp;$BD$3,"")</f>
        <v/>
      </c>
      <c r="BD420" s="1" t="str">
        <f>IFERROR($BC$3&amp;VLOOKUP(F422,'Pay Table'!$M$3:$N$18,2,FALSE)&amp;$BB$3&amp;G422&amp;$BD$3,"")</f>
        <v/>
      </c>
      <c r="BE420" s="1" t="str">
        <f>IFERROR($BC$3&amp;VLOOKUP(H422,'Pay Table'!$M$3:$N$18,2,FALSE)&amp;$BB$3&amp;I422&amp;$BD$3,"")</f>
        <v/>
      </c>
      <c r="BF420" s="27" t="str">
        <f>IFERROR($BC$3&amp;VLOOKUP(J422,'Pay Table'!$M$3:$N$18,2,FALSE)&amp;$BB$3&amp;K422&amp;$BD$3,"")</f>
        <v/>
      </c>
    </row>
    <row r="421" spans="54:58" x14ac:dyDescent="0.15">
      <c r="BB421" s="26" t="str">
        <f>IFERROR($BC$3&amp;VLOOKUP(B423,'Pay Table'!$M$3:$N$18,2,FALSE)&amp;$BB$3&amp;C423&amp;$BD$3,"")</f>
        <v/>
      </c>
      <c r="BC421" s="1" t="str">
        <f>IFERROR($BC$3&amp;VLOOKUP(D423,'Pay Table'!$M$3:$N$18,2,FALSE)&amp;$BB$3&amp;E423&amp;$BD$3,"")</f>
        <v/>
      </c>
      <c r="BD421" s="1" t="str">
        <f>IFERROR($BC$3&amp;VLOOKUP(F423,'Pay Table'!$M$3:$N$18,2,FALSE)&amp;$BB$3&amp;G423&amp;$BD$3,"")</f>
        <v/>
      </c>
      <c r="BE421" s="1" t="str">
        <f>IFERROR($BC$3&amp;VLOOKUP(H423,'Pay Table'!$M$3:$N$18,2,FALSE)&amp;$BB$3&amp;I423&amp;$BD$3,"")</f>
        <v/>
      </c>
      <c r="BF421" s="27" t="str">
        <f>IFERROR($BC$3&amp;VLOOKUP(J423,'Pay Table'!$M$3:$N$18,2,FALSE)&amp;$BB$3&amp;K423&amp;$BD$3,"")</f>
        <v/>
      </c>
    </row>
    <row r="422" spans="54:58" x14ac:dyDescent="0.15">
      <c r="BB422" s="26" t="str">
        <f>IFERROR($BC$3&amp;VLOOKUP(B424,'Pay Table'!$M$3:$N$18,2,FALSE)&amp;$BB$3&amp;C424&amp;$BD$3,"")</f>
        <v/>
      </c>
      <c r="BC422" s="1" t="str">
        <f>IFERROR($BC$3&amp;VLOOKUP(D424,'Pay Table'!$M$3:$N$18,2,FALSE)&amp;$BB$3&amp;E424&amp;$BD$3,"")</f>
        <v/>
      </c>
      <c r="BD422" s="1" t="str">
        <f>IFERROR($BC$3&amp;VLOOKUP(F424,'Pay Table'!$M$3:$N$18,2,FALSE)&amp;$BB$3&amp;G424&amp;$BD$3,"")</f>
        <v/>
      </c>
      <c r="BE422" s="1" t="str">
        <f>IFERROR($BC$3&amp;VLOOKUP(H424,'Pay Table'!$M$3:$N$18,2,FALSE)&amp;$BB$3&amp;I424&amp;$BD$3,"")</f>
        <v/>
      </c>
      <c r="BF422" s="27" t="str">
        <f>IFERROR($BC$3&amp;VLOOKUP(J424,'Pay Table'!$M$3:$N$18,2,FALSE)&amp;$BB$3&amp;K424&amp;$BD$3,"")</f>
        <v/>
      </c>
    </row>
    <row r="423" spans="54:58" x14ac:dyDescent="0.15">
      <c r="BB423" s="26" t="str">
        <f>IFERROR($BC$3&amp;VLOOKUP(B425,'Pay Table'!$M$3:$N$18,2,FALSE)&amp;$BB$3&amp;C425&amp;$BD$3,"")</f>
        <v/>
      </c>
      <c r="BC423" s="1" t="str">
        <f>IFERROR($BC$3&amp;VLOOKUP(D425,'Pay Table'!$M$3:$N$18,2,FALSE)&amp;$BB$3&amp;E425&amp;$BD$3,"")</f>
        <v/>
      </c>
      <c r="BD423" s="1" t="str">
        <f>IFERROR($BC$3&amp;VLOOKUP(F425,'Pay Table'!$M$3:$N$18,2,FALSE)&amp;$BB$3&amp;G425&amp;$BD$3,"")</f>
        <v/>
      </c>
      <c r="BE423" s="1" t="str">
        <f>IFERROR($BC$3&amp;VLOOKUP(H425,'Pay Table'!$M$3:$N$18,2,FALSE)&amp;$BB$3&amp;I425&amp;$BD$3,"")</f>
        <v/>
      </c>
      <c r="BF423" s="27" t="str">
        <f>IFERROR($BC$3&amp;VLOOKUP(J425,'Pay Table'!$M$3:$N$18,2,FALSE)&amp;$BB$3&amp;K425&amp;$BD$3,"")</f>
        <v/>
      </c>
    </row>
    <row r="424" spans="54:58" x14ac:dyDescent="0.15">
      <c r="BB424" s="26" t="str">
        <f>IFERROR($BC$3&amp;VLOOKUP(B426,'Pay Table'!$M$3:$N$18,2,FALSE)&amp;$BB$3&amp;C426&amp;$BD$3,"")</f>
        <v/>
      </c>
      <c r="BC424" s="1" t="str">
        <f>IFERROR($BC$3&amp;VLOOKUP(D426,'Pay Table'!$M$3:$N$18,2,FALSE)&amp;$BB$3&amp;E426&amp;$BD$3,"")</f>
        <v/>
      </c>
      <c r="BD424" s="1" t="str">
        <f>IFERROR($BC$3&amp;VLOOKUP(F426,'Pay Table'!$M$3:$N$18,2,FALSE)&amp;$BB$3&amp;G426&amp;$BD$3,"")</f>
        <v/>
      </c>
      <c r="BE424" s="1" t="str">
        <f>IFERROR($BC$3&amp;VLOOKUP(H426,'Pay Table'!$M$3:$N$18,2,FALSE)&amp;$BB$3&amp;I426&amp;$BD$3,"")</f>
        <v/>
      </c>
      <c r="BF424" s="27" t="str">
        <f>IFERROR($BC$3&amp;VLOOKUP(J426,'Pay Table'!$M$3:$N$18,2,FALSE)&amp;$BB$3&amp;K426&amp;$BD$3,"")</f>
        <v/>
      </c>
    </row>
    <row r="425" spans="54:58" x14ac:dyDescent="0.15">
      <c r="BB425" s="26" t="str">
        <f>IFERROR($BC$3&amp;VLOOKUP(B427,'Pay Table'!$M$3:$N$18,2,FALSE)&amp;$BB$3&amp;C427&amp;$BD$3,"")</f>
        <v/>
      </c>
      <c r="BC425" s="1" t="str">
        <f>IFERROR($BC$3&amp;VLOOKUP(D427,'Pay Table'!$M$3:$N$18,2,FALSE)&amp;$BB$3&amp;E427&amp;$BD$3,"")</f>
        <v/>
      </c>
      <c r="BD425" s="1" t="str">
        <f>IFERROR($BC$3&amp;VLOOKUP(F427,'Pay Table'!$M$3:$N$18,2,FALSE)&amp;$BB$3&amp;G427&amp;$BD$3,"")</f>
        <v/>
      </c>
      <c r="BE425" s="1" t="str">
        <f>IFERROR($BC$3&amp;VLOOKUP(H427,'Pay Table'!$M$3:$N$18,2,FALSE)&amp;$BB$3&amp;I427&amp;$BD$3,"")</f>
        <v/>
      </c>
      <c r="BF425" s="27" t="str">
        <f>IFERROR($BC$3&amp;VLOOKUP(J427,'Pay Table'!$M$3:$N$18,2,FALSE)&amp;$BB$3&amp;K427&amp;$BD$3,"")</f>
        <v/>
      </c>
    </row>
    <row r="426" spans="54:58" x14ac:dyDescent="0.15">
      <c r="BB426" s="26" t="str">
        <f>IFERROR($BC$3&amp;VLOOKUP(B428,'Pay Table'!$M$3:$N$18,2,FALSE)&amp;$BB$3&amp;C428&amp;$BD$3,"")</f>
        <v/>
      </c>
      <c r="BC426" s="1" t="str">
        <f>IFERROR($BC$3&amp;VLOOKUP(D428,'Pay Table'!$M$3:$N$18,2,FALSE)&amp;$BB$3&amp;E428&amp;$BD$3,"")</f>
        <v/>
      </c>
      <c r="BD426" s="1" t="str">
        <f>IFERROR($BC$3&amp;VLOOKUP(F428,'Pay Table'!$M$3:$N$18,2,FALSE)&amp;$BB$3&amp;G428&amp;$BD$3,"")</f>
        <v/>
      </c>
      <c r="BE426" s="1" t="str">
        <f>IFERROR($BC$3&amp;VLOOKUP(H428,'Pay Table'!$M$3:$N$18,2,FALSE)&amp;$BB$3&amp;I428&amp;$BD$3,"")</f>
        <v/>
      </c>
      <c r="BF426" s="27" t="str">
        <f>IFERROR($BC$3&amp;VLOOKUP(J428,'Pay Table'!$M$3:$N$18,2,FALSE)&amp;$BB$3&amp;K428&amp;$BD$3,"")</f>
        <v/>
      </c>
    </row>
    <row r="427" spans="54:58" x14ac:dyDescent="0.15">
      <c r="BB427" s="26" t="str">
        <f>IFERROR($BC$3&amp;VLOOKUP(B429,'Pay Table'!$M$3:$N$18,2,FALSE)&amp;$BB$3&amp;C429&amp;$BD$3,"")</f>
        <v/>
      </c>
      <c r="BC427" s="1" t="str">
        <f>IFERROR($BC$3&amp;VLOOKUP(D429,'Pay Table'!$M$3:$N$18,2,FALSE)&amp;$BB$3&amp;E429&amp;$BD$3,"")</f>
        <v/>
      </c>
      <c r="BD427" s="1" t="str">
        <f>IFERROR($BC$3&amp;VLOOKUP(F429,'Pay Table'!$M$3:$N$18,2,FALSE)&amp;$BB$3&amp;G429&amp;$BD$3,"")</f>
        <v/>
      </c>
      <c r="BE427" s="1" t="str">
        <f>IFERROR($BC$3&amp;VLOOKUP(H429,'Pay Table'!$M$3:$N$18,2,FALSE)&amp;$BB$3&amp;I429&amp;$BD$3,"")</f>
        <v/>
      </c>
      <c r="BF427" s="27" t="str">
        <f>IFERROR($BC$3&amp;VLOOKUP(J429,'Pay Table'!$M$3:$N$18,2,FALSE)&amp;$BB$3&amp;K429&amp;$BD$3,"")</f>
        <v/>
      </c>
    </row>
    <row r="428" spans="54:58" x14ac:dyDescent="0.15">
      <c r="BB428" s="26" t="str">
        <f>IFERROR($BC$3&amp;VLOOKUP(B430,'Pay Table'!$M$3:$N$18,2,FALSE)&amp;$BB$3&amp;C430&amp;$BD$3,"")</f>
        <v/>
      </c>
      <c r="BC428" s="1" t="str">
        <f>IFERROR($BC$3&amp;VLOOKUP(D430,'Pay Table'!$M$3:$N$18,2,FALSE)&amp;$BB$3&amp;E430&amp;$BD$3,"")</f>
        <v/>
      </c>
      <c r="BD428" s="1" t="str">
        <f>IFERROR($BC$3&amp;VLOOKUP(F430,'Pay Table'!$M$3:$N$18,2,FALSE)&amp;$BB$3&amp;G430&amp;$BD$3,"")</f>
        <v/>
      </c>
      <c r="BE428" s="1" t="str">
        <f>IFERROR($BC$3&amp;VLOOKUP(H430,'Pay Table'!$M$3:$N$18,2,FALSE)&amp;$BB$3&amp;I430&amp;$BD$3,"")</f>
        <v/>
      </c>
      <c r="BF428" s="27" t="str">
        <f>IFERROR($BC$3&amp;VLOOKUP(J430,'Pay Table'!$M$3:$N$18,2,FALSE)&amp;$BB$3&amp;K430&amp;$BD$3,"")</f>
        <v/>
      </c>
    </row>
    <row r="429" spans="54:58" x14ac:dyDescent="0.15">
      <c r="BB429" s="26" t="str">
        <f>IFERROR($BC$3&amp;VLOOKUP(B431,'Pay Table'!$M$3:$N$18,2,FALSE)&amp;$BB$3&amp;C431&amp;$BD$3,"")</f>
        <v/>
      </c>
      <c r="BC429" s="1" t="str">
        <f>IFERROR($BC$3&amp;VLOOKUP(D431,'Pay Table'!$M$3:$N$18,2,FALSE)&amp;$BB$3&amp;E431&amp;$BD$3,"")</f>
        <v/>
      </c>
      <c r="BD429" s="1" t="str">
        <f>IFERROR($BC$3&amp;VLOOKUP(F431,'Pay Table'!$M$3:$N$18,2,FALSE)&amp;$BB$3&amp;G431&amp;$BD$3,"")</f>
        <v/>
      </c>
      <c r="BE429" s="1" t="str">
        <f>IFERROR($BC$3&amp;VLOOKUP(H431,'Pay Table'!$M$3:$N$18,2,FALSE)&amp;$BB$3&amp;I431&amp;$BD$3,"")</f>
        <v/>
      </c>
      <c r="BF429" s="27" t="str">
        <f>IFERROR($BC$3&amp;VLOOKUP(J431,'Pay Table'!$M$3:$N$18,2,FALSE)&amp;$BB$3&amp;K431&amp;$BD$3,"")</f>
        <v/>
      </c>
    </row>
    <row r="430" spans="54:58" x14ac:dyDescent="0.15">
      <c r="BB430" s="26" t="str">
        <f>IFERROR($BC$3&amp;VLOOKUP(B432,'Pay Table'!$M$3:$N$18,2,FALSE)&amp;$BB$3&amp;C432&amp;$BD$3,"")</f>
        <v/>
      </c>
      <c r="BC430" s="1" t="str">
        <f>IFERROR($BC$3&amp;VLOOKUP(D432,'Pay Table'!$M$3:$N$18,2,FALSE)&amp;$BB$3&amp;E432&amp;$BD$3,"")</f>
        <v/>
      </c>
      <c r="BD430" s="1" t="str">
        <f>IFERROR($BC$3&amp;VLOOKUP(F432,'Pay Table'!$M$3:$N$18,2,FALSE)&amp;$BB$3&amp;G432&amp;$BD$3,"")</f>
        <v/>
      </c>
      <c r="BE430" s="1" t="str">
        <f>IFERROR($BC$3&amp;VLOOKUP(H432,'Pay Table'!$M$3:$N$18,2,FALSE)&amp;$BB$3&amp;I432&amp;$BD$3,"")</f>
        <v/>
      </c>
      <c r="BF430" s="27" t="str">
        <f>IFERROR($BC$3&amp;VLOOKUP(J432,'Pay Table'!$M$3:$N$18,2,FALSE)&amp;$BB$3&amp;K432&amp;$BD$3,"")</f>
        <v/>
      </c>
    </row>
    <row r="431" spans="54:58" x14ac:dyDescent="0.15">
      <c r="BB431" s="26" t="str">
        <f>IFERROR($BC$3&amp;VLOOKUP(B433,'Pay Table'!$M$3:$N$18,2,FALSE)&amp;$BB$3&amp;C433&amp;$BD$3,"")</f>
        <v/>
      </c>
      <c r="BC431" s="1" t="str">
        <f>IFERROR($BC$3&amp;VLOOKUP(D433,'Pay Table'!$M$3:$N$18,2,FALSE)&amp;$BB$3&amp;E433&amp;$BD$3,"")</f>
        <v/>
      </c>
      <c r="BD431" s="1" t="str">
        <f>IFERROR($BC$3&amp;VLOOKUP(F433,'Pay Table'!$M$3:$N$18,2,FALSE)&amp;$BB$3&amp;G433&amp;$BD$3,"")</f>
        <v/>
      </c>
      <c r="BE431" s="1" t="str">
        <f>IFERROR($BC$3&amp;VLOOKUP(H433,'Pay Table'!$M$3:$N$18,2,FALSE)&amp;$BB$3&amp;I433&amp;$BD$3,"")</f>
        <v/>
      </c>
      <c r="BF431" s="27" t="str">
        <f>IFERROR($BC$3&amp;VLOOKUP(J433,'Pay Table'!$M$3:$N$18,2,FALSE)&amp;$BB$3&amp;K433&amp;$BD$3,"")</f>
        <v/>
      </c>
    </row>
    <row r="432" spans="54:58" x14ac:dyDescent="0.15">
      <c r="BB432" s="26" t="str">
        <f>IFERROR($BC$3&amp;VLOOKUP(B434,'Pay Table'!$M$3:$N$18,2,FALSE)&amp;$BB$3&amp;C434&amp;$BD$3,"")</f>
        <v/>
      </c>
      <c r="BC432" s="1" t="str">
        <f>IFERROR($BC$3&amp;VLOOKUP(D434,'Pay Table'!$M$3:$N$18,2,FALSE)&amp;$BB$3&amp;E434&amp;$BD$3,"")</f>
        <v/>
      </c>
      <c r="BD432" s="1" t="str">
        <f>IFERROR($BC$3&amp;VLOOKUP(F434,'Pay Table'!$M$3:$N$18,2,FALSE)&amp;$BB$3&amp;G434&amp;$BD$3,"")</f>
        <v/>
      </c>
      <c r="BE432" s="1" t="str">
        <f>IFERROR($BC$3&amp;VLOOKUP(H434,'Pay Table'!$M$3:$N$18,2,FALSE)&amp;$BB$3&amp;I434&amp;$BD$3,"")</f>
        <v/>
      </c>
      <c r="BF432" s="27" t="str">
        <f>IFERROR($BC$3&amp;VLOOKUP(J434,'Pay Table'!$M$3:$N$18,2,FALSE)&amp;$BB$3&amp;K434&amp;$BD$3,"")</f>
        <v/>
      </c>
    </row>
    <row r="433" spans="54:58" x14ac:dyDescent="0.15">
      <c r="BB433" s="26" t="str">
        <f>IFERROR($BC$3&amp;VLOOKUP(B435,'Pay Table'!$M$3:$N$18,2,FALSE)&amp;$BB$3&amp;C435&amp;$BD$3,"")</f>
        <v/>
      </c>
      <c r="BC433" s="1" t="str">
        <f>IFERROR($BC$3&amp;VLOOKUP(D435,'Pay Table'!$M$3:$N$18,2,FALSE)&amp;$BB$3&amp;E435&amp;$BD$3,"")</f>
        <v/>
      </c>
      <c r="BD433" s="1" t="str">
        <f>IFERROR($BC$3&amp;VLOOKUP(F435,'Pay Table'!$M$3:$N$18,2,FALSE)&amp;$BB$3&amp;G435&amp;$BD$3,"")</f>
        <v/>
      </c>
      <c r="BE433" s="1" t="str">
        <f>IFERROR($BC$3&amp;VLOOKUP(H435,'Pay Table'!$M$3:$N$18,2,FALSE)&amp;$BB$3&amp;I435&amp;$BD$3,"")</f>
        <v/>
      </c>
      <c r="BF433" s="27" t="str">
        <f>IFERROR($BC$3&amp;VLOOKUP(J435,'Pay Table'!$M$3:$N$18,2,FALSE)&amp;$BB$3&amp;K435&amp;$BD$3,"")</f>
        <v/>
      </c>
    </row>
    <row r="434" spans="54:58" x14ac:dyDescent="0.15">
      <c r="BB434" s="26" t="str">
        <f>IFERROR($BC$3&amp;VLOOKUP(B436,'Pay Table'!$M$3:$N$18,2,FALSE)&amp;$BB$3&amp;C436&amp;$BD$3,"")</f>
        <v/>
      </c>
      <c r="BC434" s="1" t="str">
        <f>IFERROR($BC$3&amp;VLOOKUP(D436,'Pay Table'!$M$3:$N$18,2,FALSE)&amp;$BB$3&amp;E436&amp;$BD$3,"")</f>
        <v/>
      </c>
      <c r="BD434" s="1" t="str">
        <f>IFERROR($BC$3&amp;VLOOKUP(F436,'Pay Table'!$M$3:$N$18,2,FALSE)&amp;$BB$3&amp;G436&amp;$BD$3,"")</f>
        <v/>
      </c>
      <c r="BE434" s="1" t="str">
        <f>IFERROR($BC$3&amp;VLOOKUP(H436,'Pay Table'!$M$3:$N$18,2,FALSE)&amp;$BB$3&amp;I436&amp;$BD$3,"")</f>
        <v/>
      </c>
      <c r="BF434" s="27" t="str">
        <f>IFERROR($BC$3&amp;VLOOKUP(J436,'Pay Table'!$M$3:$N$18,2,FALSE)&amp;$BB$3&amp;K436&amp;$BD$3,"")</f>
        <v/>
      </c>
    </row>
    <row r="435" spans="54:58" x14ac:dyDescent="0.15">
      <c r="BB435" s="26" t="str">
        <f>IFERROR($BC$3&amp;VLOOKUP(B437,'Pay Table'!$M$3:$N$18,2,FALSE)&amp;$BB$3&amp;C437&amp;$BD$3,"")</f>
        <v/>
      </c>
      <c r="BC435" s="1" t="str">
        <f>IFERROR($BC$3&amp;VLOOKUP(D437,'Pay Table'!$M$3:$N$18,2,FALSE)&amp;$BB$3&amp;E437&amp;$BD$3,"")</f>
        <v/>
      </c>
      <c r="BD435" s="1" t="str">
        <f>IFERROR($BC$3&amp;VLOOKUP(F437,'Pay Table'!$M$3:$N$18,2,FALSE)&amp;$BB$3&amp;G437&amp;$BD$3,"")</f>
        <v/>
      </c>
      <c r="BE435" s="1" t="str">
        <f>IFERROR($BC$3&amp;VLOOKUP(H437,'Pay Table'!$M$3:$N$18,2,FALSE)&amp;$BB$3&amp;I437&amp;$BD$3,"")</f>
        <v/>
      </c>
      <c r="BF435" s="27" t="str">
        <f>IFERROR($BC$3&amp;VLOOKUP(J437,'Pay Table'!$M$3:$N$18,2,FALSE)&amp;$BB$3&amp;K437&amp;$BD$3,"")</f>
        <v/>
      </c>
    </row>
    <row r="436" spans="54:58" x14ac:dyDescent="0.15">
      <c r="BB436" s="26" t="str">
        <f>IFERROR($BC$3&amp;VLOOKUP(B438,'Pay Table'!$M$3:$N$18,2,FALSE)&amp;$BB$3&amp;C438&amp;$BD$3,"")</f>
        <v/>
      </c>
      <c r="BC436" s="1" t="str">
        <f>IFERROR($BC$3&amp;VLOOKUP(D438,'Pay Table'!$M$3:$N$18,2,FALSE)&amp;$BB$3&amp;E438&amp;$BD$3,"")</f>
        <v/>
      </c>
      <c r="BD436" s="1" t="str">
        <f>IFERROR($BC$3&amp;VLOOKUP(F438,'Pay Table'!$M$3:$N$18,2,FALSE)&amp;$BB$3&amp;G438&amp;$BD$3,"")</f>
        <v/>
      </c>
      <c r="BE436" s="1" t="str">
        <f>IFERROR($BC$3&amp;VLOOKUP(H438,'Pay Table'!$M$3:$N$18,2,FALSE)&amp;$BB$3&amp;I438&amp;$BD$3,"")</f>
        <v/>
      </c>
      <c r="BF436" s="27" t="str">
        <f>IFERROR($BC$3&amp;VLOOKUP(J438,'Pay Table'!$M$3:$N$18,2,FALSE)&amp;$BB$3&amp;K438&amp;$BD$3,"")</f>
        <v/>
      </c>
    </row>
    <row r="437" spans="54:58" x14ac:dyDescent="0.15">
      <c r="BB437" s="26" t="str">
        <f>IFERROR($BC$3&amp;VLOOKUP(B439,'Pay Table'!$M$3:$N$18,2,FALSE)&amp;$BB$3&amp;C439&amp;$BD$3,"")</f>
        <v/>
      </c>
      <c r="BC437" s="1" t="str">
        <f>IFERROR($BC$3&amp;VLOOKUP(D439,'Pay Table'!$M$3:$N$18,2,FALSE)&amp;$BB$3&amp;E439&amp;$BD$3,"")</f>
        <v/>
      </c>
      <c r="BD437" s="1" t="str">
        <f>IFERROR($BC$3&amp;VLOOKUP(F439,'Pay Table'!$M$3:$N$18,2,FALSE)&amp;$BB$3&amp;G439&amp;$BD$3,"")</f>
        <v/>
      </c>
      <c r="BE437" s="1" t="str">
        <f>IFERROR($BC$3&amp;VLOOKUP(H439,'Pay Table'!$M$3:$N$18,2,FALSE)&amp;$BB$3&amp;I439&amp;$BD$3,"")</f>
        <v/>
      </c>
      <c r="BF437" s="27" t="str">
        <f>IFERROR($BC$3&amp;VLOOKUP(J439,'Pay Table'!$M$3:$N$18,2,FALSE)&amp;$BB$3&amp;K439&amp;$BD$3,"")</f>
        <v/>
      </c>
    </row>
    <row r="438" spans="54:58" x14ac:dyDescent="0.15">
      <c r="BB438" s="26" t="str">
        <f>IFERROR($BC$3&amp;VLOOKUP(B440,'Pay Table'!$M$3:$N$18,2,FALSE)&amp;$BB$3&amp;C440&amp;$BD$3,"")</f>
        <v/>
      </c>
      <c r="BC438" s="1" t="str">
        <f>IFERROR($BC$3&amp;VLOOKUP(D440,'Pay Table'!$M$3:$N$18,2,FALSE)&amp;$BB$3&amp;E440&amp;$BD$3,"")</f>
        <v/>
      </c>
      <c r="BD438" s="1" t="str">
        <f>IFERROR($BC$3&amp;VLOOKUP(F440,'Pay Table'!$M$3:$N$18,2,FALSE)&amp;$BB$3&amp;G440&amp;$BD$3,"")</f>
        <v/>
      </c>
      <c r="BE438" s="1" t="str">
        <f>IFERROR($BC$3&amp;VLOOKUP(H440,'Pay Table'!$M$3:$N$18,2,FALSE)&amp;$BB$3&amp;I440&amp;$BD$3,"")</f>
        <v/>
      </c>
      <c r="BF438" s="27" t="str">
        <f>IFERROR($BC$3&amp;VLOOKUP(J440,'Pay Table'!$M$3:$N$18,2,FALSE)&amp;$BB$3&amp;K440&amp;$BD$3,"")</f>
        <v/>
      </c>
    </row>
    <row r="439" spans="54:58" x14ac:dyDescent="0.15">
      <c r="BB439" s="26" t="str">
        <f>IFERROR($BC$3&amp;VLOOKUP(B441,'Pay Table'!$M$3:$N$18,2,FALSE)&amp;$BB$3&amp;C441&amp;$BD$3,"")</f>
        <v/>
      </c>
      <c r="BC439" s="1" t="str">
        <f>IFERROR($BC$3&amp;VLOOKUP(D441,'Pay Table'!$M$3:$N$18,2,FALSE)&amp;$BB$3&amp;E441&amp;$BD$3,"")</f>
        <v/>
      </c>
      <c r="BD439" s="1" t="str">
        <f>IFERROR($BC$3&amp;VLOOKUP(F441,'Pay Table'!$M$3:$N$18,2,FALSE)&amp;$BB$3&amp;G441&amp;$BD$3,"")</f>
        <v/>
      </c>
      <c r="BE439" s="1" t="str">
        <f>IFERROR($BC$3&amp;VLOOKUP(H441,'Pay Table'!$M$3:$N$18,2,FALSE)&amp;$BB$3&amp;I441&amp;$BD$3,"")</f>
        <v/>
      </c>
      <c r="BF439" s="27" t="str">
        <f>IFERROR($BC$3&amp;VLOOKUP(J441,'Pay Table'!$M$3:$N$18,2,FALSE)&amp;$BB$3&amp;K441&amp;$BD$3,"")</f>
        <v/>
      </c>
    </row>
    <row r="440" spans="54:58" x14ac:dyDescent="0.15">
      <c r="BB440" s="26" t="str">
        <f>IFERROR($BC$3&amp;VLOOKUP(B442,'Pay Table'!$M$3:$N$18,2,FALSE)&amp;$BB$3&amp;C442&amp;$BD$3,"")</f>
        <v/>
      </c>
      <c r="BC440" s="1" t="str">
        <f>IFERROR($BC$3&amp;VLOOKUP(D442,'Pay Table'!$M$3:$N$18,2,FALSE)&amp;$BB$3&amp;E442&amp;$BD$3,"")</f>
        <v/>
      </c>
      <c r="BD440" s="1" t="str">
        <f>IFERROR($BC$3&amp;VLOOKUP(F442,'Pay Table'!$M$3:$N$18,2,FALSE)&amp;$BB$3&amp;G442&amp;$BD$3,"")</f>
        <v/>
      </c>
      <c r="BE440" s="1" t="str">
        <f>IFERROR($BC$3&amp;VLOOKUP(H442,'Pay Table'!$M$3:$N$18,2,FALSE)&amp;$BB$3&amp;I442&amp;$BD$3,"")</f>
        <v/>
      </c>
      <c r="BF440" s="27" t="str">
        <f>IFERROR($BC$3&amp;VLOOKUP(J442,'Pay Table'!$M$3:$N$18,2,FALSE)&amp;$BB$3&amp;K442&amp;$BD$3,"")</f>
        <v/>
      </c>
    </row>
    <row r="441" spans="54:58" x14ac:dyDescent="0.15">
      <c r="BB441" s="26" t="str">
        <f>IFERROR($BC$3&amp;VLOOKUP(B443,'Pay Table'!$M$3:$N$18,2,FALSE)&amp;$BB$3&amp;C443&amp;$BD$3,"")</f>
        <v/>
      </c>
      <c r="BC441" s="1" t="str">
        <f>IFERROR($BC$3&amp;VLOOKUP(D443,'Pay Table'!$M$3:$N$18,2,FALSE)&amp;$BB$3&amp;E443&amp;$BD$3,"")</f>
        <v/>
      </c>
      <c r="BD441" s="1" t="str">
        <f>IFERROR($BC$3&amp;VLOOKUP(F443,'Pay Table'!$M$3:$N$18,2,FALSE)&amp;$BB$3&amp;G443&amp;$BD$3,"")</f>
        <v/>
      </c>
      <c r="BE441" s="1" t="str">
        <f>IFERROR($BC$3&amp;VLOOKUP(H443,'Pay Table'!$M$3:$N$18,2,FALSE)&amp;$BB$3&amp;I443&amp;$BD$3,"")</f>
        <v/>
      </c>
      <c r="BF441" s="27" t="str">
        <f>IFERROR($BC$3&amp;VLOOKUP(J443,'Pay Table'!$M$3:$N$18,2,FALSE)&amp;$BB$3&amp;K443&amp;$BD$3,"")</f>
        <v/>
      </c>
    </row>
    <row r="442" spans="54:58" x14ac:dyDescent="0.15">
      <c r="BB442" s="26" t="str">
        <f>IFERROR($BC$3&amp;VLOOKUP(B444,'Pay Table'!$M$3:$N$18,2,FALSE)&amp;$BB$3&amp;C444&amp;$BD$3,"")</f>
        <v/>
      </c>
      <c r="BC442" s="1" t="str">
        <f>IFERROR($BC$3&amp;VLOOKUP(D444,'Pay Table'!$M$3:$N$18,2,FALSE)&amp;$BB$3&amp;E444&amp;$BD$3,"")</f>
        <v/>
      </c>
      <c r="BD442" s="1" t="str">
        <f>IFERROR($BC$3&amp;VLOOKUP(F444,'Pay Table'!$M$3:$N$18,2,FALSE)&amp;$BB$3&amp;G444&amp;$BD$3,"")</f>
        <v/>
      </c>
      <c r="BE442" s="1" t="str">
        <f>IFERROR($BC$3&amp;VLOOKUP(H444,'Pay Table'!$M$3:$N$18,2,FALSE)&amp;$BB$3&amp;I444&amp;$BD$3,"")</f>
        <v/>
      </c>
      <c r="BF442" s="27" t="str">
        <f>IFERROR($BC$3&amp;VLOOKUP(J444,'Pay Table'!$M$3:$N$18,2,FALSE)&amp;$BB$3&amp;K444&amp;$BD$3,"")</f>
        <v/>
      </c>
    </row>
    <row r="443" spans="54:58" x14ac:dyDescent="0.15">
      <c r="BB443" s="26" t="str">
        <f>IFERROR($BC$3&amp;VLOOKUP(B445,'Pay Table'!$M$3:$N$18,2,FALSE)&amp;$BB$3&amp;C445&amp;$BD$3,"")</f>
        <v/>
      </c>
      <c r="BC443" s="1" t="str">
        <f>IFERROR($BC$3&amp;VLOOKUP(D445,'Pay Table'!$M$3:$N$18,2,FALSE)&amp;$BB$3&amp;E445&amp;$BD$3,"")</f>
        <v/>
      </c>
      <c r="BD443" s="1" t="str">
        <f>IFERROR($BC$3&amp;VLOOKUP(F445,'Pay Table'!$M$3:$N$18,2,FALSE)&amp;$BB$3&amp;G445&amp;$BD$3,"")</f>
        <v/>
      </c>
      <c r="BE443" s="1" t="str">
        <f>IFERROR($BC$3&amp;VLOOKUP(H445,'Pay Table'!$M$3:$N$18,2,FALSE)&amp;$BB$3&amp;I445&amp;$BD$3,"")</f>
        <v/>
      </c>
      <c r="BF443" s="27" t="str">
        <f>IFERROR($BC$3&amp;VLOOKUP(J445,'Pay Table'!$M$3:$N$18,2,FALSE)&amp;$BB$3&amp;K445&amp;$BD$3,"")</f>
        <v/>
      </c>
    </row>
    <row r="444" spans="54:58" x14ac:dyDescent="0.15">
      <c r="BB444" s="26" t="str">
        <f>IFERROR($BC$3&amp;VLOOKUP(B446,'Pay Table'!$M$3:$N$18,2,FALSE)&amp;$BB$3&amp;C446&amp;$BD$3,"")</f>
        <v/>
      </c>
      <c r="BC444" s="1" t="str">
        <f>IFERROR($BC$3&amp;VLOOKUP(D446,'Pay Table'!$M$3:$N$18,2,FALSE)&amp;$BB$3&amp;E446&amp;$BD$3,"")</f>
        <v/>
      </c>
      <c r="BD444" s="1" t="str">
        <f>IFERROR($BC$3&amp;VLOOKUP(F446,'Pay Table'!$M$3:$N$18,2,FALSE)&amp;$BB$3&amp;G446&amp;$BD$3,"")</f>
        <v/>
      </c>
      <c r="BE444" s="1" t="str">
        <f>IFERROR($BC$3&amp;VLOOKUP(H446,'Pay Table'!$M$3:$N$18,2,FALSE)&amp;$BB$3&amp;I446&amp;$BD$3,"")</f>
        <v/>
      </c>
      <c r="BF444" s="27" t="str">
        <f>IFERROR($BC$3&amp;VLOOKUP(J446,'Pay Table'!$M$3:$N$18,2,FALSE)&amp;$BB$3&amp;K446&amp;$BD$3,"")</f>
        <v/>
      </c>
    </row>
    <row r="445" spans="54:58" x14ac:dyDescent="0.15">
      <c r="BB445" s="26" t="str">
        <f>IFERROR($BC$3&amp;VLOOKUP(B447,'Pay Table'!$M$3:$N$18,2,FALSE)&amp;$BB$3&amp;C447&amp;$BD$3,"")</f>
        <v/>
      </c>
      <c r="BC445" s="1" t="str">
        <f>IFERROR($BC$3&amp;VLOOKUP(D447,'Pay Table'!$M$3:$N$18,2,FALSE)&amp;$BB$3&amp;E447&amp;$BD$3,"")</f>
        <v/>
      </c>
      <c r="BD445" s="1" t="str">
        <f>IFERROR($BC$3&amp;VLOOKUP(F447,'Pay Table'!$M$3:$N$18,2,FALSE)&amp;$BB$3&amp;G447&amp;$BD$3,"")</f>
        <v/>
      </c>
      <c r="BE445" s="1" t="str">
        <f>IFERROR($BC$3&amp;VLOOKUP(H447,'Pay Table'!$M$3:$N$18,2,FALSE)&amp;$BB$3&amp;I447&amp;$BD$3,"")</f>
        <v/>
      </c>
      <c r="BF445" s="27" t="str">
        <f>IFERROR($BC$3&amp;VLOOKUP(J447,'Pay Table'!$M$3:$N$18,2,FALSE)&amp;$BB$3&amp;K447&amp;$BD$3,"")</f>
        <v/>
      </c>
    </row>
    <row r="446" spans="54:58" x14ac:dyDescent="0.15">
      <c r="BB446" s="26" t="str">
        <f>IFERROR($BC$3&amp;VLOOKUP(B448,'Pay Table'!$M$3:$N$18,2,FALSE)&amp;$BB$3&amp;C448&amp;$BD$3,"")</f>
        <v/>
      </c>
      <c r="BC446" s="1" t="str">
        <f>IFERROR($BC$3&amp;VLOOKUP(D448,'Pay Table'!$M$3:$N$18,2,FALSE)&amp;$BB$3&amp;E448&amp;$BD$3,"")</f>
        <v/>
      </c>
      <c r="BD446" s="1" t="str">
        <f>IFERROR($BC$3&amp;VLOOKUP(F448,'Pay Table'!$M$3:$N$18,2,FALSE)&amp;$BB$3&amp;G448&amp;$BD$3,"")</f>
        <v/>
      </c>
      <c r="BE446" s="1" t="str">
        <f>IFERROR($BC$3&amp;VLOOKUP(H448,'Pay Table'!$M$3:$N$18,2,FALSE)&amp;$BB$3&amp;I448&amp;$BD$3,"")</f>
        <v/>
      </c>
      <c r="BF446" s="27" t="str">
        <f>IFERROR($BC$3&amp;VLOOKUP(J448,'Pay Table'!$M$3:$N$18,2,FALSE)&amp;$BB$3&amp;K448&amp;$BD$3,"")</f>
        <v/>
      </c>
    </row>
    <row r="447" spans="54:58" x14ac:dyDescent="0.15">
      <c r="BB447" s="26" t="str">
        <f>IFERROR($BC$3&amp;VLOOKUP(B449,'Pay Table'!$M$3:$N$18,2,FALSE)&amp;$BB$3&amp;C449&amp;$BD$3,"")</f>
        <v/>
      </c>
      <c r="BC447" s="1" t="str">
        <f>IFERROR($BC$3&amp;VLOOKUP(D449,'Pay Table'!$M$3:$N$18,2,FALSE)&amp;$BB$3&amp;E449&amp;$BD$3,"")</f>
        <v/>
      </c>
      <c r="BD447" s="1" t="str">
        <f>IFERROR($BC$3&amp;VLOOKUP(F449,'Pay Table'!$M$3:$N$18,2,FALSE)&amp;$BB$3&amp;G449&amp;$BD$3,"")</f>
        <v/>
      </c>
      <c r="BE447" s="1" t="str">
        <f>IFERROR($BC$3&amp;VLOOKUP(H449,'Pay Table'!$M$3:$N$18,2,FALSE)&amp;$BB$3&amp;I449&amp;$BD$3,"")</f>
        <v/>
      </c>
      <c r="BF447" s="27" t="str">
        <f>IFERROR($BC$3&amp;VLOOKUP(J449,'Pay Table'!$M$3:$N$18,2,FALSE)&amp;$BB$3&amp;K449&amp;$BD$3,"")</f>
        <v/>
      </c>
    </row>
    <row r="448" spans="54:58" x14ac:dyDescent="0.15">
      <c r="BB448" s="26" t="str">
        <f>IFERROR($BC$3&amp;VLOOKUP(B450,'Pay Table'!$M$3:$N$18,2,FALSE)&amp;$BB$3&amp;C450&amp;$BD$3,"")</f>
        <v/>
      </c>
      <c r="BC448" s="1" t="str">
        <f>IFERROR($BC$3&amp;VLOOKUP(D450,'Pay Table'!$M$3:$N$18,2,FALSE)&amp;$BB$3&amp;E450&amp;$BD$3,"")</f>
        <v/>
      </c>
      <c r="BD448" s="1" t="str">
        <f>IFERROR($BC$3&amp;VLOOKUP(F450,'Pay Table'!$M$3:$N$18,2,FALSE)&amp;$BB$3&amp;G450&amp;$BD$3,"")</f>
        <v/>
      </c>
      <c r="BE448" s="1" t="str">
        <f>IFERROR($BC$3&amp;VLOOKUP(H450,'Pay Table'!$M$3:$N$18,2,FALSE)&amp;$BB$3&amp;I450&amp;$BD$3,"")</f>
        <v/>
      </c>
      <c r="BF448" s="27" t="str">
        <f>IFERROR($BC$3&amp;VLOOKUP(J450,'Pay Table'!$M$3:$N$18,2,FALSE)&amp;$BB$3&amp;K450&amp;$BD$3,"")</f>
        <v/>
      </c>
    </row>
    <row r="449" spans="54:58" x14ac:dyDescent="0.15">
      <c r="BB449" s="26" t="str">
        <f>IFERROR($BC$3&amp;VLOOKUP(B451,'Pay Table'!$M$3:$N$18,2,FALSE)&amp;$BB$3&amp;C451&amp;$BD$3,"")</f>
        <v/>
      </c>
      <c r="BC449" s="1" t="str">
        <f>IFERROR($BC$3&amp;VLOOKUP(D451,'Pay Table'!$M$3:$N$18,2,FALSE)&amp;$BB$3&amp;E451&amp;$BD$3,"")</f>
        <v/>
      </c>
      <c r="BD449" s="1" t="str">
        <f>IFERROR($BC$3&amp;VLOOKUP(F451,'Pay Table'!$M$3:$N$18,2,FALSE)&amp;$BB$3&amp;G451&amp;$BD$3,"")</f>
        <v/>
      </c>
      <c r="BE449" s="1" t="str">
        <f>IFERROR($BC$3&amp;VLOOKUP(H451,'Pay Table'!$M$3:$N$18,2,FALSE)&amp;$BB$3&amp;I451&amp;$BD$3,"")</f>
        <v/>
      </c>
      <c r="BF449" s="27" t="str">
        <f>IFERROR($BC$3&amp;VLOOKUP(J451,'Pay Table'!$M$3:$N$18,2,FALSE)&amp;$BB$3&amp;K451&amp;$BD$3,"")</f>
        <v/>
      </c>
    </row>
    <row r="450" spans="54:58" x14ac:dyDescent="0.15">
      <c r="BB450" s="26" t="str">
        <f>IFERROR($BC$3&amp;VLOOKUP(B452,'Pay Table'!$M$3:$N$18,2,FALSE)&amp;$BB$3&amp;C452&amp;$BD$3,"")</f>
        <v/>
      </c>
      <c r="BC450" s="1" t="str">
        <f>IFERROR($BC$3&amp;VLOOKUP(D452,'Pay Table'!$M$3:$N$18,2,FALSE)&amp;$BB$3&amp;E452&amp;$BD$3,"")</f>
        <v/>
      </c>
      <c r="BD450" s="1" t="str">
        <f>IFERROR($BC$3&amp;VLOOKUP(F452,'Pay Table'!$M$3:$N$18,2,FALSE)&amp;$BB$3&amp;G452&amp;$BD$3,"")</f>
        <v/>
      </c>
      <c r="BE450" s="1" t="str">
        <f>IFERROR($BC$3&amp;VLOOKUP(H452,'Pay Table'!$M$3:$N$18,2,FALSE)&amp;$BB$3&amp;I452&amp;$BD$3,"")</f>
        <v/>
      </c>
      <c r="BF450" s="27" t="str">
        <f>IFERROR($BC$3&amp;VLOOKUP(J452,'Pay Table'!$M$3:$N$18,2,FALSE)&amp;$BB$3&amp;K452&amp;$BD$3,"")</f>
        <v/>
      </c>
    </row>
    <row r="451" spans="54:58" x14ac:dyDescent="0.15">
      <c r="BB451" s="26" t="str">
        <f>IFERROR($BC$3&amp;VLOOKUP(B453,'Pay Table'!$M$3:$N$18,2,FALSE)&amp;$BB$3&amp;C453&amp;$BD$3,"")</f>
        <v/>
      </c>
      <c r="BC451" s="1" t="str">
        <f>IFERROR($BC$3&amp;VLOOKUP(D453,'Pay Table'!$M$3:$N$18,2,FALSE)&amp;$BB$3&amp;E453&amp;$BD$3,"")</f>
        <v/>
      </c>
      <c r="BD451" s="1" t="str">
        <f>IFERROR($BC$3&amp;VLOOKUP(F453,'Pay Table'!$M$3:$N$18,2,FALSE)&amp;$BB$3&amp;G453&amp;$BD$3,"")</f>
        <v/>
      </c>
      <c r="BE451" s="1" t="str">
        <f>IFERROR($BC$3&amp;VLOOKUP(H453,'Pay Table'!$M$3:$N$18,2,FALSE)&amp;$BB$3&amp;I453&amp;$BD$3,"")</f>
        <v/>
      </c>
      <c r="BF451" s="27" t="str">
        <f>IFERROR($BC$3&amp;VLOOKUP(J453,'Pay Table'!$M$3:$N$18,2,FALSE)&amp;$BB$3&amp;K453&amp;$BD$3,"")</f>
        <v/>
      </c>
    </row>
    <row r="452" spans="54:58" x14ac:dyDescent="0.15">
      <c r="BB452" s="26" t="str">
        <f>IFERROR($BC$3&amp;VLOOKUP(B454,'Pay Table'!$M$3:$N$18,2,FALSE)&amp;$BB$3&amp;C454&amp;$BD$3,"")</f>
        <v/>
      </c>
      <c r="BC452" s="1" t="str">
        <f>IFERROR($BC$3&amp;VLOOKUP(D454,'Pay Table'!$M$3:$N$18,2,FALSE)&amp;$BB$3&amp;E454&amp;$BD$3,"")</f>
        <v/>
      </c>
      <c r="BD452" s="1" t="str">
        <f>IFERROR($BC$3&amp;VLOOKUP(F454,'Pay Table'!$M$3:$N$18,2,FALSE)&amp;$BB$3&amp;G454&amp;$BD$3,"")</f>
        <v/>
      </c>
      <c r="BE452" s="1" t="str">
        <f>IFERROR($BC$3&amp;VLOOKUP(H454,'Pay Table'!$M$3:$N$18,2,FALSE)&amp;$BB$3&amp;I454&amp;$BD$3,"")</f>
        <v/>
      </c>
      <c r="BF452" s="27" t="str">
        <f>IFERROR($BC$3&amp;VLOOKUP(J454,'Pay Table'!$M$3:$N$18,2,FALSE)&amp;$BB$3&amp;K454&amp;$BD$3,"")</f>
        <v/>
      </c>
    </row>
    <row r="453" spans="54:58" x14ac:dyDescent="0.15">
      <c r="BB453" s="26" t="str">
        <f>IFERROR($BC$3&amp;VLOOKUP(B455,'Pay Table'!$M$3:$N$18,2,FALSE)&amp;$BB$3&amp;C455&amp;$BD$3,"")</f>
        <v/>
      </c>
      <c r="BC453" s="1" t="str">
        <f>IFERROR($BC$3&amp;VLOOKUP(D455,'Pay Table'!$M$3:$N$18,2,FALSE)&amp;$BB$3&amp;E455&amp;$BD$3,"")</f>
        <v/>
      </c>
      <c r="BD453" s="1" t="str">
        <f>IFERROR($BC$3&amp;VLOOKUP(F455,'Pay Table'!$M$3:$N$18,2,FALSE)&amp;$BB$3&amp;G455&amp;$BD$3,"")</f>
        <v/>
      </c>
      <c r="BE453" s="1" t="str">
        <f>IFERROR($BC$3&amp;VLOOKUP(H455,'Pay Table'!$M$3:$N$18,2,FALSE)&amp;$BB$3&amp;I455&amp;$BD$3,"")</f>
        <v/>
      </c>
      <c r="BF453" s="27" t="str">
        <f>IFERROR($BC$3&amp;VLOOKUP(J455,'Pay Table'!$M$3:$N$18,2,FALSE)&amp;$BB$3&amp;K455&amp;$BD$3,"")</f>
        <v/>
      </c>
    </row>
    <row r="454" spans="54:58" x14ac:dyDescent="0.15">
      <c r="BB454" s="26" t="str">
        <f>IFERROR($BC$3&amp;VLOOKUP(B456,'Pay Table'!$M$3:$N$18,2,FALSE)&amp;$BB$3&amp;C456&amp;$BD$3,"")</f>
        <v/>
      </c>
      <c r="BC454" s="1" t="str">
        <f>IFERROR($BC$3&amp;VLOOKUP(D456,'Pay Table'!$M$3:$N$18,2,FALSE)&amp;$BB$3&amp;E456&amp;$BD$3,"")</f>
        <v/>
      </c>
      <c r="BD454" s="1" t="str">
        <f>IFERROR($BC$3&amp;VLOOKUP(F456,'Pay Table'!$M$3:$N$18,2,FALSE)&amp;$BB$3&amp;G456&amp;$BD$3,"")</f>
        <v/>
      </c>
      <c r="BE454" s="1" t="str">
        <f>IFERROR($BC$3&amp;VLOOKUP(H456,'Pay Table'!$M$3:$N$18,2,FALSE)&amp;$BB$3&amp;I456&amp;$BD$3,"")</f>
        <v/>
      </c>
      <c r="BF454" s="27" t="str">
        <f>IFERROR($BC$3&amp;VLOOKUP(J456,'Pay Table'!$M$3:$N$18,2,FALSE)&amp;$BB$3&amp;K456&amp;$BD$3,"")</f>
        <v/>
      </c>
    </row>
    <row r="455" spans="54:58" x14ac:dyDescent="0.15">
      <c r="BB455" s="26" t="str">
        <f>IFERROR($BC$3&amp;VLOOKUP(B457,'Pay Table'!$M$3:$N$18,2,FALSE)&amp;$BB$3&amp;C457&amp;$BD$3,"")</f>
        <v/>
      </c>
      <c r="BC455" s="1" t="str">
        <f>IFERROR($BC$3&amp;VLOOKUP(D457,'Pay Table'!$M$3:$N$18,2,FALSE)&amp;$BB$3&amp;E457&amp;$BD$3,"")</f>
        <v/>
      </c>
      <c r="BD455" s="1" t="str">
        <f>IFERROR($BC$3&amp;VLOOKUP(F457,'Pay Table'!$M$3:$N$18,2,FALSE)&amp;$BB$3&amp;G457&amp;$BD$3,"")</f>
        <v/>
      </c>
      <c r="BE455" s="1" t="str">
        <f>IFERROR($BC$3&amp;VLOOKUP(H457,'Pay Table'!$M$3:$N$18,2,FALSE)&amp;$BB$3&amp;I457&amp;$BD$3,"")</f>
        <v/>
      </c>
      <c r="BF455" s="27" t="str">
        <f>IFERROR($BC$3&amp;VLOOKUP(J457,'Pay Table'!$M$3:$N$18,2,FALSE)&amp;$BB$3&amp;K457&amp;$BD$3,"")</f>
        <v/>
      </c>
    </row>
    <row r="456" spans="54:58" x14ac:dyDescent="0.15">
      <c r="BB456" s="26" t="str">
        <f>IFERROR($BC$3&amp;VLOOKUP(B458,'Pay Table'!$M$3:$N$18,2,FALSE)&amp;$BB$3&amp;C458&amp;$BD$3,"")</f>
        <v/>
      </c>
      <c r="BC456" s="1" t="str">
        <f>IFERROR($BC$3&amp;VLOOKUP(D458,'Pay Table'!$M$3:$N$18,2,FALSE)&amp;$BB$3&amp;E458&amp;$BD$3,"")</f>
        <v/>
      </c>
      <c r="BD456" s="1" t="str">
        <f>IFERROR($BC$3&amp;VLOOKUP(F458,'Pay Table'!$M$3:$N$18,2,FALSE)&amp;$BB$3&amp;G458&amp;$BD$3,"")</f>
        <v/>
      </c>
      <c r="BE456" s="1" t="str">
        <f>IFERROR($BC$3&amp;VLOOKUP(H458,'Pay Table'!$M$3:$N$18,2,FALSE)&amp;$BB$3&amp;I458&amp;$BD$3,"")</f>
        <v/>
      </c>
      <c r="BF456" s="27" t="str">
        <f>IFERROR($BC$3&amp;VLOOKUP(J458,'Pay Table'!$M$3:$N$18,2,FALSE)&amp;$BB$3&amp;K458&amp;$BD$3,"")</f>
        <v/>
      </c>
    </row>
    <row r="457" spans="54:58" x14ac:dyDescent="0.15">
      <c r="BB457" s="26" t="str">
        <f>IFERROR($BC$3&amp;VLOOKUP(B459,'Pay Table'!$M$3:$N$18,2,FALSE)&amp;$BB$3&amp;C459&amp;$BD$3,"")</f>
        <v/>
      </c>
      <c r="BC457" s="1" t="str">
        <f>IFERROR($BC$3&amp;VLOOKUP(D459,'Pay Table'!$M$3:$N$18,2,FALSE)&amp;$BB$3&amp;E459&amp;$BD$3,"")</f>
        <v/>
      </c>
      <c r="BD457" s="1" t="str">
        <f>IFERROR($BC$3&amp;VLOOKUP(F459,'Pay Table'!$M$3:$N$18,2,FALSE)&amp;$BB$3&amp;G459&amp;$BD$3,"")</f>
        <v/>
      </c>
      <c r="BE457" s="1" t="str">
        <f>IFERROR($BC$3&amp;VLOOKUP(H459,'Pay Table'!$M$3:$N$18,2,FALSE)&amp;$BB$3&amp;I459&amp;$BD$3,"")</f>
        <v/>
      </c>
      <c r="BF457" s="27" t="str">
        <f>IFERROR($BC$3&amp;VLOOKUP(J459,'Pay Table'!$M$3:$N$18,2,FALSE)&amp;$BB$3&amp;K459&amp;$BD$3,"")</f>
        <v/>
      </c>
    </row>
    <row r="458" spans="54:58" x14ac:dyDescent="0.15">
      <c r="BB458" s="26" t="str">
        <f>IFERROR($BC$3&amp;VLOOKUP(B460,'Pay Table'!$M$3:$N$18,2,FALSE)&amp;$BB$3&amp;C460&amp;$BD$3,"")</f>
        <v/>
      </c>
      <c r="BC458" s="1" t="str">
        <f>IFERROR($BC$3&amp;VLOOKUP(D460,'Pay Table'!$M$3:$N$18,2,FALSE)&amp;$BB$3&amp;E460&amp;$BD$3,"")</f>
        <v/>
      </c>
      <c r="BD458" s="1" t="str">
        <f>IFERROR($BC$3&amp;VLOOKUP(F460,'Pay Table'!$M$3:$N$18,2,FALSE)&amp;$BB$3&amp;G460&amp;$BD$3,"")</f>
        <v/>
      </c>
      <c r="BE458" s="1" t="str">
        <f>IFERROR($BC$3&amp;VLOOKUP(H460,'Pay Table'!$M$3:$N$18,2,FALSE)&amp;$BB$3&amp;I460&amp;$BD$3,"")</f>
        <v/>
      </c>
      <c r="BF458" s="27" t="str">
        <f>IFERROR($BC$3&amp;VLOOKUP(J460,'Pay Table'!$M$3:$N$18,2,FALSE)&amp;$BB$3&amp;K460&amp;$BD$3,"")</f>
        <v/>
      </c>
    </row>
    <row r="459" spans="54:58" x14ac:dyDescent="0.15">
      <c r="BB459" s="26" t="str">
        <f>IFERROR($BC$3&amp;VLOOKUP(B461,'Pay Table'!$M$3:$N$18,2,FALSE)&amp;$BB$3&amp;C461&amp;$BD$3,"")</f>
        <v/>
      </c>
      <c r="BC459" s="1" t="str">
        <f>IFERROR($BC$3&amp;VLOOKUP(D461,'Pay Table'!$M$3:$N$18,2,FALSE)&amp;$BB$3&amp;E461&amp;$BD$3,"")</f>
        <v/>
      </c>
      <c r="BD459" s="1" t="str">
        <f>IFERROR($BC$3&amp;VLOOKUP(F461,'Pay Table'!$M$3:$N$18,2,FALSE)&amp;$BB$3&amp;G461&amp;$BD$3,"")</f>
        <v/>
      </c>
      <c r="BE459" s="1" t="str">
        <f>IFERROR($BC$3&amp;VLOOKUP(H461,'Pay Table'!$M$3:$N$18,2,FALSE)&amp;$BB$3&amp;I461&amp;$BD$3,"")</f>
        <v/>
      </c>
      <c r="BF459" s="27" t="str">
        <f>IFERROR($BC$3&amp;VLOOKUP(J461,'Pay Table'!$M$3:$N$18,2,FALSE)&amp;$BB$3&amp;K461&amp;$BD$3,"")</f>
        <v/>
      </c>
    </row>
    <row r="460" spans="54:58" x14ac:dyDescent="0.15">
      <c r="BB460" s="26" t="str">
        <f>IFERROR($BC$3&amp;VLOOKUP(B462,'Pay Table'!$M$3:$N$18,2,FALSE)&amp;$BB$3&amp;C462&amp;$BD$3,"")</f>
        <v/>
      </c>
      <c r="BC460" s="1" t="str">
        <f>IFERROR($BC$3&amp;VLOOKUP(D462,'Pay Table'!$M$3:$N$18,2,FALSE)&amp;$BB$3&amp;E462&amp;$BD$3,"")</f>
        <v/>
      </c>
      <c r="BD460" s="1" t="str">
        <f>IFERROR($BC$3&amp;VLOOKUP(F462,'Pay Table'!$M$3:$N$18,2,FALSE)&amp;$BB$3&amp;G462&amp;$BD$3,"")</f>
        <v/>
      </c>
      <c r="BE460" s="1" t="str">
        <f>IFERROR($BC$3&amp;VLOOKUP(H462,'Pay Table'!$M$3:$N$18,2,FALSE)&amp;$BB$3&amp;I462&amp;$BD$3,"")</f>
        <v/>
      </c>
      <c r="BF460" s="27" t="str">
        <f>IFERROR($BC$3&amp;VLOOKUP(J462,'Pay Table'!$M$3:$N$18,2,FALSE)&amp;$BB$3&amp;K462&amp;$BD$3,"")</f>
        <v/>
      </c>
    </row>
    <row r="461" spans="54:58" x14ac:dyDescent="0.15">
      <c r="BB461" s="26" t="str">
        <f>IFERROR($BC$3&amp;VLOOKUP(B463,'Pay Table'!$M$3:$N$18,2,FALSE)&amp;$BB$3&amp;C463&amp;$BD$3,"")</f>
        <v/>
      </c>
      <c r="BC461" s="1" t="str">
        <f>IFERROR($BC$3&amp;VLOOKUP(D463,'Pay Table'!$M$3:$N$18,2,FALSE)&amp;$BB$3&amp;E463&amp;$BD$3,"")</f>
        <v/>
      </c>
      <c r="BD461" s="1" t="str">
        <f>IFERROR($BC$3&amp;VLOOKUP(F463,'Pay Table'!$M$3:$N$18,2,FALSE)&amp;$BB$3&amp;G463&amp;$BD$3,"")</f>
        <v/>
      </c>
      <c r="BE461" s="1" t="str">
        <f>IFERROR($BC$3&amp;VLOOKUP(H463,'Pay Table'!$M$3:$N$18,2,FALSE)&amp;$BB$3&amp;I463&amp;$BD$3,"")</f>
        <v/>
      </c>
      <c r="BF461" s="27" t="str">
        <f>IFERROR($BC$3&amp;VLOOKUP(J463,'Pay Table'!$M$3:$N$18,2,FALSE)&amp;$BB$3&amp;K463&amp;$BD$3,"")</f>
        <v/>
      </c>
    </row>
    <row r="462" spans="54:58" x14ac:dyDescent="0.15">
      <c r="BB462" s="26" t="str">
        <f>IFERROR($BC$3&amp;VLOOKUP(B464,'Pay Table'!$M$3:$N$18,2,FALSE)&amp;$BB$3&amp;C464&amp;$BD$3,"")</f>
        <v/>
      </c>
      <c r="BC462" s="1" t="str">
        <f>IFERROR($BC$3&amp;VLOOKUP(D464,'Pay Table'!$M$3:$N$18,2,FALSE)&amp;$BB$3&amp;E464&amp;$BD$3,"")</f>
        <v/>
      </c>
      <c r="BD462" s="1" t="str">
        <f>IFERROR($BC$3&amp;VLOOKUP(F464,'Pay Table'!$M$3:$N$18,2,FALSE)&amp;$BB$3&amp;G464&amp;$BD$3,"")</f>
        <v/>
      </c>
      <c r="BE462" s="1" t="str">
        <f>IFERROR($BC$3&amp;VLOOKUP(H464,'Pay Table'!$M$3:$N$18,2,FALSE)&amp;$BB$3&amp;I464&amp;$BD$3,"")</f>
        <v/>
      </c>
      <c r="BF462" s="27" t="str">
        <f>IFERROR($BC$3&amp;VLOOKUP(J464,'Pay Table'!$M$3:$N$18,2,FALSE)&amp;$BB$3&amp;K464&amp;$BD$3,"")</f>
        <v/>
      </c>
    </row>
    <row r="463" spans="54:58" x14ac:dyDescent="0.15">
      <c r="BB463" s="26" t="str">
        <f>IFERROR($BC$3&amp;VLOOKUP(B465,'Pay Table'!$M$3:$N$18,2,FALSE)&amp;$BB$3&amp;C465&amp;$BD$3,"")</f>
        <v/>
      </c>
      <c r="BC463" s="1" t="str">
        <f>IFERROR($BC$3&amp;VLOOKUP(D465,'Pay Table'!$M$3:$N$18,2,FALSE)&amp;$BB$3&amp;E465&amp;$BD$3,"")</f>
        <v/>
      </c>
      <c r="BD463" s="1" t="str">
        <f>IFERROR($BC$3&amp;VLOOKUP(F465,'Pay Table'!$M$3:$N$18,2,FALSE)&amp;$BB$3&amp;G465&amp;$BD$3,"")</f>
        <v/>
      </c>
      <c r="BE463" s="1" t="str">
        <f>IFERROR($BC$3&amp;VLOOKUP(H465,'Pay Table'!$M$3:$N$18,2,FALSE)&amp;$BB$3&amp;I465&amp;$BD$3,"")</f>
        <v/>
      </c>
      <c r="BF463" s="27" t="str">
        <f>IFERROR($BC$3&amp;VLOOKUP(J465,'Pay Table'!$M$3:$N$18,2,FALSE)&amp;$BB$3&amp;K465&amp;$BD$3,"")</f>
        <v/>
      </c>
    </row>
    <row r="464" spans="54:58" x14ac:dyDescent="0.15">
      <c r="BB464" s="26" t="str">
        <f>IFERROR($BC$3&amp;VLOOKUP(B466,'Pay Table'!$M$3:$N$18,2,FALSE)&amp;$BB$3&amp;C466&amp;$BD$3,"")</f>
        <v/>
      </c>
      <c r="BC464" s="1" t="str">
        <f>IFERROR($BC$3&amp;VLOOKUP(D466,'Pay Table'!$M$3:$N$18,2,FALSE)&amp;$BB$3&amp;E466&amp;$BD$3,"")</f>
        <v/>
      </c>
      <c r="BD464" s="1" t="str">
        <f>IFERROR($BC$3&amp;VLOOKUP(F466,'Pay Table'!$M$3:$N$18,2,FALSE)&amp;$BB$3&amp;G466&amp;$BD$3,"")</f>
        <v/>
      </c>
      <c r="BE464" s="1" t="str">
        <f>IFERROR($BC$3&amp;VLOOKUP(H466,'Pay Table'!$M$3:$N$18,2,FALSE)&amp;$BB$3&amp;I466&amp;$BD$3,"")</f>
        <v/>
      </c>
      <c r="BF464" s="27" t="str">
        <f>IFERROR($BC$3&amp;VLOOKUP(J466,'Pay Table'!$M$3:$N$18,2,FALSE)&amp;$BB$3&amp;K466&amp;$BD$3,"")</f>
        <v/>
      </c>
    </row>
    <row r="465" spans="54:58" x14ac:dyDescent="0.15">
      <c r="BB465" s="26" t="str">
        <f>IFERROR($BC$3&amp;VLOOKUP(B467,'Pay Table'!$M$3:$N$18,2,FALSE)&amp;$BB$3&amp;C467&amp;$BD$3,"")</f>
        <v/>
      </c>
      <c r="BC465" s="1" t="str">
        <f>IFERROR($BC$3&amp;VLOOKUP(D467,'Pay Table'!$M$3:$N$18,2,FALSE)&amp;$BB$3&amp;E467&amp;$BD$3,"")</f>
        <v/>
      </c>
      <c r="BD465" s="1" t="str">
        <f>IFERROR($BC$3&amp;VLOOKUP(F467,'Pay Table'!$M$3:$N$18,2,FALSE)&amp;$BB$3&amp;G467&amp;$BD$3,"")</f>
        <v/>
      </c>
      <c r="BE465" s="1" t="str">
        <f>IFERROR($BC$3&amp;VLOOKUP(H467,'Pay Table'!$M$3:$N$18,2,FALSE)&amp;$BB$3&amp;I467&amp;$BD$3,"")</f>
        <v/>
      </c>
      <c r="BF465" s="27" t="str">
        <f>IFERROR($BC$3&amp;VLOOKUP(J467,'Pay Table'!$M$3:$N$18,2,FALSE)&amp;$BB$3&amp;K467&amp;$BD$3,"")</f>
        <v/>
      </c>
    </row>
    <row r="466" spans="54:58" x14ac:dyDescent="0.15">
      <c r="BB466" s="26" t="str">
        <f>IFERROR($BC$3&amp;VLOOKUP(B468,'Pay Table'!$M$3:$N$18,2,FALSE)&amp;$BB$3&amp;C468&amp;$BD$3,"")</f>
        <v/>
      </c>
      <c r="BC466" s="1" t="str">
        <f>IFERROR($BC$3&amp;VLOOKUP(D468,'Pay Table'!$M$3:$N$18,2,FALSE)&amp;$BB$3&amp;E468&amp;$BD$3,"")</f>
        <v/>
      </c>
      <c r="BD466" s="1" t="str">
        <f>IFERROR($BC$3&amp;VLOOKUP(F468,'Pay Table'!$M$3:$N$18,2,FALSE)&amp;$BB$3&amp;G468&amp;$BD$3,"")</f>
        <v/>
      </c>
      <c r="BE466" s="1" t="str">
        <f>IFERROR($BC$3&amp;VLOOKUP(H468,'Pay Table'!$M$3:$N$18,2,FALSE)&amp;$BB$3&amp;I468&amp;$BD$3,"")</f>
        <v/>
      </c>
      <c r="BF466" s="27" t="str">
        <f>IFERROR($BC$3&amp;VLOOKUP(J468,'Pay Table'!$M$3:$N$18,2,FALSE)&amp;$BB$3&amp;K468&amp;$BD$3,"")</f>
        <v/>
      </c>
    </row>
    <row r="467" spans="54:58" x14ac:dyDescent="0.15">
      <c r="BB467" s="26" t="str">
        <f>IFERROR($BC$3&amp;VLOOKUP(B469,'Pay Table'!$M$3:$N$18,2,FALSE)&amp;$BB$3&amp;C469&amp;$BD$3,"")</f>
        <v/>
      </c>
      <c r="BC467" s="1" t="str">
        <f>IFERROR($BC$3&amp;VLOOKUP(D469,'Pay Table'!$M$3:$N$18,2,FALSE)&amp;$BB$3&amp;E469&amp;$BD$3,"")</f>
        <v/>
      </c>
      <c r="BD467" s="1" t="str">
        <f>IFERROR($BC$3&amp;VLOOKUP(F469,'Pay Table'!$M$3:$N$18,2,FALSE)&amp;$BB$3&amp;G469&amp;$BD$3,"")</f>
        <v/>
      </c>
      <c r="BE467" s="1" t="str">
        <f>IFERROR($BC$3&amp;VLOOKUP(H469,'Pay Table'!$M$3:$N$18,2,FALSE)&amp;$BB$3&amp;I469&amp;$BD$3,"")</f>
        <v/>
      </c>
      <c r="BF467" s="27" t="str">
        <f>IFERROR($BC$3&amp;VLOOKUP(J469,'Pay Table'!$M$3:$N$18,2,FALSE)&amp;$BB$3&amp;K469&amp;$BD$3,"")</f>
        <v/>
      </c>
    </row>
    <row r="468" spans="54:58" x14ac:dyDescent="0.15">
      <c r="BB468" s="26" t="str">
        <f>IFERROR($BC$3&amp;VLOOKUP(B470,'Pay Table'!$M$3:$N$18,2,FALSE)&amp;$BB$3&amp;C470&amp;$BD$3,"")</f>
        <v/>
      </c>
      <c r="BC468" s="1" t="str">
        <f>IFERROR($BC$3&amp;VLOOKUP(D470,'Pay Table'!$M$3:$N$18,2,FALSE)&amp;$BB$3&amp;E470&amp;$BD$3,"")</f>
        <v/>
      </c>
      <c r="BD468" s="1" t="str">
        <f>IFERROR($BC$3&amp;VLOOKUP(F470,'Pay Table'!$M$3:$N$18,2,FALSE)&amp;$BB$3&amp;G470&amp;$BD$3,"")</f>
        <v/>
      </c>
      <c r="BE468" s="1" t="str">
        <f>IFERROR($BC$3&amp;VLOOKUP(H470,'Pay Table'!$M$3:$N$18,2,FALSE)&amp;$BB$3&amp;I470&amp;$BD$3,"")</f>
        <v/>
      </c>
      <c r="BF468" s="27" t="str">
        <f>IFERROR($BC$3&amp;VLOOKUP(J470,'Pay Table'!$M$3:$N$18,2,FALSE)&amp;$BB$3&amp;K470&amp;$BD$3,"")</f>
        <v/>
      </c>
    </row>
    <row r="469" spans="54:58" x14ac:dyDescent="0.15">
      <c r="BB469" s="26" t="str">
        <f>IFERROR($BC$3&amp;VLOOKUP(B471,'Pay Table'!$M$3:$N$18,2,FALSE)&amp;$BB$3&amp;C471&amp;$BD$3,"")</f>
        <v/>
      </c>
      <c r="BC469" s="1" t="str">
        <f>IFERROR($BC$3&amp;VLOOKUP(D471,'Pay Table'!$M$3:$N$18,2,FALSE)&amp;$BB$3&amp;E471&amp;$BD$3,"")</f>
        <v/>
      </c>
      <c r="BD469" s="1" t="str">
        <f>IFERROR($BC$3&amp;VLOOKUP(F471,'Pay Table'!$M$3:$N$18,2,FALSE)&amp;$BB$3&amp;G471&amp;$BD$3,"")</f>
        <v/>
      </c>
      <c r="BE469" s="1" t="str">
        <f>IFERROR($BC$3&amp;VLOOKUP(H471,'Pay Table'!$M$3:$N$18,2,FALSE)&amp;$BB$3&amp;I471&amp;$BD$3,"")</f>
        <v/>
      </c>
      <c r="BF469" s="27" t="str">
        <f>IFERROR($BC$3&amp;VLOOKUP(J471,'Pay Table'!$M$3:$N$18,2,FALSE)&amp;$BB$3&amp;K471&amp;$BD$3,"")</f>
        <v/>
      </c>
    </row>
    <row r="470" spans="54:58" x14ac:dyDescent="0.15">
      <c r="BB470" s="26" t="str">
        <f>IFERROR($BC$3&amp;VLOOKUP(B472,'Pay Table'!$M$3:$N$18,2,FALSE)&amp;$BB$3&amp;C472&amp;$BD$3,"")</f>
        <v/>
      </c>
      <c r="BC470" s="1" t="str">
        <f>IFERROR($BC$3&amp;VLOOKUP(D472,'Pay Table'!$M$3:$N$18,2,FALSE)&amp;$BB$3&amp;E472&amp;$BD$3,"")</f>
        <v/>
      </c>
      <c r="BD470" s="1" t="str">
        <f>IFERROR($BC$3&amp;VLOOKUP(F472,'Pay Table'!$M$3:$N$18,2,FALSE)&amp;$BB$3&amp;G472&amp;$BD$3,"")</f>
        <v/>
      </c>
      <c r="BE470" s="1" t="str">
        <f>IFERROR($BC$3&amp;VLOOKUP(H472,'Pay Table'!$M$3:$N$18,2,FALSE)&amp;$BB$3&amp;I472&amp;$BD$3,"")</f>
        <v/>
      </c>
      <c r="BF470" s="27" t="str">
        <f>IFERROR($BC$3&amp;VLOOKUP(J472,'Pay Table'!$M$3:$N$18,2,FALSE)&amp;$BB$3&amp;K472&amp;$BD$3,"")</f>
        <v/>
      </c>
    </row>
    <row r="471" spans="54:58" x14ac:dyDescent="0.15">
      <c r="BB471" s="26" t="str">
        <f>IFERROR($BC$3&amp;VLOOKUP(B473,'Pay Table'!$M$3:$N$18,2,FALSE)&amp;$BB$3&amp;C473&amp;$BD$3,"")</f>
        <v/>
      </c>
      <c r="BC471" s="1" t="str">
        <f>IFERROR($BC$3&amp;VLOOKUP(D473,'Pay Table'!$M$3:$N$18,2,FALSE)&amp;$BB$3&amp;E473&amp;$BD$3,"")</f>
        <v/>
      </c>
      <c r="BD471" s="1" t="str">
        <f>IFERROR($BC$3&amp;VLOOKUP(F473,'Pay Table'!$M$3:$N$18,2,FALSE)&amp;$BB$3&amp;G473&amp;$BD$3,"")</f>
        <v/>
      </c>
      <c r="BE471" s="1" t="str">
        <f>IFERROR($BC$3&amp;VLOOKUP(H473,'Pay Table'!$M$3:$N$18,2,FALSE)&amp;$BB$3&amp;I473&amp;$BD$3,"")</f>
        <v/>
      </c>
      <c r="BF471" s="27" t="str">
        <f>IFERROR($BC$3&amp;VLOOKUP(J473,'Pay Table'!$M$3:$N$18,2,FALSE)&amp;$BB$3&amp;K473&amp;$BD$3,"")</f>
        <v/>
      </c>
    </row>
    <row r="472" spans="54:58" x14ac:dyDescent="0.15">
      <c r="BB472" s="26" t="str">
        <f>IFERROR($BC$3&amp;VLOOKUP(B474,'Pay Table'!$M$3:$N$18,2,FALSE)&amp;$BB$3&amp;C474&amp;$BD$3,"")</f>
        <v/>
      </c>
      <c r="BC472" s="1" t="str">
        <f>IFERROR($BC$3&amp;VLOOKUP(D474,'Pay Table'!$M$3:$N$18,2,FALSE)&amp;$BB$3&amp;E474&amp;$BD$3,"")</f>
        <v/>
      </c>
      <c r="BD472" s="1" t="str">
        <f>IFERROR($BC$3&amp;VLOOKUP(F474,'Pay Table'!$M$3:$N$18,2,FALSE)&amp;$BB$3&amp;G474&amp;$BD$3,"")</f>
        <v/>
      </c>
      <c r="BE472" s="1" t="str">
        <f>IFERROR($BC$3&amp;VLOOKUP(H474,'Pay Table'!$M$3:$N$18,2,FALSE)&amp;$BB$3&amp;I474&amp;$BD$3,"")</f>
        <v/>
      </c>
      <c r="BF472" s="27" t="str">
        <f>IFERROR($BC$3&amp;VLOOKUP(J474,'Pay Table'!$M$3:$N$18,2,FALSE)&amp;$BB$3&amp;K474&amp;$BD$3,"")</f>
        <v/>
      </c>
    </row>
    <row r="473" spans="54:58" x14ac:dyDescent="0.15">
      <c r="BB473" s="26" t="str">
        <f>IFERROR($BC$3&amp;VLOOKUP(B475,'Pay Table'!$M$3:$N$18,2,FALSE)&amp;$BB$3&amp;C475&amp;$BD$3,"")</f>
        <v/>
      </c>
      <c r="BC473" s="1" t="str">
        <f>IFERROR($BC$3&amp;VLOOKUP(D475,'Pay Table'!$M$3:$N$18,2,FALSE)&amp;$BB$3&amp;E475&amp;$BD$3,"")</f>
        <v/>
      </c>
      <c r="BD473" s="1" t="str">
        <f>IFERROR($BC$3&amp;VLOOKUP(F475,'Pay Table'!$M$3:$N$18,2,FALSE)&amp;$BB$3&amp;G475&amp;$BD$3,"")</f>
        <v/>
      </c>
      <c r="BE473" s="1" t="str">
        <f>IFERROR($BC$3&amp;VLOOKUP(H475,'Pay Table'!$M$3:$N$18,2,FALSE)&amp;$BB$3&amp;I475&amp;$BD$3,"")</f>
        <v/>
      </c>
      <c r="BF473" s="27" t="str">
        <f>IFERROR($BC$3&amp;VLOOKUP(J475,'Pay Table'!$M$3:$N$18,2,FALSE)&amp;$BB$3&amp;K475&amp;$BD$3,"")</f>
        <v/>
      </c>
    </row>
    <row r="474" spans="54:58" x14ac:dyDescent="0.15">
      <c r="BB474" s="26" t="str">
        <f>IFERROR($BC$3&amp;VLOOKUP(B476,'Pay Table'!$M$3:$N$18,2,FALSE)&amp;$BB$3&amp;C476&amp;$BD$3,"")</f>
        <v/>
      </c>
      <c r="BC474" s="1" t="str">
        <f>IFERROR($BC$3&amp;VLOOKUP(D476,'Pay Table'!$M$3:$N$18,2,FALSE)&amp;$BB$3&amp;E476&amp;$BD$3,"")</f>
        <v/>
      </c>
      <c r="BD474" s="1" t="str">
        <f>IFERROR($BC$3&amp;VLOOKUP(F476,'Pay Table'!$M$3:$N$18,2,FALSE)&amp;$BB$3&amp;G476&amp;$BD$3,"")</f>
        <v/>
      </c>
      <c r="BE474" s="1" t="str">
        <f>IFERROR($BC$3&amp;VLOOKUP(H476,'Pay Table'!$M$3:$N$18,2,FALSE)&amp;$BB$3&amp;I476&amp;$BD$3,"")</f>
        <v/>
      </c>
      <c r="BF474" s="27" t="str">
        <f>IFERROR($BC$3&amp;VLOOKUP(J476,'Pay Table'!$M$3:$N$18,2,FALSE)&amp;$BB$3&amp;K476&amp;$BD$3,"")</f>
        <v/>
      </c>
    </row>
    <row r="475" spans="54:58" x14ac:dyDescent="0.15">
      <c r="BB475" s="26" t="str">
        <f>IFERROR($BC$3&amp;VLOOKUP(B477,'Pay Table'!$M$3:$N$18,2,FALSE)&amp;$BB$3&amp;C477&amp;$BD$3,"")</f>
        <v/>
      </c>
      <c r="BC475" s="1" t="str">
        <f>IFERROR($BC$3&amp;VLOOKUP(D477,'Pay Table'!$M$3:$N$18,2,FALSE)&amp;$BB$3&amp;E477&amp;$BD$3,"")</f>
        <v/>
      </c>
      <c r="BD475" s="1" t="str">
        <f>IFERROR($BC$3&amp;VLOOKUP(F477,'Pay Table'!$M$3:$N$18,2,FALSE)&amp;$BB$3&amp;G477&amp;$BD$3,"")</f>
        <v/>
      </c>
      <c r="BE475" s="1" t="str">
        <f>IFERROR($BC$3&amp;VLOOKUP(H477,'Pay Table'!$M$3:$N$18,2,FALSE)&amp;$BB$3&amp;I477&amp;$BD$3,"")</f>
        <v/>
      </c>
      <c r="BF475" s="27" t="str">
        <f>IFERROR($BC$3&amp;VLOOKUP(J477,'Pay Table'!$M$3:$N$18,2,FALSE)&amp;$BB$3&amp;K477&amp;$BD$3,"")</f>
        <v/>
      </c>
    </row>
    <row r="476" spans="54:58" x14ac:dyDescent="0.15">
      <c r="BB476" s="26" t="str">
        <f>IFERROR($BC$3&amp;VLOOKUP(B478,'Pay Table'!$M$3:$N$18,2,FALSE)&amp;$BB$3&amp;C478&amp;$BD$3,"")</f>
        <v/>
      </c>
      <c r="BC476" s="1" t="str">
        <f>IFERROR($BC$3&amp;VLOOKUP(D478,'Pay Table'!$M$3:$N$18,2,FALSE)&amp;$BB$3&amp;E478&amp;$BD$3,"")</f>
        <v/>
      </c>
      <c r="BD476" s="1" t="str">
        <f>IFERROR($BC$3&amp;VLOOKUP(F478,'Pay Table'!$M$3:$N$18,2,FALSE)&amp;$BB$3&amp;G478&amp;$BD$3,"")</f>
        <v/>
      </c>
      <c r="BE476" s="1" t="str">
        <f>IFERROR($BC$3&amp;VLOOKUP(H478,'Pay Table'!$M$3:$N$18,2,FALSE)&amp;$BB$3&amp;I478&amp;$BD$3,"")</f>
        <v/>
      </c>
      <c r="BF476" s="27" t="str">
        <f>IFERROR($BC$3&amp;VLOOKUP(J478,'Pay Table'!$M$3:$N$18,2,FALSE)&amp;$BB$3&amp;K478&amp;$BD$3,"")</f>
        <v/>
      </c>
    </row>
    <row r="477" spans="54:58" x14ac:dyDescent="0.15">
      <c r="BB477" s="26" t="str">
        <f>IFERROR($BC$3&amp;VLOOKUP(B479,'Pay Table'!$M$3:$N$18,2,FALSE)&amp;$BB$3&amp;C479&amp;$BD$3,"")</f>
        <v/>
      </c>
      <c r="BC477" s="1" t="str">
        <f>IFERROR($BC$3&amp;VLOOKUP(D479,'Pay Table'!$M$3:$N$18,2,FALSE)&amp;$BB$3&amp;E479&amp;$BD$3,"")</f>
        <v/>
      </c>
      <c r="BD477" s="1" t="str">
        <f>IFERROR($BC$3&amp;VLOOKUP(F479,'Pay Table'!$M$3:$N$18,2,FALSE)&amp;$BB$3&amp;G479&amp;$BD$3,"")</f>
        <v/>
      </c>
      <c r="BE477" s="1" t="str">
        <f>IFERROR($BC$3&amp;VLOOKUP(H479,'Pay Table'!$M$3:$N$18,2,FALSE)&amp;$BB$3&amp;I479&amp;$BD$3,"")</f>
        <v/>
      </c>
      <c r="BF477" s="27" t="str">
        <f>IFERROR($BC$3&amp;VLOOKUP(J479,'Pay Table'!$M$3:$N$18,2,FALSE)&amp;$BB$3&amp;K479&amp;$BD$3,"")</f>
        <v/>
      </c>
    </row>
    <row r="478" spans="54:58" x14ac:dyDescent="0.15">
      <c r="BB478" s="26" t="str">
        <f>IFERROR($BC$3&amp;VLOOKUP(B480,'Pay Table'!$M$3:$N$18,2,FALSE)&amp;$BB$3&amp;C480&amp;$BD$3,"")</f>
        <v/>
      </c>
      <c r="BC478" s="1" t="str">
        <f>IFERROR($BC$3&amp;VLOOKUP(D480,'Pay Table'!$M$3:$N$18,2,FALSE)&amp;$BB$3&amp;E480&amp;$BD$3,"")</f>
        <v/>
      </c>
      <c r="BD478" s="1" t="str">
        <f>IFERROR($BC$3&amp;VLOOKUP(F480,'Pay Table'!$M$3:$N$18,2,FALSE)&amp;$BB$3&amp;G480&amp;$BD$3,"")</f>
        <v/>
      </c>
      <c r="BE478" s="1" t="str">
        <f>IFERROR($BC$3&amp;VLOOKUP(H480,'Pay Table'!$M$3:$N$18,2,FALSE)&amp;$BB$3&amp;I480&amp;$BD$3,"")</f>
        <v/>
      </c>
      <c r="BF478" s="27" t="str">
        <f>IFERROR($BC$3&amp;VLOOKUP(J480,'Pay Table'!$M$3:$N$18,2,FALSE)&amp;$BB$3&amp;K480&amp;$BD$3,"")</f>
        <v/>
      </c>
    </row>
    <row r="479" spans="54:58" x14ac:dyDescent="0.15">
      <c r="BB479" s="26" t="str">
        <f>IFERROR($BC$3&amp;VLOOKUP(B481,'Pay Table'!$M$3:$N$18,2,FALSE)&amp;$BB$3&amp;C481&amp;$BD$3,"")</f>
        <v/>
      </c>
      <c r="BC479" s="1" t="str">
        <f>IFERROR($BC$3&amp;VLOOKUP(D481,'Pay Table'!$M$3:$N$18,2,FALSE)&amp;$BB$3&amp;E481&amp;$BD$3,"")</f>
        <v/>
      </c>
      <c r="BD479" s="1" t="str">
        <f>IFERROR($BC$3&amp;VLOOKUP(F481,'Pay Table'!$M$3:$N$18,2,FALSE)&amp;$BB$3&amp;G481&amp;$BD$3,"")</f>
        <v/>
      </c>
      <c r="BE479" s="1" t="str">
        <f>IFERROR($BC$3&amp;VLOOKUP(H481,'Pay Table'!$M$3:$N$18,2,FALSE)&amp;$BB$3&amp;I481&amp;$BD$3,"")</f>
        <v/>
      </c>
      <c r="BF479" s="27" t="str">
        <f>IFERROR($BC$3&amp;VLOOKUP(J481,'Pay Table'!$M$3:$N$18,2,FALSE)&amp;$BB$3&amp;K481&amp;$BD$3,"")</f>
        <v/>
      </c>
    </row>
    <row r="480" spans="54:58" x14ac:dyDescent="0.15">
      <c r="BB480" s="26" t="str">
        <f>IFERROR($BC$3&amp;VLOOKUP(B482,'Pay Table'!$M$3:$N$18,2,FALSE)&amp;$BB$3&amp;C482&amp;$BD$3,"")</f>
        <v/>
      </c>
      <c r="BC480" s="1" t="str">
        <f>IFERROR($BC$3&amp;VLOOKUP(D482,'Pay Table'!$M$3:$N$18,2,FALSE)&amp;$BB$3&amp;E482&amp;$BD$3,"")</f>
        <v/>
      </c>
      <c r="BD480" s="1" t="str">
        <f>IFERROR($BC$3&amp;VLOOKUP(F482,'Pay Table'!$M$3:$N$18,2,FALSE)&amp;$BB$3&amp;G482&amp;$BD$3,"")</f>
        <v/>
      </c>
      <c r="BE480" s="1" t="str">
        <f>IFERROR($BC$3&amp;VLOOKUP(H482,'Pay Table'!$M$3:$N$18,2,FALSE)&amp;$BB$3&amp;I482&amp;$BD$3,"")</f>
        <v/>
      </c>
      <c r="BF480" s="27" t="str">
        <f>IFERROR($BC$3&amp;VLOOKUP(J482,'Pay Table'!$M$3:$N$18,2,FALSE)&amp;$BB$3&amp;K482&amp;$BD$3,"")</f>
        <v/>
      </c>
    </row>
    <row r="481" spans="54:58" x14ac:dyDescent="0.15">
      <c r="BB481" s="26" t="str">
        <f>IFERROR($BC$3&amp;VLOOKUP(B483,'Pay Table'!$M$3:$N$18,2,FALSE)&amp;$BB$3&amp;C483&amp;$BD$3,"")</f>
        <v/>
      </c>
      <c r="BC481" s="1" t="str">
        <f>IFERROR($BC$3&amp;VLOOKUP(D483,'Pay Table'!$M$3:$N$18,2,FALSE)&amp;$BB$3&amp;E483&amp;$BD$3,"")</f>
        <v/>
      </c>
      <c r="BD481" s="1" t="str">
        <f>IFERROR($BC$3&amp;VLOOKUP(F483,'Pay Table'!$M$3:$N$18,2,FALSE)&amp;$BB$3&amp;G483&amp;$BD$3,"")</f>
        <v/>
      </c>
      <c r="BE481" s="1" t="str">
        <f>IFERROR($BC$3&amp;VLOOKUP(H483,'Pay Table'!$M$3:$N$18,2,FALSE)&amp;$BB$3&amp;I483&amp;$BD$3,"")</f>
        <v/>
      </c>
      <c r="BF481" s="27" t="str">
        <f>IFERROR($BC$3&amp;VLOOKUP(J483,'Pay Table'!$M$3:$N$18,2,FALSE)&amp;$BB$3&amp;K483&amp;$BD$3,"")</f>
        <v/>
      </c>
    </row>
    <row r="482" spans="54:58" x14ac:dyDescent="0.15">
      <c r="BB482" s="26" t="str">
        <f>IFERROR($BC$3&amp;VLOOKUP(B484,'Pay Table'!$M$3:$N$18,2,FALSE)&amp;$BB$3&amp;C484&amp;$BD$3,"")</f>
        <v/>
      </c>
      <c r="BC482" s="1" t="str">
        <f>IFERROR($BC$3&amp;VLOOKUP(D484,'Pay Table'!$M$3:$N$18,2,FALSE)&amp;$BB$3&amp;E484&amp;$BD$3,"")</f>
        <v/>
      </c>
      <c r="BD482" s="1" t="str">
        <f>IFERROR($BC$3&amp;VLOOKUP(F484,'Pay Table'!$M$3:$N$18,2,FALSE)&amp;$BB$3&amp;G484&amp;$BD$3,"")</f>
        <v/>
      </c>
      <c r="BE482" s="1" t="str">
        <f>IFERROR($BC$3&amp;VLOOKUP(H484,'Pay Table'!$M$3:$N$18,2,FALSE)&amp;$BB$3&amp;I484&amp;$BD$3,"")</f>
        <v/>
      </c>
      <c r="BF482" s="27" t="str">
        <f>IFERROR($BC$3&amp;VLOOKUP(J484,'Pay Table'!$M$3:$N$18,2,FALSE)&amp;$BB$3&amp;K484&amp;$BD$3,"")</f>
        <v/>
      </c>
    </row>
    <row r="483" spans="54:58" x14ac:dyDescent="0.15">
      <c r="BB483" s="26" t="str">
        <f>IFERROR($BC$3&amp;VLOOKUP(B485,'Pay Table'!$M$3:$N$18,2,FALSE)&amp;$BB$3&amp;C485&amp;$BD$3,"")</f>
        <v/>
      </c>
      <c r="BC483" s="1" t="str">
        <f>IFERROR($BC$3&amp;VLOOKUP(D485,'Pay Table'!$M$3:$N$18,2,FALSE)&amp;$BB$3&amp;E485&amp;$BD$3,"")</f>
        <v/>
      </c>
      <c r="BD483" s="1" t="str">
        <f>IFERROR($BC$3&amp;VLOOKUP(F485,'Pay Table'!$M$3:$N$18,2,FALSE)&amp;$BB$3&amp;G485&amp;$BD$3,"")</f>
        <v/>
      </c>
      <c r="BE483" s="1" t="str">
        <f>IFERROR($BC$3&amp;VLOOKUP(H485,'Pay Table'!$M$3:$N$18,2,FALSE)&amp;$BB$3&amp;I485&amp;$BD$3,"")</f>
        <v/>
      </c>
      <c r="BF483" s="27" t="str">
        <f>IFERROR($BC$3&amp;VLOOKUP(J485,'Pay Table'!$M$3:$N$18,2,FALSE)&amp;$BB$3&amp;K485&amp;$BD$3,"")</f>
        <v/>
      </c>
    </row>
    <row r="484" spans="54:58" x14ac:dyDescent="0.15">
      <c r="BB484" s="26" t="str">
        <f>IFERROR($BC$3&amp;VLOOKUP(B486,'Pay Table'!$M$3:$N$18,2,FALSE)&amp;$BB$3&amp;C486&amp;$BD$3,"")</f>
        <v/>
      </c>
      <c r="BC484" s="1" t="str">
        <f>IFERROR($BC$3&amp;VLOOKUP(D486,'Pay Table'!$M$3:$N$18,2,FALSE)&amp;$BB$3&amp;E486&amp;$BD$3,"")</f>
        <v/>
      </c>
      <c r="BD484" s="1" t="str">
        <f>IFERROR($BC$3&amp;VLOOKUP(F486,'Pay Table'!$M$3:$N$18,2,FALSE)&amp;$BB$3&amp;G486&amp;$BD$3,"")</f>
        <v/>
      </c>
      <c r="BE484" s="1" t="str">
        <f>IFERROR($BC$3&amp;VLOOKUP(H486,'Pay Table'!$M$3:$N$18,2,FALSE)&amp;$BB$3&amp;I486&amp;$BD$3,"")</f>
        <v/>
      </c>
      <c r="BF484" s="27" t="str">
        <f>IFERROR($BC$3&amp;VLOOKUP(J486,'Pay Table'!$M$3:$N$18,2,FALSE)&amp;$BB$3&amp;K486&amp;$BD$3,"")</f>
        <v/>
      </c>
    </row>
    <row r="485" spans="54:58" x14ac:dyDescent="0.15">
      <c r="BB485" s="26" t="str">
        <f>IFERROR($BC$3&amp;VLOOKUP(B487,'Pay Table'!$M$3:$N$18,2,FALSE)&amp;$BB$3&amp;C487&amp;$BD$3,"")</f>
        <v/>
      </c>
      <c r="BC485" s="1" t="str">
        <f>IFERROR($BC$3&amp;VLOOKUP(D487,'Pay Table'!$M$3:$N$18,2,FALSE)&amp;$BB$3&amp;E487&amp;$BD$3,"")</f>
        <v/>
      </c>
      <c r="BD485" s="1" t="str">
        <f>IFERROR($BC$3&amp;VLOOKUP(F487,'Pay Table'!$M$3:$N$18,2,FALSE)&amp;$BB$3&amp;G487&amp;$BD$3,"")</f>
        <v/>
      </c>
      <c r="BE485" s="1" t="str">
        <f>IFERROR($BC$3&amp;VLOOKUP(H487,'Pay Table'!$M$3:$N$18,2,FALSE)&amp;$BB$3&amp;I487&amp;$BD$3,"")</f>
        <v/>
      </c>
      <c r="BF485" s="27" t="str">
        <f>IFERROR($BC$3&amp;VLOOKUP(J487,'Pay Table'!$M$3:$N$18,2,FALSE)&amp;$BB$3&amp;K487&amp;$BD$3,"")</f>
        <v/>
      </c>
    </row>
    <row r="486" spans="54:58" x14ac:dyDescent="0.15">
      <c r="BB486" s="26" t="str">
        <f>IFERROR($BC$3&amp;VLOOKUP(B488,'Pay Table'!$M$3:$N$18,2,FALSE)&amp;$BB$3&amp;C488&amp;$BD$3,"")</f>
        <v/>
      </c>
      <c r="BC486" s="1" t="str">
        <f>IFERROR($BC$3&amp;VLOOKUP(D488,'Pay Table'!$M$3:$N$18,2,FALSE)&amp;$BB$3&amp;E488&amp;$BD$3,"")</f>
        <v/>
      </c>
      <c r="BD486" s="1" t="str">
        <f>IFERROR($BC$3&amp;VLOOKUP(F488,'Pay Table'!$M$3:$N$18,2,FALSE)&amp;$BB$3&amp;G488&amp;$BD$3,"")</f>
        <v/>
      </c>
      <c r="BE486" s="1" t="str">
        <f>IFERROR($BC$3&amp;VLOOKUP(H488,'Pay Table'!$M$3:$N$18,2,FALSE)&amp;$BB$3&amp;I488&amp;$BD$3,"")</f>
        <v/>
      </c>
      <c r="BF486" s="27" t="str">
        <f>IFERROR($BC$3&amp;VLOOKUP(J488,'Pay Table'!$M$3:$N$18,2,FALSE)&amp;$BB$3&amp;K488&amp;$BD$3,"")</f>
        <v/>
      </c>
    </row>
    <row r="487" spans="54:58" x14ac:dyDescent="0.15">
      <c r="BB487" s="26" t="str">
        <f>IFERROR($BC$3&amp;VLOOKUP(B489,'Pay Table'!$M$3:$N$18,2,FALSE)&amp;$BB$3&amp;C489&amp;$BD$3,"")</f>
        <v/>
      </c>
      <c r="BC487" s="1" t="str">
        <f>IFERROR($BC$3&amp;VLOOKUP(D489,'Pay Table'!$M$3:$N$18,2,FALSE)&amp;$BB$3&amp;E489&amp;$BD$3,"")</f>
        <v/>
      </c>
      <c r="BD487" s="1" t="str">
        <f>IFERROR($BC$3&amp;VLOOKUP(F489,'Pay Table'!$M$3:$N$18,2,FALSE)&amp;$BB$3&amp;G489&amp;$BD$3,"")</f>
        <v/>
      </c>
      <c r="BE487" s="1" t="str">
        <f>IFERROR($BC$3&amp;VLOOKUP(H489,'Pay Table'!$M$3:$N$18,2,FALSE)&amp;$BB$3&amp;I489&amp;$BD$3,"")</f>
        <v/>
      </c>
      <c r="BF487" s="27" t="str">
        <f>IFERROR($BC$3&amp;VLOOKUP(J489,'Pay Table'!$M$3:$N$18,2,FALSE)&amp;$BB$3&amp;K489&amp;$BD$3,"")</f>
        <v/>
      </c>
    </row>
    <row r="488" spans="54:58" x14ac:dyDescent="0.15">
      <c r="BB488" s="26" t="str">
        <f>IFERROR($BC$3&amp;VLOOKUP(B490,'Pay Table'!$M$3:$N$18,2,FALSE)&amp;$BB$3&amp;C490&amp;$BD$3,"")</f>
        <v/>
      </c>
      <c r="BC488" s="1" t="str">
        <f>IFERROR($BC$3&amp;VLOOKUP(D490,'Pay Table'!$M$3:$N$18,2,FALSE)&amp;$BB$3&amp;E490&amp;$BD$3,"")</f>
        <v/>
      </c>
      <c r="BD488" s="1" t="str">
        <f>IFERROR($BC$3&amp;VLOOKUP(F490,'Pay Table'!$M$3:$N$18,2,FALSE)&amp;$BB$3&amp;G490&amp;$BD$3,"")</f>
        <v/>
      </c>
      <c r="BE488" s="1" t="str">
        <f>IFERROR($BC$3&amp;VLOOKUP(H490,'Pay Table'!$M$3:$N$18,2,FALSE)&amp;$BB$3&amp;I490&amp;$BD$3,"")</f>
        <v/>
      </c>
      <c r="BF488" s="27" t="str">
        <f>IFERROR($BC$3&amp;VLOOKUP(J490,'Pay Table'!$M$3:$N$18,2,FALSE)&amp;$BB$3&amp;K490&amp;$BD$3,"")</f>
        <v/>
      </c>
    </row>
    <row r="489" spans="54:58" x14ac:dyDescent="0.15">
      <c r="BB489" s="26" t="str">
        <f>IFERROR($BC$3&amp;VLOOKUP(B491,'Pay Table'!$M$3:$N$18,2,FALSE)&amp;$BB$3&amp;C491&amp;$BD$3,"")</f>
        <v/>
      </c>
      <c r="BC489" s="1" t="str">
        <f>IFERROR($BC$3&amp;VLOOKUP(D491,'Pay Table'!$M$3:$N$18,2,FALSE)&amp;$BB$3&amp;E491&amp;$BD$3,"")</f>
        <v/>
      </c>
      <c r="BD489" s="1" t="str">
        <f>IFERROR($BC$3&amp;VLOOKUP(F491,'Pay Table'!$M$3:$N$18,2,FALSE)&amp;$BB$3&amp;G491&amp;$BD$3,"")</f>
        <v/>
      </c>
      <c r="BE489" s="1" t="str">
        <f>IFERROR($BC$3&amp;VLOOKUP(H491,'Pay Table'!$M$3:$N$18,2,FALSE)&amp;$BB$3&amp;I491&amp;$BD$3,"")</f>
        <v/>
      </c>
      <c r="BF489" s="27" t="str">
        <f>IFERROR($BC$3&amp;VLOOKUP(J491,'Pay Table'!$M$3:$N$18,2,FALSE)&amp;$BB$3&amp;K491&amp;$BD$3,"")</f>
        <v/>
      </c>
    </row>
    <row r="490" spans="54:58" x14ac:dyDescent="0.15">
      <c r="BB490" s="26" t="str">
        <f>IFERROR($BC$3&amp;VLOOKUP(B492,'Pay Table'!$M$3:$N$18,2,FALSE)&amp;$BB$3&amp;C492&amp;$BD$3,"")</f>
        <v/>
      </c>
      <c r="BC490" s="1" t="str">
        <f>IFERROR($BC$3&amp;VLOOKUP(D492,'Pay Table'!$M$3:$N$18,2,FALSE)&amp;$BB$3&amp;E492&amp;$BD$3,"")</f>
        <v/>
      </c>
      <c r="BD490" s="1" t="str">
        <f>IFERROR($BC$3&amp;VLOOKUP(F492,'Pay Table'!$M$3:$N$18,2,FALSE)&amp;$BB$3&amp;G492&amp;$BD$3,"")</f>
        <v/>
      </c>
      <c r="BE490" s="1" t="str">
        <f>IFERROR($BC$3&amp;VLOOKUP(H492,'Pay Table'!$M$3:$N$18,2,FALSE)&amp;$BB$3&amp;I492&amp;$BD$3,"")</f>
        <v/>
      </c>
      <c r="BF490" s="27" t="str">
        <f>IFERROR($BC$3&amp;VLOOKUP(J492,'Pay Table'!$M$3:$N$18,2,FALSE)&amp;$BB$3&amp;K492&amp;$BD$3,"")</f>
        <v/>
      </c>
    </row>
    <row r="491" spans="54:58" x14ac:dyDescent="0.15">
      <c r="BB491" s="26" t="str">
        <f>IFERROR($BC$3&amp;VLOOKUP(B493,'Pay Table'!$M$3:$N$18,2,FALSE)&amp;$BB$3&amp;C493&amp;$BD$3,"")</f>
        <v/>
      </c>
      <c r="BC491" s="1" t="str">
        <f>IFERROR($BC$3&amp;VLOOKUP(D493,'Pay Table'!$M$3:$N$18,2,FALSE)&amp;$BB$3&amp;E493&amp;$BD$3,"")</f>
        <v/>
      </c>
      <c r="BD491" s="1" t="str">
        <f>IFERROR($BC$3&amp;VLOOKUP(F493,'Pay Table'!$M$3:$N$18,2,FALSE)&amp;$BB$3&amp;G493&amp;$BD$3,"")</f>
        <v/>
      </c>
      <c r="BE491" s="1" t="str">
        <f>IFERROR($BC$3&amp;VLOOKUP(H493,'Pay Table'!$M$3:$N$18,2,FALSE)&amp;$BB$3&amp;I493&amp;$BD$3,"")</f>
        <v/>
      </c>
      <c r="BF491" s="27" t="str">
        <f>IFERROR($BC$3&amp;VLOOKUP(J493,'Pay Table'!$M$3:$N$18,2,FALSE)&amp;$BB$3&amp;K493&amp;$BD$3,"")</f>
        <v/>
      </c>
    </row>
    <row r="492" spans="54:58" x14ac:dyDescent="0.15">
      <c r="BB492" s="26" t="str">
        <f>IFERROR($BC$3&amp;VLOOKUP(B494,'Pay Table'!$M$3:$N$18,2,FALSE)&amp;$BB$3&amp;C494&amp;$BD$3,"")</f>
        <v/>
      </c>
      <c r="BC492" s="1" t="str">
        <f>IFERROR($BC$3&amp;VLOOKUP(D494,'Pay Table'!$M$3:$N$18,2,FALSE)&amp;$BB$3&amp;E494&amp;$BD$3,"")</f>
        <v/>
      </c>
      <c r="BD492" s="1" t="str">
        <f>IFERROR($BC$3&amp;VLOOKUP(F494,'Pay Table'!$M$3:$N$18,2,FALSE)&amp;$BB$3&amp;G494&amp;$BD$3,"")</f>
        <v/>
      </c>
      <c r="BE492" s="1" t="str">
        <f>IFERROR($BC$3&amp;VLOOKUP(H494,'Pay Table'!$M$3:$N$18,2,FALSE)&amp;$BB$3&amp;I494&amp;$BD$3,"")</f>
        <v/>
      </c>
      <c r="BF492" s="27" t="str">
        <f>IFERROR($BC$3&amp;VLOOKUP(J494,'Pay Table'!$M$3:$N$18,2,FALSE)&amp;$BB$3&amp;K494&amp;$BD$3,"")</f>
        <v/>
      </c>
    </row>
    <row r="493" spans="54:58" x14ac:dyDescent="0.15">
      <c r="BB493" s="26" t="str">
        <f>IFERROR($BC$3&amp;VLOOKUP(B495,'Pay Table'!$M$3:$N$18,2,FALSE)&amp;$BB$3&amp;C495&amp;$BD$3,"")</f>
        <v/>
      </c>
      <c r="BC493" s="1" t="str">
        <f>IFERROR($BC$3&amp;VLOOKUP(D495,'Pay Table'!$M$3:$N$18,2,FALSE)&amp;$BB$3&amp;E495&amp;$BD$3,"")</f>
        <v/>
      </c>
      <c r="BD493" s="1" t="str">
        <f>IFERROR($BC$3&amp;VLOOKUP(F495,'Pay Table'!$M$3:$N$18,2,FALSE)&amp;$BB$3&amp;G495&amp;$BD$3,"")</f>
        <v/>
      </c>
      <c r="BE493" s="1" t="str">
        <f>IFERROR($BC$3&amp;VLOOKUP(H495,'Pay Table'!$M$3:$N$18,2,FALSE)&amp;$BB$3&amp;I495&amp;$BD$3,"")</f>
        <v/>
      </c>
      <c r="BF493" s="27" t="str">
        <f>IFERROR($BC$3&amp;VLOOKUP(J495,'Pay Table'!$M$3:$N$18,2,FALSE)&amp;$BB$3&amp;K495&amp;$BD$3,"")</f>
        <v/>
      </c>
    </row>
    <row r="494" spans="54:58" x14ac:dyDescent="0.15">
      <c r="BB494" s="26" t="str">
        <f>IFERROR($BC$3&amp;VLOOKUP(B496,'Pay Table'!$M$3:$N$18,2,FALSE)&amp;$BB$3&amp;C496&amp;$BD$3,"")</f>
        <v/>
      </c>
      <c r="BC494" s="1" t="str">
        <f>IFERROR($BC$3&amp;VLOOKUP(D496,'Pay Table'!$M$3:$N$18,2,FALSE)&amp;$BB$3&amp;E496&amp;$BD$3,"")</f>
        <v/>
      </c>
      <c r="BD494" s="1" t="str">
        <f>IFERROR($BC$3&amp;VLOOKUP(F496,'Pay Table'!$M$3:$N$18,2,FALSE)&amp;$BB$3&amp;G496&amp;$BD$3,"")</f>
        <v/>
      </c>
      <c r="BE494" s="1" t="str">
        <f>IFERROR($BC$3&amp;VLOOKUP(H496,'Pay Table'!$M$3:$N$18,2,FALSE)&amp;$BB$3&amp;I496&amp;$BD$3,"")</f>
        <v/>
      </c>
      <c r="BF494" s="27" t="str">
        <f>IFERROR($BC$3&amp;VLOOKUP(J496,'Pay Table'!$M$3:$N$18,2,FALSE)&amp;$BB$3&amp;K496&amp;$BD$3,"")</f>
        <v/>
      </c>
    </row>
    <row r="495" spans="54:58" x14ac:dyDescent="0.15">
      <c r="BB495" s="26" t="str">
        <f>IFERROR($BC$3&amp;VLOOKUP(B497,'Pay Table'!$M$3:$N$18,2,FALSE)&amp;$BB$3&amp;C497&amp;$BD$3,"")</f>
        <v/>
      </c>
      <c r="BC495" s="1" t="str">
        <f>IFERROR($BC$3&amp;VLOOKUP(D497,'Pay Table'!$M$3:$N$18,2,FALSE)&amp;$BB$3&amp;E497&amp;$BD$3,"")</f>
        <v/>
      </c>
      <c r="BD495" s="1" t="str">
        <f>IFERROR($BC$3&amp;VLOOKUP(F497,'Pay Table'!$M$3:$N$18,2,FALSE)&amp;$BB$3&amp;G497&amp;$BD$3,"")</f>
        <v/>
      </c>
      <c r="BE495" s="1" t="str">
        <f>IFERROR($BC$3&amp;VLOOKUP(H497,'Pay Table'!$M$3:$N$18,2,FALSE)&amp;$BB$3&amp;I497&amp;$BD$3,"")</f>
        <v/>
      </c>
      <c r="BF495" s="27" t="str">
        <f>IFERROR($BC$3&amp;VLOOKUP(J497,'Pay Table'!$M$3:$N$18,2,FALSE)&amp;$BB$3&amp;K497&amp;$BD$3,"")</f>
        <v/>
      </c>
    </row>
    <row r="496" spans="54:58" x14ac:dyDescent="0.15">
      <c r="BB496" s="26" t="str">
        <f>IFERROR($BC$3&amp;VLOOKUP(B498,'Pay Table'!$M$3:$N$18,2,FALSE)&amp;$BB$3&amp;C498&amp;$BD$3,"")</f>
        <v/>
      </c>
      <c r="BC496" s="1" t="str">
        <f>IFERROR($BC$3&amp;VLOOKUP(D498,'Pay Table'!$M$3:$N$18,2,FALSE)&amp;$BB$3&amp;E498&amp;$BD$3,"")</f>
        <v/>
      </c>
      <c r="BD496" s="1" t="str">
        <f>IFERROR($BC$3&amp;VLOOKUP(F498,'Pay Table'!$M$3:$N$18,2,FALSE)&amp;$BB$3&amp;G498&amp;$BD$3,"")</f>
        <v/>
      </c>
      <c r="BE496" s="1" t="str">
        <f>IFERROR($BC$3&amp;VLOOKUP(H498,'Pay Table'!$M$3:$N$18,2,FALSE)&amp;$BB$3&amp;I498&amp;$BD$3,"")</f>
        <v/>
      </c>
      <c r="BF496" s="27" t="str">
        <f>IFERROR($BC$3&amp;VLOOKUP(J498,'Pay Table'!$M$3:$N$18,2,FALSE)&amp;$BB$3&amp;K498&amp;$BD$3,"")</f>
        <v/>
      </c>
    </row>
    <row r="497" spans="54:58" x14ac:dyDescent="0.15">
      <c r="BB497" s="26" t="str">
        <f>IFERROR($BC$3&amp;VLOOKUP(B499,'Pay Table'!$M$3:$N$18,2,FALSE)&amp;$BB$3&amp;C499&amp;$BD$3,"")</f>
        <v/>
      </c>
      <c r="BC497" s="1" t="str">
        <f>IFERROR($BC$3&amp;VLOOKUP(D499,'Pay Table'!$M$3:$N$18,2,FALSE)&amp;$BB$3&amp;E499&amp;$BD$3,"")</f>
        <v/>
      </c>
      <c r="BD497" s="1" t="str">
        <f>IFERROR($BC$3&amp;VLOOKUP(F499,'Pay Table'!$M$3:$N$18,2,FALSE)&amp;$BB$3&amp;G499&amp;$BD$3,"")</f>
        <v/>
      </c>
      <c r="BE497" s="1" t="str">
        <f>IFERROR($BC$3&amp;VLOOKUP(H499,'Pay Table'!$M$3:$N$18,2,FALSE)&amp;$BB$3&amp;I499&amp;$BD$3,"")</f>
        <v/>
      </c>
      <c r="BF497" s="27" t="str">
        <f>IFERROR($BC$3&amp;VLOOKUP(J499,'Pay Table'!$M$3:$N$18,2,FALSE)&amp;$BB$3&amp;K499&amp;$BD$3,"")</f>
        <v/>
      </c>
    </row>
    <row r="498" spans="54:58" x14ac:dyDescent="0.15">
      <c r="BB498" s="26" t="str">
        <f>IFERROR($BC$3&amp;VLOOKUP(B500,'Pay Table'!$M$3:$N$18,2,FALSE)&amp;$BB$3&amp;C500&amp;$BD$3,"")</f>
        <v/>
      </c>
      <c r="BC498" s="1" t="str">
        <f>IFERROR($BC$3&amp;VLOOKUP(D500,'Pay Table'!$M$3:$N$18,2,FALSE)&amp;$BB$3&amp;E500&amp;$BD$3,"")</f>
        <v/>
      </c>
      <c r="BD498" s="1" t="str">
        <f>IFERROR($BC$3&amp;VLOOKUP(F500,'Pay Table'!$M$3:$N$18,2,FALSE)&amp;$BB$3&amp;G500&amp;$BD$3,"")</f>
        <v/>
      </c>
      <c r="BE498" s="1" t="str">
        <f>IFERROR($BC$3&amp;VLOOKUP(H500,'Pay Table'!$M$3:$N$18,2,FALSE)&amp;$BB$3&amp;I500&amp;$BD$3,"")</f>
        <v/>
      </c>
      <c r="BF498" s="27" t="str">
        <f>IFERROR($BC$3&amp;VLOOKUP(J500,'Pay Table'!$M$3:$N$18,2,FALSE)&amp;$BB$3&amp;K500&amp;$BD$3,"")</f>
        <v/>
      </c>
    </row>
    <row r="499" spans="54:58" x14ac:dyDescent="0.15">
      <c r="BB499" s="26" t="str">
        <f>IFERROR($BC$3&amp;VLOOKUP(B501,'Pay Table'!$M$3:$N$18,2,FALSE)&amp;$BB$3&amp;C501&amp;$BD$3,"")</f>
        <v/>
      </c>
      <c r="BC499" s="1" t="str">
        <f>IFERROR($BC$3&amp;VLOOKUP(D501,'Pay Table'!$M$3:$N$18,2,FALSE)&amp;$BB$3&amp;E501&amp;$BD$3,"")</f>
        <v/>
      </c>
      <c r="BD499" s="1" t="str">
        <f>IFERROR($BC$3&amp;VLOOKUP(F501,'Pay Table'!$M$3:$N$18,2,FALSE)&amp;$BB$3&amp;G501&amp;$BD$3,"")</f>
        <v/>
      </c>
      <c r="BE499" s="1" t="str">
        <f>IFERROR($BC$3&amp;VLOOKUP(H501,'Pay Table'!$M$3:$N$18,2,FALSE)&amp;$BB$3&amp;I501&amp;$BD$3,"")</f>
        <v/>
      </c>
      <c r="BF499" s="27" t="str">
        <f>IFERROR($BC$3&amp;VLOOKUP(J501,'Pay Table'!$M$3:$N$18,2,FALSE)&amp;$BB$3&amp;K501&amp;$BD$3,"")</f>
        <v/>
      </c>
    </row>
    <row r="500" spans="54:58" x14ac:dyDescent="0.15">
      <c r="BB500" s="26" t="str">
        <f>IFERROR($BC$3&amp;VLOOKUP(B502,'Pay Table'!$M$3:$N$18,2,FALSE)&amp;$BB$3&amp;C502&amp;$BD$3,"")</f>
        <v/>
      </c>
      <c r="BC500" s="1" t="str">
        <f>IFERROR($BC$3&amp;VLOOKUP(D502,'Pay Table'!$M$3:$N$18,2,FALSE)&amp;$BB$3&amp;E502&amp;$BD$3,"")</f>
        <v/>
      </c>
      <c r="BD500" s="1" t="str">
        <f>IFERROR($BC$3&amp;VLOOKUP(F502,'Pay Table'!$M$3:$N$18,2,FALSE)&amp;$BB$3&amp;G502&amp;$BD$3,"")</f>
        <v/>
      </c>
      <c r="BE500" s="1" t="str">
        <f>IFERROR($BC$3&amp;VLOOKUP(H502,'Pay Table'!$M$3:$N$18,2,FALSE)&amp;$BB$3&amp;I502&amp;$BD$3,"")</f>
        <v/>
      </c>
      <c r="BF500" s="27" t="str">
        <f>IFERROR($BC$3&amp;VLOOKUP(J502,'Pay Table'!$M$3:$N$18,2,FALSE)&amp;$BB$3&amp;K502&amp;$BD$3,"")</f>
        <v/>
      </c>
    </row>
    <row r="501" spans="54:58" x14ac:dyDescent="0.15">
      <c r="BB501" s="26" t="str">
        <f>IFERROR($BC$3&amp;VLOOKUP(B503,'Pay Table'!$M$3:$N$18,2,FALSE)&amp;$BB$3&amp;C503&amp;$BD$3,"")</f>
        <v/>
      </c>
      <c r="BC501" s="1" t="str">
        <f>IFERROR($BC$3&amp;VLOOKUP(D503,'Pay Table'!$M$3:$N$18,2,FALSE)&amp;$BB$3&amp;E503&amp;$BD$3,"")</f>
        <v/>
      </c>
      <c r="BD501" s="1" t="str">
        <f>IFERROR($BC$3&amp;VLOOKUP(F503,'Pay Table'!$M$3:$N$18,2,FALSE)&amp;$BB$3&amp;G503&amp;$BD$3,"")</f>
        <v/>
      </c>
      <c r="BE501" s="1" t="str">
        <f>IFERROR($BC$3&amp;VLOOKUP(H503,'Pay Table'!$M$3:$N$18,2,FALSE)&amp;$BB$3&amp;I503&amp;$BD$3,"")</f>
        <v/>
      </c>
      <c r="BF501" s="27" t="str">
        <f>IFERROR($BC$3&amp;VLOOKUP(J503,'Pay Table'!$M$3:$N$18,2,FALSE)&amp;$BB$3&amp;K503&amp;$BD$3,"")</f>
        <v/>
      </c>
    </row>
    <row r="502" spans="54:58" x14ac:dyDescent="0.15">
      <c r="BB502" s="26" t="str">
        <f>IFERROR($BC$3&amp;VLOOKUP(B504,'Pay Table'!$M$3:$N$18,2,FALSE)&amp;$BB$3&amp;C504&amp;$BD$3,"")</f>
        <v/>
      </c>
      <c r="BC502" s="1" t="str">
        <f>IFERROR($BC$3&amp;VLOOKUP(D504,'Pay Table'!$M$3:$N$18,2,FALSE)&amp;$BB$3&amp;E504&amp;$BD$3,"")</f>
        <v/>
      </c>
      <c r="BD502" s="1" t="str">
        <f>IFERROR($BC$3&amp;VLOOKUP(F504,'Pay Table'!$M$3:$N$18,2,FALSE)&amp;$BB$3&amp;G504&amp;$BD$3,"")</f>
        <v/>
      </c>
      <c r="BE502" s="1" t="str">
        <f>IFERROR($BC$3&amp;VLOOKUP(H504,'Pay Table'!$M$3:$N$18,2,FALSE)&amp;$BB$3&amp;I504&amp;$BD$3,"")</f>
        <v/>
      </c>
      <c r="BF502" s="27" t="str">
        <f>IFERROR($BC$3&amp;VLOOKUP(J504,'Pay Table'!$M$3:$N$18,2,FALSE)&amp;$BB$3&amp;K504&amp;$BD$3,"")</f>
        <v/>
      </c>
    </row>
    <row r="503" spans="54:58" x14ac:dyDescent="0.15">
      <c r="BB503" s="26" t="str">
        <f>IFERROR($BC$3&amp;VLOOKUP(B505,'Pay Table'!$M$3:$N$18,2,FALSE)&amp;$BB$3&amp;C505&amp;$BD$3,"")</f>
        <v/>
      </c>
      <c r="BC503" s="1" t="str">
        <f>IFERROR($BC$3&amp;VLOOKUP(D505,'Pay Table'!$M$3:$N$18,2,FALSE)&amp;$BB$3&amp;E505&amp;$BD$3,"")</f>
        <v/>
      </c>
      <c r="BD503" s="1" t="str">
        <f>IFERROR($BC$3&amp;VLOOKUP(F505,'Pay Table'!$M$3:$N$18,2,FALSE)&amp;$BB$3&amp;G505&amp;$BD$3,"")</f>
        <v/>
      </c>
      <c r="BE503" s="1" t="str">
        <f>IFERROR($BC$3&amp;VLOOKUP(H505,'Pay Table'!$M$3:$N$18,2,FALSE)&amp;$BB$3&amp;I505&amp;$BD$3,"")</f>
        <v/>
      </c>
      <c r="BF503" s="27" t="str">
        <f>IFERROR($BC$3&amp;VLOOKUP(J505,'Pay Table'!$M$3:$N$18,2,FALSE)&amp;$BB$3&amp;K505&amp;$BD$3,"")</f>
        <v/>
      </c>
    </row>
    <row r="504" spans="54:58" x14ac:dyDescent="0.15">
      <c r="BB504" s="26" t="str">
        <f>IFERROR($BC$3&amp;VLOOKUP(B506,'Pay Table'!$M$3:$N$18,2,FALSE)&amp;$BB$3&amp;C506&amp;$BD$3,"")</f>
        <v/>
      </c>
      <c r="BC504" s="1" t="str">
        <f>IFERROR($BC$3&amp;VLOOKUP(D506,'Pay Table'!$M$3:$N$18,2,FALSE)&amp;$BB$3&amp;E506&amp;$BD$3,"")</f>
        <v/>
      </c>
      <c r="BD504" s="1" t="str">
        <f>IFERROR($BC$3&amp;VLOOKUP(F506,'Pay Table'!$M$3:$N$18,2,FALSE)&amp;$BB$3&amp;G506&amp;$BD$3,"")</f>
        <v/>
      </c>
      <c r="BE504" s="1" t="str">
        <f>IFERROR($BC$3&amp;VLOOKUP(H506,'Pay Table'!$M$3:$N$18,2,FALSE)&amp;$BB$3&amp;I506&amp;$BD$3,"")</f>
        <v/>
      </c>
      <c r="BF504" s="27" t="str">
        <f>IFERROR($BC$3&amp;VLOOKUP(J506,'Pay Table'!$M$3:$N$18,2,FALSE)&amp;$BB$3&amp;K506&amp;$BD$3,"")</f>
        <v/>
      </c>
    </row>
    <row r="505" spans="54:58" x14ac:dyDescent="0.15">
      <c r="BB505" s="26" t="str">
        <f>IFERROR($BC$3&amp;VLOOKUP(B507,'Pay Table'!$M$3:$N$18,2,FALSE)&amp;$BB$3&amp;C507&amp;$BD$3,"")</f>
        <v/>
      </c>
      <c r="BC505" s="1" t="str">
        <f>IFERROR($BC$3&amp;VLOOKUP(D507,'Pay Table'!$M$3:$N$18,2,FALSE)&amp;$BB$3&amp;E507&amp;$BD$3,"")</f>
        <v/>
      </c>
      <c r="BD505" s="1" t="str">
        <f>IFERROR($BC$3&amp;VLOOKUP(F507,'Pay Table'!$M$3:$N$18,2,FALSE)&amp;$BB$3&amp;G507&amp;$BD$3,"")</f>
        <v/>
      </c>
      <c r="BE505" s="1" t="str">
        <f>IFERROR($BC$3&amp;VLOOKUP(H507,'Pay Table'!$M$3:$N$18,2,FALSE)&amp;$BB$3&amp;I507&amp;$BD$3,"")</f>
        <v/>
      </c>
      <c r="BF505" s="27" t="str">
        <f>IFERROR($BC$3&amp;VLOOKUP(J507,'Pay Table'!$M$3:$N$18,2,FALSE)&amp;$BB$3&amp;K507&amp;$BD$3,"")</f>
        <v/>
      </c>
    </row>
    <row r="506" spans="54:58" x14ac:dyDescent="0.15">
      <c r="BB506" s="26" t="str">
        <f>IFERROR($BC$3&amp;VLOOKUP(B508,'Pay Table'!$M$3:$N$18,2,FALSE)&amp;$BB$3&amp;C508&amp;$BD$3,"")</f>
        <v/>
      </c>
      <c r="BC506" s="1" t="str">
        <f>IFERROR($BC$3&amp;VLOOKUP(D508,'Pay Table'!$M$3:$N$18,2,FALSE)&amp;$BB$3&amp;E508&amp;$BD$3,"")</f>
        <v/>
      </c>
      <c r="BD506" s="1" t="str">
        <f>IFERROR($BC$3&amp;VLOOKUP(F508,'Pay Table'!$M$3:$N$18,2,FALSE)&amp;$BB$3&amp;G508&amp;$BD$3,"")</f>
        <v/>
      </c>
      <c r="BE506" s="1" t="str">
        <f>IFERROR($BC$3&amp;VLOOKUP(H508,'Pay Table'!$M$3:$N$18,2,FALSE)&amp;$BB$3&amp;I508&amp;$BD$3,"")</f>
        <v/>
      </c>
      <c r="BF506" s="27" t="str">
        <f>IFERROR($BC$3&amp;VLOOKUP(J508,'Pay Table'!$M$3:$N$18,2,FALSE)&amp;$BB$3&amp;K508&amp;$BD$3,"")</f>
        <v/>
      </c>
    </row>
    <row r="507" spans="54:58" x14ac:dyDescent="0.15">
      <c r="BB507" s="26" t="str">
        <f>IFERROR($BC$3&amp;VLOOKUP(B509,'Pay Table'!$M$3:$N$18,2,FALSE)&amp;$BB$3&amp;C509&amp;$BD$3,"")</f>
        <v/>
      </c>
      <c r="BC507" s="1" t="str">
        <f>IFERROR($BC$3&amp;VLOOKUP(D509,'Pay Table'!$M$3:$N$18,2,FALSE)&amp;$BB$3&amp;E509&amp;$BD$3,"")</f>
        <v/>
      </c>
      <c r="BD507" s="1" t="str">
        <f>IFERROR($BC$3&amp;VLOOKUP(F509,'Pay Table'!$M$3:$N$18,2,FALSE)&amp;$BB$3&amp;G509&amp;$BD$3,"")</f>
        <v/>
      </c>
      <c r="BE507" s="1" t="str">
        <f>IFERROR($BC$3&amp;VLOOKUP(H509,'Pay Table'!$M$3:$N$18,2,FALSE)&amp;$BB$3&amp;I509&amp;$BD$3,"")</f>
        <v/>
      </c>
      <c r="BF507" s="27" t="str">
        <f>IFERROR($BC$3&amp;VLOOKUP(J509,'Pay Table'!$M$3:$N$18,2,FALSE)&amp;$BB$3&amp;K509&amp;$BD$3,"")</f>
        <v/>
      </c>
    </row>
    <row r="508" spans="54:58" x14ac:dyDescent="0.15">
      <c r="BB508" s="26" t="str">
        <f>IFERROR($BC$3&amp;VLOOKUP(B510,'Pay Table'!$M$3:$N$18,2,FALSE)&amp;$BB$3&amp;C510&amp;$BD$3,"")</f>
        <v/>
      </c>
      <c r="BC508" s="1" t="str">
        <f>IFERROR($BC$3&amp;VLOOKUP(D510,'Pay Table'!$M$3:$N$18,2,FALSE)&amp;$BB$3&amp;E510&amp;$BD$3,"")</f>
        <v/>
      </c>
      <c r="BD508" s="1" t="str">
        <f>IFERROR($BC$3&amp;VLOOKUP(F510,'Pay Table'!$M$3:$N$18,2,FALSE)&amp;$BB$3&amp;G510&amp;$BD$3,"")</f>
        <v/>
      </c>
      <c r="BE508" s="1" t="str">
        <f>IFERROR($BC$3&amp;VLOOKUP(H510,'Pay Table'!$M$3:$N$18,2,FALSE)&amp;$BB$3&amp;I510&amp;$BD$3,"")</f>
        <v/>
      </c>
      <c r="BF508" s="27" t="str">
        <f>IFERROR($BC$3&amp;VLOOKUP(J510,'Pay Table'!$M$3:$N$18,2,FALSE)&amp;$BB$3&amp;K510&amp;$BD$3,"")</f>
        <v/>
      </c>
    </row>
    <row r="509" spans="54:58" x14ac:dyDescent="0.15">
      <c r="BB509" s="26" t="str">
        <f>IFERROR($BC$3&amp;VLOOKUP(B511,'Pay Table'!$M$3:$N$18,2,FALSE)&amp;$BB$3&amp;C511&amp;$BD$3,"")</f>
        <v/>
      </c>
      <c r="BC509" s="1" t="str">
        <f>IFERROR($BC$3&amp;VLOOKUP(D511,'Pay Table'!$M$3:$N$18,2,FALSE)&amp;$BB$3&amp;E511&amp;$BD$3,"")</f>
        <v/>
      </c>
      <c r="BD509" s="1" t="str">
        <f>IFERROR($BC$3&amp;VLOOKUP(F511,'Pay Table'!$M$3:$N$18,2,FALSE)&amp;$BB$3&amp;G511&amp;$BD$3,"")</f>
        <v/>
      </c>
      <c r="BE509" s="1" t="str">
        <f>IFERROR($BC$3&amp;VLOOKUP(H511,'Pay Table'!$M$3:$N$18,2,FALSE)&amp;$BB$3&amp;I511&amp;$BD$3,"")</f>
        <v/>
      </c>
      <c r="BF509" s="27" t="str">
        <f>IFERROR($BC$3&amp;VLOOKUP(J511,'Pay Table'!$M$3:$N$18,2,FALSE)&amp;$BB$3&amp;K511&amp;$BD$3,"")</f>
        <v/>
      </c>
    </row>
    <row r="510" spans="54:58" x14ac:dyDescent="0.15">
      <c r="BB510" s="26" t="str">
        <f>IFERROR($BC$3&amp;VLOOKUP(B512,'Pay Table'!$M$3:$N$18,2,FALSE)&amp;$BB$3&amp;C512&amp;$BD$3,"")</f>
        <v/>
      </c>
      <c r="BC510" s="1" t="str">
        <f>IFERROR($BC$3&amp;VLOOKUP(D512,'Pay Table'!$M$3:$N$18,2,FALSE)&amp;$BB$3&amp;E512&amp;$BD$3,"")</f>
        <v/>
      </c>
      <c r="BD510" s="1" t="str">
        <f>IFERROR($BC$3&amp;VLOOKUP(F512,'Pay Table'!$M$3:$N$18,2,FALSE)&amp;$BB$3&amp;G512&amp;$BD$3,"")</f>
        <v/>
      </c>
      <c r="BE510" s="1" t="str">
        <f>IFERROR($BC$3&amp;VLOOKUP(H512,'Pay Table'!$M$3:$N$18,2,FALSE)&amp;$BB$3&amp;I512&amp;$BD$3,"")</f>
        <v/>
      </c>
      <c r="BF510" s="27" t="str">
        <f>IFERROR($BC$3&amp;VLOOKUP(J512,'Pay Table'!$M$3:$N$18,2,FALSE)&amp;$BB$3&amp;K512&amp;$BD$3,"")</f>
        <v/>
      </c>
    </row>
    <row r="511" spans="54:58" x14ac:dyDescent="0.15">
      <c r="BB511" s="26" t="str">
        <f>IFERROR($BC$3&amp;VLOOKUP(B513,'Pay Table'!$M$3:$N$18,2,FALSE)&amp;$BB$3&amp;C513&amp;$BD$3,"")</f>
        <v/>
      </c>
      <c r="BC511" s="1" t="str">
        <f>IFERROR($BC$3&amp;VLOOKUP(D513,'Pay Table'!$M$3:$N$18,2,FALSE)&amp;$BB$3&amp;E513&amp;$BD$3,"")</f>
        <v/>
      </c>
      <c r="BD511" s="1" t="str">
        <f>IFERROR($BC$3&amp;VLOOKUP(F513,'Pay Table'!$M$3:$N$18,2,FALSE)&amp;$BB$3&amp;G513&amp;$BD$3,"")</f>
        <v/>
      </c>
      <c r="BE511" s="1" t="str">
        <f>IFERROR($BC$3&amp;VLOOKUP(H513,'Pay Table'!$M$3:$N$18,2,FALSE)&amp;$BB$3&amp;I513&amp;$BD$3,"")</f>
        <v/>
      </c>
      <c r="BF511" s="27" t="str">
        <f>IFERROR($BC$3&amp;VLOOKUP(J513,'Pay Table'!$M$3:$N$18,2,FALSE)&amp;$BB$3&amp;K513&amp;$BD$3,"")</f>
        <v/>
      </c>
    </row>
    <row r="512" spans="54:58" x14ac:dyDescent="0.15">
      <c r="BB512" s="26" t="str">
        <f>IFERROR($BC$3&amp;VLOOKUP(B514,'Pay Table'!$M$3:$N$18,2,FALSE)&amp;$BB$3&amp;C514&amp;$BD$3,"")</f>
        <v/>
      </c>
      <c r="BC512" s="1" t="str">
        <f>IFERROR($BC$3&amp;VLOOKUP(D514,'Pay Table'!$M$3:$N$18,2,FALSE)&amp;$BB$3&amp;E514&amp;$BD$3,"")</f>
        <v/>
      </c>
      <c r="BD512" s="1" t="str">
        <f>IFERROR($BC$3&amp;VLOOKUP(F514,'Pay Table'!$M$3:$N$18,2,FALSE)&amp;$BB$3&amp;G514&amp;$BD$3,"")</f>
        <v/>
      </c>
      <c r="BE512" s="1" t="str">
        <f>IFERROR($BC$3&amp;VLOOKUP(H514,'Pay Table'!$M$3:$N$18,2,FALSE)&amp;$BB$3&amp;I514&amp;$BD$3,"")</f>
        <v/>
      </c>
      <c r="BF512" s="27" t="str">
        <f>IFERROR($BC$3&amp;VLOOKUP(J514,'Pay Table'!$M$3:$N$18,2,FALSE)&amp;$BB$3&amp;K514&amp;$BD$3,"")</f>
        <v/>
      </c>
    </row>
    <row r="513" spans="54:58" x14ac:dyDescent="0.15">
      <c r="BB513" s="26" t="str">
        <f>IFERROR($BC$3&amp;VLOOKUP(B515,'Pay Table'!$M$3:$N$18,2,FALSE)&amp;$BB$3&amp;C515&amp;$BD$3,"")</f>
        <v/>
      </c>
      <c r="BC513" s="1" t="str">
        <f>IFERROR($BC$3&amp;VLOOKUP(D515,'Pay Table'!$M$3:$N$18,2,FALSE)&amp;$BB$3&amp;E515&amp;$BD$3,"")</f>
        <v/>
      </c>
      <c r="BD513" s="1" t="str">
        <f>IFERROR($BC$3&amp;VLOOKUP(F515,'Pay Table'!$M$3:$N$18,2,FALSE)&amp;$BB$3&amp;G515&amp;$BD$3,"")</f>
        <v/>
      </c>
      <c r="BE513" s="1" t="str">
        <f>IFERROR($BC$3&amp;VLOOKUP(H515,'Pay Table'!$M$3:$N$18,2,FALSE)&amp;$BB$3&amp;I515&amp;$BD$3,"")</f>
        <v/>
      </c>
      <c r="BF513" s="27" t="str">
        <f>IFERROR($BC$3&amp;VLOOKUP(J515,'Pay Table'!$M$3:$N$18,2,FALSE)&amp;$BB$3&amp;K515&amp;$BD$3,"")</f>
        <v/>
      </c>
    </row>
    <row r="514" spans="54:58" x14ac:dyDescent="0.15">
      <c r="BB514" s="26" t="str">
        <f>IFERROR($BC$3&amp;VLOOKUP(B516,'Pay Table'!$M$3:$N$18,2,FALSE)&amp;$BB$3&amp;C516&amp;$BD$3,"")</f>
        <v/>
      </c>
      <c r="BC514" s="1" t="str">
        <f>IFERROR($BC$3&amp;VLOOKUP(D516,'Pay Table'!$M$3:$N$18,2,FALSE)&amp;$BB$3&amp;E516&amp;$BD$3,"")</f>
        <v/>
      </c>
      <c r="BD514" s="1" t="str">
        <f>IFERROR($BC$3&amp;VLOOKUP(F516,'Pay Table'!$M$3:$N$18,2,FALSE)&amp;$BB$3&amp;G516&amp;$BD$3,"")</f>
        <v/>
      </c>
      <c r="BE514" s="1" t="str">
        <f>IFERROR($BC$3&amp;VLOOKUP(H516,'Pay Table'!$M$3:$N$18,2,FALSE)&amp;$BB$3&amp;I516&amp;$BD$3,"")</f>
        <v/>
      </c>
      <c r="BF514" s="27" t="str">
        <f>IFERROR($BC$3&amp;VLOOKUP(J516,'Pay Table'!$M$3:$N$18,2,FALSE)&amp;$BB$3&amp;K516&amp;$BD$3,"")</f>
        <v/>
      </c>
    </row>
    <row r="515" spans="54:58" x14ac:dyDescent="0.15">
      <c r="BB515" s="26" t="str">
        <f>IFERROR($BC$3&amp;VLOOKUP(B517,'Pay Table'!$M$3:$N$18,2,FALSE)&amp;$BB$3&amp;C517&amp;$BD$3,"")</f>
        <v/>
      </c>
      <c r="BC515" s="1" t="str">
        <f>IFERROR($BC$3&amp;VLOOKUP(D517,'Pay Table'!$M$3:$N$18,2,FALSE)&amp;$BB$3&amp;E517&amp;$BD$3,"")</f>
        <v/>
      </c>
      <c r="BD515" s="1" t="str">
        <f>IFERROR($BC$3&amp;VLOOKUP(F517,'Pay Table'!$M$3:$N$18,2,FALSE)&amp;$BB$3&amp;G517&amp;$BD$3,"")</f>
        <v/>
      </c>
      <c r="BE515" s="1" t="str">
        <f>IFERROR($BC$3&amp;VLOOKUP(H517,'Pay Table'!$M$3:$N$18,2,FALSE)&amp;$BB$3&amp;I517&amp;$BD$3,"")</f>
        <v/>
      </c>
      <c r="BF515" s="27" t="str">
        <f>IFERROR($BC$3&amp;VLOOKUP(J517,'Pay Table'!$M$3:$N$18,2,FALSE)&amp;$BB$3&amp;K517&amp;$BD$3,"")</f>
        <v/>
      </c>
    </row>
    <row r="516" spans="54:58" x14ac:dyDescent="0.15">
      <c r="BB516" s="26" t="str">
        <f>IFERROR($BC$3&amp;VLOOKUP(B518,'Pay Table'!$M$3:$N$18,2,FALSE)&amp;$BB$3&amp;C518&amp;$BD$3,"")</f>
        <v/>
      </c>
      <c r="BC516" s="1" t="str">
        <f>IFERROR($BC$3&amp;VLOOKUP(D518,'Pay Table'!$M$3:$N$18,2,FALSE)&amp;$BB$3&amp;E518&amp;$BD$3,"")</f>
        <v/>
      </c>
      <c r="BD516" s="1" t="str">
        <f>IFERROR($BC$3&amp;VLOOKUP(F518,'Pay Table'!$M$3:$N$18,2,FALSE)&amp;$BB$3&amp;G518&amp;$BD$3,"")</f>
        <v/>
      </c>
      <c r="BE516" s="1" t="str">
        <f>IFERROR($BC$3&amp;VLOOKUP(H518,'Pay Table'!$M$3:$N$18,2,FALSE)&amp;$BB$3&amp;I518&amp;$BD$3,"")</f>
        <v/>
      </c>
      <c r="BF516" s="27" t="str">
        <f>IFERROR($BC$3&amp;VLOOKUP(J518,'Pay Table'!$M$3:$N$18,2,FALSE)&amp;$BB$3&amp;K518&amp;$BD$3,"")</f>
        <v/>
      </c>
    </row>
    <row r="517" spans="54:58" x14ac:dyDescent="0.15">
      <c r="BB517" s="26" t="str">
        <f>IFERROR($BC$3&amp;VLOOKUP(B519,'Pay Table'!$M$3:$N$18,2,FALSE)&amp;$BB$3&amp;C519&amp;$BD$3,"")</f>
        <v/>
      </c>
      <c r="BC517" s="1" t="str">
        <f>IFERROR($BC$3&amp;VLOOKUP(D519,'Pay Table'!$M$3:$N$18,2,FALSE)&amp;$BB$3&amp;E519&amp;$BD$3,"")</f>
        <v/>
      </c>
      <c r="BD517" s="1" t="str">
        <f>IFERROR($BC$3&amp;VLOOKUP(F519,'Pay Table'!$M$3:$N$18,2,FALSE)&amp;$BB$3&amp;G519&amp;$BD$3,"")</f>
        <v/>
      </c>
      <c r="BE517" s="1" t="str">
        <f>IFERROR($BC$3&amp;VLOOKUP(H519,'Pay Table'!$M$3:$N$18,2,FALSE)&amp;$BB$3&amp;I519&amp;$BD$3,"")</f>
        <v/>
      </c>
      <c r="BF517" s="27" t="str">
        <f>IFERROR($BC$3&amp;VLOOKUP(J519,'Pay Table'!$M$3:$N$18,2,FALSE)&amp;$BB$3&amp;K519&amp;$BD$3,"")</f>
        <v/>
      </c>
    </row>
    <row r="518" spans="54:58" x14ac:dyDescent="0.15">
      <c r="BB518" s="26" t="str">
        <f>IFERROR($BC$3&amp;VLOOKUP(B520,'Pay Table'!$M$3:$N$18,2,FALSE)&amp;$BB$3&amp;C520&amp;$BD$3,"")</f>
        <v/>
      </c>
      <c r="BC518" s="1" t="str">
        <f>IFERROR($BC$3&amp;VLOOKUP(D520,'Pay Table'!$M$3:$N$18,2,FALSE)&amp;$BB$3&amp;E520&amp;$BD$3,"")</f>
        <v/>
      </c>
      <c r="BD518" s="1" t="str">
        <f>IFERROR($BC$3&amp;VLOOKUP(F520,'Pay Table'!$M$3:$N$18,2,FALSE)&amp;$BB$3&amp;G520&amp;$BD$3,"")</f>
        <v/>
      </c>
      <c r="BE518" s="1" t="str">
        <f>IFERROR($BC$3&amp;VLOOKUP(H520,'Pay Table'!$M$3:$N$18,2,FALSE)&amp;$BB$3&amp;I520&amp;$BD$3,"")</f>
        <v/>
      </c>
      <c r="BF518" s="27" t="str">
        <f>IFERROR($BC$3&amp;VLOOKUP(J520,'Pay Table'!$M$3:$N$18,2,FALSE)&amp;$BB$3&amp;K520&amp;$BD$3,"")</f>
        <v/>
      </c>
    </row>
    <row r="519" spans="54:58" x14ac:dyDescent="0.15">
      <c r="BB519" s="26" t="str">
        <f>IFERROR($BC$3&amp;VLOOKUP(B521,'Pay Table'!$M$3:$N$18,2,FALSE)&amp;$BB$3&amp;C521&amp;$BD$3,"")</f>
        <v/>
      </c>
      <c r="BC519" s="1" t="str">
        <f>IFERROR($BC$3&amp;VLOOKUP(D521,'Pay Table'!$M$3:$N$18,2,FALSE)&amp;$BB$3&amp;E521&amp;$BD$3,"")</f>
        <v/>
      </c>
      <c r="BD519" s="1" t="str">
        <f>IFERROR($BC$3&amp;VLOOKUP(F521,'Pay Table'!$M$3:$N$18,2,FALSE)&amp;$BB$3&amp;G521&amp;$BD$3,"")</f>
        <v/>
      </c>
      <c r="BE519" s="1" t="str">
        <f>IFERROR($BC$3&amp;VLOOKUP(H521,'Pay Table'!$M$3:$N$18,2,FALSE)&amp;$BB$3&amp;I521&amp;$BD$3,"")</f>
        <v/>
      </c>
      <c r="BF519" s="27" t="str">
        <f>IFERROR($BC$3&amp;VLOOKUP(J521,'Pay Table'!$M$3:$N$18,2,FALSE)&amp;$BB$3&amp;K521&amp;$BD$3,"")</f>
        <v/>
      </c>
    </row>
    <row r="520" spans="54:58" x14ac:dyDescent="0.15">
      <c r="BB520" s="26" t="str">
        <f>IFERROR($BC$3&amp;VLOOKUP(B522,'Pay Table'!$M$3:$N$18,2,FALSE)&amp;$BB$3&amp;C522&amp;$BD$3,"")</f>
        <v/>
      </c>
      <c r="BC520" s="1" t="str">
        <f>IFERROR($BC$3&amp;VLOOKUP(D522,'Pay Table'!$M$3:$N$18,2,FALSE)&amp;$BB$3&amp;E522&amp;$BD$3,"")</f>
        <v/>
      </c>
      <c r="BD520" s="1" t="str">
        <f>IFERROR($BC$3&amp;VLOOKUP(F522,'Pay Table'!$M$3:$N$18,2,FALSE)&amp;$BB$3&amp;G522&amp;$BD$3,"")</f>
        <v/>
      </c>
      <c r="BE520" s="1" t="str">
        <f>IFERROR($BC$3&amp;VLOOKUP(H522,'Pay Table'!$M$3:$N$18,2,FALSE)&amp;$BB$3&amp;I522&amp;$BD$3,"")</f>
        <v/>
      </c>
      <c r="BF520" s="27" t="str">
        <f>IFERROR($BC$3&amp;VLOOKUP(J522,'Pay Table'!$M$3:$N$18,2,FALSE)&amp;$BB$3&amp;K522&amp;$BD$3,"")</f>
        <v/>
      </c>
    </row>
    <row r="521" spans="54:58" x14ac:dyDescent="0.15">
      <c r="BB521" s="26" t="str">
        <f>IFERROR($BC$3&amp;VLOOKUP(B523,'Pay Table'!$M$3:$N$18,2,FALSE)&amp;$BB$3&amp;C523&amp;$BD$3,"")</f>
        <v/>
      </c>
      <c r="BC521" s="1" t="str">
        <f>IFERROR($BC$3&amp;VLOOKUP(D523,'Pay Table'!$M$3:$N$18,2,FALSE)&amp;$BB$3&amp;E523&amp;$BD$3,"")</f>
        <v/>
      </c>
      <c r="BD521" s="1" t="str">
        <f>IFERROR($BC$3&amp;VLOOKUP(F523,'Pay Table'!$M$3:$N$18,2,FALSE)&amp;$BB$3&amp;G523&amp;$BD$3,"")</f>
        <v/>
      </c>
      <c r="BE521" s="1" t="str">
        <f>IFERROR($BC$3&amp;VLOOKUP(H523,'Pay Table'!$M$3:$N$18,2,FALSE)&amp;$BB$3&amp;I523&amp;$BD$3,"")</f>
        <v/>
      </c>
      <c r="BF521" s="27" t="str">
        <f>IFERROR($BC$3&amp;VLOOKUP(J523,'Pay Table'!$M$3:$N$18,2,FALSE)&amp;$BB$3&amp;K523&amp;$BD$3,"")</f>
        <v/>
      </c>
    </row>
    <row r="522" spans="54:58" x14ac:dyDescent="0.15">
      <c r="BB522" s="26" t="str">
        <f>IFERROR($BC$3&amp;VLOOKUP(B524,'Pay Table'!$M$3:$N$18,2,FALSE)&amp;$BB$3&amp;C524&amp;$BD$3,"")</f>
        <v/>
      </c>
      <c r="BC522" s="1" t="str">
        <f>IFERROR($BC$3&amp;VLOOKUP(D524,'Pay Table'!$M$3:$N$18,2,FALSE)&amp;$BB$3&amp;E524&amp;$BD$3,"")</f>
        <v/>
      </c>
      <c r="BD522" s="1" t="str">
        <f>IFERROR($BC$3&amp;VLOOKUP(F524,'Pay Table'!$M$3:$N$18,2,FALSE)&amp;$BB$3&amp;G524&amp;$BD$3,"")</f>
        <v/>
      </c>
      <c r="BE522" s="1" t="str">
        <f>IFERROR($BC$3&amp;VLOOKUP(H524,'Pay Table'!$M$3:$N$18,2,FALSE)&amp;$BB$3&amp;I524&amp;$BD$3,"")</f>
        <v/>
      </c>
      <c r="BF522" s="27" t="str">
        <f>IFERROR($BC$3&amp;VLOOKUP(J524,'Pay Table'!$M$3:$N$18,2,FALSE)&amp;$BB$3&amp;K524&amp;$BD$3,"")</f>
        <v/>
      </c>
    </row>
    <row r="523" spans="54:58" x14ac:dyDescent="0.15">
      <c r="BB523" s="26" t="str">
        <f>IFERROR($BC$3&amp;VLOOKUP(B525,'Pay Table'!$M$3:$N$18,2,FALSE)&amp;$BB$3&amp;C525&amp;$BD$3,"")</f>
        <v/>
      </c>
      <c r="BC523" s="1" t="str">
        <f>IFERROR($BC$3&amp;VLOOKUP(D525,'Pay Table'!$M$3:$N$18,2,FALSE)&amp;$BB$3&amp;E525&amp;$BD$3,"")</f>
        <v/>
      </c>
      <c r="BD523" s="1" t="str">
        <f>IFERROR($BC$3&amp;VLOOKUP(F525,'Pay Table'!$M$3:$N$18,2,FALSE)&amp;$BB$3&amp;G525&amp;$BD$3,"")</f>
        <v/>
      </c>
      <c r="BE523" s="1" t="str">
        <f>IFERROR($BC$3&amp;VLOOKUP(H525,'Pay Table'!$M$3:$N$18,2,FALSE)&amp;$BB$3&amp;I525&amp;$BD$3,"")</f>
        <v/>
      </c>
      <c r="BF523" s="27" t="str">
        <f>IFERROR($BC$3&amp;VLOOKUP(J525,'Pay Table'!$M$3:$N$18,2,FALSE)&amp;$BB$3&amp;K525&amp;$BD$3,"")</f>
        <v/>
      </c>
    </row>
    <row r="524" spans="54:58" x14ac:dyDescent="0.15">
      <c r="BB524" s="26" t="str">
        <f>IFERROR($BC$3&amp;VLOOKUP(B526,'Pay Table'!$M$3:$N$18,2,FALSE)&amp;$BB$3&amp;C526&amp;$BD$3,"")</f>
        <v/>
      </c>
      <c r="BC524" s="1" t="str">
        <f>IFERROR($BC$3&amp;VLOOKUP(D526,'Pay Table'!$M$3:$N$18,2,FALSE)&amp;$BB$3&amp;E526&amp;$BD$3,"")</f>
        <v/>
      </c>
      <c r="BD524" s="1" t="str">
        <f>IFERROR($BC$3&amp;VLOOKUP(F526,'Pay Table'!$M$3:$N$18,2,FALSE)&amp;$BB$3&amp;G526&amp;$BD$3,"")</f>
        <v/>
      </c>
      <c r="BE524" s="1" t="str">
        <f>IFERROR($BC$3&amp;VLOOKUP(H526,'Pay Table'!$M$3:$N$18,2,FALSE)&amp;$BB$3&amp;I526&amp;$BD$3,"")</f>
        <v/>
      </c>
      <c r="BF524" s="27" t="str">
        <f>IFERROR($BC$3&amp;VLOOKUP(J526,'Pay Table'!$M$3:$N$18,2,FALSE)&amp;$BB$3&amp;K526&amp;$BD$3,"")</f>
        <v/>
      </c>
    </row>
    <row r="525" spans="54:58" x14ac:dyDescent="0.15">
      <c r="BB525" s="26" t="str">
        <f>IFERROR($BC$3&amp;VLOOKUP(B527,'Pay Table'!$M$3:$N$18,2,FALSE)&amp;$BB$3&amp;C527&amp;$BD$3,"")</f>
        <v/>
      </c>
      <c r="BC525" s="1" t="str">
        <f>IFERROR($BC$3&amp;VLOOKUP(D527,'Pay Table'!$M$3:$N$18,2,FALSE)&amp;$BB$3&amp;E527&amp;$BD$3,"")</f>
        <v/>
      </c>
      <c r="BD525" s="1" t="str">
        <f>IFERROR($BC$3&amp;VLOOKUP(F527,'Pay Table'!$M$3:$N$18,2,FALSE)&amp;$BB$3&amp;G527&amp;$BD$3,"")</f>
        <v/>
      </c>
      <c r="BE525" s="1" t="str">
        <f>IFERROR($BC$3&amp;VLOOKUP(H527,'Pay Table'!$M$3:$N$18,2,FALSE)&amp;$BB$3&amp;I527&amp;$BD$3,"")</f>
        <v/>
      </c>
      <c r="BF525" s="27" t="str">
        <f>IFERROR($BC$3&amp;VLOOKUP(J527,'Pay Table'!$M$3:$N$18,2,FALSE)&amp;$BB$3&amp;K527&amp;$BD$3,"")</f>
        <v/>
      </c>
    </row>
    <row r="526" spans="54:58" x14ac:dyDescent="0.15">
      <c r="BB526" s="26" t="str">
        <f>IFERROR($BC$3&amp;VLOOKUP(B528,'Pay Table'!$M$3:$N$18,2,FALSE)&amp;$BB$3&amp;C528&amp;$BD$3,"")</f>
        <v/>
      </c>
      <c r="BC526" s="1" t="str">
        <f>IFERROR($BC$3&amp;VLOOKUP(D528,'Pay Table'!$M$3:$N$18,2,FALSE)&amp;$BB$3&amp;E528&amp;$BD$3,"")</f>
        <v/>
      </c>
      <c r="BD526" s="1" t="str">
        <f>IFERROR($BC$3&amp;VLOOKUP(F528,'Pay Table'!$M$3:$N$18,2,FALSE)&amp;$BB$3&amp;G528&amp;$BD$3,"")</f>
        <v/>
      </c>
      <c r="BE526" s="1" t="str">
        <f>IFERROR($BC$3&amp;VLOOKUP(H528,'Pay Table'!$M$3:$N$18,2,FALSE)&amp;$BB$3&amp;I528&amp;$BD$3,"")</f>
        <v/>
      </c>
      <c r="BF526" s="27" t="str">
        <f>IFERROR($BC$3&amp;VLOOKUP(J528,'Pay Table'!$M$3:$N$18,2,FALSE)&amp;$BB$3&amp;K528&amp;$BD$3,"")</f>
        <v/>
      </c>
    </row>
    <row r="527" spans="54:58" x14ac:dyDescent="0.15">
      <c r="BB527" s="26" t="str">
        <f>IFERROR($BC$3&amp;VLOOKUP(B529,'Pay Table'!$M$3:$N$18,2,FALSE)&amp;$BB$3&amp;C529&amp;$BD$3,"")</f>
        <v/>
      </c>
      <c r="BC527" s="1" t="str">
        <f>IFERROR($BC$3&amp;VLOOKUP(D529,'Pay Table'!$M$3:$N$18,2,FALSE)&amp;$BB$3&amp;E529&amp;$BD$3,"")</f>
        <v/>
      </c>
      <c r="BD527" s="1" t="str">
        <f>IFERROR($BC$3&amp;VLOOKUP(F529,'Pay Table'!$M$3:$N$18,2,FALSE)&amp;$BB$3&amp;G529&amp;$BD$3,"")</f>
        <v/>
      </c>
      <c r="BE527" s="1" t="str">
        <f>IFERROR($BC$3&amp;VLOOKUP(H529,'Pay Table'!$M$3:$N$18,2,FALSE)&amp;$BB$3&amp;I529&amp;$BD$3,"")</f>
        <v/>
      </c>
      <c r="BF527" s="27" t="str">
        <f>IFERROR($BC$3&amp;VLOOKUP(J529,'Pay Table'!$M$3:$N$18,2,FALSE)&amp;$BB$3&amp;K529&amp;$BD$3,"")</f>
        <v/>
      </c>
    </row>
    <row r="528" spans="54:58" x14ac:dyDescent="0.15">
      <c r="BB528" s="26" t="str">
        <f>IFERROR($BC$3&amp;VLOOKUP(B530,'Pay Table'!$M$3:$N$18,2,FALSE)&amp;$BB$3&amp;C530&amp;$BD$3,"")</f>
        <v/>
      </c>
      <c r="BC528" s="1" t="str">
        <f>IFERROR($BC$3&amp;VLOOKUP(D530,'Pay Table'!$M$3:$N$18,2,FALSE)&amp;$BB$3&amp;E530&amp;$BD$3,"")</f>
        <v/>
      </c>
      <c r="BD528" s="1" t="str">
        <f>IFERROR($BC$3&amp;VLOOKUP(F530,'Pay Table'!$M$3:$N$18,2,FALSE)&amp;$BB$3&amp;G530&amp;$BD$3,"")</f>
        <v/>
      </c>
      <c r="BE528" s="1" t="str">
        <f>IFERROR($BC$3&amp;VLOOKUP(H530,'Pay Table'!$M$3:$N$18,2,FALSE)&amp;$BB$3&amp;I530&amp;$BD$3,"")</f>
        <v/>
      </c>
      <c r="BF528" s="27" t="str">
        <f>IFERROR($BC$3&amp;VLOOKUP(J530,'Pay Table'!$M$3:$N$18,2,FALSE)&amp;$BB$3&amp;K530&amp;$BD$3,"")</f>
        <v/>
      </c>
    </row>
    <row r="529" spans="54:58" x14ac:dyDescent="0.15">
      <c r="BB529" s="26" t="str">
        <f>IFERROR($BC$3&amp;VLOOKUP(B531,'Pay Table'!$M$3:$N$18,2,FALSE)&amp;$BB$3&amp;C531&amp;$BD$3,"")</f>
        <v/>
      </c>
      <c r="BC529" s="1" t="str">
        <f>IFERROR($BC$3&amp;VLOOKUP(D531,'Pay Table'!$M$3:$N$18,2,FALSE)&amp;$BB$3&amp;E531&amp;$BD$3,"")</f>
        <v/>
      </c>
      <c r="BD529" s="1" t="str">
        <f>IFERROR($BC$3&amp;VLOOKUP(F531,'Pay Table'!$M$3:$N$18,2,FALSE)&amp;$BB$3&amp;G531&amp;$BD$3,"")</f>
        <v/>
      </c>
      <c r="BE529" s="1" t="str">
        <f>IFERROR($BC$3&amp;VLOOKUP(H531,'Pay Table'!$M$3:$N$18,2,FALSE)&amp;$BB$3&amp;I531&amp;$BD$3,"")</f>
        <v/>
      </c>
      <c r="BF529" s="27" t="str">
        <f>IFERROR($BC$3&amp;VLOOKUP(J531,'Pay Table'!$M$3:$N$18,2,FALSE)&amp;$BB$3&amp;K531&amp;$BD$3,"")</f>
        <v/>
      </c>
    </row>
    <row r="530" spans="54:58" x14ac:dyDescent="0.15">
      <c r="BB530" s="26" t="str">
        <f>IFERROR($BC$3&amp;VLOOKUP(B532,'Pay Table'!$M$3:$N$18,2,FALSE)&amp;$BB$3&amp;C532&amp;$BD$3,"")</f>
        <v/>
      </c>
      <c r="BC530" s="1" t="str">
        <f>IFERROR($BC$3&amp;VLOOKUP(D532,'Pay Table'!$M$3:$N$18,2,FALSE)&amp;$BB$3&amp;E532&amp;$BD$3,"")</f>
        <v/>
      </c>
      <c r="BD530" s="1" t="str">
        <f>IFERROR($BC$3&amp;VLOOKUP(F532,'Pay Table'!$M$3:$N$18,2,FALSE)&amp;$BB$3&amp;G532&amp;$BD$3,"")</f>
        <v/>
      </c>
      <c r="BE530" s="1" t="str">
        <f>IFERROR($BC$3&amp;VLOOKUP(H532,'Pay Table'!$M$3:$N$18,2,FALSE)&amp;$BB$3&amp;I532&amp;$BD$3,"")</f>
        <v/>
      </c>
      <c r="BF530" s="27" t="str">
        <f>IFERROR($BC$3&amp;VLOOKUP(J532,'Pay Table'!$M$3:$N$18,2,FALSE)&amp;$BB$3&amp;K532&amp;$BD$3,"")</f>
        <v/>
      </c>
    </row>
    <row r="531" spans="54:58" x14ac:dyDescent="0.15">
      <c r="BB531" s="26" t="str">
        <f>IFERROR($BC$3&amp;VLOOKUP(B533,'Pay Table'!$M$3:$N$18,2,FALSE)&amp;$BB$3&amp;C533&amp;$BD$3,"")</f>
        <v/>
      </c>
      <c r="BC531" s="1" t="str">
        <f>IFERROR($BC$3&amp;VLOOKUP(D533,'Pay Table'!$M$3:$N$18,2,FALSE)&amp;$BB$3&amp;E533&amp;$BD$3,"")</f>
        <v/>
      </c>
      <c r="BD531" s="1" t="str">
        <f>IFERROR($BC$3&amp;VLOOKUP(F533,'Pay Table'!$M$3:$N$18,2,FALSE)&amp;$BB$3&amp;G533&amp;$BD$3,"")</f>
        <v/>
      </c>
      <c r="BE531" s="1" t="str">
        <f>IFERROR($BC$3&amp;VLOOKUP(H533,'Pay Table'!$M$3:$N$18,2,FALSE)&amp;$BB$3&amp;I533&amp;$BD$3,"")</f>
        <v/>
      </c>
      <c r="BF531" s="27" t="str">
        <f>IFERROR($BC$3&amp;VLOOKUP(J533,'Pay Table'!$M$3:$N$18,2,FALSE)&amp;$BB$3&amp;K533&amp;$BD$3,"")</f>
        <v/>
      </c>
    </row>
    <row r="532" spans="54:58" x14ac:dyDescent="0.15">
      <c r="BB532" s="26" t="str">
        <f>IFERROR($BC$3&amp;VLOOKUP(B534,'Pay Table'!$M$3:$N$18,2,FALSE)&amp;$BB$3&amp;C534&amp;$BD$3,"")</f>
        <v/>
      </c>
      <c r="BC532" s="1" t="str">
        <f>IFERROR($BC$3&amp;VLOOKUP(D534,'Pay Table'!$M$3:$N$18,2,FALSE)&amp;$BB$3&amp;E534&amp;$BD$3,"")</f>
        <v/>
      </c>
      <c r="BD532" s="1" t="str">
        <f>IFERROR($BC$3&amp;VLOOKUP(F534,'Pay Table'!$M$3:$N$18,2,FALSE)&amp;$BB$3&amp;G534&amp;$BD$3,"")</f>
        <v/>
      </c>
      <c r="BE532" s="1" t="str">
        <f>IFERROR($BC$3&amp;VLOOKUP(H534,'Pay Table'!$M$3:$N$18,2,FALSE)&amp;$BB$3&amp;I534&amp;$BD$3,"")</f>
        <v/>
      </c>
      <c r="BF532" s="27" t="str">
        <f>IFERROR($BC$3&amp;VLOOKUP(J534,'Pay Table'!$M$3:$N$18,2,FALSE)&amp;$BB$3&amp;K534&amp;$BD$3,"")</f>
        <v/>
      </c>
    </row>
    <row r="533" spans="54:58" x14ac:dyDescent="0.15">
      <c r="BB533" s="26" t="str">
        <f>IFERROR($BC$3&amp;VLOOKUP(B535,'Pay Table'!$M$3:$N$18,2,FALSE)&amp;$BB$3&amp;C535&amp;$BD$3,"")</f>
        <v/>
      </c>
      <c r="BC533" s="1" t="str">
        <f>IFERROR($BC$3&amp;VLOOKUP(D535,'Pay Table'!$M$3:$N$18,2,FALSE)&amp;$BB$3&amp;E535&amp;$BD$3,"")</f>
        <v/>
      </c>
      <c r="BD533" s="1" t="str">
        <f>IFERROR($BC$3&amp;VLOOKUP(F535,'Pay Table'!$M$3:$N$18,2,FALSE)&amp;$BB$3&amp;G535&amp;$BD$3,"")</f>
        <v/>
      </c>
      <c r="BE533" s="1" t="str">
        <f>IFERROR($BC$3&amp;VLOOKUP(H535,'Pay Table'!$M$3:$N$18,2,FALSE)&amp;$BB$3&amp;I535&amp;$BD$3,"")</f>
        <v/>
      </c>
      <c r="BF533" s="27" t="str">
        <f>IFERROR($BC$3&amp;VLOOKUP(J535,'Pay Table'!$M$3:$N$18,2,FALSE)&amp;$BB$3&amp;K535&amp;$BD$3,"")</f>
        <v/>
      </c>
    </row>
    <row r="534" spans="54:58" x14ac:dyDescent="0.15">
      <c r="BB534" s="26" t="str">
        <f>IFERROR($BC$3&amp;VLOOKUP(B536,'Pay Table'!$M$3:$N$18,2,FALSE)&amp;$BB$3&amp;C536&amp;$BD$3,"")</f>
        <v/>
      </c>
      <c r="BC534" s="1" t="str">
        <f>IFERROR($BC$3&amp;VLOOKUP(D536,'Pay Table'!$M$3:$N$18,2,FALSE)&amp;$BB$3&amp;E536&amp;$BD$3,"")</f>
        <v/>
      </c>
      <c r="BD534" s="1" t="str">
        <f>IFERROR($BC$3&amp;VLOOKUP(F536,'Pay Table'!$M$3:$N$18,2,FALSE)&amp;$BB$3&amp;G536&amp;$BD$3,"")</f>
        <v/>
      </c>
      <c r="BE534" s="1" t="str">
        <f>IFERROR($BC$3&amp;VLOOKUP(H536,'Pay Table'!$M$3:$N$18,2,FALSE)&amp;$BB$3&amp;I536&amp;$BD$3,"")</f>
        <v/>
      </c>
      <c r="BF534" s="27" t="str">
        <f>IFERROR($BC$3&amp;VLOOKUP(J536,'Pay Table'!$M$3:$N$18,2,FALSE)&amp;$BB$3&amp;K536&amp;$BD$3,"")</f>
        <v/>
      </c>
    </row>
    <row r="535" spans="54:58" x14ac:dyDescent="0.15">
      <c r="BB535" s="26" t="str">
        <f>IFERROR($BC$3&amp;VLOOKUP(B537,'Pay Table'!$M$3:$N$18,2,FALSE)&amp;$BB$3&amp;C537&amp;$BD$3,"")</f>
        <v/>
      </c>
      <c r="BC535" s="1" t="str">
        <f>IFERROR($BC$3&amp;VLOOKUP(D537,'Pay Table'!$M$3:$N$18,2,FALSE)&amp;$BB$3&amp;E537&amp;$BD$3,"")</f>
        <v/>
      </c>
      <c r="BD535" s="1" t="str">
        <f>IFERROR($BC$3&amp;VLOOKUP(F537,'Pay Table'!$M$3:$N$18,2,FALSE)&amp;$BB$3&amp;G537&amp;$BD$3,"")</f>
        <v/>
      </c>
      <c r="BE535" s="1" t="str">
        <f>IFERROR($BC$3&amp;VLOOKUP(H537,'Pay Table'!$M$3:$N$18,2,FALSE)&amp;$BB$3&amp;I537&amp;$BD$3,"")</f>
        <v/>
      </c>
      <c r="BF535" s="27" t="str">
        <f>IFERROR($BC$3&amp;VLOOKUP(J537,'Pay Table'!$M$3:$N$18,2,FALSE)&amp;$BB$3&amp;K537&amp;$BD$3,"")</f>
        <v/>
      </c>
    </row>
    <row r="536" spans="54:58" x14ac:dyDescent="0.15">
      <c r="BB536" s="26" t="str">
        <f>IFERROR($BC$3&amp;VLOOKUP(B538,'Pay Table'!$M$3:$N$18,2,FALSE)&amp;$BB$3&amp;C538&amp;$BD$3,"")</f>
        <v/>
      </c>
      <c r="BC536" s="1" t="str">
        <f>IFERROR($BC$3&amp;VLOOKUP(D538,'Pay Table'!$M$3:$N$18,2,FALSE)&amp;$BB$3&amp;E538&amp;$BD$3,"")</f>
        <v/>
      </c>
      <c r="BD536" s="1" t="str">
        <f>IFERROR($BC$3&amp;VLOOKUP(F538,'Pay Table'!$M$3:$N$18,2,FALSE)&amp;$BB$3&amp;G538&amp;$BD$3,"")</f>
        <v/>
      </c>
      <c r="BE536" s="1" t="str">
        <f>IFERROR($BC$3&amp;VLOOKUP(H538,'Pay Table'!$M$3:$N$18,2,FALSE)&amp;$BB$3&amp;I538&amp;$BD$3,"")</f>
        <v/>
      </c>
      <c r="BF536" s="27" t="str">
        <f>IFERROR($BC$3&amp;VLOOKUP(J538,'Pay Table'!$M$3:$N$18,2,FALSE)&amp;$BB$3&amp;K538&amp;$BD$3,"")</f>
        <v/>
      </c>
    </row>
    <row r="537" spans="54:58" x14ac:dyDescent="0.15">
      <c r="BB537" s="26" t="str">
        <f>IFERROR($BC$3&amp;VLOOKUP(B539,'Pay Table'!$M$3:$N$18,2,FALSE)&amp;$BB$3&amp;C539&amp;$BD$3,"")</f>
        <v/>
      </c>
      <c r="BC537" s="1" t="str">
        <f>IFERROR($BC$3&amp;VLOOKUP(D539,'Pay Table'!$M$3:$N$18,2,FALSE)&amp;$BB$3&amp;E539&amp;$BD$3,"")</f>
        <v/>
      </c>
      <c r="BD537" s="1" t="str">
        <f>IFERROR($BC$3&amp;VLOOKUP(F539,'Pay Table'!$M$3:$N$18,2,FALSE)&amp;$BB$3&amp;G539&amp;$BD$3,"")</f>
        <v/>
      </c>
      <c r="BE537" s="1" t="str">
        <f>IFERROR($BC$3&amp;VLOOKUP(H539,'Pay Table'!$M$3:$N$18,2,FALSE)&amp;$BB$3&amp;I539&amp;$BD$3,"")</f>
        <v/>
      </c>
      <c r="BF537" s="27" t="str">
        <f>IFERROR($BC$3&amp;VLOOKUP(J539,'Pay Table'!$M$3:$N$18,2,FALSE)&amp;$BB$3&amp;K539&amp;$BD$3,"")</f>
        <v/>
      </c>
    </row>
    <row r="538" spans="54:58" x14ac:dyDescent="0.15">
      <c r="BB538" s="26" t="str">
        <f>IFERROR($BC$3&amp;VLOOKUP(B540,'Pay Table'!$M$3:$N$18,2,FALSE)&amp;$BB$3&amp;C540&amp;$BD$3,"")</f>
        <v/>
      </c>
      <c r="BC538" s="1" t="str">
        <f>IFERROR($BC$3&amp;VLOOKUP(D540,'Pay Table'!$M$3:$N$18,2,FALSE)&amp;$BB$3&amp;E540&amp;$BD$3,"")</f>
        <v/>
      </c>
      <c r="BD538" s="1" t="str">
        <f>IFERROR($BC$3&amp;VLOOKUP(F540,'Pay Table'!$M$3:$N$18,2,FALSE)&amp;$BB$3&amp;G540&amp;$BD$3,"")</f>
        <v/>
      </c>
      <c r="BE538" s="1" t="str">
        <f>IFERROR($BC$3&amp;VLOOKUP(H540,'Pay Table'!$M$3:$N$18,2,FALSE)&amp;$BB$3&amp;I540&amp;$BD$3,"")</f>
        <v/>
      </c>
      <c r="BF538" s="27" t="str">
        <f>IFERROR($BC$3&amp;VLOOKUP(J540,'Pay Table'!$M$3:$N$18,2,FALSE)&amp;$BB$3&amp;K540&amp;$BD$3,"")</f>
        <v/>
      </c>
    </row>
    <row r="539" spans="54:58" x14ac:dyDescent="0.15">
      <c r="BB539" s="26" t="str">
        <f>IFERROR($BC$3&amp;VLOOKUP(B541,'Pay Table'!$M$3:$N$18,2,FALSE)&amp;$BB$3&amp;C541&amp;$BD$3,"")</f>
        <v/>
      </c>
      <c r="BC539" s="1" t="str">
        <f>IFERROR($BC$3&amp;VLOOKUP(D541,'Pay Table'!$M$3:$N$18,2,FALSE)&amp;$BB$3&amp;E541&amp;$BD$3,"")</f>
        <v/>
      </c>
      <c r="BD539" s="1" t="str">
        <f>IFERROR($BC$3&amp;VLOOKUP(F541,'Pay Table'!$M$3:$N$18,2,FALSE)&amp;$BB$3&amp;G541&amp;$BD$3,"")</f>
        <v/>
      </c>
      <c r="BE539" s="1" t="str">
        <f>IFERROR($BC$3&amp;VLOOKUP(H541,'Pay Table'!$M$3:$N$18,2,FALSE)&amp;$BB$3&amp;I541&amp;$BD$3,"")</f>
        <v/>
      </c>
      <c r="BF539" s="27" t="str">
        <f>IFERROR($BC$3&amp;VLOOKUP(J541,'Pay Table'!$M$3:$N$18,2,FALSE)&amp;$BB$3&amp;K541&amp;$BD$3,"")</f>
        <v/>
      </c>
    </row>
    <row r="540" spans="54:58" x14ac:dyDescent="0.15">
      <c r="BB540" s="26" t="str">
        <f>IFERROR($BC$3&amp;VLOOKUP(B542,'Pay Table'!$M$3:$N$18,2,FALSE)&amp;$BB$3&amp;C542&amp;$BD$3,"")</f>
        <v/>
      </c>
      <c r="BC540" s="1" t="str">
        <f>IFERROR($BC$3&amp;VLOOKUP(D542,'Pay Table'!$M$3:$N$18,2,FALSE)&amp;$BB$3&amp;E542&amp;$BD$3,"")</f>
        <v/>
      </c>
      <c r="BD540" s="1" t="str">
        <f>IFERROR($BC$3&amp;VLOOKUP(F542,'Pay Table'!$M$3:$N$18,2,FALSE)&amp;$BB$3&amp;G542&amp;$BD$3,"")</f>
        <v/>
      </c>
      <c r="BE540" s="1" t="str">
        <f>IFERROR($BC$3&amp;VLOOKUP(H542,'Pay Table'!$M$3:$N$18,2,FALSE)&amp;$BB$3&amp;I542&amp;$BD$3,"")</f>
        <v/>
      </c>
      <c r="BF540" s="27" t="str">
        <f>IFERROR($BC$3&amp;VLOOKUP(J542,'Pay Table'!$M$3:$N$18,2,FALSE)&amp;$BB$3&amp;K542&amp;$BD$3,"")</f>
        <v/>
      </c>
    </row>
    <row r="541" spans="54:58" x14ac:dyDescent="0.15">
      <c r="BB541" s="26" t="str">
        <f>IFERROR($BC$3&amp;VLOOKUP(B543,'Pay Table'!$M$3:$N$18,2,FALSE)&amp;$BB$3&amp;C543&amp;$BD$3,"")</f>
        <v/>
      </c>
      <c r="BC541" s="1" t="str">
        <f>IFERROR($BC$3&amp;VLOOKUP(D543,'Pay Table'!$M$3:$N$18,2,FALSE)&amp;$BB$3&amp;E543&amp;$BD$3,"")</f>
        <v/>
      </c>
      <c r="BD541" s="1" t="str">
        <f>IFERROR($BC$3&amp;VLOOKUP(F543,'Pay Table'!$M$3:$N$18,2,FALSE)&amp;$BB$3&amp;G543&amp;$BD$3,"")</f>
        <v/>
      </c>
      <c r="BE541" s="1" t="str">
        <f>IFERROR($BC$3&amp;VLOOKUP(H543,'Pay Table'!$M$3:$N$18,2,FALSE)&amp;$BB$3&amp;I543&amp;$BD$3,"")</f>
        <v/>
      </c>
      <c r="BF541" s="27" t="str">
        <f>IFERROR($BC$3&amp;VLOOKUP(J543,'Pay Table'!$M$3:$N$18,2,FALSE)&amp;$BB$3&amp;K543&amp;$BD$3,"")</f>
        <v/>
      </c>
    </row>
    <row r="542" spans="54:58" x14ac:dyDescent="0.15">
      <c r="BB542" s="26" t="str">
        <f>IFERROR($BC$3&amp;VLOOKUP(B544,'Pay Table'!$M$3:$N$18,2,FALSE)&amp;$BB$3&amp;C544&amp;$BD$3,"")</f>
        <v/>
      </c>
      <c r="BC542" s="1" t="str">
        <f>IFERROR($BC$3&amp;VLOOKUP(D544,'Pay Table'!$M$3:$N$18,2,FALSE)&amp;$BB$3&amp;E544&amp;$BD$3,"")</f>
        <v/>
      </c>
      <c r="BD542" s="1" t="str">
        <f>IFERROR($BC$3&amp;VLOOKUP(F544,'Pay Table'!$M$3:$N$18,2,FALSE)&amp;$BB$3&amp;G544&amp;$BD$3,"")</f>
        <v/>
      </c>
      <c r="BE542" s="1" t="str">
        <f>IFERROR($BC$3&amp;VLOOKUP(H544,'Pay Table'!$M$3:$N$18,2,FALSE)&amp;$BB$3&amp;I544&amp;$BD$3,"")</f>
        <v/>
      </c>
      <c r="BF542" s="27" t="str">
        <f>IFERROR($BC$3&amp;VLOOKUP(J544,'Pay Table'!$M$3:$N$18,2,FALSE)&amp;$BB$3&amp;K544&amp;$BD$3,"")</f>
        <v/>
      </c>
    </row>
    <row r="543" spans="54:58" x14ac:dyDescent="0.15">
      <c r="BB543" s="26" t="str">
        <f>IFERROR($BC$3&amp;VLOOKUP(B545,'Pay Table'!$M$3:$N$18,2,FALSE)&amp;$BB$3&amp;C545&amp;$BD$3,"")</f>
        <v/>
      </c>
      <c r="BC543" s="1" t="str">
        <f>IFERROR($BC$3&amp;VLOOKUP(D545,'Pay Table'!$M$3:$N$18,2,FALSE)&amp;$BB$3&amp;E545&amp;$BD$3,"")</f>
        <v/>
      </c>
      <c r="BD543" s="1" t="str">
        <f>IFERROR($BC$3&amp;VLOOKUP(F545,'Pay Table'!$M$3:$N$18,2,FALSE)&amp;$BB$3&amp;G545&amp;$BD$3,"")</f>
        <v/>
      </c>
      <c r="BE543" s="1" t="str">
        <f>IFERROR($BC$3&amp;VLOOKUP(H545,'Pay Table'!$M$3:$N$18,2,FALSE)&amp;$BB$3&amp;I545&amp;$BD$3,"")</f>
        <v/>
      </c>
      <c r="BF543" s="27" t="str">
        <f>IFERROR($BC$3&amp;VLOOKUP(J545,'Pay Table'!$M$3:$N$18,2,FALSE)&amp;$BB$3&amp;K545&amp;$BD$3,"")</f>
        <v/>
      </c>
    </row>
    <row r="544" spans="54:58" x14ac:dyDescent="0.15">
      <c r="BB544" s="26" t="str">
        <f>IFERROR($BC$3&amp;VLOOKUP(B546,'Pay Table'!$M$3:$N$18,2,FALSE)&amp;$BB$3&amp;C546&amp;$BD$3,"")</f>
        <v/>
      </c>
      <c r="BC544" s="1" t="str">
        <f>IFERROR($BC$3&amp;VLOOKUP(D546,'Pay Table'!$M$3:$N$18,2,FALSE)&amp;$BB$3&amp;E546&amp;$BD$3,"")</f>
        <v/>
      </c>
      <c r="BD544" s="1" t="str">
        <f>IFERROR($BC$3&amp;VLOOKUP(F546,'Pay Table'!$M$3:$N$18,2,FALSE)&amp;$BB$3&amp;G546&amp;$BD$3,"")</f>
        <v/>
      </c>
      <c r="BE544" s="1" t="str">
        <f>IFERROR($BC$3&amp;VLOOKUP(H546,'Pay Table'!$M$3:$N$18,2,FALSE)&amp;$BB$3&amp;I546&amp;$BD$3,"")</f>
        <v/>
      </c>
      <c r="BF544" s="27" t="str">
        <f>IFERROR($BC$3&amp;VLOOKUP(J546,'Pay Table'!$M$3:$N$18,2,FALSE)&amp;$BB$3&amp;K546&amp;$BD$3,"")</f>
        <v/>
      </c>
    </row>
    <row r="545" spans="54:58" x14ac:dyDescent="0.15">
      <c r="BB545" s="26" t="str">
        <f>IFERROR($BC$3&amp;VLOOKUP(B547,'Pay Table'!$M$3:$N$18,2,FALSE)&amp;$BB$3&amp;C547&amp;$BD$3,"")</f>
        <v/>
      </c>
      <c r="BC545" s="1" t="str">
        <f>IFERROR($BC$3&amp;VLOOKUP(D547,'Pay Table'!$M$3:$N$18,2,FALSE)&amp;$BB$3&amp;E547&amp;$BD$3,"")</f>
        <v/>
      </c>
      <c r="BD545" s="1" t="str">
        <f>IFERROR($BC$3&amp;VLOOKUP(F547,'Pay Table'!$M$3:$N$18,2,FALSE)&amp;$BB$3&amp;G547&amp;$BD$3,"")</f>
        <v/>
      </c>
      <c r="BE545" s="1" t="str">
        <f>IFERROR($BC$3&amp;VLOOKUP(H547,'Pay Table'!$M$3:$N$18,2,FALSE)&amp;$BB$3&amp;I547&amp;$BD$3,"")</f>
        <v/>
      </c>
      <c r="BF545" s="27" t="str">
        <f>IFERROR($BC$3&amp;VLOOKUP(J547,'Pay Table'!$M$3:$N$18,2,FALSE)&amp;$BB$3&amp;K547&amp;$BD$3,"")</f>
        <v/>
      </c>
    </row>
    <row r="546" spans="54:58" x14ac:dyDescent="0.15">
      <c r="BB546" s="26" t="str">
        <f>IFERROR($BC$3&amp;VLOOKUP(B548,'Pay Table'!$M$3:$N$18,2,FALSE)&amp;$BB$3&amp;C548&amp;$BD$3,"")</f>
        <v/>
      </c>
      <c r="BC546" s="1" t="str">
        <f>IFERROR($BC$3&amp;VLOOKUP(D548,'Pay Table'!$M$3:$N$18,2,FALSE)&amp;$BB$3&amp;E548&amp;$BD$3,"")</f>
        <v/>
      </c>
      <c r="BD546" s="1" t="str">
        <f>IFERROR($BC$3&amp;VLOOKUP(F548,'Pay Table'!$M$3:$N$18,2,FALSE)&amp;$BB$3&amp;G548&amp;$BD$3,"")</f>
        <v/>
      </c>
      <c r="BE546" s="1" t="str">
        <f>IFERROR($BC$3&amp;VLOOKUP(H548,'Pay Table'!$M$3:$N$18,2,FALSE)&amp;$BB$3&amp;I548&amp;$BD$3,"")</f>
        <v/>
      </c>
      <c r="BF546" s="27" t="str">
        <f>IFERROR($BC$3&amp;VLOOKUP(J548,'Pay Table'!$M$3:$N$18,2,FALSE)&amp;$BB$3&amp;K548&amp;$BD$3,"")</f>
        <v/>
      </c>
    </row>
    <row r="547" spans="54:58" x14ac:dyDescent="0.15">
      <c r="BB547" s="26" t="str">
        <f>IFERROR($BC$3&amp;VLOOKUP(B549,'Pay Table'!$M$3:$N$18,2,FALSE)&amp;$BB$3&amp;C549&amp;$BD$3,"")</f>
        <v/>
      </c>
      <c r="BC547" s="1" t="str">
        <f>IFERROR($BC$3&amp;VLOOKUP(D549,'Pay Table'!$M$3:$N$18,2,FALSE)&amp;$BB$3&amp;E549&amp;$BD$3,"")</f>
        <v/>
      </c>
      <c r="BD547" s="1" t="str">
        <f>IFERROR($BC$3&amp;VLOOKUP(F549,'Pay Table'!$M$3:$N$18,2,FALSE)&amp;$BB$3&amp;G549&amp;$BD$3,"")</f>
        <v/>
      </c>
      <c r="BE547" s="1" t="str">
        <f>IFERROR($BC$3&amp;VLOOKUP(H549,'Pay Table'!$M$3:$N$18,2,FALSE)&amp;$BB$3&amp;I549&amp;$BD$3,"")</f>
        <v/>
      </c>
      <c r="BF547" s="27" t="str">
        <f>IFERROR($BC$3&amp;VLOOKUP(J549,'Pay Table'!$M$3:$N$18,2,FALSE)&amp;$BB$3&amp;K549&amp;$BD$3,"")</f>
        <v/>
      </c>
    </row>
    <row r="548" spans="54:58" x14ac:dyDescent="0.15">
      <c r="BB548" s="26" t="str">
        <f>IFERROR($BC$3&amp;VLOOKUP(B550,'Pay Table'!$M$3:$N$18,2,FALSE)&amp;$BB$3&amp;C550&amp;$BD$3,"")</f>
        <v/>
      </c>
      <c r="BC548" s="1" t="str">
        <f>IFERROR($BC$3&amp;VLOOKUP(D550,'Pay Table'!$M$3:$N$18,2,FALSE)&amp;$BB$3&amp;E550&amp;$BD$3,"")</f>
        <v/>
      </c>
      <c r="BD548" s="1" t="str">
        <f>IFERROR($BC$3&amp;VLOOKUP(F550,'Pay Table'!$M$3:$N$18,2,FALSE)&amp;$BB$3&amp;G550&amp;$BD$3,"")</f>
        <v/>
      </c>
      <c r="BE548" s="1" t="str">
        <f>IFERROR($BC$3&amp;VLOOKUP(H550,'Pay Table'!$M$3:$N$18,2,FALSE)&amp;$BB$3&amp;I550&amp;$BD$3,"")</f>
        <v/>
      </c>
      <c r="BF548" s="27" t="str">
        <f>IFERROR($BC$3&amp;VLOOKUP(J550,'Pay Table'!$M$3:$N$18,2,FALSE)&amp;$BB$3&amp;K550&amp;$BD$3,"")</f>
        <v/>
      </c>
    </row>
    <row r="549" spans="54:58" x14ac:dyDescent="0.15">
      <c r="BB549" s="26" t="str">
        <f>IFERROR($BC$3&amp;VLOOKUP(B551,'Pay Table'!$M$3:$N$18,2,FALSE)&amp;$BB$3&amp;C551&amp;$BD$3,"")</f>
        <v/>
      </c>
      <c r="BC549" s="1" t="str">
        <f>IFERROR($BC$3&amp;VLOOKUP(D551,'Pay Table'!$M$3:$N$18,2,FALSE)&amp;$BB$3&amp;E551&amp;$BD$3,"")</f>
        <v/>
      </c>
      <c r="BD549" s="1" t="str">
        <f>IFERROR($BC$3&amp;VLOOKUP(F551,'Pay Table'!$M$3:$N$18,2,FALSE)&amp;$BB$3&amp;G551&amp;$BD$3,"")</f>
        <v/>
      </c>
      <c r="BE549" s="1" t="str">
        <f>IFERROR($BC$3&amp;VLOOKUP(H551,'Pay Table'!$M$3:$N$18,2,FALSE)&amp;$BB$3&amp;I551&amp;$BD$3,"")</f>
        <v/>
      </c>
      <c r="BF549" s="27" t="str">
        <f>IFERROR($BC$3&amp;VLOOKUP(J551,'Pay Table'!$M$3:$N$18,2,FALSE)&amp;$BB$3&amp;K551&amp;$BD$3,"")</f>
        <v/>
      </c>
    </row>
    <row r="550" spans="54:58" x14ac:dyDescent="0.15">
      <c r="BB550" s="26" t="str">
        <f>IFERROR($BC$3&amp;VLOOKUP(B552,'Pay Table'!$M$3:$N$18,2,FALSE)&amp;$BB$3&amp;C552&amp;$BD$3,"")</f>
        <v/>
      </c>
      <c r="BC550" s="1" t="str">
        <f>IFERROR($BC$3&amp;VLOOKUP(D552,'Pay Table'!$M$3:$N$18,2,FALSE)&amp;$BB$3&amp;E552&amp;$BD$3,"")</f>
        <v/>
      </c>
      <c r="BD550" s="1" t="str">
        <f>IFERROR($BC$3&amp;VLOOKUP(F552,'Pay Table'!$M$3:$N$18,2,FALSE)&amp;$BB$3&amp;G552&amp;$BD$3,"")</f>
        <v/>
      </c>
      <c r="BE550" s="1" t="str">
        <f>IFERROR($BC$3&amp;VLOOKUP(H552,'Pay Table'!$M$3:$N$18,2,FALSE)&amp;$BB$3&amp;I552&amp;$BD$3,"")</f>
        <v/>
      </c>
      <c r="BF550" s="27" t="str">
        <f>IFERROR($BC$3&amp;VLOOKUP(J552,'Pay Table'!$M$3:$N$18,2,FALSE)&amp;$BB$3&amp;K552&amp;$BD$3,"")</f>
        <v/>
      </c>
    </row>
    <row r="551" spans="54:58" x14ac:dyDescent="0.15">
      <c r="BB551" s="26" t="str">
        <f>IFERROR($BC$3&amp;VLOOKUP(B553,'Pay Table'!$M$3:$N$18,2,FALSE)&amp;$BB$3&amp;C553&amp;$BD$3,"")</f>
        <v/>
      </c>
      <c r="BC551" s="1" t="str">
        <f>IFERROR($BC$3&amp;VLOOKUP(D553,'Pay Table'!$M$3:$N$18,2,FALSE)&amp;$BB$3&amp;E553&amp;$BD$3,"")</f>
        <v/>
      </c>
      <c r="BD551" s="1" t="str">
        <f>IFERROR($BC$3&amp;VLOOKUP(F553,'Pay Table'!$M$3:$N$18,2,FALSE)&amp;$BB$3&amp;G553&amp;$BD$3,"")</f>
        <v/>
      </c>
      <c r="BE551" s="1" t="str">
        <f>IFERROR($BC$3&amp;VLOOKUP(H553,'Pay Table'!$M$3:$N$18,2,FALSE)&amp;$BB$3&amp;I553&amp;$BD$3,"")</f>
        <v/>
      </c>
      <c r="BF551" s="27" t="str">
        <f>IFERROR($BC$3&amp;VLOOKUP(J553,'Pay Table'!$M$3:$N$18,2,FALSE)&amp;$BB$3&amp;K553&amp;$BD$3,"")</f>
        <v/>
      </c>
    </row>
    <row r="552" spans="54:58" x14ac:dyDescent="0.15">
      <c r="BB552" s="26" t="str">
        <f>IFERROR($BC$3&amp;VLOOKUP(B554,'Pay Table'!$M$3:$N$18,2,FALSE)&amp;$BB$3&amp;C554&amp;$BD$3,"")</f>
        <v/>
      </c>
      <c r="BC552" s="1" t="str">
        <f>IFERROR($BC$3&amp;VLOOKUP(D554,'Pay Table'!$M$3:$N$18,2,FALSE)&amp;$BB$3&amp;E554&amp;$BD$3,"")</f>
        <v/>
      </c>
      <c r="BD552" s="1" t="str">
        <f>IFERROR($BC$3&amp;VLOOKUP(F554,'Pay Table'!$M$3:$N$18,2,FALSE)&amp;$BB$3&amp;G554&amp;$BD$3,"")</f>
        <v/>
      </c>
      <c r="BE552" s="1" t="str">
        <f>IFERROR($BC$3&amp;VLOOKUP(H554,'Pay Table'!$M$3:$N$18,2,FALSE)&amp;$BB$3&amp;I554&amp;$BD$3,"")</f>
        <v/>
      </c>
      <c r="BF552" s="27" t="str">
        <f>IFERROR($BC$3&amp;VLOOKUP(J554,'Pay Table'!$M$3:$N$18,2,FALSE)&amp;$BB$3&amp;K554&amp;$BD$3,"")</f>
        <v/>
      </c>
    </row>
    <row r="553" spans="54:58" x14ac:dyDescent="0.15">
      <c r="BB553" s="26" t="str">
        <f>IFERROR($BC$3&amp;VLOOKUP(B555,'Pay Table'!$M$3:$N$18,2,FALSE)&amp;$BB$3&amp;C555&amp;$BD$3,"")</f>
        <v/>
      </c>
      <c r="BC553" s="1" t="str">
        <f>IFERROR($BC$3&amp;VLOOKUP(D555,'Pay Table'!$M$3:$N$18,2,FALSE)&amp;$BB$3&amp;E555&amp;$BD$3,"")</f>
        <v/>
      </c>
      <c r="BD553" s="1" t="str">
        <f>IFERROR($BC$3&amp;VLOOKUP(F555,'Pay Table'!$M$3:$N$18,2,FALSE)&amp;$BB$3&amp;G555&amp;$BD$3,"")</f>
        <v/>
      </c>
      <c r="BE553" s="1" t="str">
        <f>IFERROR($BC$3&amp;VLOOKUP(H555,'Pay Table'!$M$3:$N$18,2,FALSE)&amp;$BB$3&amp;I555&amp;$BD$3,"")</f>
        <v/>
      </c>
      <c r="BF553" s="27" t="str">
        <f>IFERROR($BC$3&amp;VLOOKUP(J555,'Pay Table'!$M$3:$N$18,2,FALSE)&amp;$BB$3&amp;K555&amp;$BD$3,"")</f>
        <v/>
      </c>
    </row>
    <row r="554" spans="54:58" x14ac:dyDescent="0.15">
      <c r="BB554" s="26" t="str">
        <f>IFERROR($BC$3&amp;VLOOKUP(B556,'Pay Table'!$M$3:$N$18,2,FALSE)&amp;$BB$3&amp;C556&amp;$BD$3,"")</f>
        <v/>
      </c>
      <c r="BC554" s="1" t="str">
        <f>IFERROR($BC$3&amp;VLOOKUP(D556,'Pay Table'!$M$3:$N$18,2,FALSE)&amp;$BB$3&amp;E556&amp;$BD$3,"")</f>
        <v/>
      </c>
      <c r="BD554" s="1" t="str">
        <f>IFERROR($BC$3&amp;VLOOKUP(F556,'Pay Table'!$M$3:$N$18,2,FALSE)&amp;$BB$3&amp;G556&amp;$BD$3,"")</f>
        <v/>
      </c>
      <c r="BE554" s="1" t="str">
        <f>IFERROR($BC$3&amp;VLOOKUP(H556,'Pay Table'!$M$3:$N$18,2,FALSE)&amp;$BB$3&amp;I556&amp;$BD$3,"")</f>
        <v/>
      </c>
      <c r="BF554" s="27" t="str">
        <f>IFERROR($BC$3&amp;VLOOKUP(J556,'Pay Table'!$M$3:$N$18,2,FALSE)&amp;$BB$3&amp;K556&amp;$BD$3,"")</f>
        <v/>
      </c>
    </row>
    <row r="555" spans="54:58" x14ac:dyDescent="0.15">
      <c r="BB555" s="26" t="str">
        <f>IFERROR($BC$3&amp;VLOOKUP(B557,'Pay Table'!$M$3:$N$18,2,FALSE)&amp;$BB$3&amp;C557&amp;$BD$3,"")</f>
        <v/>
      </c>
      <c r="BC555" s="1" t="str">
        <f>IFERROR($BC$3&amp;VLOOKUP(D557,'Pay Table'!$M$3:$N$18,2,FALSE)&amp;$BB$3&amp;E557&amp;$BD$3,"")</f>
        <v/>
      </c>
      <c r="BD555" s="1" t="str">
        <f>IFERROR($BC$3&amp;VLOOKUP(F557,'Pay Table'!$M$3:$N$18,2,FALSE)&amp;$BB$3&amp;G557&amp;$BD$3,"")</f>
        <v/>
      </c>
      <c r="BE555" s="1" t="str">
        <f>IFERROR($BC$3&amp;VLOOKUP(H557,'Pay Table'!$M$3:$N$18,2,FALSE)&amp;$BB$3&amp;I557&amp;$BD$3,"")</f>
        <v/>
      </c>
      <c r="BF555" s="27" t="str">
        <f>IFERROR($BC$3&amp;VLOOKUP(J557,'Pay Table'!$M$3:$N$18,2,FALSE)&amp;$BB$3&amp;K557&amp;$BD$3,"")</f>
        <v/>
      </c>
    </row>
    <row r="556" spans="54:58" x14ac:dyDescent="0.15">
      <c r="BB556" s="26" t="str">
        <f>IFERROR($BC$3&amp;VLOOKUP(B558,'Pay Table'!$M$3:$N$18,2,FALSE)&amp;$BB$3&amp;C558&amp;$BD$3,"")</f>
        <v/>
      </c>
      <c r="BC556" s="1" t="str">
        <f>IFERROR($BC$3&amp;VLOOKUP(D558,'Pay Table'!$M$3:$N$18,2,FALSE)&amp;$BB$3&amp;E558&amp;$BD$3,"")</f>
        <v/>
      </c>
      <c r="BD556" s="1" t="str">
        <f>IFERROR($BC$3&amp;VLOOKUP(F558,'Pay Table'!$M$3:$N$18,2,FALSE)&amp;$BB$3&amp;G558&amp;$BD$3,"")</f>
        <v/>
      </c>
      <c r="BE556" s="1" t="str">
        <f>IFERROR($BC$3&amp;VLOOKUP(H558,'Pay Table'!$M$3:$N$18,2,FALSE)&amp;$BB$3&amp;I558&amp;$BD$3,"")</f>
        <v/>
      </c>
      <c r="BF556" s="27" t="str">
        <f>IFERROR($BC$3&amp;VLOOKUP(J558,'Pay Table'!$M$3:$N$18,2,FALSE)&amp;$BB$3&amp;K558&amp;$BD$3,"")</f>
        <v/>
      </c>
    </row>
    <row r="557" spans="54:58" x14ac:dyDescent="0.15">
      <c r="BB557" s="26" t="str">
        <f>IFERROR($BC$3&amp;VLOOKUP(B559,'Pay Table'!$M$3:$N$18,2,FALSE)&amp;$BB$3&amp;C559&amp;$BD$3,"")</f>
        <v/>
      </c>
      <c r="BC557" s="1" t="str">
        <f>IFERROR($BC$3&amp;VLOOKUP(D559,'Pay Table'!$M$3:$N$18,2,FALSE)&amp;$BB$3&amp;E559&amp;$BD$3,"")</f>
        <v/>
      </c>
      <c r="BD557" s="1" t="str">
        <f>IFERROR($BC$3&amp;VLOOKUP(F559,'Pay Table'!$M$3:$N$18,2,FALSE)&amp;$BB$3&amp;G559&amp;$BD$3,"")</f>
        <v/>
      </c>
      <c r="BE557" s="1" t="str">
        <f>IFERROR($BC$3&amp;VLOOKUP(H559,'Pay Table'!$M$3:$N$18,2,FALSE)&amp;$BB$3&amp;I559&amp;$BD$3,"")</f>
        <v/>
      </c>
      <c r="BF557" s="27" t="str">
        <f>IFERROR($BC$3&amp;VLOOKUP(J559,'Pay Table'!$M$3:$N$18,2,FALSE)&amp;$BB$3&amp;K559&amp;$BD$3,"")</f>
        <v/>
      </c>
    </row>
    <row r="558" spans="54:58" x14ac:dyDescent="0.15">
      <c r="BB558" s="26" t="str">
        <f>IFERROR($BC$3&amp;VLOOKUP(B560,'Pay Table'!$M$3:$N$18,2,FALSE)&amp;$BB$3&amp;C560&amp;$BD$3,"")</f>
        <v/>
      </c>
      <c r="BC558" s="1" t="str">
        <f>IFERROR($BC$3&amp;VLOOKUP(D560,'Pay Table'!$M$3:$N$18,2,FALSE)&amp;$BB$3&amp;E560&amp;$BD$3,"")</f>
        <v/>
      </c>
      <c r="BD558" s="1" t="str">
        <f>IFERROR($BC$3&amp;VLOOKUP(F560,'Pay Table'!$M$3:$N$18,2,FALSE)&amp;$BB$3&amp;G560&amp;$BD$3,"")</f>
        <v/>
      </c>
      <c r="BE558" s="1" t="str">
        <f>IFERROR($BC$3&amp;VLOOKUP(H560,'Pay Table'!$M$3:$N$18,2,FALSE)&amp;$BB$3&amp;I560&amp;$BD$3,"")</f>
        <v/>
      </c>
      <c r="BF558" s="27" t="str">
        <f>IFERROR($BC$3&amp;VLOOKUP(J560,'Pay Table'!$M$3:$N$18,2,FALSE)&amp;$BB$3&amp;K560&amp;$BD$3,"")</f>
        <v/>
      </c>
    </row>
    <row r="559" spans="54:58" x14ac:dyDescent="0.15">
      <c r="BB559" s="26" t="str">
        <f>IFERROR($BC$3&amp;VLOOKUP(B561,'Pay Table'!$M$3:$N$18,2,FALSE)&amp;$BB$3&amp;C561&amp;$BD$3,"")</f>
        <v/>
      </c>
      <c r="BC559" s="1" t="str">
        <f>IFERROR($BC$3&amp;VLOOKUP(D561,'Pay Table'!$M$3:$N$18,2,FALSE)&amp;$BB$3&amp;E561&amp;$BD$3,"")</f>
        <v/>
      </c>
      <c r="BD559" s="1" t="str">
        <f>IFERROR($BC$3&amp;VLOOKUP(F561,'Pay Table'!$M$3:$N$18,2,FALSE)&amp;$BB$3&amp;G561&amp;$BD$3,"")</f>
        <v/>
      </c>
      <c r="BE559" s="1" t="str">
        <f>IFERROR($BC$3&amp;VLOOKUP(H561,'Pay Table'!$M$3:$N$18,2,FALSE)&amp;$BB$3&amp;I561&amp;$BD$3,"")</f>
        <v/>
      </c>
      <c r="BF559" s="27" t="str">
        <f>IFERROR($BC$3&amp;VLOOKUP(J561,'Pay Table'!$M$3:$N$18,2,FALSE)&amp;$BB$3&amp;K561&amp;$BD$3,"")</f>
        <v/>
      </c>
    </row>
    <row r="560" spans="54:58" x14ac:dyDescent="0.15">
      <c r="BB560" s="26" t="str">
        <f>IFERROR($BC$3&amp;VLOOKUP(B562,'Pay Table'!$M$3:$N$18,2,FALSE)&amp;$BB$3&amp;C562&amp;$BD$3,"")</f>
        <v/>
      </c>
      <c r="BC560" s="1" t="str">
        <f>IFERROR($BC$3&amp;VLOOKUP(D562,'Pay Table'!$M$3:$N$18,2,FALSE)&amp;$BB$3&amp;E562&amp;$BD$3,"")</f>
        <v/>
      </c>
      <c r="BD560" s="1" t="str">
        <f>IFERROR($BC$3&amp;VLOOKUP(F562,'Pay Table'!$M$3:$N$18,2,FALSE)&amp;$BB$3&amp;G562&amp;$BD$3,"")</f>
        <v/>
      </c>
      <c r="BE560" s="1" t="str">
        <f>IFERROR($BC$3&amp;VLOOKUP(H562,'Pay Table'!$M$3:$N$18,2,FALSE)&amp;$BB$3&amp;I562&amp;$BD$3,"")</f>
        <v/>
      </c>
      <c r="BF560" s="27" t="str">
        <f>IFERROR($BC$3&amp;VLOOKUP(J562,'Pay Table'!$M$3:$N$18,2,FALSE)&amp;$BB$3&amp;K562&amp;$BD$3,"")</f>
        <v/>
      </c>
    </row>
    <row r="561" spans="54:58" x14ac:dyDescent="0.15">
      <c r="BB561" s="26" t="str">
        <f>IFERROR($BC$3&amp;VLOOKUP(B563,'Pay Table'!$M$3:$N$18,2,FALSE)&amp;$BB$3&amp;C563&amp;$BD$3,"")</f>
        <v/>
      </c>
      <c r="BC561" s="1" t="str">
        <f>IFERROR($BC$3&amp;VLOOKUP(D563,'Pay Table'!$M$3:$N$18,2,FALSE)&amp;$BB$3&amp;E563&amp;$BD$3,"")</f>
        <v/>
      </c>
      <c r="BD561" s="1" t="str">
        <f>IFERROR($BC$3&amp;VLOOKUP(F563,'Pay Table'!$M$3:$N$18,2,FALSE)&amp;$BB$3&amp;G563&amp;$BD$3,"")</f>
        <v/>
      </c>
      <c r="BE561" s="1" t="str">
        <f>IFERROR($BC$3&amp;VLOOKUP(H563,'Pay Table'!$M$3:$N$18,2,FALSE)&amp;$BB$3&amp;I563&amp;$BD$3,"")</f>
        <v/>
      </c>
      <c r="BF561" s="27" t="str">
        <f>IFERROR($BC$3&amp;VLOOKUP(J563,'Pay Table'!$M$3:$N$18,2,FALSE)&amp;$BB$3&amp;K563&amp;$BD$3,"")</f>
        <v/>
      </c>
    </row>
    <row r="562" spans="54:58" x14ac:dyDescent="0.15">
      <c r="BB562" s="26" t="str">
        <f>IFERROR($BC$3&amp;VLOOKUP(B564,'Pay Table'!$M$3:$N$18,2,FALSE)&amp;$BB$3&amp;C564&amp;$BD$3,"")</f>
        <v/>
      </c>
      <c r="BC562" s="1" t="str">
        <f>IFERROR($BC$3&amp;VLOOKUP(D564,'Pay Table'!$M$3:$N$18,2,FALSE)&amp;$BB$3&amp;E564&amp;$BD$3,"")</f>
        <v/>
      </c>
      <c r="BD562" s="1" t="str">
        <f>IFERROR($BC$3&amp;VLOOKUP(F564,'Pay Table'!$M$3:$N$18,2,FALSE)&amp;$BB$3&amp;G564&amp;$BD$3,"")</f>
        <v/>
      </c>
      <c r="BE562" s="1" t="str">
        <f>IFERROR($BC$3&amp;VLOOKUP(H564,'Pay Table'!$M$3:$N$18,2,FALSE)&amp;$BB$3&amp;I564&amp;$BD$3,"")</f>
        <v/>
      </c>
      <c r="BF562" s="27" t="str">
        <f>IFERROR($BC$3&amp;VLOOKUP(J564,'Pay Table'!$M$3:$N$18,2,FALSE)&amp;$BB$3&amp;K564&amp;$BD$3,"")</f>
        <v/>
      </c>
    </row>
    <row r="563" spans="54:58" x14ac:dyDescent="0.15">
      <c r="BB563" s="26" t="str">
        <f>IFERROR($BC$3&amp;VLOOKUP(B565,'Pay Table'!$M$3:$N$18,2,FALSE)&amp;$BB$3&amp;C565&amp;$BD$3,"")</f>
        <v/>
      </c>
      <c r="BC563" s="1" t="str">
        <f>IFERROR($BC$3&amp;VLOOKUP(D565,'Pay Table'!$M$3:$N$18,2,FALSE)&amp;$BB$3&amp;E565&amp;$BD$3,"")</f>
        <v/>
      </c>
      <c r="BD563" s="1" t="str">
        <f>IFERROR($BC$3&amp;VLOOKUP(F565,'Pay Table'!$M$3:$N$18,2,FALSE)&amp;$BB$3&amp;G565&amp;$BD$3,"")</f>
        <v/>
      </c>
      <c r="BE563" s="1" t="str">
        <f>IFERROR($BC$3&amp;VLOOKUP(H565,'Pay Table'!$M$3:$N$18,2,FALSE)&amp;$BB$3&amp;I565&amp;$BD$3,"")</f>
        <v/>
      </c>
      <c r="BF563" s="27" t="str">
        <f>IFERROR($BC$3&amp;VLOOKUP(J565,'Pay Table'!$M$3:$N$18,2,FALSE)&amp;$BB$3&amp;K565&amp;$BD$3,"")</f>
        <v/>
      </c>
    </row>
    <row r="564" spans="54:58" x14ac:dyDescent="0.15">
      <c r="BB564" s="26" t="str">
        <f>IFERROR($BC$3&amp;VLOOKUP(B566,'Pay Table'!$M$3:$N$18,2,FALSE)&amp;$BB$3&amp;C566&amp;$BD$3,"")</f>
        <v/>
      </c>
      <c r="BC564" s="1" t="str">
        <f>IFERROR($BC$3&amp;VLOOKUP(D566,'Pay Table'!$M$3:$N$18,2,FALSE)&amp;$BB$3&amp;E566&amp;$BD$3,"")</f>
        <v/>
      </c>
      <c r="BD564" s="1" t="str">
        <f>IFERROR($BC$3&amp;VLOOKUP(F566,'Pay Table'!$M$3:$N$18,2,FALSE)&amp;$BB$3&amp;G566&amp;$BD$3,"")</f>
        <v/>
      </c>
      <c r="BE564" s="1" t="str">
        <f>IFERROR($BC$3&amp;VLOOKUP(H566,'Pay Table'!$M$3:$N$18,2,FALSE)&amp;$BB$3&amp;I566&amp;$BD$3,"")</f>
        <v/>
      </c>
      <c r="BF564" s="27" t="str">
        <f>IFERROR($BC$3&amp;VLOOKUP(J566,'Pay Table'!$M$3:$N$18,2,FALSE)&amp;$BB$3&amp;K566&amp;$BD$3,"")</f>
        <v/>
      </c>
    </row>
    <row r="565" spans="54:58" x14ac:dyDescent="0.15">
      <c r="BB565" s="26" t="str">
        <f>IFERROR($BC$3&amp;VLOOKUP(B567,'Pay Table'!$M$3:$N$18,2,FALSE)&amp;$BB$3&amp;C567&amp;$BD$3,"")</f>
        <v/>
      </c>
      <c r="BC565" s="1" t="str">
        <f>IFERROR($BC$3&amp;VLOOKUP(D567,'Pay Table'!$M$3:$N$18,2,FALSE)&amp;$BB$3&amp;E567&amp;$BD$3,"")</f>
        <v/>
      </c>
      <c r="BD565" s="1" t="str">
        <f>IFERROR($BC$3&amp;VLOOKUP(F567,'Pay Table'!$M$3:$N$18,2,FALSE)&amp;$BB$3&amp;G567&amp;$BD$3,"")</f>
        <v/>
      </c>
      <c r="BE565" s="1" t="str">
        <f>IFERROR($BC$3&amp;VLOOKUP(H567,'Pay Table'!$M$3:$N$18,2,FALSE)&amp;$BB$3&amp;I567&amp;$BD$3,"")</f>
        <v/>
      </c>
      <c r="BF565" s="27" t="str">
        <f>IFERROR($BC$3&amp;VLOOKUP(J567,'Pay Table'!$M$3:$N$18,2,FALSE)&amp;$BB$3&amp;K567&amp;$BD$3,"")</f>
        <v/>
      </c>
    </row>
    <row r="566" spans="54:58" x14ac:dyDescent="0.15">
      <c r="BB566" s="26" t="str">
        <f>IFERROR($BC$3&amp;VLOOKUP(B568,'Pay Table'!$M$3:$N$18,2,FALSE)&amp;$BB$3&amp;C568&amp;$BD$3,"")</f>
        <v/>
      </c>
      <c r="BC566" s="1" t="str">
        <f>IFERROR($BC$3&amp;VLOOKUP(D568,'Pay Table'!$M$3:$N$18,2,FALSE)&amp;$BB$3&amp;E568&amp;$BD$3,"")</f>
        <v/>
      </c>
      <c r="BD566" s="1" t="str">
        <f>IFERROR($BC$3&amp;VLOOKUP(F568,'Pay Table'!$M$3:$N$18,2,FALSE)&amp;$BB$3&amp;G568&amp;$BD$3,"")</f>
        <v/>
      </c>
      <c r="BE566" s="1" t="str">
        <f>IFERROR($BC$3&amp;VLOOKUP(H568,'Pay Table'!$M$3:$N$18,2,FALSE)&amp;$BB$3&amp;I568&amp;$BD$3,"")</f>
        <v/>
      </c>
      <c r="BF566" s="27" t="str">
        <f>IFERROR($BC$3&amp;VLOOKUP(J568,'Pay Table'!$M$3:$N$18,2,FALSE)&amp;$BB$3&amp;K568&amp;$BD$3,"")</f>
        <v/>
      </c>
    </row>
    <row r="567" spans="54:58" x14ac:dyDescent="0.15">
      <c r="BB567" s="26" t="str">
        <f>IFERROR($BC$3&amp;VLOOKUP(B569,'Pay Table'!$M$3:$N$18,2,FALSE)&amp;$BB$3&amp;C569&amp;$BD$3,"")</f>
        <v/>
      </c>
      <c r="BC567" s="1" t="str">
        <f>IFERROR($BC$3&amp;VLOOKUP(D569,'Pay Table'!$M$3:$N$18,2,FALSE)&amp;$BB$3&amp;E569&amp;$BD$3,"")</f>
        <v/>
      </c>
      <c r="BD567" s="1" t="str">
        <f>IFERROR($BC$3&amp;VLOOKUP(F569,'Pay Table'!$M$3:$N$18,2,FALSE)&amp;$BB$3&amp;G569&amp;$BD$3,"")</f>
        <v/>
      </c>
      <c r="BE567" s="1" t="str">
        <f>IFERROR($BC$3&amp;VLOOKUP(H569,'Pay Table'!$M$3:$N$18,2,FALSE)&amp;$BB$3&amp;I569&amp;$BD$3,"")</f>
        <v/>
      </c>
      <c r="BF567" s="27" t="str">
        <f>IFERROR($BC$3&amp;VLOOKUP(J569,'Pay Table'!$M$3:$N$18,2,FALSE)&amp;$BB$3&amp;K569&amp;$BD$3,"")</f>
        <v/>
      </c>
    </row>
    <row r="568" spans="54:58" x14ac:dyDescent="0.15">
      <c r="BB568" s="26" t="str">
        <f>IFERROR($BC$3&amp;VLOOKUP(B570,'Pay Table'!$M$3:$N$18,2,FALSE)&amp;$BB$3&amp;C570&amp;$BD$3,"")</f>
        <v/>
      </c>
      <c r="BC568" s="1" t="str">
        <f>IFERROR($BC$3&amp;VLOOKUP(D570,'Pay Table'!$M$3:$N$18,2,FALSE)&amp;$BB$3&amp;E570&amp;$BD$3,"")</f>
        <v/>
      </c>
      <c r="BD568" s="1" t="str">
        <f>IFERROR($BC$3&amp;VLOOKUP(F570,'Pay Table'!$M$3:$N$18,2,FALSE)&amp;$BB$3&amp;G570&amp;$BD$3,"")</f>
        <v/>
      </c>
      <c r="BE568" s="1" t="str">
        <f>IFERROR($BC$3&amp;VLOOKUP(H570,'Pay Table'!$M$3:$N$18,2,FALSE)&amp;$BB$3&amp;I570&amp;$BD$3,"")</f>
        <v/>
      </c>
      <c r="BF568" s="27" t="str">
        <f>IFERROR($BC$3&amp;VLOOKUP(J570,'Pay Table'!$M$3:$N$18,2,FALSE)&amp;$BB$3&amp;K570&amp;$BD$3,"")</f>
        <v/>
      </c>
    </row>
    <row r="569" spans="54:58" x14ac:dyDescent="0.15">
      <c r="BB569" s="26" t="str">
        <f>IFERROR($BC$3&amp;VLOOKUP(B571,'Pay Table'!$M$3:$N$18,2,FALSE)&amp;$BB$3&amp;C571&amp;$BD$3,"")</f>
        <v/>
      </c>
      <c r="BC569" s="1" t="str">
        <f>IFERROR($BC$3&amp;VLOOKUP(D571,'Pay Table'!$M$3:$N$18,2,FALSE)&amp;$BB$3&amp;E571&amp;$BD$3,"")</f>
        <v/>
      </c>
      <c r="BD569" s="1" t="str">
        <f>IFERROR($BC$3&amp;VLOOKUP(F571,'Pay Table'!$M$3:$N$18,2,FALSE)&amp;$BB$3&amp;G571&amp;$BD$3,"")</f>
        <v/>
      </c>
      <c r="BE569" s="1" t="str">
        <f>IFERROR($BC$3&amp;VLOOKUP(H571,'Pay Table'!$M$3:$N$18,2,FALSE)&amp;$BB$3&amp;I571&amp;$BD$3,"")</f>
        <v/>
      </c>
      <c r="BF569" s="27" t="str">
        <f>IFERROR($BC$3&amp;VLOOKUP(J571,'Pay Table'!$M$3:$N$18,2,FALSE)&amp;$BB$3&amp;K571&amp;$BD$3,"")</f>
        <v/>
      </c>
    </row>
    <row r="570" spans="54:58" x14ac:dyDescent="0.15">
      <c r="BB570" s="26" t="str">
        <f>IFERROR($BC$3&amp;VLOOKUP(B572,'Pay Table'!$M$3:$N$18,2,FALSE)&amp;$BB$3&amp;C572&amp;$BD$3,"")</f>
        <v/>
      </c>
      <c r="BC570" s="1" t="str">
        <f>IFERROR($BC$3&amp;VLOOKUP(D572,'Pay Table'!$M$3:$N$18,2,FALSE)&amp;$BB$3&amp;E572&amp;$BD$3,"")</f>
        <v/>
      </c>
      <c r="BD570" s="1" t="str">
        <f>IFERROR($BC$3&amp;VLOOKUP(F572,'Pay Table'!$M$3:$N$18,2,FALSE)&amp;$BB$3&amp;G572&amp;$BD$3,"")</f>
        <v/>
      </c>
      <c r="BE570" s="1" t="str">
        <f>IFERROR($BC$3&amp;VLOOKUP(H572,'Pay Table'!$M$3:$N$18,2,FALSE)&amp;$BB$3&amp;I572&amp;$BD$3,"")</f>
        <v/>
      </c>
      <c r="BF570" s="27" t="str">
        <f>IFERROR($BC$3&amp;VLOOKUP(J572,'Pay Table'!$M$3:$N$18,2,FALSE)&amp;$BB$3&amp;K572&amp;$BD$3,"")</f>
        <v/>
      </c>
    </row>
    <row r="571" spans="54:58" x14ac:dyDescent="0.15">
      <c r="BB571" s="26" t="str">
        <f>IFERROR($BC$3&amp;VLOOKUP(B573,'Pay Table'!$M$3:$N$18,2,FALSE)&amp;$BB$3&amp;C573&amp;$BD$3,"")</f>
        <v/>
      </c>
      <c r="BC571" s="1" t="str">
        <f>IFERROR($BC$3&amp;VLOOKUP(D573,'Pay Table'!$M$3:$N$18,2,FALSE)&amp;$BB$3&amp;E573&amp;$BD$3,"")</f>
        <v/>
      </c>
      <c r="BD571" s="1" t="str">
        <f>IFERROR($BC$3&amp;VLOOKUP(F573,'Pay Table'!$M$3:$N$18,2,FALSE)&amp;$BB$3&amp;G573&amp;$BD$3,"")</f>
        <v/>
      </c>
      <c r="BE571" s="1" t="str">
        <f>IFERROR($BC$3&amp;VLOOKUP(H573,'Pay Table'!$M$3:$N$18,2,FALSE)&amp;$BB$3&amp;I573&amp;$BD$3,"")</f>
        <v/>
      </c>
      <c r="BF571" s="27" t="str">
        <f>IFERROR($BC$3&amp;VLOOKUP(J573,'Pay Table'!$M$3:$N$18,2,FALSE)&amp;$BB$3&amp;K573&amp;$BD$3,"")</f>
        <v/>
      </c>
    </row>
    <row r="572" spans="54:58" x14ac:dyDescent="0.15">
      <c r="BB572" s="26" t="str">
        <f>IFERROR($BC$3&amp;VLOOKUP(B574,'Pay Table'!$M$3:$N$18,2,FALSE)&amp;$BB$3&amp;C574&amp;$BD$3,"")</f>
        <v/>
      </c>
      <c r="BC572" s="1" t="str">
        <f>IFERROR($BC$3&amp;VLOOKUP(D574,'Pay Table'!$M$3:$N$18,2,FALSE)&amp;$BB$3&amp;E574&amp;$BD$3,"")</f>
        <v/>
      </c>
      <c r="BD572" s="1" t="str">
        <f>IFERROR($BC$3&amp;VLOOKUP(F574,'Pay Table'!$M$3:$N$18,2,FALSE)&amp;$BB$3&amp;G574&amp;$BD$3,"")</f>
        <v/>
      </c>
      <c r="BE572" s="1" t="str">
        <f>IFERROR($BC$3&amp;VLOOKUP(H574,'Pay Table'!$M$3:$N$18,2,FALSE)&amp;$BB$3&amp;I574&amp;$BD$3,"")</f>
        <v/>
      </c>
      <c r="BF572" s="27" t="str">
        <f>IFERROR($BC$3&amp;VLOOKUP(J574,'Pay Table'!$M$3:$N$18,2,FALSE)&amp;$BB$3&amp;K574&amp;$BD$3,"")</f>
        <v/>
      </c>
    </row>
    <row r="573" spans="54:58" x14ac:dyDescent="0.15">
      <c r="BB573" s="26" t="str">
        <f>IFERROR($BC$3&amp;VLOOKUP(B575,'Pay Table'!$M$3:$N$18,2,FALSE)&amp;$BB$3&amp;C575&amp;$BD$3,"")</f>
        <v/>
      </c>
      <c r="BC573" s="1" t="str">
        <f>IFERROR($BC$3&amp;VLOOKUP(D575,'Pay Table'!$M$3:$N$18,2,FALSE)&amp;$BB$3&amp;E575&amp;$BD$3,"")</f>
        <v/>
      </c>
      <c r="BD573" s="1" t="str">
        <f>IFERROR($BC$3&amp;VLOOKUP(F575,'Pay Table'!$M$3:$N$18,2,FALSE)&amp;$BB$3&amp;G575&amp;$BD$3,"")</f>
        <v/>
      </c>
      <c r="BE573" s="1" t="str">
        <f>IFERROR($BC$3&amp;VLOOKUP(H575,'Pay Table'!$M$3:$N$18,2,FALSE)&amp;$BB$3&amp;I575&amp;$BD$3,"")</f>
        <v/>
      </c>
      <c r="BF573" s="27" t="str">
        <f>IFERROR($BC$3&amp;VLOOKUP(J575,'Pay Table'!$M$3:$N$18,2,FALSE)&amp;$BB$3&amp;K575&amp;$BD$3,"")</f>
        <v/>
      </c>
    </row>
    <row r="574" spans="54:58" x14ac:dyDescent="0.15">
      <c r="BB574" s="26" t="str">
        <f>IFERROR($BC$3&amp;VLOOKUP(B576,'Pay Table'!$M$3:$N$18,2,FALSE)&amp;$BB$3&amp;C576&amp;$BD$3,"")</f>
        <v/>
      </c>
      <c r="BC574" s="1" t="str">
        <f>IFERROR($BC$3&amp;VLOOKUP(D576,'Pay Table'!$M$3:$N$18,2,FALSE)&amp;$BB$3&amp;E576&amp;$BD$3,"")</f>
        <v/>
      </c>
      <c r="BD574" s="1" t="str">
        <f>IFERROR($BC$3&amp;VLOOKUP(F576,'Pay Table'!$M$3:$N$18,2,FALSE)&amp;$BB$3&amp;G576&amp;$BD$3,"")</f>
        <v/>
      </c>
      <c r="BE574" s="1" t="str">
        <f>IFERROR($BC$3&amp;VLOOKUP(H576,'Pay Table'!$M$3:$N$18,2,FALSE)&amp;$BB$3&amp;I576&amp;$BD$3,"")</f>
        <v/>
      </c>
      <c r="BF574" s="27" t="str">
        <f>IFERROR($BC$3&amp;VLOOKUP(J576,'Pay Table'!$M$3:$N$18,2,FALSE)&amp;$BB$3&amp;K576&amp;$BD$3,"")</f>
        <v/>
      </c>
    </row>
    <row r="575" spans="54:58" x14ac:dyDescent="0.15">
      <c r="BB575" s="26" t="str">
        <f>IFERROR($BC$3&amp;VLOOKUP(B577,'Pay Table'!$M$3:$N$18,2,FALSE)&amp;$BB$3&amp;C577&amp;$BD$3,"")</f>
        <v/>
      </c>
      <c r="BC575" s="1" t="str">
        <f>IFERROR($BC$3&amp;VLOOKUP(D577,'Pay Table'!$M$3:$N$18,2,FALSE)&amp;$BB$3&amp;E577&amp;$BD$3,"")</f>
        <v/>
      </c>
      <c r="BD575" s="1" t="str">
        <f>IFERROR($BC$3&amp;VLOOKUP(F577,'Pay Table'!$M$3:$N$18,2,FALSE)&amp;$BB$3&amp;G577&amp;$BD$3,"")</f>
        <v/>
      </c>
      <c r="BE575" s="1" t="str">
        <f>IFERROR($BC$3&amp;VLOOKUP(H577,'Pay Table'!$M$3:$N$18,2,FALSE)&amp;$BB$3&amp;I577&amp;$BD$3,"")</f>
        <v/>
      </c>
      <c r="BF575" s="27" t="str">
        <f>IFERROR($BC$3&amp;VLOOKUP(J577,'Pay Table'!$M$3:$N$18,2,FALSE)&amp;$BB$3&amp;K577&amp;$BD$3,"")</f>
        <v/>
      </c>
    </row>
    <row r="576" spans="54:58" x14ac:dyDescent="0.15">
      <c r="BB576" s="26" t="str">
        <f>IFERROR($BC$3&amp;VLOOKUP(B578,'Pay Table'!$M$3:$N$18,2,FALSE)&amp;$BB$3&amp;C578&amp;$BD$3,"")</f>
        <v/>
      </c>
      <c r="BC576" s="1" t="str">
        <f>IFERROR($BC$3&amp;VLOOKUP(D578,'Pay Table'!$M$3:$N$18,2,FALSE)&amp;$BB$3&amp;E578&amp;$BD$3,"")</f>
        <v/>
      </c>
      <c r="BD576" s="1" t="str">
        <f>IFERROR($BC$3&amp;VLOOKUP(F578,'Pay Table'!$M$3:$N$18,2,FALSE)&amp;$BB$3&amp;G578&amp;$BD$3,"")</f>
        <v/>
      </c>
      <c r="BE576" s="1" t="str">
        <f>IFERROR($BC$3&amp;VLOOKUP(H578,'Pay Table'!$M$3:$N$18,2,FALSE)&amp;$BB$3&amp;I578&amp;$BD$3,"")</f>
        <v/>
      </c>
      <c r="BF576" s="27" t="str">
        <f>IFERROR($BC$3&amp;VLOOKUP(J578,'Pay Table'!$M$3:$N$18,2,FALSE)&amp;$BB$3&amp;K578&amp;$BD$3,"")</f>
        <v/>
      </c>
    </row>
    <row r="577" spans="54:58" x14ac:dyDescent="0.15">
      <c r="BB577" s="26" t="str">
        <f>IFERROR($BC$3&amp;VLOOKUP(B579,'Pay Table'!$M$3:$N$18,2,FALSE)&amp;$BB$3&amp;C579&amp;$BD$3,"")</f>
        <v/>
      </c>
      <c r="BC577" s="1" t="str">
        <f>IFERROR($BC$3&amp;VLOOKUP(D579,'Pay Table'!$M$3:$N$18,2,FALSE)&amp;$BB$3&amp;E579&amp;$BD$3,"")</f>
        <v/>
      </c>
      <c r="BD577" s="1" t="str">
        <f>IFERROR($BC$3&amp;VLOOKUP(F579,'Pay Table'!$M$3:$N$18,2,FALSE)&amp;$BB$3&amp;G579&amp;$BD$3,"")</f>
        <v/>
      </c>
      <c r="BE577" s="1" t="str">
        <f>IFERROR($BC$3&amp;VLOOKUP(H579,'Pay Table'!$M$3:$N$18,2,FALSE)&amp;$BB$3&amp;I579&amp;$BD$3,"")</f>
        <v/>
      </c>
      <c r="BF577" s="27" t="str">
        <f>IFERROR($BC$3&amp;VLOOKUP(J579,'Pay Table'!$M$3:$N$18,2,FALSE)&amp;$BB$3&amp;K579&amp;$BD$3,"")</f>
        <v/>
      </c>
    </row>
    <row r="578" spans="54:58" x14ac:dyDescent="0.15">
      <c r="BB578" s="26" t="str">
        <f>IFERROR($BC$3&amp;VLOOKUP(B580,'Pay Table'!$M$3:$N$18,2,FALSE)&amp;$BB$3&amp;C580&amp;$BD$3,"")</f>
        <v/>
      </c>
      <c r="BC578" s="1" t="str">
        <f>IFERROR($BC$3&amp;VLOOKUP(D580,'Pay Table'!$M$3:$N$18,2,FALSE)&amp;$BB$3&amp;E580&amp;$BD$3,"")</f>
        <v/>
      </c>
      <c r="BD578" s="1" t="str">
        <f>IFERROR($BC$3&amp;VLOOKUP(F580,'Pay Table'!$M$3:$N$18,2,FALSE)&amp;$BB$3&amp;G580&amp;$BD$3,"")</f>
        <v/>
      </c>
      <c r="BE578" s="1" t="str">
        <f>IFERROR($BC$3&amp;VLOOKUP(H580,'Pay Table'!$M$3:$N$18,2,FALSE)&amp;$BB$3&amp;I580&amp;$BD$3,"")</f>
        <v/>
      </c>
      <c r="BF578" s="27" t="str">
        <f>IFERROR($BC$3&amp;VLOOKUP(J580,'Pay Table'!$M$3:$N$18,2,FALSE)&amp;$BB$3&amp;K580&amp;$BD$3,"")</f>
        <v/>
      </c>
    </row>
    <row r="579" spans="54:58" x14ac:dyDescent="0.15">
      <c r="BB579" s="26" t="str">
        <f>IFERROR($BC$3&amp;VLOOKUP(B581,'Pay Table'!$M$3:$N$18,2,FALSE)&amp;$BB$3&amp;C581&amp;$BD$3,"")</f>
        <v/>
      </c>
      <c r="BC579" s="1" t="str">
        <f>IFERROR($BC$3&amp;VLOOKUP(D581,'Pay Table'!$M$3:$N$18,2,FALSE)&amp;$BB$3&amp;E581&amp;$BD$3,"")</f>
        <v/>
      </c>
      <c r="BD579" s="1" t="str">
        <f>IFERROR($BC$3&amp;VLOOKUP(F581,'Pay Table'!$M$3:$N$18,2,FALSE)&amp;$BB$3&amp;G581&amp;$BD$3,"")</f>
        <v/>
      </c>
      <c r="BE579" s="1" t="str">
        <f>IFERROR($BC$3&amp;VLOOKUP(H581,'Pay Table'!$M$3:$N$18,2,FALSE)&amp;$BB$3&amp;I581&amp;$BD$3,"")</f>
        <v/>
      </c>
      <c r="BF579" s="27" t="str">
        <f>IFERROR($BC$3&amp;VLOOKUP(J581,'Pay Table'!$M$3:$N$18,2,FALSE)&amp;$BB$3&amp;K581&amp;$BD$3,"")</f>
        <v/>
      </c>
    </row>
    <row r="580" spans="54:58" x14ac:dyDescent="0.15">
      <c r="BB580" s="26" t="str">
        <f>IFERROR($BC$3&amp;VLOOKUP(B582,'Pay Table'!$M$3:$N$18,2,FALSE)&amp;$BB$3&amp;C582&amp;$BD$3,"")</f>
        <v/>
      </c>
      <c r="BC580" s="1" t="str">
        <f>IFERROR($BC$3&amp;VLOOKUP(D582,'Pay Table'!$M$3:$N$18,2,FALSE)&amp;$BB$3&amp;E582&amp;$BD$3,"")</f>
        <v/>
      </c>
      <c r="BD580" s="1" t="str">
        <f>IFERROR($BC$3&amp;VLOOKUP(F582,'Pay Table'!$M$3:$N$18,2,FALSE)&amp;$BB$3&amp;G582&amp;$BD$3,"")</f>
        <v/>
      </c>
      <c r="BE580" s="1" t="str">
        <f>IFERROR($BC$3&amp;VLOOKUP(H582,'Pay Table'!$M$3:$N$18,2,FALSE)&amp;$BB$3&amp;I582&amp;$BD$3,"")</f>
        <v/>
      </c>
      <c r="BF580" s="27" t="str">
        <f>IFERROR($BC$3&amp;VLOOKUP(J582,'Pay Table'!$M$3:$N$18,2,FALSE)&amp;$BB$3&amp;K582&amp;$BD$3,"")</f>
        <v/>
      </c>
    </row>
    <row r="581" spans="54:58" x14ac:dyDescent="0.15">
      <c r="BB581" s="26" t="str">
        <f>IFERROR($BC$3&amp;VLOOKUP(B583,'Pay Table'!$M$3:$N$18,2,FALSE)&amp;$BB$3&amp;C583&amp;$BD$3,"")</f>
        <v/>
      </c>
      <c r="BC581" s="1" t="str">
        <f>IFERROR($BC$3&amp;VLOOKUP(D583,'Pay Table'!$M$3:$N$18,2,FALSE)&amp;$BB$3&amp;E583&amp;$BD$3,"")</f>
        <v/>
      </c>
      <c r="BD581" s="1" t="str">
        <f>IFERROR($BC$3&amp;VLOOKUP(F583,'Pay Table'!$M$3:$N$18,2,FALSE)&amp;$BB$3&amp;G583&amp;$BD$3,"")</f>
        <v/>
      </c>
      <c r="BE581" s="1" t="str">
        <f>IFERROR($BC$3&amp;VLOOKUP(H583,'Pay Table'!$M$3:$N$18,2,FALSE)&amp;$BB$3&amp;I583&amp;$BD$3,"")</f>
        <v/>
      </c>
      <c r="BF581" s="27" t="str">
        <f>IFERROR($BC$3&amp;VLOOKUP(J583,'Pay Table'!$M$3:$N$18,2,FALSE)&amp;$BB$3&amp;K583&amp;$BD$3,"")</f>
        <v/>
      </c>
    </row>
    <row r="582" spans="54:58" x14ac:dyDescent="0.15">
      <c r="BB582" s="26" t="str">
        <f>IFERROR($BC$3&amp;VLOOKUP(B584,'Pay Table'!$M$3:$N$18,2,FALSE)&amp;$BB$3&amp;C584&amp;$BD$3,"")</f>
        <v/>
      </c>
      <c r="BC582" s="1" t="str">
        <f>IFERROR($BC$3&amp;VLOOKUP(D584,'Pay Table'!$M$3:$N$18,2,FALSE)&amp;$BB$3&amp;E584&amp;$BD$3,"")</f>
        <v/>
      </c>
      <c r="BD582" s="1" t="str">
        <f>IFERROR($BC$3&amp;VLOOKUP(F584,'Pay Table'!$M$3:$N$18,2,FALSE)&amp;$BB$3&amp;G584&amp;$BD$3,"")</f>
        <v/>
      </c>
      <c r="BE582" s="1" t="str">
        <f>IFERROR($BC$3&amp;VLOOKUP(H584,'Pay Table'!$M$3:$N$18,2,FALSE)&amp;$BB$3&amp;I584&amp;$BD$3,"")</f>
        <v/>
      </c>
      <c r="BF582" s="27" t="str">
        <f>IFERROR($BC$3&amp;VLOOKUP(J584,'Pay Table'!$M$3:$N$18,2,FALSE)&amp;$BB$3&amp;K584&amp;$BD$3,"")</f>
        <v/>
      </c>
    </row>
    <row r="583" spans="54:58" x14ac:dyDescent="0.15">
      <c r="BB583" s="26" t="str">
        <f>IFERROR($BC$3&amp;VLOOKUP(B585,'Pay Table'!$M$3:$N$18,2,FALSE)&amp;$BB$3&amp;C585&amp;$BD$3,"")</f>
        <v/>
      </c>
      <c r="BC583" s="1" t="str">
        <f>IFERROR($BC$3&amp;VLOOKUP(D585,'Pay Table'!$M$3:$N$18,2,FALSE)&amp;$BB$3&amp;E585&amp;$BD$3,"")</f>
        <v/>
      </c>
      <c r="BD583" s="1" t="str">
        <f>IFERROR($BC$3&amp;VLOOKUP(F585,'Pay Table'!$M$3:$N$18,2,FALSE)&amp;$BB$3&amp;G585&amp;$BD$3,"")</f>
        <v/>
      </c>
      <c r="BE583" s="1" t="str">
        <f>IFERROR($BC$3&amp;VLOOKUP(H585,'Pay Table'!$M$3:$N$18,2,FALSE)&amp;$BB$3&amp;I585&amp;$BD$3,"")</f>
        <v/>
      </c>
      <c r="BF583" s="27" t="str">
        <f>IFERROR($BC$3&amp;VLOOKUP(J585,'Pay Table'!$M$3:$N$18,2,FALSE)&amp;$BB$3&amp;K585&amp;$BD$3,"")</f>
        <v/>
      </c>
    </row>
    <row r="584" spans="54:58" x14ac:dyDescent="0.15">
      <c r="BB584" s="26" t="str">
        <f>IFERROR($BC$3&amp;VLOOKUP(B586,'Pay Table'!$M$3:$N$18,2,FALSE)&amp;$BB$3&amp;C586&amp;$BD$3,"")</f>
        <v/>
      </c>
      <c r="BC584" s="1" t="str">
        <f>IFERROR($BC$3&amp;VLOOKUP(D586,'Pay Table'!$M$3:$N$18,2,FALSE)&amp;$BB$3&amp;E586&amp;$BD$3,"")</f>
        <v/>
      </c>
      <c r="BD584" s="1" t="str">
        <f>IFERROR($BC$3&amp;VLOOKUP(F586,'Pay Table'!$M$3:$N$18,2,FALSE)&amp;$BB$3&amp;G586&amp;$BD$3,"")</f>
        <v/>
      </c>
      <c r="BE584" s="1" t="str">
        <f>IFERROR($BC$3&amp;VLOOKUP(H586,'Pay Table'!$M$3:$N$18,2,FALSE)&amp;$BB$3&amp;I586&amp;$BD$3,"")</f>
        <v/>
      </c>
      <c r="BF584" s="27" t="str">
        <f>IFERROR($BC$3&amp;VLOOKUP(J586,'Pay Table'!$M$3:$N$18,2,FALSE)&amp;$BB$3&amp;K586&amp;$BD$3,"")</f>
        <v/>
      </c>
    </row>
    <row r="585" spans="54:58" x14ac:dyDescent="0.15">
      <c r="BB585" s="26" t="str">
        <f>IFERROR($BC$3&amp;VLOOKUP(B587,'Pay Table'!$M$3:$N$18,2,FALSE)&amp;$BB$3&amp;C587&amp;$BD$3,"")</f>
        <v/>
      </c>
      <c r="BC585" s="1" t="str">
        <f>IFERROR($BC$3&amp;VLOOKUP(D587,'Pay Table'!$M$3:$N$18,2,FALSE)&amp;$BB$3&amp;E587&amp;$BD$3,"")</f>
        <v/>
      </c>
      <c r="BD585" s="1" t="str">
        <f>IFERROR($BC$3&amp;VLOOKUP(F587,'Pay Table'!$M$3:$N$18,2,FALSE)&amp;$BB$3&amp;G587&amp;$BD$3,"")</f>
        <v/>
      </c>
      <c r="BE585" s="1" t="str">
        <f>IFERROR($BC$3&amp;VLOOKUP(H587,'Pay Table'!$M$3:$N$18,2,FALSE)&amp;$BB$3&amp;I587&amp;$BD$3,"")</f>
        <v/>
      </c>
      <c r="BF585" s="27" t="str">
        <f>IFERROR($BC$3&amp;VLOOKUP(J587,'Pay Table'!$M$3:$N$18,2,FALSE)&amp;$BB$3&amp;K587&amp;$BD$3,"")</f>
        <v/>
      </c>
    </row>
    <row r="586" spans="54:58" x14ac:dyDescent="0.15">
      <c r="BB586" s="26" t="str">
        <f>IFERROR($BC$3&amp;VLOOKUP(B588,'Pay Table'!$M$3:$N$18,2,FALSE)&amp;$BB$3&amp;C588&amp;$BD$3,"")</f>
        <v/>
      </c>
      <c r="BC586" s="1" t="str">
        <f>IFERROR($BC$3&amp;VLOOKUP(D588,'Pay Table'!$M$3:$N$18,2,FALSE)&amp;$BB$3&amp;E588&amp;$BD$3,"")</f>
        <v/>
      </c>
      <c r="BD586" s="1" t="str">
        <f>IFERROR($BC$3&amp;VLOOKUP(F588,'Pay Table'!$M$3:$N$18,2,FALSE)&amp;$BB$3&amp;G588&amp;$BD$3,"")</f>
        <v/>
      </c>
      <c r="BE586" s="1" t="str">
        <f>IFERROR($BC$3&amp;VLOOKUP(H588,'Pay Table'!$M$3:$N$18,2,FALSE)&amp;$BB$3&amp;I588&amp;$BD$3,"")</f>
        <v/>
      </c>
      <c r="BF586" s="27" t="str">
        <f>IFERROR($BC$3&amp;VLOOKUP(J588,'Pay Table'!$M$3:$N$18,2,FALSE)&amp;$BB$3&amp;K588&amp;$BD$3,"")</f>
        <v/>
      </c>
    </row>
    <row r="587" spans="54:58" x14ac:dyDescent="0.15">
      <c r="BB587" s="26" t="str">
        <f>IFERROR($BC$3&amp;VLOOKUP(B589,'Pay Table'!$M$3:$N$18,2,FALSE)&amp;$BB$3&amp;C589&amp;$BD$3,"")</f>
        <v/>
      </c>
      <c r="BC587" s="1" t="str">
        <f>IFERROR($BC$3&amp;VLOOKUP(D589,'Pay Table'!$M$3:$N$18,2,FALSE)&amp;$BB$3&amp;E589&amp;$BD$3,"")</f>
        <v/>
      </c>
      <c r="BD587" s="1" t="str">
        <f>IFERROR($BC$3&amp;VLOOKUP(F589,'Pay Table'!$M$3:$N$18,2,FALSE)&amp;$BB$3&amp;G589&amp;$BD$3,"")</f>
        <v/>
      </c>
      <c r="BE587" s="1" t="str">
        <f>IFERROR($BC$3&amp;VLOOKUP(H589,'Pay Table'!$M$3:$N$18,2,FALSE)&amp;$BB$3&amp;I589&amp;$BD$3,"")</f>
        <v/>
      </c>
      <c r="BF587" s="27" t="str">
        <f>IFERROR($BC$3&amp;VLOOKUP(J589,'Pay Table'!$M$3:$N$18,2,FALSE)&amp;$BB$3&amp;K589&amp;$BD$3,"")</f>
        <v/>
      </c>
    </row>
    <row r="588" spans="54:58" x14ac:dyDescent="0.15">
      <c r="BB588" s="26" t="str">
        <f>IFERROR($BC$3&amp;VLOOKUP(B590,'Pay Table'!$M$3:$N$18,2,FALSE)&amp;$BB$3&amp;C590&amp;$BD$3,"")</f>
        <v/>
      </c>
      <c r="BC588" s="1" t="str">
        <f>IFERROR($BC$3&amp;VLOOKUP(D590,'Pay Table'!$M$3:$N$18,2,FALSE)&amp;$BB$3&amp;E590&amp;$BD$3,"")</f>
        <v/>
      </c>
      <c r="BD588" s="1" t="str">
        <f>IFERROR($BC$3&amp;VLOOKUP(F590,'Pay Table'!$M$3:$N$18,2,FALSE)&amp;$BB$3&amp;G590&amp;$BD$3,"")</f>
        <v/>
      </c>
      <c r="BE588" s="1" t="str">
        <f>IFERROR($BC$3&amp;VLOOKUP(H590,'Pay Table'!$M$3:$N$18,2,FALSE)&amp;$BB$3&amp;I590&amp;$BD$3,"")</f>
        <v/>
      </c>
      <c r="BF588" s="27" t="str">
        <f>IFERROR($BC$3&amp;VLOOKUP(J590,'Pay Table'!$M$3:$N$18,2,FALSE)&amp;$BB$3&amp;K590&amp;$BD$3,"")</f>
        <v/>
      </c>
    </row>
    <row r="589" spans="54:58" x14ac:dyDescent="0.15">
      <c r="BB589" s="26" t="str">
        <f>IFERROR($BC$3&amp;VLOOKUP(B591,'Pay Table'!$M$3:$N$18,2,FALSE)&amp;$BB$3&amp;C591&amp;$BD$3,"")</f>
        <v/>
      </c>
      <c r="BC589" s="1" t="str">
        <f>IFERROR($BC$3&amp;VLOOKUP(D591,'Pay Table'!$M$3:$N$18,2,FALSE)&amp;$BB$3&amp;E591&amp;$BD$3,"")</f>
        <v/>
      </c>
      <c r="BD589" s="1" t="str">
        <f>IFERROR($BC$3&amp;VLOOKUP(F591,'Pay Table'!$M$3:$N$18,2,FALSE)&amp;$BB$3&amp;G591&amp;$BD$3,"")</f>
        <v/>
      </c>
      <c r="BE589" s="1" t="str">
        <f>IFERROR($BC$3&amp;VLOOKUP(H591,'Pay Table'!$M$3:$N$18,2,FALSE)&amp;$BB$3&amp;I591&amp;$BD$3,"")</f>
        <v/>
      </c>
      <c r="BF589" s="27" t="str">
        <f>IFERROR($BC$3&amp;VLOOKUP(J591,'Pay Table'!$M$3:$N$18,2,FALSE)&amp;$BB$3&amp;K591&amp;$BD$3,"")</f>
        <v/>
      </c>
    </row>
    <row r="590" spans="54:58" x14ac:dyDescent="0.15">
      <c r="BB590" s="26" t="str">
        <f>IFERROR($BC$3&amp;VLOOKUP(B592,'Pay Table'!$M$3:$N$18,2,FALSE)&amp;$BB$3&amp;C592&amp;$BD$3,"")</f>
        <v/>
      </c>
      <c r="BC590" s="1" t="str">
        <f>IFERROR($BC$3&amp;VLOOKUP(D592,'Pay Table'!$M$3:$N$18,2,FALSE)&amp;$BB$3&amp;E592&amp;$BD$3,"")</f>
        <v/>
      </c>
      <c r="BD590" s="1" t="str">
        <f>IFERROR($BC$3&amp;VLOOKUP(F592,'Pay Table'!$M$3:$N$18,2,FALSE)&amp;$BB$3&amp;G592&amp;$BD$3,"")</f>
        <v/>
      </c>
      <c r="BE590" s="1" t="str">
        <f>IFERROR($BC$3&amp;VLOOKUP(H592,'Pay Table'!$M$3:$N$18,2,FALSE)&amp;$BB$3&amp;I592&amp;$BD$3,"")</f>
        <v/>
      </c>
      <c r="BF590" s="27" t="str">
        <f>IFERROR($BC$3&amp;VLOOKUP(J592,'Pay Table'!$M$3:$N$18,2,FALSE)&amp;$BB$3&amp;K592&amp;$BD$3,"")</f>
        <v/>
      </c>
    </row>
    <row r="591" spans="54:58" x14ac:dyDescent="0.15">
      <c r="BB591" s="26" t="str">
        <f>IFERROR($BC$3&amp;VLOOKUP(B593,'Pay Table'!$M$3:$N$18,2,FALSE)&amp;$BB$3&amp;C593&amp;$BD$3,"")</f>
        <v/>
      </c>
      <c r="BC591" s="1" t="str">
        <f>IFERROR($BC$3&amp;VLOOKUP(D593,'Pay Table'!$M$3:$N$18,2,FALSE)&amp;$BB$3&amp;E593&amp;$BD$3,"")</f>
        <v/>
      </c>
      <c r="BD591" s="1" t="str">
        <f>IFERROR($BC$3&amp;VLOOKUP(F593,'Pay Table'!$M$3:$N$18,2,FALSE)&amp;$BB$3&amp;G593&amp;$BD$3,"")</f>
        <v/>
      </c>
      <c r="BE591" s="1" t="str">
        <f>IFERROR($BC$3&amp;VLOOKUP(H593,'Pay Table'!$M$3:$N$18,2,FALSE)&amp;$BB$3&amp;I593&amp;$BD$3,"")</f>
        <v/>
      </c>
      <c r="BF591" s="27" t="str">
        <f>IFERROR($BC$3&amp;VLOOKUP(J593,'Pay Table'!$M$3:$N$18,2,FALSE)&amp;$BB$3&amp;K593&amp;$BD$3,"")</f>
        <v/>
      </c>
    </row>
    <row r="592" spans="54:58" x14ac:dyDescent="0.15">
      <c r="BB592" s="26" t="str">
        <f>IFERROR($BC$3&amp;VLOOKUP(B594,'Pay Table'!$M$3:$N$18,2,FALSE)&amp;$BB$3&amp;C594&amp;$BD$3,"")</f>
        <v/>
      </c>
      <c r="BC592" s="1" t="str">
        <f>IFERROR($BC$3&amp;VLOOKUP(D594,'Pay Table'!$M$3:$N$18,2,FALSE)&amp;$BB$3&amp;E594&amp;$BD$3,"")</f>
        <v/>
      </c>
      <c r="BD592" s="1" t="str">
        <f>IFERROR($BC$3&amp;VLOOKUP(F594,'Pay Table'!$M$3:$N$18,2,FALSE)&amp;$BB$3&amp;G594&amp;$BD$3,"")</f>
        <v/>
      </c>
      <c r="BE592" s="1" t="str">
        <f>IFERROR($BC$3&amp;VLOOKUP(H594,'Pay Table'!$M$3:$N$18,2,FALSE)&amp;$BB$3&amp;I594&amp;$BD$3,"")</f>
        <v/>
      </c>
      <c r="BF592" s="27" t="str">
        <f>IFERROR($BC$3&amp;VLOOKUP(J594,'Pay Table'!$M$3:$N$18,2,FALSE)&amp;$BB$3&amp;K594&amp;$BD$3,"")</f>
        <v/>
      </c>
    </row>
    <row r="593" spans="54:58" x14ac:dyDescent="0.15">
      <c r="BB593" s="26" t="str">
        <f>IFERROR($BC$3&amp;VLOOKUP(B595,'Pay Table'!$M$3:$N$18,2,FALSE)&amp;$BB$3&amp;C595&amp;$BD$3,"")</f>
        <v/>
      </c>
      <c r="BC593" s="1" t="str">
        <f>IFERROR($BC$3&amp;VLOOKUP(D595,'Pay Table'!$M$3:$N$18,2,FALSE)&amp;$BB$3&amp;E595&amp;$BD$3,"")</f>
        <v/>
      </c>
      <c r="BD593" s="1" t="str">
        <f>IFERROR($BC$3&amp;VLOOKUP(F595,'Pay Table'!$M$3:$N$18,2,FALSE)&amp;$BB$3&amp;G595&amp;$BD$3,"")</f>
        <v/>
      </c>
      <c r="BE593" s="1" t="str">
        <f>IFERROR($BC$3&amp;VLOOKUP(H595,'Pay Table'!$M$3:$N$18,2,FALSE)&amp;$BB$3&amp;I595&amp;$BD$3,"")</f>
        <v/>
      </c>
      <c r="BF593" s="27" t="str">
        <f>IFERROR($BC$3&amp;VLOOKUP(J595,'Pay Table'!$M$3:$N$18,2,FALSE)&amp;$BB$3&amp;K595&amp;$BD$3,"")</f>
        <v/>
      </c>
    </row>
    <row r="594" spans="54:58" x14ac:dyDescent="0.15">
      <c r="BB594" s="26" t="str">
        <f>IFERROR($BC$3&amp;VLOOKUP(B596,'Pay Table'!$M$3:$N$18,2,FALSE)&amp;$BB$3&amp;C596&amp;$BD$3,"")</f>
        <v/>
      </c>
      <c r="BC594" s="1" t="str">
        <f>IFERROR($BC$3&amp;VLOOKUP(D596,'Pay Table'!$M$3:$N$18,2,FALSE)&amp;$BB$3&amp;E596&amp;$BD$3,"")</f>
        <v/>
      </c>
      <c r="BD594" s="1" t="str">
        <f>IFERROR($BC$3&amp;VLOOKUP(F596,'Pay Table'!$M$3:$N$18,2,FALSE)&amp;$BB$3&amp;G596&amp;$BD$3,"")</f>
        <v/>
      </c>
      <c r="BE594" s="1" t="str">
        <f>IFERROR($BC$3&amp;VLOOKUP(H596,'Pay Table'!$M$3:$N$18,2,FALSE)&amp;$BB$3&amp;I596&amp;$BD$3,"")</f>
        <v/>
      </c>
      <c r="BF594" s="27" t="str">
        <f>IFERROR($BC$3&amp;VLOOKUP(J596,'Pay Table'!$M$3:$N$18,2,FALSE)&amp;$BB$3&amp;K596&amp;$BD$3,"")</f>
        <v/>
      </c>
    </row>
    <row r="595" spans="54:58" x14ac:dyDescent="0.15">
      <c r="BB595" s="26" t="str">
        <f>IFERROR($BC$3&amp;VLOOKUP(B597,'Pay Table'!$M$3:$N$18,2,FALSE)&amp;$BB$3&amp;C597&amp;$BD$3,"")</f>
        <v/>
      </c>
      <c r="BC595" s="1" t="str">
        <f>IFERROR($BC$3&amp;VLOOKUP(D597,'Pay Table'!$M$3:$N$18,2,FALSE)&amp;$BB$3&amp;E597&amp;$BD$3,"")</f>
        <v/>
      </c>
      <c r="BD595" s="1" t="str">
        <f>IFERROR($BC$3&amp;VLOOKUP(F597,'Pay Table'!$M$3:$N$18,2,FALSE)&amp;$BB$3&amp;G597&amp;$BD$3,"")</f>
        <v/>
      </c>
      <c r="BE595" s="1" t="str">
        <f>IFERROR($BC$3&amp;VLOOKUP(H597,'Pay Table'!$M$3:$N$18,2,FALSE)&amp;$BB$3&amp;I597&amp;$BD$3,"")</f>
        <v/>
      </c>
      <c r="BF595" s="27" t="str">
        <f>IFERROR($BC$3&amp;VLOOKUP(J597,'Pay Table'!$M$3:$N$18,2,FALSE)&amp;$BB$3&amp;K597&amp;$BD$3,"")</f>
        <v/>
      </c>
    </row>
    <row r="596" spans="54:58" x14ac:dyDescent="0.15">
      <c r="BB596" s="26" t="str">
        <f>IFERROR($BC$3&amp;VLOOKUP(B598,'Pay Table'!$M$3:$N$18,2,FALSE)&amp;$BB$3&amp;C598&amp;$BD$3,"")</f>
        <v/>
      </c>
      <c r="BC596" s="1" t="str">
        <f>IFERROR($BC$3&amp;VLOOKUP(D598,'Pay Table'!$M$3:$N$18,2,FALSE)&amp;$BB$3&amp;E598&amp;$BD$3,"")</f>
        <v/>
      </c>
      <c r="BD596" s="1" t="str">
        <f>IFERROR($BC$3&amp;VLOOKUP(F598,'Pay Table'!$M$3:$N$18,2,FALSE)&amp;$BB$3&amp;G598&amp;$BD$3,"")</f>
        <v/>
      </c>
      <c r="BE596" s="1" t="str">
        <f>IFERROR($BC$3&amp;VLOOKUP(H598,'Pay Table'!$M$3:$N$18,2,FALSE)&amp;$BB$3&amp;I598&amp;$BD$3,"")</f>
        <v/>
      </c>
      <c r="BF596" s="27" t="str">
        <f>IFERROR($BC$3&amp;VLOOKUP(J598,'Pay Table'!$M$3:$N$18,2,FALSE)&amp;$BB$3&amp;K598&amp;$BD$3,"")</f>
        <v/>
      </c>
    </row>
    <row r="597" spans="54:58" x14ac:dyDescent="0.15">
      <c r="BB597" s="26" t="str">
        <f>IFERROR($BC$3&amp;VLOOKUP(B599,'Pay Table'!$M$3:$N$18,2,FALSE)&amp;$BB$3&amp;C599&amp;$BD$3,"")</f>
        <v/>
      </c>
      <c r="BC597" s="1" t="str">
        <f>IFERROR($BC$3&amp;VLOOKUP(D599,'Pay Table'!$M$3:$N$18,2,FALSE)&amp;$BB$3&amp;E599&amp;$BD$3,"")</f>
        <v/>
      </c>
      <c r="BD597" s="1" t="str">
        <f>IFERROR($BC$3&amp;VLOOKUP(F599,'Pay Table'!$M$3:$N$18,2,FALSE)&amp;$BB$3&amp;G599&amp;$BD$3,"")</f>
        <v/>
      </c>
      <c r="BE597" s="1" t="str">
        <f>IFERROR($BC$3&amp;VLOOKUP(H599,'Pay Table'!$M$3:$N$18,2,FALSE)&amp;$BB$3&amp;I599&amp;$BD$3,"")</f>
        <v/>
      </c>
      <c r="BF597" s="27" t="str">
        <f>IFERROR($BC$3&amp;VLOOKUP(J599,'Pay Table'!$M$3:$N$18,2,FALSE)&amp;$BB$3&amp;K599&amp;$BD$3,"")</f>
        <v/>
      </c>
    </row>
    <row r="598" spans="54:58" x14ac:dyDescent="0.15">
      <c r="BB598" s="26" t="str">
        <f>IFERROR($BC$3&amp;VLOOKUP(B600,'Pay Table'!$M$3:$N$18,2,FALSE)&amp;$BB$3&amp;C600&amp;$BD$3,"")</f>
        <v/>
      </c>
      <c r="BC598" s="1" t="str">
        <f>IFERROR($BC$3&amp;VLOOKUP(D600,'Pay Table'!$M$3:$N$18,2,FALSE)&amp;$BB$3&amp;E600&amp;$BD$3,"")</f>
        <v/>
      </c>
      <c r="BD598" s="1" t="str">
        <f>IFERROR($BC$3&amp;VLOOKUP(F600,'Pay Table'!$M$3:$N$18,2,FALSE)&amp;$BB$3&amp;G600&amp;$BD$3,"")</f>
        <v/>
      </c>
      <c r="BE598" s="1" t="str">
        <f>IFERROR($BC$3&amp;VLOOKUP(H600,'Pay Table'!$M$3:$N$18,2,FALSE)&amp;$BB$3&amp;I600&amp;$BD$3,"")</f>
        <v/>
      </c>
      <c r="BF598" s="27" t="str">
        <f>IFERROR($BC$3&amp;VLOOKUP(J600,'Pay Table'!$M$3:$N$18,2,FALSE)&amp;$BB$3&amp;K600&amp;$BD$3,"")</f>
        <v/>
      </c>
    </row>
    <row r="599" spans="54:58" x14ac:dyDescent="0.15">
      <c r="BB599" s="26" t="str">
        <f>IFERROR($BC$3&amp;VLOOKUP(B601,'Pay Table'!$M$3:$N$18,2,FALSE)&amp;$BB$3&amp;C601&amp;$BD$3,"")</f>
        <v/>
      </c>
      <c r="BC599" s="1" t="str">
        <f>IFERROR($BC$3&amp;VLOOKUP(D601,'Pay Table'!$M$3:$N$18,2,FALSE)&amp;$BB$3&amp;E601&amp;$BD$3,"")</f>
        <v/>
      </c>
      <c r="BD599" s="1" t="str">
        <f>IFERROR($BC$3&amp;VLOOKUP(F601,'Pay Table'!$M$3:$N$18,2,FALSE)&amp;$BB$3&amp;G601&amp;$BD$3,"")</f>
        <v/>
      </c>
      <c r="BE599" s="1" t="str">
        <f>IFERROR($BC$3&amp;VLOOKUP(H601,'Pay Table'!$M$3:$N$18,2,FALSE)&amp;$BB$3&amp;I601&amp;$BD$3,"")</f>
        <v/>
      </c>
      <c r="BF599" s="27" t="str">
        <f>IFERROR($BC$3&amp;VLOOKUP(J601,'Pay Table'!$M$3:$N$18,2,FALSE)&amp;$BB$3&amp;K601&amp;$BD$3,"")</f>
        <v/>
      </c>
    </row>
    <row r="600" spans="54:58" x14ac:dyDescent="0.15">
      <c r="BB600" s="26" t="str">
        <f>IFERROR($BC$3&amp;VLOOKUP(B602,'Pay Table'!$M$3:$N$18,2,FALSE)&amp;$BB$3&amp;C602&amp;$BD$3,"")</f>
        <v/>
      </c>
      <c r="BC600" s="1" t="str">
        <f>IFERROR($BC$3&amp;VLOOKUP(D602,'Pay Table'!$M$3:$N$18,2,FALSE)&amp;$BB$3&amp;E602&amp;$BD$3,"")</f>
        <v/>
      </c>
      <c r="BD600" s="1" t="str">
        <f>IFERROR($BC$3&amp;VLOOKUP(F602,'Pay Table'!$M$3:$N$18,2,FALSE)&amp;$BB$3&amp;G602&amp;$BD$3,"")</f>
        <v/>
      </c>
      <c r="BE600" s="1" t="str">
        <f>IFERROR($BC$3&amp;VLOOKUP(H602,'Pay Table'!$M$3:$N$18,2,FALSE)&amp;$BB$3&amp;I602&amp;$BD$3,"")</f>
        <v/>
      </c>
      <c r="BF600" s="27" t="str">
        <f>IFERROR($BC$3&amp;VLOOKUP(J602,'Pay Table'!$M$3:$N$18,2,FALSE)&amp;$BB$3&amp;K602&amp;$BD$3,"")</f>
        <v/>
      </c>
    </row>
    <row r="601" spans="54:58" x14ac:dyDescent="0.15">
      <c r="BB601" s="26" t="str">
        <f>IFERROR($BC$3&amp;VLOOKUP(B603,'Pay Table'!$M$3:$N$18,2,FALSE)&amp;$BB$3&amp;C603&amp;$BD$3,"")</f>
        <v/>
      </c>
      <c r="BC601" s="1" t="str">
        <f>IFERROR($BC$3&amp;VLOOKUP(D603,'Pay Table'!$M$3:$N$18,2,FALSE)&amp;$BB$3&amp;E603&amp;$BD$3,"")</f>
        <v/>
      </c>
      <c r="BD601" s="1" t="str">
        <f>IFERROR($BC$3&amp;VLOOKUP(F603,'Pay Table'!$M$3:$N$18,2,FALSE)&amp;$BB$3&amp;G603&amp;$BD$3,"")</f>
        <v/>
      </c>
      <c r="BE601" s="1" t="str">
        <f>IFERROR($BC$3&amp;VLOOKUP(H603,'Pay Table'!$M$3:$N$18,2,FALSE)&amp;$BB$3&amp;I603&amp;$BD$3,"")</f>
        <v/>
      </c>
      <c r="BF601" s="27" t="str">
        <f>IFERROR($BC$3&amp;VLOOKUP(J603,'Pay Table'!$M$3:$N$18,2,FALSE)&amp;$BB$3&amp;K603&amp;$BD$3,"")</f>
        <v/>
      </c>
    </row>
    <row r="602" spans="54:58" x14ac:dyDescent="0.15">
      <c r="BB602" s="26" t="str">
        <f>IFERROR($BC$3&amp;VLOOKUP(B604,'Pay Table'!$M$3:$N$18,2,FALSE)&amp;$BB$3&amp;C604&amp;$BD$3,"")</f>
        <v/>
      </c>
      <c r="BC602" s="1" t="str">
        <f>IFERROR($BC$3&amp;VLOOKUP(D604,'Pay Table'!$M$3:$N$18,2,FALSE)&amp;$BB$3&amp;E604&amp;$BD$3,"")</f>
        <v/>
      </c>
      <c r="BD602" s="1" t="str">
        <f>IFERROR($BC$3&amp;VLOOKUP(F604,'Pay Table'!$M$3:$N$18,2,FALSE)&amp;$BB$3&amp;G604&amp;$BD$3,"")</f>
        <v/>
      </c>
      <c r="BE602" s="1" t="str">
        <f>IFERROR($BC$3&amp;VLOOKUP(H604,'Pay Table'!$M$3:$N$18,2,FALSE)&amp;$BB$3&amp;I604&amp;$BD$3,"")</f>
        <v/>
      </c>
      <c r="BF602" s="27" t="str">
        <f>IFERROR($BC$3&amp;VLOOKUP(J604,'Pay Table'!$M$3:$N$18,2,FALSE)&amp;$BB$3&amp;K604&amp;$BD$3,"")</f>
        <v/>
      </c>
    </row>
    <row r="603" spans="54:58" x14ac:dyDescent="0.15">
      <c r="BB603" s="26" t="str">
        <f>IFERROR($BC$3&amp;VLOOKUP(B605,'Pay Table'!$M$3:$N$18,2,FALSE)&amp;$BB$3&amp;C605&amp;$BD$3,"")</f>
        <v/>
      </c>
      <c r="BC603" s="1" t="str">
        <f>IFERROR($BC$3&amp;VLOOKUP(D605,'Pay Table'!$M$3:$N$18,2,FALSE)&amp;$BB$3&amp;E605&amp;$BD$3,"")</f>
        <v/>
      </c>
      <c r="BD603" s="1" t="str">
        <f>IFERROR($BC$3&amp;VLOOKUP(F605,'Pay Table'!$M$3:$N$18,2,FALSE)&amp;$BB$3&amp;G605&amp;$BD$3,"")</f>
        <v/>
      </c>
      <c r="BE603" s="1" t="str">
        <f>IFERROR($BC$3&amp;VLOOKUP(H605,'Pay Table'!$M$3:$N$18,2,FALSE)&amp;$BB$3&amp;I605&amp;$BD$3,"")</f>
        <v/>
      </c>
      <c r="BF603" s="27" t="str">
        <f>IFERROR($BC$3&amp;VLOOKUP(J605,'Pay Table'!$M$3:$N$18,2,FALSE)&amp;$BB$3&amp;K605&amp;$BD$3,"")</f>
        <v/>
      </c>
    </row>
    <row r="604" spans="54:58" x14ac:dyDescent="0.15">
      <c r="BB604" s="26" t="str">
        <f>IFERROR($BC$3&amp;VLOOKUP(B606,'Pay Table'!$M$3:$N$18,2,FALSE)&amp;$BB$3&amp;C606&amp;$BD$3,"")</f>
        <v/>
      </c>
      <c r="BC604" s="1" t="str">
        <f>IFERROR($BC$3&amp;VLOOKUP(D606,'Pay Table'!$M$3:$N$18,2,FALSE)&amp;$BB$3&amp;E606&amp;$BD$3,"")</f>
        <v/>
      </c>
      <c r="BD604" s="1" t="str">
        <f>IFERROR($BC$3&amp;VLOOKUP(F606,'Pay Table'!$M$3:$N$18,2,FALSE)&amp;$BB$3&amp;G606&amp;$BD$3,"")</f>
        <v/>
      </c>
      <c r="BE604" s="1" t="str">
        <f>IFERROR($BC$3&amp;VLOOKUP(H606,'Pay Table'!$M$3:$N$18,2,FALSE)&amp;$BB$3&amp;I606&amp;$BD$3,"")</f>
        <v/>
      </c>
      <c r="BF604" s="27" t="str">
        <f>IFERROR($BC$3&amp;VLOOKUP(J606,'Pay Table'!$M$3:$N$18,2,FALSE)&amp;$BB$3&amp;K606&amp;$BD$3,"")</f>
        <v/>
      </c>
    </row>
    <row r="605" spans="54:58" x14ac:dyDescent="0.15">
      <c r="BB605" s="26" t="str">
        <f>IFERROR($BC$3&amp;VLOOKUP(B607,'Pay Table'!$M$3:$N$18,2,FALSE)&amp;$BB$3&amp;C607&amp;$BD$3,"")</f>
        <v/>
      </c>
      <c r="BC605" s="1" t="str">
        <f>IFERROR($BC$3&amp;VLOOKUP(D607,'Pay Table'!$M$3:$N$18,2,FALSE)&amp;$BB$3&amp;E607&amp;$BD$3,"")</f>
        <v/>
      </c>
      <c r="BD605" s="1" t="str">
        <f>IFERROR($BC$3&amp;VLOOKUP(F607,'Pay Table'!$M$3:$N$18,2,FALSE)&amp;$BB$3&amp;G607&amp;$BD$3,"")</f>
        <v/>
      </c>
      <c r="BE605" s="1" t="str">
        <f>IFERROR($BC$3&amp;VLOOKUP(H607,'Pay Table'!$M$3:$N$18,2,FALSE)&amp;$BB$3&amp;I607&amp;$BD$3,"")</f>
        <v/>
      </c>
      <c r="BF605" s="27" t="str">
        <f>IFERROR($BC$3&amp;VLOOKUP(J607,'Pay Table'!$M$3:$N$18,2,FALSE)&amp;$BB$3&amp;K607&amp;$BD$3,"")</f>
        <v/>
      </c>
    </row>
    <row r="606" spans="54:58" x14ac:dyDescent="0.15">
      <c r="BB606" s="26" t="str">
        <f>IFERROR($BC$3&amp;VLOOKUP(B608,'Pay Table'!$M$3:$N$18,2,FALSE)&amp;$BB$3&amp;C608&amp;$BD$3,"")</f>
        <v/>
      </c>
      <c r="BC606" s="1" t="str">
        <f>IFERROR($BC$3&amp;VLOOKUP(D608,'Pay Table'!$M$3:$N$18,2,FALSE)&amp;$BB$3&amp;E608&amp;$BD$3,"")</f>
        <v/>
      </c>
      <c r="BD606" s="1" t="str">
        <f>IFERROR($BC$3&amp;VLOOKUP(F608,'Pay Table'!$M$3:$N$18,2,FALSE)&amp;$BB$3&amp;G608&amp;$BD$3,"")</f>
        <v/>
      </c>
      <c r="BE606" s="1" t="str">
        <f>IFERROR($BC$3&amp;VLOOKUP(H608,'Pay Table'!$M$3:$N$18,2,FALSE)&amp;$BB$3&amp;I608&amp;$BD$3,"")</f>
        <v/>
      </c>
      <c r="BF606" s="27" t="str">
        <f>IFERROR($BC$3&amp;VLOOKUP(J608,'Pay Table'!$M$3:$N$18,2,FALSE)&amp;$BB$3&amp;K608&amp;$BD$3,"")</f>
        <v/>
      </c>
    </row>
    <row r="607" spans="54:58" x14ac:dyDescent="0.15">
      <c r="BB607" s="26" t="str">
        <f>IFERROR($BC$3&amp;VLOOKUP(B609,'Pay Table'!$M$3:$N$18,2,FALSE)&amp;$BB$3&amp;C609&amp;$BD$3,"")</f>
        <v/>
      </c>
      <c r="BC607" s="1" t="str">
        <f>IFERROR($BC$3&amp;VLOOKUP(D609,'Pay Table'!$M$3:$N$18,2,FALSE)&amp;$BB$3&amp;E609&amp;$BD$3,"")</f>
        <v/>
      </c>
      <c r="BD607" s="1" t="str">
        <f>IFERROR($BC$3&amp;VLOOKUP(F609,'Pay Table'!$M$3:$N$18,2,FALSE)&amp;$BB$3&amp;G609&amp;$BD$3,"")</f>
        <v/>
      </c>
      <c r="BE607" s="1" t="str">
        <f>IFERROR($BC$3&amp;VLOOKUP(H609,'Pay Table'!$M$3:$N$18,2,FALSE)&amp;$BB$3&amp;I609&amp;$BD$3,"")</f>
        <v/>
      </c>
      <c r="BF607" s="27" t="str">
        <f>IFERROR($BC$3&amp;VLOOKUP(J609,'Pay Table'!$M$3:$N$18,2,FALSE)&amp;$BB$3&amp;K609&amp;$BD$3,"")</f>
        <v/>
      </c>
    </row>
    <row r="608" spans="54:58" x14ac:dyDescent="0.15">
      <c r="BB608" s="26" t="str">
        <f>IFERROR($BC$3&amp;VLOOKUP(B610,'Pay Table'!$M$3:$N$18,2,FALSE)&amp;$BB$3&amp;C610&amp;$BD$3,"")</f>
        <v/>
      </c>
      <c r="BC608" s="1" t="str">
        <f>IFERROR($BC$3&amp;VLOOKUP(D610,'Pay Table'!$M$3:$N$18,2,FALSE)&amp;$BB$3&amp;E610&amp;$BD$3,"")</f>
        <v/>
      </c>
      <c r="BD608" s="1" t="str">
        <f>IFERROR($BC$3&amp;VLOOKUP(F610,'Pay Table'!$M$3:$N$18,2,FALSE)&amp;$BB$3&amp;G610&amp;$BD$3,"")</f>
        <v/>
      </c>
      <c r="BE608" s="1" t="str">
        <f>IFERROR($BC$3&amp;VLOOKUP(H610,'Pay Table'!$M$3:$N$18,2,FALSE)&amp;$BB$3&amp;I610&amp;$BD$3,"")</f>
        <v/>
      </c>
      <c r="BF608" s="27" t="str">
        <f>IFERROR($BC$3&amp;VLOOKUP(J610,'Pay Table'!$M$3:$N$18,2,FALSE)&amp;$BB$3&amp;K610&amp;$BD$3,"")</f>
        <v/>
      </c>
    </row>
    <row r="609" spans="54:58" x14ac:dyDescent="0.15">
      <c r="BB609" s="26" t="str">
        <f>IFERROR($BC$3&amp;VLOOKUP(B611,'Pay Table'!$M$3:$N$18,2,FALSE)&amp;$BB$3&amp;C611&amp;$BD$3,"")</f>
        <v/>
      </c>
      <c r="BC609" s="1" t="str">
        <f>IFERROR($BC$3&amp;VLOOKUP(D611,'Pay Table'!$M$3:$N$18,2,FALSE)&amp;$BB$3&amp;E611&amp;$BD$3,"")</f>
        <v/>
      </c>
      <c r="BD609" s="1" t="str">
        <f>IFERROR($BC$3&amp;VLOOKUP(F611,'Pay Table'!$M$3:$N$18,2,FALSE)&amp;$BB$3&amp;G611&amp;$BD$3,"")</f>
        <v/>
      </c>
      <c r="BE609" s="1" t="str">
        <f>IFERROR($BC$3&amp;VLOOKUP(H611,'Pay Table'!$M$3:$N$18,2,FALSE)&amp;$BB$3&amp;I611&amp;$BD$3,"")</f>
        <v/>
      </c>
      <c r="BF609" s="27" t="str">
        <f>IFERROR($BC$3&amp;VLOOKUP(J611,'Pay Table'!$M$3:$N$18,2,FALSE)&amp;$BB$3&amp;K611&amp;$BD$3,"")</f>
        <v/>
      </c>
    </row>
    <row r="610" spans="54:58" x14ac:dyDescent="0.15">
      <c r="BB610" s="26" t="str">
        <f>IFERROR($BC$3&amp;VLOOKUP(B612,'Pay Table'!$M$3:$N$18,2,FALSE)&amp;$BB$3&amp;C612&amp;$BD$3,"")</f>
        <v/>
      </c>
      <c r="BC610" s="1" t="str">
        <f>IFERROR($BC$3&amp;VLOOKUP(D612,'Pay Table'!$M$3:$N$18,2,FALSE)&amp;$BB$3&amp;E612&amp;$BD$3,"")</f>
        <v/>
      </c>
      <c r="BD610" s="1" t="str">
        <f>IFERROR($BC$3&amp;VLOOKUP(F612,'Pay Table'!$M$3:$N$18,2,FALSE)&amp;$BB$3&amp;G612&amp;$BD$3,"")</f>
        <v/>
      </c>
      <c r="BE610" s="1" t="str">
        <f>IFERROR($BC$3&amp;VLOOKUP(H612,'Pay Table'!$M$3:$N$18,2,FALSE)&amp;$BB$3&amp;I612&amp;$BD$3,"")</f>
        <v/>
      </c>
      <c r="BF610" s="27" t="str">
        <f>IFERROR($BC$3&amp;VLOOKUP(J612,'Pay Table'!$M$3:$N$18,2,FALSE)&amp;$BB$3&amp;K612&amp;$BD$3,"")</f>
        <v/>
      </c>
    </row>
    <row r="611" spans="54:58" x14ac:dyDescent="0.15">
      <c r="BB611" s="26" t="str">
        <f>IFERROR($BC$3&amp;VLOOKUP(B613,'Pay Table'!$M$3:$N$18,2,FALSE)&amp;$BB$3&amp;C613&amp;$BD$3,"")</f>
        <v/>
      </c>
      <c r="BC611" s="1" t="str">
        <f>IFERROR($BC$3&amp;VLOOKUP(D613,'Pay Table'!$M$3:$N$18,2,FALSE)&amp;$BB$3&amp;E613&amp;$BD$3,"")</f>
        <v/>
      </c>
      <c r="BD611" s="1" t="str">
        <f>IFERROR($BC$3&amp;VLOOKUP(F613,'Pay Table'!$M$3:$N$18,2,FALSE)&amp;$BB$3&amp;G613&amp;$BD$3,"")</f>
        <v/>
      </c>
      <c r="BE611" s="1" t="str">
        <f>IFERROR($BC$3&amp;VLOOKUP(H613,'Pay Table'!$M$3:$N$18,2,FALSE)&amp;$BB$3&amp;I613&amp;$BD$3,"")</f>
        <v/>
      </c>
      <c r="BF611" s="27" t="str">
        <f>IFERROR($BC$3&amp;VLOOKUP(J613,'Pay Table'!$M$3:$N$18,2,FALSE)&amp;$BB$3&amp;K613&amp;$BD$3,"")</f>
        <v/>
      </c>
    </row>
    <row r="612" spans="54:58" x14ac:dyDescent="0.15">
      <c r="BB612" s="26" t="str">
        <f>IFERROR($BC$3&amp;VLOOKUP(B614,'Pay Table'!$M$3:$N$18,2,FALSE)&amp;$BB$3&amp;C614&amp;$BD$3,"")</f>
        <v/>
      </c>
      <c r="BC612" s="1" t="str">
        <f>IFERROR($BC$3&amp;VLOOKUP(D614,'Pay Table'!$M$3:$N$18,2,FALSE)&amp;$BB$3&amp;E614&amp;$BD$3,"")</f>
        <v/>
      </c>
      <c r="BD612" s="1" t="str">
        <f>IFERROR($BC$3&amp;VLOOKUP(F614,'Pay Table'!$M$3:$N$18,2,FALSE)&amp;$BB$3&amp;G614&amp;$BD$3,"")</f>
        <v/>
      </c>
      <c r="BE612" s="1" t="str">
        <f>IFERROR($BC$3&amp;VLOOKUP(H614,'Pay Table'!$M$3:$N$18,2,FALSE)&amp;$BB$3&amp;I614&amp;$BD$3,"")</f>
        <v/>
      </c>
      <c r="BF612" s="27" t="str">
        <f>IFERROR($BC$3&amp;VLOOKUP(J614,'Pay Table'!$M$3:$N$18,2,FALSE)&amp;$BB$3&amp;K614&amp;$BD$3,"")</f>
        <v/>
      </c>
    </row>
    <row r="613" spans="54:58" x14ac:dyDescent="0.15">
      <c r="BB613" s="26" t="str">
        <f>IFERROR($BC$3&amp;VLOOKUP(B615,'Pay Table'!$M$3:$N$18,2,FALSE)&amp;$BB$3&amp;C615&amp;$BD$3,"")</f>
        <v/>
      </c>
      <c r="BC613" s="1" t="str">
        <f>IFERROR($BC$3&amp;VLOOKUP(D615,'Pay Table'!$M$3:$N$18,2,FALSE)&amp;$BB$3&amp;E615&amp;$BD$3,"")</f>
        <v/>
      </c>
      <c r="BD613" s="1" t="str">
        <f>IFERROR($BC$3&amp;VLOOKUP(F615,'Pay Table'!$M$3:$N$18,2,FALSE)&amp;$BB$3&amp;G615&amp;$BD$3,"")</f>
        <v/>
      </c>
      <c r="BE613" s="1" t="str">
        <f>IFERROR($BC$3&amp;VLOOKUP(H615,'Pay Table'!$M$3:$N$18,2,FALSE)&amp;$BB$3&amp;I615&amp;$BD$3,"")</f>
        <v/>
      </c>
      <c r="BF613" s="27" t="str">
        <f>IFERROR($BC$3&amp;VLOOKUP(J615,'Pay Table'!$M$3:$N$18,2,FALSE)&amp;$BB$3&amp;K615&amp;$BD$3,"")</f>
        <v/>
      </c>
    </row>
    <row r="614" spans="54:58" x14ac:dyDescent="0.15">
      <c r="BB614" s="26" t="str">
        <f>IFERROR($BC$3&amp;VLOOKUP(B616,'Pay Table'!$M$3:$N$18,2,FALSE)&amp;$BB$3&amp;C616&amp;$BD$3,"")</f>
        <v/>
      </c>
      <c r="BC614" s="1" t="str">
        <f>IFERROR($BC$3&amp;VLOOKUP(D616,'Pay Table'!$M$3:$N$18,2,FALSE)&amp;$BB$3&amp;E616&amp;$BD$3,"")</f>
        <v/>
      </c>
      <c r="BD614" s="1" t="str">
        <f>IFERROR($BC$3&amp;VLOOKUP(F616,'Pay Table'!$M$3:$N$18,2,FALSE)&amp;$BB$3&amp;G616&amp;$BD$3,"")</f>
        <v/>
      </c>
      <c r="BE614" s="1" t="str">
        <f>IFERROR($BC$3&amp;VLOOKUP(H616,'Pay Table'!$M$3:$N$18,2,FALSE)&amp;$BB$3&amp;I616&amp;$BD$3,"")</f>
        <v/>
      </c>
      <c r="BF614" s="27" t="str">
        <f>IFERROR($BC$3&amp;VLOOKUP(J616,'Pay Table'!$M$3:$N$18,2,FALSE)&amp;$BB$3&amp;K616&amp;$BD$3,"")</f>
        <v/>
      </c>
    </row>
    <row r="615" spans="54:58" x14ac:dyDescent="0.15">
      <c r="BB615" s="26" t="str">
        <f>IFERROR($BC$3&amp;VLOOKUP(B617,'Pay Table'!$M$3:$N$18,2,FALSE)&amp;$BB$3&amp;C617&amp;$BD$3,"")</f>
        <v/>
      </c>
      <c r="BC615" s="1" t="str">
        <f>IFERROR($BC$3&amp;VLOOKUP(D617,'Pay Table'!$M$3:$N$18,2,FALSE)&amp;$BB$3&amp;E617&amp;$BD$3,"")</f>
        <v/>
      </c>
      <c r="BD615" s="1" t="str">
        <f>IFERROR($BC$3&amp;VLOOKUP(F617,'Pay Table'!$M$3:$N$18,2,FALSE)&amp;$BB$3&amp;G617&amp;$BD$3,"")</f>
        <v/>
      </c>
      <c r="BE615" s="1" t="str">
        <f>IFERROR($BC$3&amp;VLOOKUP(H617,'Pay Table'!$M$3:$N$18,2,FALSE)&amp;$BB$3&amp;I617&amp;$BD$3,"")</f>
        <v/>
      </c>
      <c r="BF615" s="27" t="str">
        <f>IFERROR($BC$3&amp;VLOOKUP(J617,'Pay Table'!$M$3:$N$18,2,FALSE)&amp;$BB$3&amp;K617&amp;$BD$3,"")</f>
        <v/>
      </c>
    </row>
    <row r="616" spans="54:58" x14ac:dyDescent="0.15">
      <c r="BB616" s="26" t="str">
        <f>IFERROR($BC$3&amp;VLOOKUP(B618,'Pay Table'!$M$3:$N$18,2,FALSE)&amp;$BB$3&amp;C618&amp;$BD$3,"")</f>
        <v/>
      </c>
      <c r="BC616" s="1" t="str">
        <f>IFERROR($BC$3&amp;VLOOKUP(D618,'Pay Table'!$M$3:$N$18,2,FALSE)&amp;$BB$3&amp;E618&amp;$BD$3,"")</f>
        <v/>
      </c>
      <c r="BD616" s="1" t="str">
        <f>IFERROR($BC$3&amp;VLOOKUP(F618,'Pay Table'!$M$3:$N$18,2,FALSE)&amp;$BB$3&amp;G618&amp;$BD$3,"")</f>
        <v/>
      </c>
      <c r="BE616" s="1" t="str">
        <f>IFERROR($BC$3&amp;VLOOKUP(H618,'Pay Table'!$M$3:$N$18,2,FALSE)&amp;$BB$3&amp;I618&amp;$BD$3,"")</f>
        <v/>
      </c>
      <c r="BF616" s="27" t="str">
        <f>IFERROR($BC$3&amp;VLOOKUP(J618,'Pay Table'!$M$3:$N$18,2,FALSE)&amp;$BB$3&amp;K618&amp;$BD$3,"")</f>
        <v/>
      </c>
    </row>
    <row r="617" spans="54:58" x14ac:dyDescent="0.15">
      <c r="BB617" s="26" t="str">
        <f>IFERROR($BC$3&amp;VLOOKUP(B619,'Pay Table'!$M$3:$N$18,2,FALSE)&amp;$BB$3&amp;C619&amp;$BD$3,"")</f>
        <v/>
      </c>
      <c r="BC617" s="1" t="str">
        <f>IFERROR($BC$3&amp;VLOOKUP(D619,'Pay Table'!$M$3:$N$18,2,FALSE)&amp;$BB$3&amp;E619&amp;$BD$3,"")</f>
        <v/>
      </c>
      <c r="BD617" s="1" t="str">
        <f>IFERROR($BC$3&amp;VLOOKUP(F619,'Pay Table'!$M$3:$N$18,2,FALSE)&amp;$BB$3&amp;G619&amp;$BD$3,"")</f>
        <v/>
      </c>
      <c r="BE617" s="1" t="str">
        <f>IFERROR($BC$3&amp;VLOOKUP(H619,'Pay Table'!$M$3:$N$18,2,FALSE)&amp;$BB$3&amp;I619&amp;$BD$3,"")</f>
        <v/>
      </c>
      <c r="BF617" s="27" t="str">
        <f>IFERROR($BC$3&amp;VLOOKUP(J619,'Pay Table'!$M$3:$N$18,2,FALSE)&amp;$BB$3&amp;K619&amp;$BD$3,"")</f>
        <v/>
      </c>
    </row>
    <row r="618" spans="54:58" x14ac:dyDescent="0.15">
      <c r="BB618" s="26" t="str">
        <f>IFERROR($BC$3&amp;VLOOKUP(B620,'Pay Table'!$M$3:$N$18,2,FALSE)&amp;$BB$3&amp;C620&amp;$BD$3,"")</f>
        <v/>
      </c>
      <c r="BC618" s="1" t="str">
        <f>IFERROR($BC$3&amp;VLOOKUP(D620,'Pay Table'!$M$3:$N$18,2,FALSE)&amp;$BB$3&amp;E620&amp;$BD$3,"")</f>
        <v/>
      </c>
      <c r="BD618" s="1" t="str">
        <f>IFERROR($BC$3&amp;VLOOKUP(F620,'Pay Table'!$M$3:$N$18,2,FALSE)&amp;$BB$3&amp;G620&amp;$BD$3,"")</f>
        <v/>
      </c>
      <c r="BE618" s="1" t="str">
        <f>IFERROR($BC$3&amp;VLOOKUP(H620,'Pay Table'!$M$3:$N$18,2,FALSE)&amp;$BB$3&amp;I620&amp;$BD$3,"")</f>
        <v/>
      </c>
      <c r="BF618" s="27" t="str">
        <f>IFERROR($BC$3&amp;VLOOKUP(J620,'Pay Table'!$M$3:$N$18,2,FALSE)&amp;$BB$3&amp;K620&amp;$BD$3,"")</f>
        <v/>
      </c>
    </row>
    <row r="619" spans="54:58" x14ac:dyDescent="0.15">
      <c r="BB619" s="26" t="str">
        <f>IFERROR($BC$3&amp;VLOOKUP(B621,'Pay Table'!$M$3:$N$18,2,FALSE)&amp;$BB$3&amp;C621&amp;$BD$3,"")</f>
        <v/>
      </c>
      <c r="BC619" s="1" t="str">
        <f>IFERROR($BC$3&amp;VLOOKUP(D621,'Pay Table'!$M$3:$N$18,2,FALSE)&amp;$BB$3&amp;E621&amp;$BD$3,"")</f>
        <v/>
      </c>
      <c r="BD619" s="1" t="str">
        <f>IFERROR($BC$3&amp;VLOOKUP(F621,'Pay Table'!$M$3:$N$18,2,FALSE)&amp;$BB$3&amp;G621&amp;$BD$3,"")</f>
        <v/>
      </c>
      <c r="BE619" s="1" t="str">
        <f>IFERROR($BC$3&amp;VLOOKUP(H621,'Pay Table'!$M$3:$N$18,2,FALSE)&amp;$BB$3&amp;I621&amp;$BD$3,"")</f>
        <v/>
      </c>
      <c r="BF619" s="27" t="str">
        <f>IFERROR($BC$3&amp;VLOOKUP(J621,'Pay Table'!$M$3:$N$18,2,FALSE)&amp;$BB$3&amp;K621&amp;$BD$3,"")</f>
        <v/>
      </c>
    </row>
    <row r="620" spans="54:58" x14ac:dyDescent="0.15">
      <c r="BB620" s="26" t="str">
        <f>IFERROR($BC$3&amp;VLOOKUP(B622,'Pay Table'!$M$3:$N$18,2,FALSE)&amp;$BB$3&amp;C622&amp;$BD$3,"")</f>
        <v/>
      </c>
      <c r="BC620" s="1" t="str">
        <f>IFERROR($BC$3&amp;VLOOKUP(D622,'Pay Table'!$M$3:$N$18,2,FALSE)&amp;$BB$3&amp;E622&amp;$BD$3,"")</f>
        <v/>
      </c>
      <c r="BD620" s="1" t="str">
        <f>IFERROR($BC$3&amp;VLOOKUP(F622,'Pay Table'!$M$3:$N$18,2,FALSE)&amp;$BB$3&amp;G622&amp;$BD$3,"")</f>
        <v/>
      </c>
      <c r="BE620" s="1" t="str">
        <f>IFERROR($BC$3&amp;VLOOKUP(H622,'Pay Table'!$M$3:$N$18,2,FALSE)&amp;$BB$3&amp;I622&amp;$BD$3,"")</f>
        <v/>
      </c>
      <c r="BF620" s="27" t="str">
        <f>IFERROR($BC$3&amp;VLOOKUP(J622,'Pay Table'!$M$3:$N$18,2,FALSE)&amp;$BB$3&amp;K622&amp;$BD$3,"")</f>
        <v/>
      </c>
    </row>
    <row r="621" spans="54:58" x14ac:dyDescent="0.15">
      <c r="BB621" s="26" t="str">
        <f>IFERROR($BC$3&amp;VLOOKUP(B623,'Pay Table'!$M$3:$N$18,2,FALSE)&amp;$BB$3&amp;C623&amp;$BD$3,"")</f>
        <v/>
      </c>
      <c r="BC621" s="1" t="str">
        <f>IFERROR($BC$3&amp;VLOOKUP(D623,'Pay Table'!$M$3:$N$18,2,FALSE)&amp;$BB$3&amp;E623&amp;$BD$3,"")</f>
        <v/>
      </c>
      <c r="BD621" s="1" t="str">
        <f>IFERROR($BC$3&amp;VLOOKUP(F623,'Pay Table'!$M$3:$N$18,2,FALSE)&amp;$BB$3&amp;G623&amp;$BD$3,"")</f>
        <v/>
      </c>
      <c r="BE621" s="1" t="str">
        <f>IFERROR($BC$3&amp;VLOOKUP(H623,'Pay Table'!$M$3:$N$18,2,FALSE)&amp;$BB$3&amp;I623&amp;$BD$3,"")</f>
        <v/>
      </c>
      <c r="BF621" s="27" t="str">
        <f>IFERROR($BC$3&amp;VLOOKUP(J623,'Pay Table'!$M$3:$N$18,2,FALSE)&amp;$BB$3&amp;K623&amp;$BD$3,"")</f>
        <v/>
      </c>
    </row>
    <row r="622" spans="54:58" x14ac:dyDescent="0.15">
      <c r="BB622" s="26" t="str">
        <f>IFERROR($BC$3&amp;VLOOKUP(B624,'Pay Table'!$M$3:$N$18,2,FALSE)&amp;$BB$3&amp;C624&amp;$BD$3,"")</f>
        <v/>
      </c>
      <c r="BC622" s="1" t="str">
        <f>IFERROR($BC$3&amp;VLOOKUP(D624,'Pay Table'!$M$3:$N$18,2,FALSE)&amp;$BB$3&amp;E624&amp;$BD$3,"")</f>
        <v/>
      </c>
      <c r="BD622" s="1" t="str">
        <f>IFERROR($BC$3&amp;VLOOKUP(F624,'Pay Table'!$M$3:$N$18,2,FALSE)&amp;$BB$3&amp;G624&amp;$BD$3,"")</f>
        <v/>
      </c>
      <c r="BE622" s="1" t="str">
        <f>IFERROR($BC$3&amp;VLOOKUP(H624,'Pay Table'!$M$3:$N$18,2,FALSE)&amp;$BB$3&amp;I624&amp;$BD$3,"")</f>
        <v/>
      </c>
      <c r="BF622" s="27" t="str">
        <f>IFERROR($BC$3&amp;VLOOKUP(J624,'Pay Table'!$M$3:$N$18,2,FALSE)&amp;$BB$3&amp;K624&amp;$BD$3,"")</f>
        <v/>
      </c>
    </row>
    <row r="623" spans="54:58" x14ac:dyDescent="0.15">
      <c r="BB623" s="26" t="str">
        <f>IFERROR($BC$3&amp;VLOOKUP(B625,'Pay Table'!$M$3:$N$18,2,FALSE)&amp;$BB$3&amp;C625&amp;$BD$3,"")</f>
        <v/>
      </c>
      <c r="BC623" s="1" t="str">
        <f>IFERROR($BC$3&amp;VLOOKUP(D625,'Pay Table'!$M$3:$N$18,2,FALSE)&amp;$BB$3&amp;E625&amp;$BD$3,"")</f>
        <v/>
      </c>
      <c r="BD623" s="1" t="str">
        <f>IFERROR($BC$3&amp;VLOOKUP(F625,'Pay Table'!$M$3:$N$18,2,FALSE)&amp;$BB$3&amp;G625&amp;$BD$3,"")</f>
        <v/>
      </c>
      <c r="BE623" s="1" t="str">
        <f>IFERROR($BC$3&amp;VLOOKUP(H625,'Pay Table'!$M$3:$N$18,2,FALSE)&amp;$BB$3&amp;I625&amp;$BD$3,"")</f>
        <v/>
      </c>
      <c r="BF623" s="27" t="str">
        <f>IFERROR($BC$3&amp;VLOOKUP(J625,'Pay Table'!$M$3:$N$18,2,FALSE)&amp;$BB$3&amp;K625&amp;$BD$3,"")</f>
        <v/>
      </c>
    </row>
    <row r="624" spans="54:58" x14ac:dyDescent="0.15">
      <c r="BB624" s="26" t="str">
        <f>IFERROR($BC$3&amp;VLOOKUP(B626,'Pay Table'!$M$3:$N$18,2,FALSE)&amp;$BB$3&amp;C626&amp;$BD$3,"")</f>
        <v/>
      </c>
      <c r="BC624" s="1" t="str">
        <f>IFERROR($BC$3&amp;VLOOKUP(D626,'Pay Table'!$M$3:$N$18,2,FALSE)&amp;$BB$3&amp;E626&amp;$BD$3,"")</f>
        <v/>
      </c>
      <c r="BD624" s="1" t="str">
        <f>IFERROR($BC$3&amp;VLOOKUP(F626,'Pay Table'!$M$3:$N$18,2,FALSE)&amp;$BB$3&amp;G626&amp;$BD$3,"")</f>
        <v/>
      </c>
      <c r="BE624" s="1" t="str">
        <f>IFERROR($BC$3&amp;VLOOKUP(H626,'Pay Table'!$M$3:$N$18,2,FALSE)&amp;$BB$3&amp;I626&amp;$BD$3,"")</f>
        <v/>
      </c>
      <c r="BF624" s="27" t="str">
        <f>IFERROR($BC$3&amp;VLOOKUP(J626,'Pay Table'!$M$3:$N$18,2,FALSE)&amp;$BB$3&amp;K626&amp;$BD$3,"")</f>
        <v/>
      </c>
    </row>
    <row r="625" spans="54:58" x14ac:dyDescent="0.15">
      <c r="BB625" s="26" t="str">
        <f>IFERROR($BC$3&amp;VLOOKUP(B627,'Pay Table'!$M$3:$N$18,2,FALSE)&amp;$BB$3&amp;C627&amp;$BD$3,"")</f>
        <v/>
      </c>
      <c r="BC625" s="1" t="str">
        <f>IFERROR($BC$3&amp;VLOOKUP(D627,'Pay Table'!$M$3:$N$18,2,FALSE)&amp;$BB$3&amp;E627&amp;$BD$3,"")</f>
        <v/>
      </c>
      <c r="BD625" s="1" t="str">
        <f>IFERROR($BC$3&amp;VLOOKUP(F627,'Pay Table'!$M$3:$N$18,2,FALSE)&amp;$BB$3&amp;G627&amp;$BD$3,"")</f>
        <v/>
      </c>
      <c r="BE625" s="1" t="str">
        <f>IFERROR($BC$3&amp;VLOOKUP(H627,'Pay Table'!$M$3:$N$18,2,FALSE)&amp;$BB$3&amp;I627&amp;$BD$3,"")</f>
        <v/>
      </c>
      <c r="BF625" s="27" t="str">
        <f>IFERROR($BC$3&amp;VLOOKUP(J627,'Pay Table'!$M$3:$N$18,2,FALSE)&amp;$BB$3&amp;K627&amp;$BD$3,"")</f>
        <v/>
      </c>
    </row>
    <row r="626" spans="54:58" x14ac:dyDescent="0.15">
      <c r="BB626" s="26" t="str">
        <f>IFERROR($BC$3&amp;VLOOKUP(B628,'Pay Table'!$M$3:$N$18,2,FALSE)&amp;$BB$3&amp;C628&amp;$BD$3,"")</f>
        <v/>
      </c>
      <c r="BC626" s="1" t="str">
        <f>IFERROR($BC$3&amp;VLOOKUP(D628,'Pay Table'!$M$3:$N$18,2,FALSE)&amp;$BB$3&amp;E628&amp;$BD$3,"")</f>
        <v/>
      </c>
      <c r="BD626" s="1" t="str">
        <f>IFERROR($BC$3&amp;VLOOKUP(F628,'Pay Table'!$M$3:$N$18,2,FALSE)&amp;$BB$3&amp;G628&amp;$BD$3,"")</f>
        <v/>
      </c>
      <c r="BE626" s="1" t="str">
        <f>IFERROR($BC$3&amp;VLOOKUP(H628,'Pay Table'!$M$3:$N$18,2,FALSE)&amp;$BB$3&amp;I628&amp;$BD$3,"")</f>
        <v/>
      </c>
      <c r="BF626" s="27" t="str">
        <f>IFERROR($BC$3&amp;VLOOKUP(J628,'Pay Table'!$M$3:$N$18,2,FALSE)&amp;$BB$3&amp;K628&amp;$BD$3,"")</f>
        <v/>
      </c>
    </row>
    <row r="627" spans="54:58" x14ac:dyDescent="0.15">
      <c r="BB627" s="26" t="str">
        <f>IFERROR($BC$3&amp;VLOOKUP(B629,'Pay Table'!$M$3:$N$18,2,FALSE)&amp;$BB$3&amp;C629&amp;$BD$3,"")</f>
        <v/>
      </c>
      <c r="BC627" s="1" t="str">
        <f>IFERROR($BC$3&amp;VLOOKUP(D629,'Pay Table'!$M$3:$N$18,2,FALSE)&amp;$BB$3&amp;E629&amp;$BD$3,"")</f>
        <v/>
      </c>
      <c r="BD627" s="1" t="str">
        <f>IFERROR($BC$3&amp;VLOOKUP(F629,'Pay Table'!$M$3:$N$18,2,FALSE)&amp;$BB$3&amp;G629&amp;$BD$3,"")</f>
        <v/>
      </c>
      <c r="BE627" s="1" t="str">
        <f>IFERROR($BC$3&amp;VLOOKUP(H629,'Pay Table'!$M$3:$N$18,2,FALSE)&amp;$BB$3&amp;I629&amp;$BD$3,"")</f>
        <v/>
      </c>
      <c r="BF627" s="27" t="str">
        <f>IFERROR($BC$3&amp;VLOOKUP(J629,'Pay Table'!$M$3:$N$18,2,FALSE)&amp;$BB$3&amp;K629&amp;$BD$3,"")</f>
        <v/>
      </c>
    </row>
    <row r="628" spans="54:58" x14ac:dyDescent="0.15">
      <c r="BB628" s="26" t="str">
        <f>IFERROR($BC$3&amp;VLOOKUP(B630,'Pay Table'!$M$3:$N$18,2,FALSE)&amp;$BB$3&amp;C630&amp;$BD$3,"")</f>
        <v/>
      </c>
      <c r="BC628" s="1" t="str">
        <f>IFERROR($BC$3&amp;VLOOKUP(D630,'Pay Table'!$M$3:$N$18,2,FALSE)&amp;$BB$3&amp;E630&amp;$BD$3,"")</f>
        <v/>
      </c>
      <c r="BD628" s="1" t="str">
        <f>IFERROR($BC$3&amp;VLOOKUP(F630,'Pay Table'!$M$3:$N$18,2,FALSE)&amp;$BB$3&amp;G630&amp;$BD$3,"")</f>
        <v/>
      </c>
      <c r="BE628" s="1" t="str">
        <f>IFERROR($BC$3&amp;VLOOKUP(H630,'Pay Table'!$M$3:$N$18,2,FALSE)&amp;$BB$3&amp;I630&amp;$BD$3,"")</f>
        <v/>
      </c>
      <c r="BF628" s="27" t="str">
        <f>IFERROR($BC$3&amp;VLOOKUP(J630,'Pay Table'!$M$3:$N$18,2,FALSE)&amp;$BB$3&amp;K630&amp;$BD$3,"")</f>
        <v/>
      </c>
    </row>
    <row r="629" spans="54:58" x14ac:dyDescent="0.15">
      <c r="BB629" s="26" t="str">
        <f>IFERROR($BC$3&amp;VLOOKUP(B631,'Pay Table'!$M$3:$N$18,2,FALSE)&amp;$BB$3&amp;C631&amp;$BD$3,"")</f>
        <v/>
      </c>
      <c r="BC629" s="1" t="str">
        <f>IFERROR($BC$3&amp;VLOOKUP(D631,'Pay Table'!$M$3:$N$18,2,FALSE)&amp;$BB$3&amp;E631&amp;$BD$3,"")</f>
        <v/>
      </c>
      <c r="BD629" s="1" t="str">
        <f>IFERROR($BC$3&amp;VLOOKUP(F631,'Pay Table'!$M$3:$N$18,2,FALSE)&amp;$BB$3&amp;G631&amp;$BD$3,"")</f>
        <v/>
      </c>
      <c r="BE629" s="1" t="str">
        <f>IFERROR($BC$3&amp;VLOOKUP(H631,'Pay Table'!$M$3:$N$18,2,FALSE)&amp;$BB$3&amp;I631&amp;$BD$3,"")</f>
        <v/>
      </c>
      <c r="BF629" s="27" t="str">
        <f>IFERROR($BC$3&amp;VLOOKUP(J631,'Pay Table'!$M$3:$N$18,2,FALSE)&amp;$BB$3&amp;K631&amp;$BD$3,"")</f>
        <v/>
      </c>
    </row>
    <row r="630" spans="54:58" x14ac:dyDescent="0.15">
      <c r="BB630" s="26" t="str">
        <f>IFERROR($BC$3&amp;VLOOKUP(B632,'Pay Table'!$M$3:$N$18,2,FALSE)&amp;$BB$3&amp;C632&amp;$BD$3,"")</f>
        <v/>
      </c>
      <c r="BC630" s="1" t="str">
        <f>IFERROR($BC$3&amp;VLOOKUP(D632,'Pay Table'!$M$3:$N$18,2,FALSE)&amp;$BB$3&amp;E632&amp;$BD$3,"")</f>
        <v/>
      </c>
      <c r="BD630" s="1" t="str">
        <f>IFERROR($BC$3&amp;VLOOKUP(F632,'Pay Table'!$M$3:$N$18,2,FALSE)&amp;$BB$3&amp;G632&amp;$BD$3,"")</f>
        <v/>
      </c>
      <c r="BE630" s="1" t="str">
        <f>IFERROR($BC$3&amp;VLOOKUP(H632,'Pay Table'!$M$3:$N$18,2,FALSE)&amp;$BB$3&amp;I632&amp;$BD$3,"")</f>
        <v/>
      </c>
      <c r="BF630" s="27" t="str">
        <f>IFERROR($BC$3&amp;VLOOKUP(J632,'Pay Table'!$M$3:$N$18,2,FALSE)&amp;$BB$3&amp;K632&amp;$BD$3,"")</f>
        <v/>
      </c>
    </row>
    <row r="631" spans="54:58" x14ac:dyDescent="0.15">
      <c r="BB631" s="26" t="str">
        <f>IFERROR($BC$3&amp;VLOOKUP(B633,'Pay Table'!$M$3:$N$18,2,FALSE)&amp;$BB$3&amp;C633&amp;$BD$3,"")</f>
        <v/>
      </c>
      <c r="BC631" s="1" t="str">
        <f>IFERROR($BC$3&amp;VLOOKUP(D633,'Pay Table'!$M$3:$N$18,2,FALSE)&amp;$BB$3&amp;E633&amp;$BD$3,"")</f>
        <v/>
      </c>
      <c r="BD631" s="1" t="str">
        <f>IFERROR($BC$3&amp;VLOOKUP(F633,'Pay Table'!$M$3:$N$18,2,FALSE)&amp;$BB$3&amp;G633&amp;$BD$3,"")</f>
        <v/>
      </c>
      <c r="BE631" s="1" t="str">
        <f>IFERROR($BC$3&amp;VLOOKUP(H633,'Pay Table'!$M$3:$N$18,2,FALSE)&amp;$BB$3&amp;I633&amp;$BD$3,"")</f>
        <v/>
      </c>
      <c r="BF631" s="27" t="str">
        <f>IFERROR($BC$3&amp;VLOOKUP(J633,'Pay Table'!$M$3:$N$18,2,FALSE)&amp;$BB$3&amp;K633&amp;$BD$3,"")</f>
        <v/>
      </c>
    </row>
    <row r="632" spans="54:58" x14ac:dyDescent="0.15">
      <c r="BB632" s="26" t="str">
        <f>IFERROR($BC$3&amp;VLOOKUP(B634,'Pay Table'!$M$3:$N$18,2,FALSE)&amp;$BB$3&amp;C634&amp;$BD$3,"")</f>
        <v/>
      </c>
      <c r="BC632" s="1" t="str">
        <f>IFERROR($BC$3&amp;VLOOKUP(D634,'Pay Table'!$M$3:$N$18,2,FALSE)&amp;$BB$3&amp;E634&amp;$BD$3,"")</f>
        <v/>
      </c>
      <c r="BD632" s="1" t="str">
        <f>IFERROR($BC$3&amp;VLOOKUP(F634,'Pay Table'!$M$3:$N$18,2,FALSE)&amp;$BB$3&amp;G634&amp;$BD$3,"")</f>
        <v/>
      </c>
      <c r="BE632" s="1" t="str">
        <f>IFERROR($BC$3&amp;VLOOKUP(H634,'Pay Table'!$M$3:$N$18,2,FALSE)&amp;$BB$3&amp;I634&amp;$BD$3,"")</f>
        <v/>
      </c>
      <c r="BF632" s="27" t="str">
        <f>IFERROR($BC$3&amp;VLOOKUP(J634,'Pay Table'!$M$3:$N$18,2,FALSE)&amp;$BB$3&amp;K634&amp;$BD$3,"")</f>
        <v/>
      </c>
    </row>
    <row r="633" spans="54:58" x14ac:dyDescent="0.15">
      <c r="BB633" s="26" t="str">
        <f>IFERROR($BC$3&amp;VLOOKUP(B635,'Pay Table'!$M$3:$N$18,2,FALSE)&amp;$BB$3&amp;C635&amp;$BD$3,"")</f>
        <v/>
      </c>
      <c r="BC633" s="1" t="str">
        <f>IFERROR($BC$3&amp;VLOOKUP(D635,'Pay Table'!$M$3:$N$18,2,FALSE)&amp;$BB$3&amp;E635&amp;$BD$3,"")</f>
        <v/>
      </c>
      <c r="BD633" s="1" t="str">
        <f>IFERROR($BC$3&amp;VLOOKUP(F635,'Pay Table'!$M$3:$N$18,2,FALSE)&amp;$BB$3&amp;G635&amp;$BD$3,"")</f>
        <v/>
      </c>
      <c r="BE633" s="1" t="str">
        <f>IFERROR($BC$3&amp;VLOOKUP(H635,'Pay Table'!$M$3:$N$18,2,FALSE)&amp;$BB$3&amp;I635&amp;$BD$3,"")</f>
        <v/>
      </c>
      <c r="BF633" s="27" t="str">
        <f>IFERROR($BC$3&amp;VLOOKUP(J635,'Pay Table'!$M$3:$N$18,2,FALSE)&amp;$BB$3&amp;K635&amp;$BD$3,"")</f>
        <v/>
      </c>
    </row>
    <row r="634" spans="54:58" x14ac:dyDescent="0.15">
      <c r="BB634" s="26" t="str">
        <f>IFERROR($BC$3&amp;VLOOKUP(B636,'Pay Table'!$M$3:$N$18,2,FALSE)&amp;$BB$3&amp;C636&amp;$BD$3,"")</f>
        <v/>
      </c>
      <c r="BC634" s="1" t="str">
        <f>IFERROR($BC$3&amp;VLOOKUP(D636,'Pay Table'!$M$3:$N$18,2,FALSE)&amp;$BB$3&amp;E636&amp;$BD$3,"")</f>
        <v/>
      </c>
      <c r="BD634" s="1" t="str">
        <f>IFERROR($BC$3&amp;VLOOKUP(F636,'Pay Table'!$M$3:$N$18,2,FALSE)&amp;$BB$3&amp;G636&amp;$BD$3,"")</f>
        <v/>
      </c>
      <c r="BE634" s="1" t="str">
        <f>IFERROR($BC$3&amp;VLOOKUP(H636,'Pay Table'!$M$3:$N$18,2,FALSE)&amp;$BB$3&amp;I636&amp;$BD$3,"")</f>
        <v/>
      </c>
      <c r="BF634" s="27" t="str">
        <f>IFERROR($BC$3&amp;VLOOKUP(J636,'Pay Table'!$M$3:$N$18,2,FALSE)&amp;$BB$3&amp;K636&amp;$BD$3,"")</f>
        <v/>
      </c>
    </row>
    <row r="635" spans="54:58" x14ac:dyDescent="0.15">
      <c r="BB635" s="26" t="str">
        <f>IFERROR($BC$3&amp;VLOOKUP(B637,'Pay Table'!$M$3:$N$18,2,FALSE)&amp;$BB$3&amp;C637&amp;$BD$3,"")</f>
        <v/>
      </c>
      <c r="BC635" s="1" t="str">
        <f>IFERROR($BC$3&amp;VLOOKUP(D637,'Pay Table'!$M$3:$N$18,2,FALSE)&amp;$BB$3&amp;E637&amp;$BD$3,"")</f>
        <v/>
      </c>
      <c r="BD635" s="1" t="str">
        <f>IFERROR($BC$3&amp;VLOOKUP(F637,'Pay Table'!$M$3:$N$18,2,FALSE)&amp;$BB$3&amp;G637&amp;$BD$3,"")</f>
        <v/>
      </c>
      <c r="BE635" s="1" t="str">
        <f>IFERROR($BC$3&amp;VLOOKUP(H637,'Pay Table'!$M$3:$N$18,2,FALSE)&amp;$BB$3&amp;I637&amp;$BD$3,"")</f>
        <v/>
      </c>
      <c r="BF635" s="27" t="str">
        <f>IFERROR($BC$3&amp;VLOOKUP(J637,'Pay Table'!$M$3:$N$18,2,FALSE)&amp;$BB$3&amp;K637&amp;$BD$3,"")</f>
        <v/>
      </c>
    </row>
    <row r="636" spans="54:58" x14ac:dyDescent="0.15">
      <c r="BB636" s="26" t="str">
        <f>IFERROR($BC$3&amp;VLOOKUP(B638,'Pay Table'!$M$3:$N$18,2,FALSE)&amp;$BB$3&amp;C638&amp;$BD$3,"")</f>
        <v/>
      </c>
      <c r="BC636" s="1" t="str">
        <f>IFERROR($BC$3&amp;VLOOKUP(D638,'Pay Table'!$M$3:$N$18,2,FALSE)&amp;$BB$3&amp;E638&amp;$BD$3,"")</f>
        <v/>
      </c>
      <c r="BD636" s="1" t="str">
        <f>IFERROR($BC$3&amp;VLOOKUP(F638,'Pay Table'!$M$3:$N$18,2,FALSE)&amp;$BB$3&amp;G638&amp;$BD$3,"")</f>
        <v/>
      </c>
      <c r="BE636" s="1" t="str">
        <f>IFERROR($BC$3&amp;VLOOKUP(H638,'Pay Table'!$M$3:$N$18,2,FALSE)&amp;$BB$3&amp;I638&amp;$BD$3,"")</f>
        <v/>
      </c>
      <c r="BF636" s="27" t="str">
        <f>IFERROR($BC$3&amp;VLOOKUP(J638,'Pay Table'!$M$3:$N$18,2,FALSE)&amp;$BB$3&amp;K638&amp;$BD$3,"")</f>
        <v/>
      </c>
    </row>
    <row r="637" spans="54:58" x14ac:dyDescent="0.15">
      <c r="BB637" s="26" t="str">
        <f>IFERROR($BC$3&amp;VLOOKUP(B639,'Pay Table'!$M$3:$N$18,2,FALSE)&amp;$BB$3&amp;C639&amp;$BD$3,"")</f>
        <v/>
      </c>
      <c r="BC637" s="1" t="str">
        <f>IFERROR($BC$3&amp;VLOOKUP(D639,'Pay Table'!$M$3:$N$18,2,FALSE)&amp;$BB$3&amp;E639&amp;$BD$3,"")</f>
        <v/>
      </c>
      <c r="BD637" s="1" t="str">
        <f>IFERROR($BC$3&amp;VLOOKUP(F639,'Pay Table'!$M$3:$N$18,2,FALSE)&amp;$BB$3&amp;G639&amp;$BD$3,"")</f>
        <v/>
      </c>
      <c r="BE637" s="1" t="str">
        <f>IFERROR($BC$3&amp;VLOOKUP(H639,'Pay Table'!$M$3:$N$18,2,FALSE)&amp;$BB$3&amp;I639&amp;$BD$3,"")</f>
        <v/>
      </c>
      <c r="BF637" s="27" t="str">
        <f>IFERROR($BC$3&amp;VLOOKUP(J639,'Pay Table'!$M$3:$N$18,2,FALSE)&amp;$BB$3&amp;K639&amp;$BD$3,"")</f>
        <v/>
      </c>
    </row>
    <row r="638" spans="54:58" x14ac:dyDescent="0.15">
      <c r="BB638" s="26" t="str">
        <f>IFERROR($BC$3&amp;VLOOKUP(B640,'Pay Table'!$M$3:$N$18,2,FALSE)&amp;$BB$3&amp;C640&amp;$BD$3,"")</f>
        <v/>
      </c>
      <c r="BC638" s="1" t="str">
        <f>IFERROR($BC$3&amp;VLOOKUP(D640,'Pay Table'!$M$3:$N$18,2,FALSE)&amp;$BB$3&amp;E640&amp;$BD$3,"")</f>
        <v/>
      </c>
      <c r="BD638" s="1" t="str">
        <f>IFERROR($BC$3&amp;VLOOKUP(F640,'Pay Table'!$M$3:$N$18,2,FALSE)&amp;$BB$3&amp;G640&amp;$BD$3,"")</f>
        <v/>
      </c>
      <c r="BE638" s="1" t="str">
        <f>IFERROR($BC$3&amp;VLOOKUP(H640,'Pay Table'!$M$3:$N$18,2,FALSE)&amp;$BB$3&amp;I640&amp;$BD$3,"")</f>
        <v/>
      </c>
      <c r="BF638" s="27" t="str">
        <f>IFERROR($BC$3&amp;VLOOKUP(J640,'Pay Table'!$M$3:$N$18,2,FALSE)&amp;$BB$3&amp;K640&amp;$BD$3,"")</f>
        <v/>
      </c>
    </row>
    <row r="639" spans="54:58" x14ac:dyDescent="0.15">
      <c r="BB639" s="26" t="str">
        <f>IFERROR($BC$3&amp;VLOOKUP(B641,'Pay Table'!$M$3:$N$18,2,FALSE)&amp;$BB$3&amp;C641&amp;$BD$3,"")</f>
        <v/>
      </c>
      <c r="BC639" s="1" t="str">
        <f>IFERROR($BC$3&amp;VLOOKUP(D641,'Pay Table'!$M$3:$N$18,2,FALSE)&amp;$BB$3&amp;E641&amp;$BD$3,"")</f>
        <v/>
      </c>
      <c r="BD639" s="1" t="str">
        <f>IFERROR($BC$3&amp;VLOOKUP(F641,'Pay Table'!$M$3:$N$18,2,FALSE)&amp;$BB$3&amp;G641&amp;$BD$3,"")</f>
        <v/>
      </c>
      <c r="BE639" s="1" t="str">
        <f>IFERROR($BC$3&amp;VLOOKUP(H641,'Pay Table'!$M$3:$N$18,2,FALSE)&amp;$BB$3&amp;I641&amp;$BD$3,"")</f>
        <v/>
      </c>
      <c r="BF639" s="27" t="str">
        <f>IFERROR($BC$3&amp;VLOOKUP(J641,'Pay Table'!$M$3:$N$18,2,FALSE)&amp;$BB$3&amp;K641&amp;$BD$3,"")</f>
        <v/>
      </c>
    </row>
    <row r="640" spans="54:58" x14ac:dyDescent="0.15">
      <c r="BB640" s="26" t="str">
        <f>IFERROR($BC$3&amp;VLOOKUP(B642,'Pay Table'!$M$3:$N$18,2,FALSE)&amp;$BB$3&amp;C642&amp;$BD$3,"")</f>
        <v/>
      </c>
      <c r="BC640" s="1" t="str">
        <f>IFERROR($BC$3&amp;VLOOKUP(D642,'Pay Table'!$M$3:$N$18,2,FALSE)&amp;$BB$3&amp;E642&amp;$BD$3,"")</f>
        <v/>
      </c>
      <c r="BD640" s="1" t="str">
        <f>IFERROR($BC$3&amp;VLOOKUP(F642,'Pay Table'!$M$3:$N$18,2,FALSE)&amp;$BB$3&amp;G642&amp;$BD$3,"")</f>
        <v/>
      </c>
      <c r="BE640" s="1" t="str">
        <f>IFERROR($BC$3&amp;VLOOKUP(H642,'Pay Table'!$M$3:$N$18,2,FALSE)&amp;$BB$3&amp;I642&amp;$BD$3,"")</f>
        <v/>
      </c>
      <c r="BF640" s="27" t="str">
        <f>IFERROR($BC$3&amp;VLOOKUP(J642,'Pay Table'!$M$3:$N$18,2,FALSE)&amp;$BB$3&amp;K642&amp;$BD$3,"")</f>
        <v/>
      </c>
    </row>
    <row r="641" spans="54:58" x14ac:dyDescent="0.15">
      <c r="BB641" s="26" t="str">
        <f>IFERROR($BC$3&amp;VLOOKUP(B643,'Pay Table'!$M$3:$N$18,2,FALSE)&amp;$BB$3&amp;C643&amp;$BD$3,"")</f>
        <v/>
      </c>
      <c r="BC641" s="1" t="str">
        <f>IFERROR($BC$3&amp;VLOOKUP(D643,'Pay Table'!$M$3:$N$18,2,FALSE)&amp;$BB$3&amp;E643&amp;$BD$3,"")</f>
        <v/>
      </c>
      <c r="BD641" s="1" t="str">
        <f>IFERROR($BC$3&amp;VLOOKUP(F643,'Pay Table'!$M$3:$N$18,2,FALSE)&amp;$BB$3&amp;G643&amp;$BD$3,"")</f>
        <v/>
      </c>
      <c r="BE641" s="1" t="str">
        <f>IFERROR($BC$3&amp;VLOOKUP(H643,'Pay Table'!$M$3:$N$18,2,FALSE)&amp;$BB$3&amp;I643&amp;$BD$3,"")</f>
        <v/>
      </c>
      <c r="BF641" s="27" t="str">
        <f>IFERROR($BC$3&amp;VLOOKUP(J643,'Pay Table'!$M$3:$N$18,2,FALSE)&amp;$BB$3&amp;K643&amp;$BD$3,"")</f>
        <v/>
      </c>
    </row>
    <row r="642" spans="54:58" x14ac:dyDescent="0.15">
      <c r="BB642" s="26" t="str">
        <f>IFERROR($BC$3&amp;VLOOKUP(B644,'Pay Table'!$M$3:$N$18,2,FALSE)&amp;$BB$3&amp;C644&amp;$BD$3,"")</f>
        <v/>
      </c>
      <c r="BC642" s="1" t="str">
        <f>IFERROR($BC$3&amp;VLOOKUP(D644,'Pay Table'!$M$3:$N$18,2,FALSE)&amp;$BB$3&amp;E644&amp;$BD$3,"")</f>
        <v/>
      </c>
      <c r="BD642" s="1" t="str">
        <f>IFERROR($BC$3&amp;VLOOKUP(F644,'Pay Table'!$M$3:$N$18,2,FALSE)&amp;$BB$3&amp;G644&amp;$BD$3,"")</f>
        <v/>
      </c>
      <c r="BE642" s="1" t="str">
        <f>IFERROR($BC$3&amp;VLOOKUP(H644,'Pay Table'!$M$3:$N$18,2,FALSE)&amp;$BB$3&amp;I644&amp;$BD$3,"")</f>
        <v/>
      </c>
      <c r="BF642" s="27" t="str">
        <f>IFERROR($BC$3&amp;VLOOKUP(J644,'Pay Table'!$M$3:$N$18,2,FALSE)&amp;$BB$3&amp;K644&amp;$BD$3,"")</f>
        <v/>
      </c>
    </row>
    <row r="643" spans="54:58" x14ac:dyDescent="0.15">
      <c r="BB643" s="26" t="str">
        <f>IFERROR($BC$3&amp;VLOOKUP(B645,'Pay Table'!$M$3:$N$18,2,FALSE)&amp;$BB$3&amp;C645&amp;$BD$3,"")</f>
        <v/>
      </c>
      <c r="BC643" s="1" t="str">
        <f>IFERROR($BC$3&amp;VLOOKUP(D645,'Pay Table'!$M$3:$N$18,2,FALSE)&amp;$BB$3&amp;E645&amp;$BD$3,"")</f>
        <v/>
      </c>
      <c r="BD643" s="1" t="str">
        <f>IFERROR($BC$3&amp;VLOOKUP(F645,'Pay Table'!$M$3:$N$18,2,FALSE)&amp;$BB$3&amp;G645&amp;$BD$3,"")</f>
        <v/>
      </c>
      <c r="BE643" s="1" t="str">
        <f>IFERROR($BC$3&amp;VLOOKUP(H645,'Pay Table'!$M$3:$N$18,2,FALSE)&amp;$BB$3&amp;I645&amp;$BD$3,"")</f>
        <v/>
      </c>
      <c r="BF643" s="27" t="str">
        <f>IFERROR($BC$3&amp;VLOOKUP(J645,'Pay Table'!$M$3:$N$18,2,FALSE)&amp;$BB$3&amp;K645&amp;$BD$3,"")</f>
        <v/>
      </c>
    </row>
    <row r="644" spans="54:58" x14ac:dyDescent="0.15">
      <c r="BB644" s="26" t="str">
        <f>IFERROR($BC$3&amp;VLOOKUP(B646,'Pay Table'!$M$3:$N$18,2,FALSE)&amp;$BB$3&amp;C646&amp;$BD$3,"")</f>
        <v/>
      </c>
      <c r="BC644" s="1" t="str">
        <f>IFERROR($BC$3&amp;VLOOKUP(D646,'Pay Table'!$M$3:$N$18,2,FALSE)&amp;$BB$3&amp;E646&amp;$BD$3,"")</f>
        <v/>
      </c>
      <c r="BD644" s="1" t="str">
        <f>IFERROR($BC$3&amp;VLOOKUP(F646,'Pay Table'!$M$3:$N$18,2,FALSE)&amp;$BB$3&amp;G646&amp;$BD$3,"")</f>
        <v/>
      </c>
      <c r="BE644" s="1" t="str">
        <f>IFERROR($BC$3&amp;VLOOKUP(H646,'Pay Table'!$M$3:$N$18,2,FALSE)&amp;$BB$3&amp;I646&amp;$BD$3,"")</f>
        <v/>
      </c>
      <c r="BF644" s="27" t="str">
        <f>IFERROR($BC$3&amp;VLOOKUP(J646,'Pay Table'!$M$3:$N$18,2,FALSE)&amp;$BB$3&amp;K646&amp;$BD$3,"")</f>
        <v/>
      </c>
    </row>
    <row r="645" spans="54:58" x14ac:dyDescent="0.15">
      <c r="BB645" s="26" t="str">
        <f>IFERROR($BC$3&amp;VLOOKUP(B647,'Pay Table'!$M$3:$N$18,2,FALSE)&amp;$BB$3&amp;C647&amp;$BD$3,"")</f>
        <v/>
      </c>
      <c r="BC645" s="1" t="str">
        <f>IFERROR($BC$3&amp;VLOOKUP(D647,'Pay Table'!$M$3:$N$18,2,FALSE)&amp;$BB$3&amp;E647&amp;$BD$3,"")</f>
        <v/>
      </c>
      <c r="BD645" s="1" t="str">
        <f>IFERROR($BC$3&amp;VLOOKUP(F647,'Pay Table'!$M$3:$N$18,2,FALSE)&amp;$BB$3&amp;G647&amp;$BD$3,"")</f>
        <v/>
      </c>
      <c r="BE645" s="1" t="str">
        <f>IFERROR($BC$3&amp;VLOOKUP(H647,'Pay Table'!$M$3:$N$18,2,FALSE)&amp;$BB$3&amp;I647&amp;$BD$3,"")</f>
        <v/>
      </c>
      <c r="BF645" s="27" t="str">
        <f>IFERROR($BC$3&amp;VLOOKUP(J647,'Pay Table'!$M$3:$N$18,2,FALSE)&amp;$BB$3&amp;K647&amp;$BD$3,"")</f>
        <v/>
      </c>
    </row>
    <row r="646" spans="54:58" x14ac:dyDescent="0.15">
      <c r="BB646" s="26" t="str">
        <f>IFERROR($BC$3&amp;VLOOKUP(B648,'Pay Table'!$M$3:$N$18,2,FALSE)&amp;$BB$3&amp;C648&amp;$BD$3,"")</f>
        <v/>
      </c>
      <c r="BC646" s="1" t="str">
        <f>IFERROR($BC$3&amp;VLOOKUP(D648,'Pay Table'!$M$3:$N$18,2,FALSE)&amp;$BB$3&amp;E648&amp;$BD$3,"")</f>
        <v/>
      </c>
      <c r="BD646" s="1" t="str">
        <f>IFERROR($BC$3&amp;VLOOKUP(F648,'Pay Table'!$M$3:$N$18,2,FALSE)&amp;$BB$3&amp;G648&amp;$BD$3,"")</f>
        <v/>
      </c>
      <c r="BE646" s="1" t="str">
        <f>IFERROR($BC$3&amp;VLOOKUP(H648,'Pay Table'!$M$3:$N$18,2,FALSE)&amp;$BB$3&amp;I648&amp;$BD$3,"")</f>
        <v/>
      </c>
      <c r="BF646" s="27" t="str">
        <f>IFERROR($BC$3&amp;VLOOKUP(J648,'Pay Table'!$M$3:$N$18,2,FALSE)&amp;$BB$3&amp;K648&amp;$BD$3,"")</f>
        <v/>
      </c>
    </row>
    <row r="647" spans="54:58" x14ac:dyDescent="0.15">
      <c r="BB647" s="26" t="str">
        <f>IFERROR($BC$3&amp;VLOOKUP(B649,'Pay Table'!$M$3:$N$18,2,FALSE)&amp;$BB$3&amp;C649&amp;$BD$3,"")</f>
        <v/>
      </c>
      <c r="BC647" s="1" t="str">
        <f>IFERROR($BC$3&amp;VLOOKUP(D649,'Pay Table'!$M$3:$N$18,2,FALSE)&amp;$BB$3&amp;E649&amp;$BD$3,"")</f>
        <v/>
      </c>
      <c r="BD647" s="1" t="str">
        <f>IFERROR($BC$3&amp;VLOOKUP(F649,'Pay Table'!$M$3:$N$18,2,FALSE)&amp;$BB$3&amp;G649&amp;$BD$3,"")</f>
        <v/>
      </c>
      <c r="BE647" s="1" t="str">
        <f>IFERROR($BC$3&amp;VLOOKUP(H649,'Pay Table'!$M$3:$N$18,2,FALSE)&amp;$BB$3&amp;I649&amp;$BD$3,"")</f>
        <v/>
      </c>
      <c r="BF647" s="27" t="str">
        <f>IFERROR($BC$3&amp;VLOOKUP(J649,'Pay Table'!$M$3:$N$18,2,FALSE)&amp;$BB$3&amp;K649&amp;$BD$3,"")</f>
        <v/>
      </c>
    </row>
    <row r="648" spans="54:58" x14ac:dyDescent="0.15">
      <c r="BB648" s="26" t="str">
        <f>IFERROR($BC$3&amp;VLOOKUP(B650,'Pay Table'!$M$3:$N$18,2,FALSE)&amp;$BB$3&amp;C650&amp;$BD$3,"")</f>
        <v/>
      </c>
      <c r="BC648" s="1" t="str">
        <f>IFERROR($BC$3&amp;VLOOKUP(D650,'Pay Table'!$M$3:$N$18,2,FALSE)&amp;$BB$3&amp;E650&amp;$BD$3,"")</f>
        <v/>
      </c>
      <c r="BD648" s="1" t="str">
        <f>IFERROR($BC$3&amp;VLOOKUP(F650,'Pay Table'!$M$3:$N$18,2,FALSE)&amp;$BB$3&amp;G650&amp;$BD$3,"")</f>
        <v/>
      </c>
      <c r="BE648" s="1" t="str">
        <f>IFERROR($BC$3&amp;VLOOKUP(H650,'Pay Table'!$M$3:$N$18,2,FALSE)&amp;$BB$3&amp;I650&amp;$BD$3,"")</f>
        <v/>
      </c>
      <c r="BF648" s="27" t="str">
        <f>IFERROR($BC$3&amp;VLOOKUP(J650,'Pay Table'!$M$3:$N$18,2,FALSE)&amp;$BB$3&amp;K650&amp;$BD$3,"")</f>
        <v/>
      </c>
    </row>
    <row r="649" spans="54:58" x14ac:dyDescent="0.15">
      <c r="BB649" s="26" t="str">
        <f>IFERROR($BC$3&amp;VLOOKUP(B651,'Pay Table'!$M$3:$N$18,2,FALSE)&amp;$BB$3&amp;C651&amp;$BD$3,"")</f>
        <v/>
      </c>
      <c r="BC649" s="1" t="str">
        <f>IFERROR($BC$3&amp;VLOOKUP(D651,'Pay Table'!$M$3:$N$18,2,FALSE)&amp;$BB$3&amp;E651&amp;$BD$3,"")</f>
        <v/>
      </c>
      <c r="BD649" s="1" t="str">
        <f>IFERROR($BC$3&amp;VLOOKUP(F651,'Pay Table'!$M$3:$N$18,2,FALSE)&amp;$BB$3&amp;G651&amp;$BD$3,"")</f>
        <v/>
      </c>
      <c r="BE649" s="1" t="str">
        <f>IFERROR($BC$3&amp;VLOOKUP(H651,'Pay Table'!$M$3:$N$18,2,FALSE)&amp;$BB$3&amp;I651&amp;$BD$3,"")</f>
        <v/>
      </c>
      <c r="BF649" s="27" t="str">
        <f>IFERROR($BC$3&amp;VLOOKUP(J651,'Pay Table'!$M$3:$N$18,2,FALSE)&amp;$BB$3&amp;K651&amp;$BD$3,"")</f>
        <v/>
      </c>
    </row>
    <row r="650" spans="54:58" x14ac:dyDescent="0.15">
      <c r="BB650" s="26" t="str">
        <f>IFERROR($BC$3&amp;VLOOKUP(B652,'Pay Table'!$M$3:$N$18,2,FALSE)&amp;$BB$3&amp;C652&amp;$BD$3,"")</f>
        <v/>
      </c>
      <c r="BC650" s="1" t="str">
        <f>IFERROR($BC$3&amp;VLOOKUP(D652,'Pay Table'!$M$3:$N$18,2,FALSE)&amp;$BB$3&amp;E652&amp;$BD$3,"")</f>
        <v/>
      </c>
      <c r="BD650" s="1" t="str">
        <f>IFERROR($BC$3&amp;VLOOKUP(F652,'Pay Table'!$M$3:$N$18,2,FALSE)&amp;$BB$3&amp;G652&amp;$BD$3,"")</f>
        <v/>
      </c>
      <c r="BE650" s="1" t="str">
        <f>IFERROR($BC$3&amp;VLOOKUP(H652,'Pay Table'!$M$3:$N$18,2,FALSE)&amp;$BB$3&amp;I652&amp;$BD$3,"")</f>
        <v/>
      </c>
      <c r="BF650" s="27" t="str">
        <f>IFERROR($BC$3&amp;VLOOKUP(J652,'Pay Table'!$M$3:$N$18,2,FALSE)&amp;$BB$3&amp;K652&amp;$BD$3,"")</f>
        <v/>
      </c>
    </row>
    <row r="651" spans="54:58" x14ac:dyDescent="0.15">
      <c r="BB651" s="26" t="str">
        <f>IFERROR($BC$3&amp;VLOOKUP(B653,'Pay Table'!$M$3:$N$18,2,FALSE)&amp;$BB$3&amp;C653&amp;$BD$3,"")</f>
        <v/>
      </c>
      <c r="BC651" s="1" t="str">
        <f>IFERROR($BC$3&amp;VLOOKUP(D653,'Pay Table'!$M$3:$N$18,2,FALSE)&amp;$BB$3&amp;E653&amp;$BD$3,"")</f>
        <v/>
      </c>
      <c r="BD651" s="1" t="str">
        <f>IFERROR($BC$3&amp;VLOOKUP(F653,'Pay Table'!$M$3:$N$18,2,FALSE)&amp;$BB$3&amp;G653&amp;$BD$3,"")</f>
        <v/>
      </c>
      <c r="BE651" s="1" t="str">
        <f>IFERROR($BC$3&amp;VLOOKUP(H653,'Pay Table'!$M$3:$N$18,2,FALSE)&amp;$BB$3&amp;I653&amp;$BD$3,"")</f>
        <v/>
      </c>
      <c r="BF651" s="27" t="str">
        <f>IFERROR($BC$3&amp;VLOOKUP(J653,'Pay Table'!$M$3:$N$18,2,FALSE)&amp;$BB$3&amp;K653&amp;$BD$3,"")</f>
        <v/>
      </c>
    </row>
    <row r="652" spans="54:58" x14ac:dyDescent="0.15">
      <c r="BB652" s="26" t="str">
        <f>IFERROR($BC$3&amp;VLOOKUP(B654,'Pay Table'!$M$3:$N$18,2,FALSE)&amp;$BB$3&amp;C654&amp;$BD$3,"")</f>
        <v/>
      </c>
      <c r="BC652" s="1" t="str">
        <f>IFERROR($BC$3&amp;VLOOKUP(D654,'Pay Table'!$M$3:$N$18,2,FALSE)&amp;$BB$3&amp;E654&amp;$BD$3,"")</f>
        <v/>
      </c>
      <c r="BD652" s="1" t="str">
        <f>IFERROR($BC$3&amp;VLOOKUP(F654,'Pay Table'!$M$3:$N$18,2,FALSE)&amp;$BB$3&amp;G654&amp;$BD$3,"")</f>
        <v/>
      </c>
      <c r="BE652" s="1" t="str">
        <f>IFERROR($BC$3&amp;VLOOKUP(H654,'Pay Table'!$M$3:$N$18,2,FALSE)&amp;$BB$3&amp;I654&amp;$BD$3,"")</f>
        <v/>
      </c>
      <c r="BF652" s="27" t="str">
        <f>IFERROR($BC$3&amp;VLOOKUP(J654,'Pay Table'!$M$3:$N$18,2,FALSE)&amp;$BB$3&amp;K654&amp;$BD$3,"")</f>
        <v/>
      </c>
    </row>
    <row r="653" spans="54:58" x14ac:dyDescent="0.15">
      <c r="BB653" s="26" t="str">
        <f>IFERROR($BC$3&amp;VLOOKUP(B655,'Pay Table'!$M$3:$N$18,2,FALSE)&amp;$BB$3&amp;C655&amp;$BD$3,"")</f>
        <v/>
      </c>
      <c r="BC653" s="1" t="str">
        <f>IFERROR($BC$3&amp;VLOOKUP(D655,'Pay Table'!$M$3:$N$18,2,FALSE)&amp;$BB$3&amp;E655&amp;$BD$3,"")</f>
        <v/>
      </c>
      <c r="BD653" s="1" t="str">
        <f>IFERROR($BC$3&amp;VLOOKUP(F655,'Pay Table'!$M$3:$N$18,2,FALSE)&amp;$BB$3&amp;G655&amp;$BD$3,"")</f>
        <v/>
      </c>
      <c r="BE653" s="1" t="str">
        <f>IFERROR($BC$3&amp;VLOOKUP(H655,'Pay Table'!$M$3:$N$18,2,FALSE)&amp;$BB$3&amp;I655&amp;$BD$3,"")</f>
        <v/>
      </c>
      <c r="BF653" s="27" t="str">
        <f>IFERROR($BC$3&amp;VLOOKUP(J655,'Pay Table'!$M$3:$N$18,2,FALSE)&amp;$BB$3&amp;K655&amp;$BD$3,"")</f>
        <v/>
      </c>
    </row>
    <row r="654" spans="54:58" x14ac:dyDescent="0.15">
      <c r="BB654" s="26" t="str">
        <f>IFERROR($BC$3&amp;VLOOKUP(B656,'Pay Table'!$M$3:$N$18,2,FALSE)&amp;$BB$3&amp;C656&amp;$BD$3,"")</f>
        <v/>
      </c>
      <c r="BC654" s="1" t="str">
        <f>IFERROR($BC$3&amp;VLOOKUP(D656,'Pay Table'!$M$3:$N$18,2,FALSE)&amp;$BB$3&amp;E656&amp;$BD$3,"")</f>
        <v/>
      </c>
      <c r="BD654" s="1" t="str">
        <f>IFERROR($BC$3&amp;VLOOKUP(F656,'Pay Table'!$M$3:$N$18,2,FALSE)&amp;$BB$3&amp;G656&amp;$BD$3,"")</f>
        <v/>
      </c>
      <c r="BE654" s="1" t="str">
        <f>IFERROR($BC$3&amp;VLOOKUP(H656,'Pay Table'!$M$3:$N$18,2,FALSE)&amp;$BB$3&amp;I656&amp;$BD$3,"")</f>
        <v/>
      </c>
      <c r="BF654" s="27" t="str">
        <f>IFERROR($BC$3&amp;VLOOKUP(J656,'Pay Table'!$M$3:$N$18,2,FALSE)&amp;$BB$3&amp;K656&amp;$BD$3,"")</f>
        <v/>
      </c>
    </row>
    <row r="655" spans="54:58" x14ac:dyDescent="0.15">
      <c r="BB655" s="26" t="str">
        <f>IFERROR($BC$3&amp;VLOOKUP(B657,'Pay Table'!$M$3:$N$18,2,FALSE)&amp;$BB$3&amp;C657&amp;$BD$3,"")</f>
        <v/>
      </c>
      <c r="BC655" s="1" t="str">
        <f>IFERROR($BC$3&amp;VLOOKUP(D657,'Pay Table'!$M$3:$N$18,2,FALSE)&amp;$BB$3&amp;E657&amp;$BD$3,"")</f>
        <v/>
      </c>
      <c r="BD655" s="1" t="str">
        <f>IFERROR($BC$3&amp;VLOOKUP(F657,'Pay Table'!$M$3:$N$18,2,FALSE)&amp;$BB$3&amp;G657&amp;$BD$3,"")</f>
        <v/>
      </c>
      <c r="BE655" s="1" t="str">
        <f>IFERROR($BC$3&amp;VLOOKUP(H657,'Pay Table'!$M$3:$N$18,2,FALSE)&amp;$BB$3&amp;I657&amp;$BD$3,"")</f>
        <v/>
      </c>
      <c r="BF655" s="27" t="str">
        <f>IFERROR($BC$3&amp;VLOOKUP(J657,'Pay Table'!$M$3:$N$18,2,FALSE)&amp;$BB$3&amp;K657&amp;$BD$3,"")</f>
        <v/>
      </c>
    </row>
    <row r="656" spans="54:58" x14ac:dyDescent="0.15">
      <c r="BB656" s="26" t="str">
        <f>IFERROR($BC$3&amp;VLOOKUP(B658,'Pay Table'!$M$3:$N$18,2,FALSE)&amp;$BB$3&amp;C658&amp;$BD$3,"")</f>
        <v/>
      </c>
      <c r="BC656" s="1" t="str">
        <f>IFERROR($BC$3&amp;VLOOKUP(D658,'Pay Table'!$M$3:$N$18,2,FALSE)&amp;$BB$3&amp;E658&amp;$BD$3,"")</f>
        <v/>
      </c>
      <c r="BD656" s="1" t="str">
        <f>IFERROR($BC$3&amp;VLOOKUP(F658,'Pay Table'!$M$3:$N$18,2,FALSE)&amp;$BB$3&amp;G658&amp;$BD$3,"")</f>
        <v/>
      </c>
      <c r="BE656" s="1" t="str">
        <f>IFERROR($BC$3&amp;VLOOKUP(H658,'Pay Table'!$M$3:$N$18,2,FALSE)&amp;$BB$3&amp;I658&amp;$BD$3,"")</f>
        <v/>
      </c>
      <c r="BF656" s="27" t="str">
        <f>IFERROR($BC$3&amp;VLOOKUP(J658,'Pay Table'!$M$3:$N$18,2,FALSE)&amp;$BB$3&amp;K658&amp;$BD$3,"")</f>
        <v/>
      </c>
    </row>
    <row r="657" spans="54:58" x14ac:dyDescent="0.15">
      <c r="BB657" s="26" t="str">
        <f>IFERROR($BC$3&amp;VLOOKUP(B659,'Pay Table'!$M$3:$N$18,2,FALSE)&amp;$BB$3&amp;C659&amp;$BD$3,"")</f>
        <v/>
      </c>
      <c r="BC657" s="1" t="str">
        <f>IFERROR($BC$3&amp;VLOOKUP(D659,'Pay Table'!$M$3:$N$18,2,FALSE)&amp;$BB$3&amp;E659&amp;$BD$3,"")</f>
        <v/>
      </c>
      <c r="BD657" s="1" t="str">
        <f>IFERROR($BC$3&amp;VLOOKUP(F659,'Pay Table'!$M$3:$N$18,2,FALSE)&amp;$BB$3&amp;G659&amp;$BD$3,"")</f>
        <v/>
      </c>
      <c r="BE657" s="1" t="str">
        <f>IFERROR($BC$3&amp;VLOOKUP(H659,'Pay Table'!$M$3:$N$18,2,FALSE)&amp;$BB$3&amp;I659&amp;$BD$3,"")</f>
        <v/>
      </c>
      <c r="BF657" s="27" t="str">
        <f>IFERROR($BC$3&amp;VLOOKUP(J659,'Pay Table'!$M$3:$N$18,2,FALSE)&amp;$BB$3&amp;K659&amp;$BD$3,"")</f>
        <v/>
      </c>
    </row>
    <row r="658" spans="54:58" x14ac:dyDescent="0.15">
      <c r="BB658" s="26" t="str">
        <f>IFERROR($BC$3&amp;VLOOKUP(B660,'Pay Table'!$M$3:$N$18,2,FALSE)&amp;$BB$3&amp;C660&amp;$BD$3,"")</f>
        <v/>
      </c>
      <c r="BC658" s="1" t="str">
        <f>IFERROR($BC$3&amp;VLOOKUP(D660,'Pay Table'!$M$3:$N$18,2,FALSE)&amp;$BB$3&amp;E660&amp;$BD$3,"")</f>
        <v/>
      </c>
      <c r="BD658" s="1" t="str">
        <f>IFERROR($BC$3&amp;VLOOKUP(F660,'Pay Table'!$M$3:$N$18,2,FALSE)&amp;$BB$3&amp;G660&amp;$BD$3,"")</f>
        <v/>
      </c>
      <c r="BE658" s="1" t="str">
        <f>IFERROR($BC$3&amp;VLOOKUP(H660,'Pay Table'!$M$3:$N$18,2,FALSE)&amp;$BB$3&amp;I660&amp;$BD$3,"")</f>
        <v/>
      </c>
      <c r="BF658" s="27" t="str">
        <f>IFERROR($BC$3&amp;VLOOKUP(J660,'Pay Table'!$M$3:$N$18,2,FALSE)&amp;$BB$3&amp;K660&amp;$BD$3,"")</f>
        <v/>
      </c>
    </row>
    <row r="659" spans="54:58" x14ac:dyDescent="0.15">
      <c r="BB659" s="26" t="str">
        <f>IFERROR($BC$3&amp;VLOOKUP(B661,'Pay Table'!$M$3:$N$18,2,FALSE)&amp;$BB$3&amp;C661&amp;$BD$3,"")</f>
        <v/>
      </c>
      <c r="BC659" s="1" t="str">
        <f>IFERROR($BC$3&amp;VLOOKUP(D661,'Pay Table'!$M$3:$N$18,2,FALSE)&amp;$BB$3&amp;E661&amp;$BD$3,"")</f>
        <v/>
      </c>
      <c r="BD659" s="1" t="str">
        <f>IFERROR($BC$3&amp;VLOOKUP(F661,'Pay Table'!$M$3:$N$18,2,FALSE)&amp;$BB$3&amp;G661&amp;$BD$3,"")</f>
        <v/>
      </c>
      <c r="BE659" s="1" t="str">
        <f>IFERROR($BC$3&amp;VLOOKUP(H661,'Pay Table'!$M$3:$N$18,2,FALSE)&amp;$BB$3&amp;I661&amp;$BD$3,"")</f>
        <v/>
      </c>
      <c r="BF659" s="27" t="str">
        <f>IFERROR($BC$3&amp;VLOOKUP(J661,'Pay Table'!$M$3:$N$18,2,FALSE)&amp;$BB$3&amp;K661&amp;$BD$3,"")</f>
        <v/>
      </c>
    </row>
    <row r="660" spans="54:58" x14ac:dyDescent="0.15">
      <c r="BB660" s="26" t="str">
        <f>IFERROR($BC$3&amp;VLOOKUP(B662,'Pay Table'!$M$3:$N$18,2,FALSE)&amp;$BB$3&amp;C662&amp;$BD$3,"")</f>
        <v/>
      </c>
      <c r="BC660" s="1" t="str">
        <f>IFERROR($BC$3&amp;VLOOKUP(D662,'Pay Table'!$M$3:$N$18,2,FALSE)&amp;$BB$3&amp;E662&amp;$BD$3,"")</f>
        <v/>
      </c>
      <c r="BD660" s="1" t="str">
        <f>IFERROR($BC$3&amp;VLOOKUP(F662,'Pay Table'!$M$3:$N$18,2,FALSE)&amp;$BB$3&amp;G662&amp;$BD$3,"")</f>
        <v/>
      </c>
      <c r="BE660" s="1" t="str">
        <f>IFERROR($BC$3&amp;VLOOKUP(H662,'Pay Table'!$M$3:$N$18,2,FALSE)&amp;$BB$3&amp;I662&amp;$BD$3,"")</f>
        <v/>
      </c>
      <c r="BF660" s="27" t="str">
        <f>IFERROR($BC$3&amp;VLOOKUP(J662,'Pay Table'!$M$3:$N$18,2,FALSE)&amp;$BB$3&amp;K662&amp;$BD$3,"")</f>
        <v/>
      </c>
    </row>
    <row r="661" spans="54:58" x14ac:dyDescent="0.15">
      <c r="BB661" s="26" t="str">
        <f>IFERROR($BC$3&amp;VLOOKUP(B663,'Pay Table'!$M$3:$N$18,2,FALSE)&amp;$BB$3&amp;C663&amp;$BD$3,"")</f>
        <v/>
      </c>
      <c r="BC661" s="1" t="str">
        <f>IFERROR($BC$3&amp;VLOOKUP(D663,'Pay Table'!$M$3:$N$18,2,FALSE)&amp;$BB$3&amp;E663&amp;$BD$3,"")</f>
        <v/>
      </c>
      <c r="BD661" s="1" t="str">
        <f>IFERROR($BC$3&amp;VLOOKUP(F663,'Pay Table'!$M$3:$N$18,2,FALSE)&amp;$BB$3&amp;G663&amp;$BD$3,"")</f>
        <v/>
      </c>
      <c r="BE661" s="1" t="str">
        <f>IFERROR($BC$3&amp;VLOOKUP(H663,'Pay Table'!$M$3:$N$18,2,FALSE)&amp;$BB$3&amp;I663&amp;$BD$3,"")</f>
        <v/>
      </c>
      <c r="BF661" s="27" t="str">
        <f>IFERROR($BC$3&amp;VLOOKUP(J663,'Pay Table'!$M$3:$N$18,2,FALSE)&amp;$BB$3&amp;K663&amp;$BD$3,"")</f>
        <v/>
      </c>
    </row>
    <row r="662" spans="54:58" x14ac:dyDescent="0.15">
      <c r="BB662" s="26" t="str">
        <f>IFERROR($BC$3&amp;VLOOKUP(B664,'Pay Table'!$M$3:$N$18,2,FALSE)&amp;$BB$3&amp;C664&amp;$BD$3,"")</f>
        <v/>
      </c>
      <c r="BC662" s="1" t="str">
        <f>IFERROR($BC$3&amp;VLOOKUP(D664,'Pay Table'!$M$3:$N$18,2,FALSE)&amp;$BB$3&amp;E664&amp;$BD$3,"")</f>
        <v/>
      </c>
      <c r="BD662" s="1" t="str">
        <f>IFERROR($BC$3&amp;VLOOKUP(F664,'Pay Table'!$M$3:$N$18,2,FALSE)&amp;$BB$3&amp;G664&amp;$BD$3,"")</f>
        <v/>
      </c>
      <c r="BE662" s="1" t="str">
        <f>IFERROR($BC$3&amp;VLOOKUP(H664,'Pay Table'!$M$3:$N$18,2,FALSE)&amp;$BB$3&amp;I664&amp;$BD$3,"")</f>
        <v/>
      </c>
      <c r="BF662" s="27" t="str">
        <f>IFERROR($BC$3&amp;VLOOKUP(J664,'Pay Table'!$M$3:$N$18,2,FALSE)&amp;$BB$3&amp;K664&amp;$BD$3,"")</f>
        <v/>
      </c>
    </row>
    <row r="663" spans="54:58" x14ac:dyDescent="0.15">
      <c r="BB663" s="26" t="str">
        <f>IFERROR($BC$3&amp;VLOOKUP(B665,'Pay Table'!$M$3:$N$18,2,FALSE)&amp;$BB$3&amp;C665&amp;$BD$3,"")</f>
        <v/>
      </c>
      <c r="BC663" s="1" t="str">
        <f>IFERROR($BC$3&amp;VLOOKUP(D665,'Pay Table'!$M$3:$N$18,2,FALSE)&amp;$BB$3&amp;E665&amp;$BD$3,"")</f>
        <v/>
      </c>
      <c r="BD663" s="1" t="str">
        <f>IFERROR($BC$3&amp;VLOOKUP(F665,'Pay Table'!$M$3:$N$18,2,FALSE)&amp;$BB$3&amp;G665&amp;$BD$3,"")</f>
        <v/>
      </c>
      <c r="BE663" s="1" t="str">
        <f>IFERROR($BC$3&amp;VLOOKUP(H665,'Pay Table'!$M$3:$N$18,2,FALSE)&amp;$BB$3&amp;I665&amp;$BD$3,"")</f>
        <v/>
      </c>
      <c r="BF663" s="27" t="str">
        <f>IFERROR($BC$3&amp;VLOOKUP(J665,'Pay Table'!$M$3:$N$18,2,FALSE)&amp;$BB$3&amp;K665&amp;$BD$3,"")</f>
        <v/>
      </c>
    </row>
    <row r="664" spans="54:58" x14ac:dyDescent="0.15">
      <c r="BB664" s="26" t="str">
        <f>IFERROR($BC$3&amp;VLOOKUP(B666,'Pay Table'!$M$3:$N$18,2,FALSE)&amp;$BB$3&amp;C666&amp;$BD$3,"")</f>
        <v/>
      </c>
      <c r="BC664" s="1" t="str">
        <f>IFERROR($BC$3&amp;VLOOKUP(D666,'Pay Table'!$M$3:$N$18,2,FALSE)&amp;$BB$3&amp;E666&amp;$BD$3,"")</f>
        <v/>
      </c>
      <c r="BD664" s="1" t="str">
        <f>IFERROR($BC$3&amp;VLOOKUP(F666,'Pay Table'!$M$3:$N$18,2,FALSE)&amp;$BB$3&amp;G666&amp;$BD$3,"")</f>
        <v/>
      </c>
      <c r="BE664" s="1" t="str">
        <f>IFERROR($BC$3&amp;VLOOKUP(H666,'Pay Table'!$M$3:$N$18,2,FALSE)&amp;$BB$3&amp;I666&amp;$BD$3,"")</f>
        <v/>
      </c>
      <c r="BF664" s="27" t="str">
        <f>IFERROR($BC$3&amp;VLOOKUP(J666,'Pay Table'!$M$3:$N$18,2,FALSE)&amp;$BB$3&amp;K666&amp;$BD$3,"")</f>
        <v/>
      </c>
    </row>
    <row r="665" spans="54:58" x14ac:dyDescent="0.15">
      <c r="BB665" s="26" t="str">
        <f>IFERROR($BC$3&amp;VLOOKUP(B667,'Pay Table'!$M$3:$N$18,2,FALSE)&amp;$BB$3&amp;C667&amp;$BD$3,"")</f>
        <v/>
      </c>
      <c r="BC665" s="1" t="str">
        <f>IFERROR($BC$3&amp;VLOOKUP(D667,'Pay Table'!$M$3:$N$18,2,FALSE)&amp;$BB$3&amp;E667&amp;$BD$3,"")</f>
        <v/>
      </c>
      <c r="BD665" s="1" t="str">
        <f>IFERROR($BC$3&amp;VLOOKUP(F667,'Pay Table'!$M$3:$N$18,2,FALSE)&amp;$BB$3&amp;G667&amp;$BD$3,"")</f>
        <v/>
      </c>
      <c r="BE665" s="1" t="str">
        <f>IFERROR($BC$3&amp;VLOOKUP(H667,'Pay Table'!$M$3:$N$18,2,FALSE)&amp;$BB$3&amp;I667&amp;$BD$3,"")</f>
        <v/>
      </c>
      <c r="BF665" s="27" t="str">
        <f>IFERROR($BC$3&amp;VLOOKUP(J667,'Pay Table'!$M$3:$N$18,2,FALSE)&amp;$BB$3&amp;K667&amp;$BD$3,"")</f>
        <v/>
      </c>
    </row>
    <row r="666" spans="54:58" x14ac:dyDescent="0.15">
      <c r="BB666" s="26" t="str">
        <f>IFERROR($BC$3&amp;VLOOKUP(B668,'Pay Table'!$M$3:$N$18,2,FALSE)&amp;$BB$3&amp;C668&amp;$BD$3,"")</f>
        <v/>
      </c>
      <c r="BC666" s="1" t="str">
        <f>IFERROR($BC$3&amp;VLOOKUP(D668,'Pay Table'!$M$3:$N$18,2,FALSE)&amp;$BB$3&amp;E668&amp;$BD$3,"")</f>
        <v/>
      </c>
      <c r="BD666" s="1" t="str">
        <f>IFERROR($BC$3&amp;VLOOKUP(F668,'Pay Table'!$M$3:$N$18,2,FALSE)&amp;$BB$3&amp;G668&amp;$BD$3,"")</f>
        <v/>
      </c>
      <c r="BE666" s="1" t="str">
        <f>IFERROR($BC$3&amp;VLOOKUP(H668,'Pay Table'!$M$3:$N$18,2,FALSE)&amp;$BB$3&amp;I668&amp;$BD$3,"")</f>
        <v/>
      </c>
      <c r="BF666" s="27" t="str">
        <f>IFERROR($BC$3&amp;VLOOKUP(J668,'Pay Table'!$M$3:$N$18,2,FALSE)&amp;$BB$3&amp;K668&amp;$BD$3,"")</f>
        <v/>
      </c>
    </row>
    <row r="667" spans="54:58" x14ac:dyDescent="0.15">
      <c r="BB667" s="26" t="str">
        <f>IFERROR($BC$3&amp;VLOOKUP(B669,'Pay Table'!$M$3:$N$18,2,FALSE)&amp;$BB$3&amp;C669&amp;$BD$3,"")</f>
        <v/>
      </c>
      <c r="BC667" s="1" t="str">
        <f>IFERROR($BC$3&amp;VLOOKUP(D669,'Pay Table'!$M$3:$N$18,2,FALSE)&amp;$BB$3&amp;E669&amp;$BD$3,"")</f>
        <v/>
      </c>
      <c r="BD667" s="1" t="str">
        <f>IFERROR($BC$3&amp;VLOOKUP(F669,'Pay Table'!$M$3:$N$18,2,FALSE)&amp;$BB$3&amp;G669&amp;$BD$3,"")</f>
        <v/>
      </c>
      <c r="BE667" s="1" t="str">
        <f>IFERROR($BC$3&amp;VLOOKUP(H669,'Pay Table'!$M$3:$N$18,2,FALSE)&amp;$BB$3&amp;I669&amp;$BD$3,"")</f>
        <v/>
      </c>
      <c r="BF667" s="27" t="str">
        <f>IFERROR($BC$3&amp;VLOOKUP(J669,'Pay Table'!$M$3:$N$18,2,FALSE)&amp;$BB$3&amp;K669&amp;$BD$3,"")</f>
        <v/>
      </c>
    </row>
    <row r="668" spans="54:58" x14ac:dyDescent="0.15">
      <c r="BB668" s="26" t="str">
        <f>IFERROR($BC$3&amp;VLOOKUP(B670,'Pay Table'!$M$3:$N$18,2,FALSE)&amp;$BB$3&amp;C670&amp;$BD$3,"")</f>
        <v/>
      </c>
      <c r="BC668" s="1" t="str">
        <f>IFERROR($BC$3&amp;VLOOKUP(D670,'Pay Table'!$M$3:$N$18,2,FALSE)&amp;$BB$3&amp;E670&amp;$BD$3,"")</f>
        <v/>
      </c>
      <c r="BD668" s="1" t="str">
        <f>IFERROR($BC$3&amp;VLOOKUP(F670,'Pay Table'!$M$3:$N$18,2,FALSE)&amp;$BB$3&amp;G670&amp;$BD$3,"")</f>
        <v/>
      </c>
      <c r="BE668" s="1" t="str">
        <f>IFERROR($BC$3&amp;VLOOKUP(H670,'Pay Table'!$M$3:$N$18,2,FALSE)&amp;$BB$3&amp;I670&amp;$BD$3,"")</f>
        <v/>
      </c>
      <c r="BF668" s="27" t="str">
        <f>IFERROR($BC$3&amp;VLOOKUP(J670,'Pay Table'!$M$3:$N$18,2,FALSE)&amp;$BB$3&amp;K670&amp;$BD$3,"")</f>
        <v/>
      </c>
    </row>
    <row r="669" spans="54:58" x14ac:dyDescent="0.15">
      <c r="BB669" s="26" t="str">
        <f>IFERROR($BC$3&amp;VLOOKUP(B671,'Pay Table'!$M$3:$N$18,2,FALSE)&amp;$BB$3&amp;C671&amp;$BD$3,"")</f>
        <v/>
      </c>
      <c r="BC669" s="1" t="str">
        <f>IFERROR($BC$3&amp;VLOOKUP(D671,'Pay Table'!$M$3:$N$18,2,FALSE)&amp;$BB$3&amp;E671&amp;$BD$3,"")</f>
        <v/>
      </c>
      <c r="BD669" s="1" t="str">
        <f>IFERROR($BC$3&amp;VLOOKUP(F671,'Pay Table'!$M$3:$N$18,2,FALSE)&amp;$BB$3&amp;G671&amp;$BD$3,"")</f>
        <v/>
      </c>
      <c r="BE669" s="1" t="str">
        <f>IFERROR($BC$3&amp;VLOOKUP(H671,'Pay Table'!$M$3:$N$18,2,FALSE)&amp;$BB$3&amp;I671&amp;$BD$3,"")</f>
        <v/>
      </c>
      <c r="BF669" s="27" t="str">
        <f>IFERROR($BC$3&amp;VLOOKUP(J671,'Pay Table'!$M$3:$N$18,2,FALSE)&amp;$BB$3&amp;K671&amp;$BD$3,"")</f>
        <v/>
      </c>
    </row>
    <row r="670" spans="54:58" x14ac:dyDescent="0.15">
      <c r="BB670" s="26" t="str">
        <f>IFERROR($BC$3&amp;VLOOKUP(B672,'Pay Table'!$M$3:$N$18,2,FALSE)&amp;$BB$3&amp;C672&amp;$BD$3,"")</f>
        <v/>
      </c>
      <c r="BC670" s="1" t="str">
        <f>IFERROR($BC$3&amp;VLOOKUP(D672,'Pay Table'!$M$3:$N$18,2,FALSE)&amp;$BB$3&amp;E672&amp;$BD$3,"")</f>
        <v/>
      </c>
      <c r="BD670" s="1" t="str">
        <f>IFERROR($BC$3&amp;VLOOKUP(F672,'Pay Table'!$M$3:$N$18,2,FALSE)&amp;$BB$3&amp;G672&amp;$BD$3,"")</f>
        <v/>
      </c>
      <c r="BE670" s="1" t="str">
        <f>IFERROR($BC$3&amp;VLOOKUP(H672,'Pay Table'!$M$3:$N$18,2,FALSE)&amp;$BB$3&amp;I672&amp;$BD$3,"")</f>
        <v/>
      </c>
      <c r="BF670" s="27" t="str">
        <f>IFERROR($BC$3&amp;VLOOKUP(J672,'Pay Table'!$M$3:$N$18,2,FALSE)&amp;$BB$3&amp;K672&amp;$BD$3,"")</f>
        <v/>
      </c>
    </row>
    <row r="671" spans="54:58" x14ac:dyDescent="0.15">
      <c r="BB671" s="26" t="str">
        <f>IFERROR($BC$3&amp;VLOOKUP(B673,'Pay Table'!$M$3:$N$18,2,FALSE)&amp;$BB$3&amp;C673&amp;$BD$3,"")</f>
        <v/>
      </c>
      <c r="BC671" s="1" t="str">
        <f>IFERROR($BC$3&amp;VLOOKUP(D673,'Pay Table'!$M$3:$N$18,2,FALSE)&amp;$BB$3&amp;E673&amp;$BD$3,"")</f>
        <v/>
      </c>
      <c r="BD671" s="1" t="str">
        <f>IFERROR($BC$3&amp;VLOOKUP(F673,'Pay Table'!$M$3:$N$18,2,FALSE)&amp;$BB$3&amp;G673&amp;$BD$3,"")</f>
        <v/>
      </c>
      <c r="BE671" s="1" t="str">
        <f>IFERROR($BC$3&amp;VLOOKUP(H673,'Pay Table'!$M$3:$N$18,2,FALSE)&amp;$BB$3&amp;I673&amp;$BD$3,"")</f>
        <v/>
      </c>
      <c r="BF671" s="27" t="str">
        <f>IFERROR($BC$3&amp;VLOOKUP(J673,'Pay Table'!$M$3:$N$18,2,FALSE)&amp;$BB$3&amp;K673&amp;$BD$3,"")</f>
        <v/>
      </c>
    </row>
    <row r="672" spans="54:58" x14ac:dyDescent="0.15">
      <c r="BB672" s="26" t="str">
        <f>IFERROR($BC$3&amp;VLOOKUP(B674,'Pay Table'!$M$3:$N$18,2,FALSE)&amp;$BB$3&amp;C674&amp;$BD$3,"")</f>
        <v/>
      </c>
      <c r="BC672" s="1" t="str">
        <f>IFERROR($BC$3&amp;VLOOKUP(D674,'Pay Table'!$M$3:$N$18,2,FALSE)&amp;$BB$3&amp;E674&amp;$BD$3,"")</f>
        <v/>
      </c>
      <c r="BD672" s="1" t="str">
        <f>IFERROR($BC$3&amp;VLOOKUP(F674,'Pay Table'!$M$3:$N$18,2,FALSE)&amp;$BB$3&amp;G674&amp;$BD$3,"")</f>
        <v/>
      </c>
      <c r="BE672" s="1" t="str">
        <f>IFERROR($BC$3&amp;VLOOKUP(H674,'Pay Table'!$M$3:$N$18,2,FALSE)&amp;$BB$3&amp;I674&amp;$BD$3,"")</f>
        <v/>
      </c>
      <c r="BF672" s="27" t="str">
        <f>IFERROR($BC$3&amp;VLOOKUP(J674,'Pay Table'!$M$3:$N$18,2,FALSE)&amp;$BB$3&amp;K674&amp;$BD$3,"")</f>
        <v/>
      </c>
    </row>
    <row r="673" spans="54:58" x14ac:dyDescent="0.15">
      <c r="BB673" s="26" t="str">
        <f>IFERROR($BC$3&amp;VLOOKUP(B675,'Pay Table'!$M$3:$N$18,2,FALSE)&amp;$BB$3&amp;C675&amp;$BD$3,"")</f>
        <v/>
      </c>
      <c r="BC673" s="1" t="str">
        <f>IFERROR($BC$3&amp;VLOOKUP(D675,'Pay Table'!$M$3:$N$18,2,FALSE)&amp;$BB$3&amp;E675&amp;$BD$3,"")</f>
        <v/>
      </c>
      <c r="BD673" s="1" t="str">
        <f>IFERROR($BC$3&amp;VLOOKUP(F675,'Pay Table'!$M$3:$N$18,2,FALSE)&amp;$BB$3&amp;G675&amp;$BD$3,"")</f>
        <v/>
      </c>
      <c r="BE673" s="1" t="str">
        <f>IFERROR($BC$3&amp;VLOOKUP(H675,'Pay Table'!$M$3:$N$18,2,FALSE)&amp;$BB$3&amp;I675&amp;$BD$3,"")</f>
        <v/>
      </c>
      <c r="BF673" s="27" t="str">
        <f>IFERROR($BC$3&amp;VLOOKUP(J675,'Pay Table'!$M$3:$N$18,2,FALSE)&amp;$BB$3&amp;K675&amp;$BD$3,"")</f>
        <v/>
      </c>
    </row>
    <row r="674" spans="54:58" x14ac:dyDescent="0.15">
      <c r="BB674" s="26" t="str">
        <f>IFERROR($BC$3&amp;VLOOKUP(B676,'Pay Table'!$M$3:$N$18,2,FALSE)&amp;$BB$3&amp;C676&amp;$BD$3,"")</f>
        <v/>
      </c>
      <c r="BC674" s="1" t="str">
        <f>IFERROR($BC$3&amp;VLOOKUP(D676,'Pay Table'!$M$3:$N$18,2,FALSE)&amp;$BB$3&amp;E676&amp;$BD$3,"")</f>
        <v/>
      </c>
      <c r="BD674" s="1" t="str">
        <f>IFERROR($BC$3&amp;VLOOKUP(F676,'Pay Table'!$M$3:$N$18,2,FALSE)&amp;$BB$3&amp;G676&amp;$BD$3,"")</f>
        <v/>
      </c>
      <c r="BE674" s="1" t="str">
        <f>IFERROR($BC$3&amp;VLOOKUP(H676,'Pay Table'!$M$3:$N$18,2,FALSE)&amp;$BB$3&amp;I676&amp;$BD$3,"")</f>
        <v/>
      </c>
      <c r="BF674" s="27" t="str">
        <f>IFERROR($BC$3&amp;VLOOKUP(J676,'Pay Table'!$M$3:$N$18,2,FALSE)&amp;$BB$3&amp;K676&amp;$BD$3,"")</f>
        <v/>
      </c>
    </row>
    <row r="675" spans="54:58" x14ac:dyDescent="0.15">
      <c r="BB675" s="26" t="str">
        <f>IFERROR($BC$3&amp;VLOOKUP(B677,'Pay Table'!$M$3:$N$18,2,FALSE)&amp;$BB$3&amp;C677&amp;$BD$3,"")</f>
        <v/>
      </c>
      <c r="BC675" s="1" t="str">
        <f>IFERROR($BC$3&amp;VLOOKUP(D677,'Pay Table'!$M$3:$N$18,2,FALSE)&amp;$BB$3&amp;E677&amp;$BD$3,"")</f>
        <v/>
      </c>
      <c r="BD675" s="1" t="str">
        <f>IFERROR($BC$3&amp;VLOOKUP(F677,'Pay Table'!$M$3:$N$18,2,FALSE)&amp;$BB$3&amp;G677&amp;$BD$3,"")</f>
        <v/>
      </c>
      <c r="BE675" s="1" t="str">
        <f>IFERROR($BC$3&amp;VLOOKUP(H677,'Pay Table'!$M$3:$N$18,2,FALSE)&amp;$BB$3&amp;I677&amp;$BD$3,"")</f>
        <v/>
      </c>
      <c r="BF675" s="27" t="str">
        <f>IFERROR($BC$3&amp;VLOOKUP(J677,'Pay Table'!$M$3:$N$18,2,FALSE)&amp;$BB$3&amp;K677&amp;$BD$3,"")</f>
        <v/>
      </c>
    </row>
    <row r="676" spans="54:58" x14ac:dyDescent="0.15">
      <c r="BB676" s="26" t="str">
        <f>IFERROR($BC$3&amp;VLOOKUP(B678,'Pay Table'!$M$3:$N$18,2,FALSE)&amp;$BB$3&amp;C678&amp;$BD$3,"")</f>
        <v/>
      </c>
      <c r="BC676" s="1" t="str">
        <f>IFERROR($BC$3&amp;VLOOKUP(D678,'Pay Table'!$M$3:$N$18,2,FALSE)&amp;$BB$3&amp;E678&amp;$BD$3,"")</f>
        <v/>
      </c>
      <c r="BD676" s="1" t="str">
        <f>IFERROR($BC$3&amp;VLOOKUP(F678,'Pay Table'!$M$3:$N$18,2,FALSE)&amp;$BB$3&amp;G678&amp;$BD$3,"")</f>
        <v/>
      </c>
      <c r="BE676" s="1" t="str">
        <f>IFERROR($BC$3&amp;VLOOKUP(H678,'Pay Table'!$M$3:$N$18,2,FALSE)&amp;$BB$3&amp;I678&amp;$BD$3,"")</f>
        <v/>
      </c>
      <c r="BF676" s="27" t="str">
        <f>IFERROR($BC$3&amp;VLOOKUP(J678,'Pay Table'!$M$3:$N$18,2,FALSE)&amp;$BB$3&amp;K678&amp;$BD$3,"")</f>
        <v/>
      </c>
    </row>
    <row r="677" spans="54:58" x14ac:dyDescent="0.15">
      <c r="BB677" s="26" t="str">
        <f>IFERROR($BC$3&amp;VLOOKUP(B679,'Pay Table'!$M$3:$N$18,2,FALSE)&amp;$BB$3&amp;C679&amp;$BD$3,"")</f>
        <v/>
      </c>
      <c r="BC677" s="1" t="str">
        <f>IFERROR($BC$3&amp;VLOOKUP(D679,'Pay Table'!$M$3:$N$18,2,FALSE)&amp;$BB$3&amp;E679&amp;$BD$3,"")</f>
        <v/>
      </c>
      <c r="BD677" s="1" t="str">
        <f>IFERROR($BC$3&amp;VLOOKUP(F679,'Pay Table'!$M$3:$N$18,2,FALSE)&amp;$BB$3&amp;G679&amp;$BD$3,"")</f>
        <v/>
      </c>
      <c r="BE677" s="1" t="str">
        <f>IFERROR($BC$3&amp;VLOOKUP(H679,'Pay Table'!$M$3:$N$18,2,FALSE)&amp;$BB$3&amp;I679&amp;$BD$3,"")</f>
        <v/>
      </c>
      <c r="BF677" s="27" t="str">
        <f>IFERROR($BC$3&amp;VLOOKUP(J679,'Pay Table'!$M$3:$N$18,2,FALSE)&amp;$BB$3&amp;K679&amp;$BD$3,"")</f>
        <v/>
      </c>
    </row>
    <row r="678" spans="54:58" x14ac:dyDescent="0.15">
      <c r="BB678" s="26" t="str">
        <f>IFERROR($BC$3&amp;VLOOKUP(B680,'Pay Table'!$M$3:$N$18,2,FALSE)&amp;$BB$3&amp;C680&amp;$BD$3,"")</f>
        <v/>
      </c>
      <c r="BC678" s="1" t="str">
        <f>IFERROR($BC$3&amp;VLOOKUP(D680,'Pay Table'!$M$3:$N$18,2,FALSE)&amp;$BB$3&amp;E680&amp;$BD$3,"")</f>
        <v/>
      </c>
      <c r="BD678" s="1" t="str">
        <f>IFERROR($BC$3&amp;VLOOKUP(F680,'Pay Table'!$M$3:$N$18,2,FALSE)&amp;$BB$3&amp;G680&amp;$BD$3,"")</f>
        <v/>
      </c>
      <c r="BE678" s="1" t="str">
        <f>IFERROR($BC$3&amp;VLOOKUP(H680,'Pay Table'!$M$3:$N$18,2,FALSE)&amp;$BB$3&amp;I680&amp;$BD$3,"")</f>
        <v/>
      </c>
      <c r="BF678" s="27" t="str">
        <f>IFERROR($BC$3&amp;VLOOKUP(J680,'Pay Table'!$M$3:$N$18,2,FALSE)&amp;$BB$3&amp;K680&amp;$BD$3,"")</f>
        <v/>
      </c>
    </row>
    <row r="679" spans="54:58" x14ac:dyDescent="0.15">
      <c r="BB679" s="26" t="str">
        <f>IFERROR($BC$3&amp;VLOOKUP(B681,'Pay Table'!$M$3:$N$18,2,FALSE)&amp;$BB$3&amp;C681&amp;$BD$3,"")</f>
        <v/>
      </c>
      <c r="BC679" s="1" t="str">
        <f>IFERROR($BC$3&amp;VLOOKUP(D681,'Pay Table'!$M$3:$N$18,2,FALSE)&amp;$BB$3&amp;E681&amp;$BD$3,"")</f>
        <v/>
      </c>
      <c r="BD679" s="1" t="str">
        <f>IFERROR($BC$3&amp;VLOOKUP(F681,'Pay Table'!$M$3:$N$18,2,FALSE)&amp;$BB$3&amp;G681&amp;$BD$3,"")</f>
        <v/>
      </c>
      <c r="BE679" s="1" t="str">
        <f>IFERROR($BC$3&amp;VLOOKUP(H681,'Pay Table'!$M$3:$N$18,2,FALSE)&amp;$BB$3&amp;I681&amp;$BD$3,"")</f>
        <v/>
      </c>
      <c r="BF679" s="27" t="str">
        <f>IFERROR($BC$3&amp;VLOOKUP(J681,'Pay Table'!$M$3:$N$18,2,FALSE)&amp;$BB$3&amp;K681&amp;$BD$3,"")</f>
        <v/>
      </c>
    </row>
    <row r="680" spans="54:58" x14ac:dyDescent="0.15">
      <c r="BB680" s="26" t="str">
        <f>IFERROR($BC$3&amp;VLOOKUP(B682,'Pay Table'!$M$3:$N$18,2,FALSE)&amp;$BB$3&amp;C682&amp;$BD$3,"")</f>
        <v/>
      </c>
      <c r="BC680" s="1" t="str">
        <f>IFERROR($BC$3&amp;VLOOKUP(D682,'Pay Table'!$M$3:$N$18,2,FALSE)&amp;$BB$3&amp;E682&amp;$BD$3,"")</f>
        <v/>
      </c>
      <c r="BD680" s="1" t="str">
        <f>IFERROR($BC$3&amp;VLOOKUP(F682,'Pay Table'!$M$3:$N$18,2,FALSE)&amp;$BB$3&amp;G682&amp;$BD$3,"")</f>
        <v/>
      </c>
      <c r="BE680" s="1" t="str">
        <f>IFERROR($BC$3&amp;VLOOKUP(H682,'Pay Table'!$M$3:$N$18,2,FALSE)&amp;$BB$3&amp;I682&amp;$BD$3,"")</f>
        <v/>
      </c>
      <c r="BF680" s="27" t="str">
        <f>IFERROR($BC$3&amp;VLOOKUP(J682,'Pay Table'!$M$3:$N$18,2,FALSE)&amp;$BB$3&amp;K682&amp;$BD$3,"")</f>
        <v/>
      </c>
    </row>
    <row r="681" spans="54:58" x14ac:dyDescent="0.15">
      <c r="BB681" s="26" t="str">
        <f>IFERROR($BC$3&amp;VLOOKUP(B683,'Pay Table'!$M$3:$N$18,2,FALSE)&amp;$BB$3&amp;C683&amp;$BD$3,"")</f>
        <v/>
      </c>
      <c r="BC681" s="1" t="str">
        <f>IFERROR($BC$3&amp;VLOOKUP(D683,'Pay Table'!$M$3:$N$18,2,FALSE)&amp;$BB$3&amp;E683&amp;$BD$3,"")</f>
        <v/>
      </c>
      <c r="BD681" s="1" t="str">
        <f>IFERROR($BC$3&amp;VLOOKUP(F683,'Pay Table'!$M$3:$N$18,2,FALSE)&amp;$BB$3&amp;G683&amp;$BD$3,"")</f>
        <v/>
      </c>
      <c r="BE681" s="1" t="str">
        <f>IFERROR($BC$3&amp;VLOOKUP(H683,'Pay Table'!$M$3:$N$18,2,FALSE)&amp;$BB$3&amp;I683&amp;$BD$3,"")</f>
        <v/>
      </c>
      <c r="BF681" s="27" t="str">
        <f>IFERROR($BC$3&amp;VLOOKUP(J683,'Pay Table'!$M$3:$N$18,2,FALSE)&amp;$BB$3&amp;K683&amp;$BD$3,"")</f>
        <v/>
      </c>
    </row>
    <row r="682" spans="54:58" x14ac:dyDescent="0.15">
      <c r="BB682" s="26" t="str">
        <f>IFERROR($BC$3&amp;VLOOKUP(B684,'Pay Table'!$M$3:$N$18,2,FALSE)&amp;$BB$3&amp;C684&amp;$BD$3,"")</f>
        <v/>
      </c>
      <c r="BC682" s="1" t="str">
        <f>IFERROR($BC$3&amp;VLOOKUP(D684,'Pay Table'!$M$3:$N$18,2,FALSE)&amp;$BB$3&amp;E684&amp;$BD$3,"")</f>
        <v/>
      </c>
      <c r="BD682" s="1" t="str">
        <f>IFERROR($BC$3&amp;VLOOKUP(F684,'Pay Table'!$M$3:$N$18,2,FALSE)&amp;$BB$3&amp;G684&amp;$BD$3,"")</f>
        <v/>
      </c>
      <c r="BE682" s="1" t="str">
        <f>IFERROR($BC$3&amp;VLOOKUP(H684,'Pay Table'!$M$3:$N$18,2,FALSE)&amp;$BB$3&amp;I684&amp;$BD$3,"")</f>
        <v/>
      </c>
      <c r="BF682" s="27" t="str">
        <f>IFERROR($BC$3&amp;VLOOKUP(J684,'Pay Table'!$M$3:$N$18,2,FALSE)&amp;$BB$3&amp;K684&amp;$BD$3,"")</f>
        <v/>
      </c>
    </row>
    <row r="683" spans="54:58" x14ac:dyDescent="0.15">
      <c r="BB683" s="26" t="str">
        <f>IFERROR($BC$3&amp;VLOOKUP(B685,'Pay Table'!$M$3:$N$18,2,FALSE)&amp;$BB$3&amp;C685&amp;$BD$3,"")</f>
        <v/>
      </c>
      <c r="BC683" s="1" t="str">
        <f>IFERROR($BC$3&amp;VLOOKUP(D685,'Pay Table'!$M$3:$N$18,2,FALSE)&amp;$BB$3&amp;E685&amp;$BD$3,"")</f>
        <v/>
      </c>
      <c r="BD683" s="1" t="str">
        <f>IFERROR($BC$3&amp;VLOOKUP(F685,'Pay Table'!$M$3:$N$18,2,FALSE)&amp;$BB$3&amp;G685&amp;$BD$3,"")</f>
        <v/>
      </c>
      <c r="BE683" s="1" t="str">
        <f>IFERROR($BC$3&amp;VLOOKUP(H685,'Pay Table'!$M$3:$N$18,2,FALSE)&amp;$BB$3&amp;I685&amp;$BD$3,"")</f>
        <v/>
      </c>
      <c r="BF683" s="27" t="str">
        <f>IFERROR($BC$3&amp;VLOOKUP(J685,'Pay Table'!$M$3:$N$18,2,FALSE)&amp;$BB$3&amp;K685&amp;$BD$3,"")</f>
        <v/>
      </c>
    </row>
    <row r="684" spans="54:58" ht="15.75" thickBot="1" x14ac:dyDescent="0.2">
      <c r="BB684" s="29" t="str">
        <f>IFERROR($BC$3&amp;VLOOKUP(B686,'Pay Table'!$M$3:$N$18,2,FALSE)&amp;$BB$3&amp;C686&amp;$BD$3,"")</f>
        <v/>
      </c>
      <c r="BC684" s="34" t="str">
        <f>IFERROR($BC$3&amp;VLOOKUP(D686,'Pay Table'!$M$3:$N$18,2,FALSE)&amp;$BB$3&amp;E686&amp;$BD$3,"")</f>
        <v/>
      </c>
      <c r="BD684" s="34" t="str">
        <f>IFERROR($BC$3&amp;VLOOKUP(F686,'Pay Table'!$M$3:$N$18,2,FALSE)&amp;$BB$3&amp;G686&amp;$BD$3,"")</f>
        <v/>
      </c>
      <c r="BE684" s="34" t="str">
        <f>IFERROR($BC$3&amp;VLOOKUP(H686,'Pay Table'!$M$3:$N$18,2,FALSE)&amp;$BB$3&amp;I686&amp;$BD$3,"")</f>
        <v/>
      </c>
      <c r="BF684" s="28" t="str">
        <f>IFERROR($BC$3&amp;VLOOKUP(J686,'Pay Table'!$M$3:$N$18,2,FALSE)&amp;$BB$3&amp;K686&amp;$BD$3,"")</f>
        <v/>
      </c>
    </row>
  </sheetData>
  <phoneticPr fontId="7" type="noConversion"/>
  <conditionalFormatting sqref="A1:K1048576">
    <cfRule type="cellIs" dxfId="80" priority="3" operator="equal">
      <formula>"LINK"</formula>
    </cfRule>
  </conditionalFormatting>
  <conditionalFormatting sqref="A2:K5 A6:A223">
    <cfRule type="cellIs" dxfId="79" priority="69" operator="equal">
      <formula>"NONE"</formula>
    </cfRule>
  </conditionalFormatting>
  <conditionalFormatting sqref="A3:K5 A6:A50">
    <cfRule type="cellIs" dxfId="78" priority="68" operator="equal">
      <formula>"COIN"</formula>
    </cfRule>
  </conditionalFormatting>
  <conditionalFormatting sqref="B6:B66">
    <cfRule type="cellIs" dxfId="77" priority="4" operator="equal">
      <formula>"SCATTER"</formula>
    </cfRule>
    <cfRule type="cellIs" dxfId="76" priority="5" operator="equal">
      <formula>"WILD"</formula>
    </cfRule>
  </conditionalFormatting>
  <conditionalFormatting sqref="B128:F137">
    <cfRule type="cellIs" dxfId="75" priority="32" operator="equal">
      <formula>"pear"</formula>
    </cfRule>
  </conditionalFormatting>
  <conditionalFormatting sqref="B141:J207">
    <cfRule type="cellIs" dxfId="74" priority="37" operator="equal">
      <formula>"link"</formula>
    </cfRule>
    <cfRule type="cellIs" dxfId="73" priority="38" operator="equal">
      <formula>"scatter"</formula>
    </cfRule>
    <cfRule type="cellIs" dxfId="72" priority="39" operator="equal">
      <formula>"scatter"</formula>
    </cfRule>
    <cfRule type="cellIs" dxfId="71" priority="40" operator="equal">
      <formula>"wild"</formula>
    </cfRule>
  </conditionalFormatting>
  <conditionalFormatting sqref="B2:K3 K4:K5">
    <cfRule type="cellIs" dxfId="70" priority="70" operator="equal">
      <formula>"WILD"</formula>
    </cfRule>
  </conditionalFormatting>
  <conditionalFormatting sqref="B2:K5 B128:K1048576">
    <cfRule type="cellIs" dxfId="69" priority="22" operator="equal">
      <formula>"link"</formula>
    </cfRule>
    <cfRule type="cellIs" dxfId="68" priority="23" operator="equal">
      <formula>"scatter"</formula>
    </cfRule>
    <cfRule type="cellIs" dxfId="67" priority="24" operator="equal">
      <formula>"wild"</formula>
    </cfRule>
    <cfRule type="cellIs" dxfId="66" priority="25" operator="equal">
      <formula>"scatter"</formula>
    </cfRule>
  </conditionalFormatting>
  <conditionalFormatting sqref="B2:K5 C87:G115 I87:K115 C116:K121 B122:K1048576">
    <cfRule type="cellIs" dxfId="65" priority="20" operator="equal">
      <formula>"WILD"</formula>
    </cfRule>
    <cfRule type="cellIs" dxfId="64" priority="21" operator="equal">
      <formula>"SCATTER"</formula>
    </cfRule>
  </conditionalFormatting>
  <conditionalFormatting sqref="B2:K5 J86:K86 I87:K115 C116:K121 B122:K1048576">
    <cfRule type="cellIs" dxfId="63" priority="17" operator="equal">
      <formula>"LINK"</formula>
    </cfRule>
  </conditionalFormatting>
  <conditionalFormatting sqref="B2:K5 K86 I87:K115 C116:K121 B122:K1048576 C87:G115">
    <cfRule type="cellIs" dxfId="62" priority="19" operator="equal">
      <formula>"LINK"</formula>
    </cfRule>
  </conditionalFormatting>
  <conditionalFormatting sqref="B6:K85">
    <cfRule type="cellIs" dxfId="61" priority="1" operator="equal">
      <formula>"M2"</formula>
    </cfRule>
    <cfRule type="cellIs" dxfId="60" priority="2" operator="equal">
      <formula>"M1"</formula>
    </cfRule>
  </conditionalFormatting>
  <conditionalFormatting sqref="B128:K141">
    <cfRule type="cellIs" dxfId="59" priority="28" operator="equal">
      <formula>"SCATTER"</formula>
    </cfRule>
  </conditionalFormatting>
  <conditionalFormatting sqref="B128:K221">
    <cfRule type="cellIs" dxfId="58" priority="27" operator="equal">
      <formula>"WILD"</formula>
    </cfRule>
  </conditionalFormatting>
  <conditionalFormatting sqref="B128:K1048576 B2:K5">
    <cfRule type="cellIs" dxfId="57" priority="26" operator="equal">
      <formula>"MAGIC"</formula>
    </cfRule>
  </conditionalFormatting>
  <conditionalFormatting sqref="B138:K140">
    <cfRule type="cellIs" dxfId="56" priority="36" operator="equal">
      <formula>"pear"</formula>
    </cfRule>
  </conditionalFormatting>
  <conditionalFormatting sqref="B208:K210">
    <cfRule type="cellIs" dxfId="55" priority="65" operator="equal">
      <formula>"SCATTER"</formula>
    </cfRule>
  </conditionalFormatting>
  <conditionalFormatting sqref="B208:K221">
    <cfRule type="cellIs" dxfId="54" priority="61" operator="equal">
      <formula>"WILD"</formula>
    </cfRule>
    <cfRule type="cellIs" dxfId="53" priority="62" operator="equal">
      <formula>"SCATTER"</formula>
    </cfRule>
    <cfRule type="cellIs" dxfId="52" priority="63" operator="equal">
      <formula>"LINK_2"</formula>
    </cfRule>
    <cfRule type="cellIs" dxfId="51" priority="64" operator="equal">
      <formula>"LINK_1"</formula>
    </cfRule>
  </conditionalFormatting>
  <conditionalFormatting sqref="B208:K1048576">
    <cfRule type="cellIs" dxfId="50" priority="66" operator="equal">
      <formula>"WILD"</formula>
    </cfRule>
  </conditionalFormatting>
  <conditionalFormatting sqref="B220:K223">
    <cfRule type="cellIs" dxfId="49" priority="67" operator="equal">
      <formula>"NONE"</formula>
    </cfRule>
  </conditionalFormatting>
  <conditionalFormatting sqref="C6:G27 D28:G63 C28:C66 D64:D66 F64:G66 D67:G67 C68:G85">
    <cfRule type="cellIs" dxfId="48" priority="11" operator="equal">
      <formula>"LINK"</formula>
    </cfRule>
  </conditionalFormatting>
  <conditionalFormatting sqref="C6:G63 I6:K85 C64:D66 F64:G66 C67:G85">
    <cfRule type="cellIs" dxfId="47" priority="9" operator="equal">
      <formula>"SCATTER"</formula>
    </cfRule>
    <cfRule type="cellIs" dxfId="46" priority="10" operator="equal">
      <formula>"WILD"</formula>
    </cfRule>
  </conditionalFormatting>
  <conditionalFormatting sqref="C87:G115 I87:K115 C116:K121 B122:K132">
    <cfRule type="cellIs" dxfId="45" priority="18" operator="equal">
      <formula>"MAGIC"</formula>
    </cfRule>
  </conditionalFormatting>
  <conditionalFormatting sqref="C86:H115">
    <cfRule type="cellIs" dxfId="44" priority="16" operator="equal">
      <formula>"LINK"</formula>
    </cfRule>
  </conditionalFormatting>
  <conditionalFormatting sqref="F128:K140">
    <cfRule type="cellIs" dxfId="43" priority="33" operator="equal">
      <formula>"MIGHTCASH"</formula>
    </cfRule>
  </conditionalFormatting>
  <conditionalFormatting sqref="G128:G140">
    <cfRule type="cellIs" dxfId="42" priority="31" operator="equal">
      <formula>"pear"</formula>
    </cfRule>
  </conditionalFormatting>
  <conditionalFormatting sqref="H6:H115">
    <cfRule type="cellIs" dxfId="41" priority="6" operator="equal">
      <formula>"SCATTER"</formula>
    </cfRule>
    <cfRule type="cellIs" dxfId="40" priority="7" operator="equal">
      <formula>"WILD"</formula>
    </cfRule>
  </conditionalFormatting>
  <conditionalFormatting sqref="H128:H137">
    <cfRule type="cellIs" dxfId="39" priority="35" operator="equal">
      <formula>"pear"</formula>
    </cfRule>
  </conditionalFormatting>
  <conditionalFormatting sqref="H6:K85">
    <cfRule type="cellIs" dxfId="38" priority="8" operator="equal">
      <formula>"LINK"</formula>
    </cfRule>
  </conditionalFormatting>
  <conditionalFormatting sqref="I128:I140">
    <cfRule type="cellIs" dxfId="37" priority="30" operator="equal">
      <formula>"pear"</formula>
    </cfRule>
  </conditionalFormatting>
  <conditionalFormatting sqref="J128:J137">
    <cfRule type="cellIs" dxfId="36" priority="34" operator="equal">
      <formula>"pear"</formula>
    </cfRule>
  </conditionalFormatting>
  <conditionalFormatting sqref="K77:K85">
    <cfRule type="cellIs" dxfId="35" priority="13" operator="equal">
      <formula>"LINK"</formula>
    </cfRule>
  </conditionalFormatting>
  <conditionalFormatting sqref="K77:K86">
    <cfRule type="cellIs" dxfId="34" priority="12" operator="equal">
      <formula>"MAGIC"</formula>
    </cfRule>
    <cfRule type="cellIs" dxfId="33" priority="14" operator="equal">
      <formula>"WILD"</formula>
    </cfRule>
    <cfRule type="cellIs" dxfId="32" priority="15" operator="equal">
      <formula>"SCATTER"</formula>
    </cfRule>
  </conditionalFormatting>
  <conditionalFormatting sqref="K128:K140">
    <cfRule type="cellIs" dxfId="31" priority="29" operator="equal">
      <formula>"pear"</formula>
    </cfRule>
  </conditionalFormatting>
  <conditionalFormatting sqref="K141:K165">
    <cfRule type="cellIs" dxfId="30" priority="41" operator="equal">
      <formula>"LINK"</formula>
    </cfRule>
    <cfRule type="cellIs" dxfId="29" priority="46" operator="equal">
      <formula>"BONUS"</formula>
    </cfRule>
  </conditionalFormatting>
  <conditionalFormatting sqref="K141:K170">
    <cfRule type="cellIs" dxfId="28" priority="48" operator="equal">
      <formula>"BONUS"</formula>
    </cfRule>
    <cfRule type="cellIs" dxfId="27" priority="49" operator="equal">
      <formula>"LINK"</formula>
    </cfRule>
    <cfRule type="cellIs" dxfId="26" priority="50" operator="equal">
      <formula>"S2"</formula>
    </cfRule>
    <cfRule type="cellIs" dxfId="25" priority="51" operator="equal">
      <formula>"S1"</formula>
    </cfRule>
    <cfRule type="cellIs" dxfId="24" priority="52" operator="equal">
      <formula>"MYSTIC"</formula>
    </cfRule>
    <cfRule type="cellIs" dxfId="23" priority="53" operator="equal">
      <formula>"s2"</formula>
    </cfRule>
    <cfRule type="cellIs" dxfId="22" priority="54" operator="equal">
      <formula>"s1"</formula>
    </cfRule>
    <cfRule type="cellIs" dxfId="21" priority="55" operator="equal">
      <formula>"m1"</formula>
    </cfRule>
    <cfRule type="cellIs" dxfId="20" priority="56" operator="equal">
      <formula>"scatter"</formula>
    </cfRule>
    <cfRule type="cellIs" dxfId="19" priority="57" operator="equal">
      <formula>"M"</formula>
    </cfRule>
    <cfRule type="cellIs" dxfId="18" priority="58" operator="equal">
      <formula>"wild"</formula>
    </cfRule>
    <cfRule type="cellIs" dxfId="17" priority="59" operator="equal">
      <formula>"link"</formula>
    </cfRule>
  </conditionalFormatting>
  <conditionalFormatting sqref="K141:K207">
    <cfRule type="cellIs" dxfId="16" priority="42" operator="equal">
      <formula>"WILD"</formula>
    </cfRule>
    <cfRule type="cellIs" dxfId="15" priority="43" operator="equal">
      <formula>"SCATTER"</formula>
    </cfRule>
    <cfRule type="cellIs" dxfId="14" priority="44" operator="equal">
      <formula>"LINK_2"</formula>
    </cfRule>
    <cfRule type="cellIs" dxfId="13" priority="45" operator="equal">
      <formula>"LINK_1"</formula>
    </cfRule>
    <cfRule type="cellIs" dxfId="12" priority="47" operator="equal">
      <formula>"WILD"</formula>
    </cfRule>
    <cfRule type="cellIs" dxfId="11" priority="60" operator="equal">
      <formula>"SCATTER"</formula>
    </cfRule>
  </conditionalFormatting>
  <conditionalFormatting sqref="L4:L16">
    <cfRule type="cellIs" dxfId="10" priority="71" operator="equal">
      <formula>$L$8</formula>
    </cfRule>
    <cfRule type="cellIs" dxfId="9" priority="72" operator="equal">
      <formula>$L$7</formula>
    </cfRule>
    <cfRule type="cellIs" dxfId="8" priority="73" operator="equal">
      <formula>$L$6</formula>
    </cfRule>
    <cfRule type="cellIs" dxfId="7" priority="74" operator="equal">
      <formula>$L$5</formula>
    </cfRule>
    <cfRule type="cellIs" dxfId="6" priority="75" operator="equal">
      <formula>$L$4</formula>
    </cfRule>
  </conditionalFormatting>
  <conditionalFormatting sqref="BB3:BF3 BB4:BE4 BB5:BF99 BC100:BF142 BB100:BB152">
    <cfRule type="cellIs" dxfId="5" priority="76" operator="equal">
      <formula>#REF!</formula>
    </cfRule>
    <cfRule type="cellIs" dxfId="4" priority="77" operator="equal">
      <formula>#REF!</formula>
    </cfRule>
    <cfRule type="cellIs" dxfId="3" priority="78" operator="equal">
      <formula>#REF!</formula>
    </cfRule>
    <cfRule type="cellIs" dxfId="2" priority="79" operator="equal">
      <formula>#REF!</formula>
    </cfRule>
    <cfRule type="cellIs" dxfId="1" priority="80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rule</vt:lpstr>
      <vt:lpstr>#&lt;pay_table&gt;</vt:lpstr>
      <vt:lpstr>#&lt;prize&gt;</vt:lpstr>
      <vt:lpstr>#&lt;base_reel_strip&gt;</vt:lpstr>
      <vt:lpstr>#&lt;free_reel_strip&gt;</vt:lpstr>
      <vt:lpstr>#&lt;config&gt;</vt:lpstr>
      <vt:lpstr>Summary</vt:lpstr>
      <vt:lpstr>Pay Line</vt:lpstr>
      <vt:lpstr>Pay Table</vt:lpstr>
      <vt:lpstr>Base Game </vt:lpstr>
      <vt:lpstr>Free Game</vt:lpstr>
      <vt:lpstr>Respin</vt:lpstr>
      <vt:lpstr>竞品数据统计</vt:lpstr>
      <vt:lpstr>luaConfig</vt:lpstr>
      <vt:lpstr>Roll Reel</vt:lpstr>
      <vt:lpstr>beeifen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</dc:creator>
  <cp:lastModifiedBy>China</cp:lastModifiedBy>
  <dcterms:created xsi:type="dcterms:W3CDTF">2015-05-25T08:21:00Z</dcterms:created>
  <dcterms:modified xsi:type="dcterms:W3CDTF">2024-07-23T07:16:27Z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